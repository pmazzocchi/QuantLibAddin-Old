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-15" yWindow="-15" windowWidth="15240" windowHeight="7560" activeTab="2"/>
  </bookViews>
  <sheets>
    <sheet name="General Settings" sheetId="4" r:id="rId1"/>
    <sheet name="3M Delta" sheetId="1" r:id="rId2"/>
    <sheet name="6M Delta" sheetId="5" r:id="rId3"/>
  </sheets>
  <externalReferences>
    <externalReference r:id="rId4"/>
  </externalReferences>
  <definedNames>
    <definedName name="AllTriggers">'General Settings'!$I$4:$I$8</definedName>
    <definedName name="Calendar">'General Settings'!$D$5</definedName>
    <definedName name="ContBasis" localSheetId="2">'6M Delta'!$M$6:$M$9</definedName>
    <definedName name="Currency">'General Settings'!$D$4</definedName>
    <definedName name="DataTable" localSheetId="1">'3M Delta'!$A$3:$J$16</definedName>
    <definedName name="DataTable" localSheetId="2">'6M Delta'!$A$3:$J$16</definedName>
    <definedName name="DayCounter">'General Settings'!$D$9</definedName>
    <definedName name="Error_ContBasis" localSheetId="2">'6M Delta'!$M$12</definedName>
    <definedName name="Error_SimpleBasis" localSheetId="2">'6M Delta'!$M$30</definedName>
    <definedName name="EvaluationDate">'General Settings'!$I$5</definedName>
    <definedName name="IborType">'General Settings'!$D$6</definedName>
    <definedName name="Index" localSheetId="1">'3M Delta'!$M$4</definedName>
    <definedName name="Index" localSheetId="2">'6M Delta'!$M$4</definedName>
    <definedName name="OisCurve">'General Settings'!$D$8</definedName>
    <definedName name="SettlementDate">'General Settings'!$I$6</definedName>
    <definedName name="SimpleBasis" localSheetId="2">'6M Delta'!$M$24:$M$27</definedName>
    <definedName name="solver_adj" localSheetId="2" hidden="1">'6M Delta'!$M$24:$M$27</definedName>
    <definedName name="solver_cvg" localSheetId="2" hidden="1">0.0000000000001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'6M Delta'!$M$8</definedName>
    <definedName name="solver_lhs2" localSheetId="2" hidden="1">'6M Delta'!$M$8</definedName>
    <definedName name="solver_lhs3" localSheetId="2" hidden="1">'6M Delta'!$M$8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'6M Delta'!$M$30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el3" localSheetId="2" hidden="1">3</definedName>
    <definedName name="solver_rhs1" localSheetId="2" hidden="1">0</definedName>
    <definedName name="solver_rhs2" localSheetId="2" hidden="1">0</definedName>
    <definedName name="solver_rhs3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rigger">'General Settings'!$I$4</definedName>
  </definedNames>
  <calcPr calcId="145621"/>
</workbook>
</file>

<file path=xl/calcChain.xml><?xml version="1.0" encoding="utf-8"?>
<calcChain xmlns="http://schemas.openxmlformats.org/spreadsheetml/2006/main">
  <c r="P3" i="5" l="1"/>
  <c r="P4" i="5"/>
  <c r="M28" i="5"/>
  <c r="M10" i="5"/>
  <c r="M11" i="5"/>
  <c r="E16" i="1" l="1"/>
  <c r="E15" i="1"/>
  <c r="E14" i="1"/>
  <c r="E13" i="1"/>
  <c r="E12" i="1"/>
  <c r="E11" i="1"/>
  <c r="E10" i="1"/>
  <c r="E16" i="5"/>
  <c r="E15" i="5"/>
  <c r="E14" i="5"/>
  <c r="E13" i="5"/>
  <c r="E12" i="5"/>
  <c r="E11" i="5"/>
  <c r="E10" i="5"/>
  <c r="A16" i="1"/>
  <c r="A13" i="1"/>
  <c r="A12" i="1"/>
  <c r="A15" i="1"/>
  <c r="A14" i="1"/>
  <c r="A11" i="1"/>
  <c r="A10" i="1"/>
  <c r="A13" i="5"/>
  <c r="A14" i="5"/>
  <c r="A11" i="5"/>
  <c r="A15" i="5"/>
  <c r="P5" i="5"/>
  <c r="A12" i="5"/>
  <c r="A10" i="5"/>
  <c r="A16" i="5"/>
  <c r="B12" i="1"/>
  <c r="B10" i="5"/>
  <c r="B11" i="1"/>
  <c r="B10" i="1"/>
  <c r="B12" i="5"/>
  <c r="B11" i="5"/>
  <c r="B13" i="1" l="1"/>
  <c r="B14" i="1" s="1"/>
  <c r="B15" i="1" s="1"/>
  <c r="B16" i="1" s="1"/>
  <c r="B13" i="5"/>
  <c r="B14" i="5" s="1"/>
  <c r="B15" i="5" s="1"/>
  <c r="B16" i="5" s="1"/>
  <c r="E9" i="5"/>
  <c r="E8" i="5"/>
  <c r="E7" i="5"/>
  <c r="E6" i="5"/>
  <c r="E5" i="5"/>
  <c r="E4" i="5"/>
  <c r="E3" i="5"/>
  <c r="W2" i="5"/>
  <c r="E9" i="1"/>
  <c r="E8" i="1"/>
  <c r="E7" i="1"/>
  <c r="E6" i="1"/>
  <c r="E5" i="1"/>
  <c r="E4" i="1"/>
  <c r="E3" i="1"/>
  <c r="V2" i="1"/>
  <c r="D6" i="4"/>
  <c r="M4" i="1" s="1"/>
  <c r="A9" i="1"/>
  <c r="A8" i="1"/>
  <c r="A7" i="1"/>
  <c r="A6" i="1"/>
  <c r="A5" i="1"/>
  <c r="A4" i="1"/>
  <c r="A3" i="1"/>
  <c r="A4" i="5"/>
  <c r="A5" i="5"/>
  <c r="A3" i="5"/>
  <c r="A7" i="5"/>
  <c r="A9" i="5"/>
  <c r="A8" i="5"/>
  <c r="A6" i="5"/>
  <c r="P6" i="5"/>
  <c r="B4" i="1"/>
  <c r="B5" i="1"/>
  <c r="B3" i="5"/>
  <c r="B3" i="1"/>
  <c r="B4" i="5"/>
  <c r="B5" i="5"/>
  <c r="I5" i="4"/>
  <c r="M4" i="5" l="1"/>
  <c r="Q3" i="5"/>
  <c r="B6" i="5"/>
  <c r="B7" i="5" s="1"/>
  <c r="B8" i="5" s="1"/>
  <c r="B9" i="5" s="1"/>
  <c r="B6" i="1"/>
  <c r="B7" i="1" s="1"/>
  <c r="B8" i="1" s="1"/>
  <c r="B9" i="1" s="1"/>
  <c r="P3" i="1"/>
  <c r="P7" i="5"/>
  <c r="B1" i="4"/>
  <c r="I6" i="4"/>
  <c r="Q5" i="5"/>
  <c r="Q4" i="5"/>
  <c r="Q6" i="5"/>
  <c r="Q7" i="5"/>
  <c r="M29" i="5"/>
  <c r="AK30" i="5"/>
  <c r="M33" i="5"/>
  <c r="M36" i="5"/>
  <c r="M35" i="5"/>
  <c r="M34" i="5"/>
  <c r="AK33" i="5" s="1"/>
  <c r="D16" i="1" l="1"/>
  <c r="D12" i="1"/>
  <c r="D15" i="1"/>
  <c r="D11" i="1"/>
  <c r="D14" i="1"/>
  <c r="D10" i="1"/>
  <c r="D13" i="1"/>
  <c r="D15" i="5"/>
  <c r="D11" i="5"/>
  <c r="D14" i="5"/>
  <c r="D10" i="5"/>
  <c r="D13" i="5"/>
  <c r="D16" i="5"/>
  <c r="D12" i="5"/>
  <c r="D3" i="1"/>
  <c r="D4" i="1"/>
  <c r="D5" i="1"/>
  <c r="D6" i="1"/>
  <c r="D7" i="1"/>
  <c r="D8" i="1"/>
  <c r="D9" i="1"/>
  <c r="D6" i="5"/>
  <c r="D3" i="5"/>
  <c r="D8" i="5"/>
  <c r="D7" i="5"/>
  <c r="D4" i="5"/>
  <c r="D5" i="5"/>
  <c r="D9" i="5"/>
  <c r="P8" i="5"/>
  <c r="AK34" i="5"/>
  <c r="AK39" i="5"/>
  <c r="AK38" i="5"/>
  <c r="AK37" i="5"/>
  <c r="AK36" i="5"/>
  <c r="AK46" i="5"/>
  <c r="AK45" i="5"/>
  <c r="AK44" i="5"/>
  <c r="AK43" i="5"/>
  <c r="AK25" i="5" l="1"/>
  <c r="AK27" i="5"/>
  <c r="AK26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R7" i="5"/>
  <c r="AK49" i="5"/>
  <c r="Q9" i="5"/>
  <c r="Q8" i="5"/>
  <c r="R3" i="5"/>
  <c r="R6" i="5"/>
  <c r="Q3" i="1"/>
  <c r="AB3" i="5"/>
  <c r="R3" i="1"/>
  <c r="Z7" i="5"/>
  <c r="P4" i="1"/>
  <c r="S7" i="5"/>
  <c r="R5" i="5"/>
  <c r="S5" i="5" s="1"/>
  <c r="Z3" i="5"/>
  <c r="AB5" i="5"/>
  <c r="R8" i="5"/>
  <c r="R9" i="5"/>
  <c r="R4" i="5"/>
  <c r="S4" i="5" s="1"/>
  <c r="AB7" i="5"/>
  <c r="Z4" i="5"/>
  <c r="Q15" i="5"/>
  <c r="Z18" i="5"/>
  <c r="Q23" i="5"/>
  <c r="Z26" i="5"/>
  <c r="Q31" i="5"/>
  <c r="Z34" i="5"/>
  <c r="M31" i="5"/>
  <c r="Q12" i="5"/>
  <c r="Z15" i="5"/>
  <c r="Z23" i="5"/>
  <c r="Q28" i="5"/>
  <c r="Z31" i="5"/>
  <c r="T4" i="5"/>
  <c r="Q14" i="5"/>
  <c r="Q30" i="5"/>
  <c r="Z8" i="5"/>
  <c r="S3" i="1"/>
  <c r="Q20" i="5"/>
  <c r="AC7" i="5"/>
  <c r="AC3" i="5"/>
  <c r="Z33" i="5"/>
  <c r="Z12" i="5"/>
  <c r="Q17" i="5"/>
  <c r="Z20" i="5"/>
  <c r="Q25" i="5"/>
  <c r="Z28" i="5"/>
  <c r="Q33" i="5"/>
  <c r="AC5" i="5"/>
  <c r="Z17" i="5"/>
  <c r="Q22" i="5"/>
  <c r="Z25" i="5"/>
  <c r="Z11" i="5"/>
  <c r="Z14" i="5"/>
  <c r="Z22" i="5"/>
  <c r="Z30" i="5"/>
  <c r="Z35" i="5"/>
  <c r="AB4" i="5"/>
  <c r="AC4" i="5" s="1"/>
  <c r="Z5" i="5"/>
  <c r="T7" i="5"/>
  <c r="Z10" i="5"/>
  <c r="Q13" i="5"/>
  <c r="Q21" i="5"/>
  <c r="Q32" i="5"/>
  <c r="Z13" i="5"/>
  <c r="Z21" i="5"/>
  <c r="Z24" i="5"/>
  <c r="Z29" i="5"/>
  <c r="Q11" i="5"/>
  <c r="Q35" i="5"/>
  <c r="Q10" i="5"/>
  <c r="Q18" i="5"/>
  <c r="Q34" i="5"/>
  <c r="Q16" i="5"/>
  <c r="Q24" i="5"/>
  <c r="Q19" i="5"/>
  <c r="Z32" i="5"/>
  <c r="Z19" i="5"/>
  <c r="Q26" i="5"/>
  <c r="Q29" i="5"/>
  <c r="Z6" i="5"/>
  <c r="Z16" i="5"/>
  <c r="Q27" i="5"/>
  <c r="Z27" i="5"/>
  <c r="AK50" i="5"/>
  <c r="AK52" i="5"/>
  <c r="AK53" i="5"/>
  <c r="AK54" i="5"/>
  <c r="AK55" i="5"/>
  <c r="AB6" i="5"/>
  <c r="AC6" i="5" s="1"/>
  <c r="S6" i="5"/>
  <c r="T6" i="5" s="1"/>
  <c r="M17" i="5"/>
  <c r="M16" i="5"/>
  <c r="M18" i="5"/>
  <c r="M15" i="5"/>
  <c r="Q4" i="1"/>
  <c r="P5" i="1"/>
  <c r="S8" i="5"/>
  <c r="AB8" i="5"/>
  <c r="AC8" i="5" s="1"/>
  <c r="AB9" i="5"/>
  <c r="AC9" i="5" s="1"/>
  <c r="S9" i="5"/>
  <c r="T9" i="5" s="1"/>
  <c r="AK61" i="5"/>
  <c r="AK60" i="5"/>
  <c r="AK58" i="5"/>
  <c r="AK59" i="5"/>
  <c r="R4" i="1"/>
  <c r="S4" i="1" s="1"/>
  <c r="P6" i="1"/>
  <c r="Q5" i="1"/>
  <c r="R5" i="1" s="1"/>
  <c r="Q6" i="1"/>
  <c r="R6" i="1" s="1"/>
  <c r="P7" i="1"/>
  <c r="Q7" i="1"/>
  <c r="R7" i="1" s="1"/>
  <c r="P8" i="1"/>
  <c r="Q8" i="1"/>
  <c r="P9" i="1"/>
  <c r="P10" i="1"/>
  <c r="Q9" i="1"/>
  <c r="P11" i="1"/>
  <c r="Q10" i="1"/>
  <c r="R9" i="1"/>
  <c r="S9" i="1" s="1"/>
  <c r="Q11" i="1"/>
  <c r="P12" i="1"/>
  <c r="Q12" i="1"/>
  <c r="P13" i="1"/>
  <c r="P14" i="1"/>
  <c r="Q13" i="1"/>
  <c r="R13" i="1" s="1"/>
  <c r="Q14" i="1"/>
  <c r="P15" i="1"/>
  <c r="Q15" i="1"/>
  <c r="P16" i="1"/>
  <c r="R15" i="1"/>
  <c r="S15" i="1" s="1"/>
  <c r="Q16" i="1"/>
  <c r="P17" i="1"/>
  <c r="Q17" i="1"/>
  <c r="R17" i="1" s="1"/>
  <c r="P18" i="1"/>
  <c r="Q18" i="1"/>
  <c r="P19" i="1"/>
  <c r="Q19" i="1"/>
  <c r="P20" i="1"/>
  <c r="P21" i="1"/>
  <c r="Q20" i="1"/>
  <c r="P22" i="1"/>
  <c r="Q21" i="1"/>
  <c r="Q22" i="1"/>
  <c r="P23" i="1"/>
  <c r="R21" i="1"/>
  <c r="S21" i="1" s="1"/>
  <c r="Q23" i="1"/>
  <c r="P24" i="1"/>
  <c r="Q24" i="1"/>
  <c r="P25" i="1"/>
  <c r="P26" i="1"/>
  <c r="Q25" i="1"/>
  <c r="P27" i="1"/>
  <c r="Q26" i="1"/>
  <c r="R25" i="1"/>
  <c r="S25" i="1" s="1"/>
  <c r="Q27" i="1"/>
  <c r="R27" i="1" s="1"/>
  <c r="P28" i="1"/>
  <c r="Q28" i="1"/>
  <c r="P29" i="1"/>
  <c r="Q29" i="1"/>
  <c r="P30" i="1"/>
  <c r="Q30" i="1"/>
  <c r="P31" i="1"/>
  <c r="P32" i="1"/>
  <c r="Q31" i="1"/>
  <c r="P33" i="1"/>
  <c r="Q32" i="1"/>
  <c r="P34" i="1"/>
  <c r="Q33" i="1"/>
  <c r="P35" i="1"/>
  <c r="Q34" i="1"/>
  <c r="R33" i="1"/>
  <c r="S33" i="1" s="1"/>
  <c r="Q35" i="1"/>
  <c r="R35" i="1" s="1"/>
  <c r="P36" i="1"/>
  <c r="P37" i="1"/>
  <c r="Q36" i="1"/>
  <c r="P38" i="1"/>
  <c r="Q37" i="1"/>
  <c r="P39" i="1"/>
  <c r="Q38" i="1"/>
  <c r="Q39" i="1"/>
  <c r="P40" i="1"/>
  <c r="P41" i="1"/>
  <c r="Q40" i="1"/>
  <c r="P42" i="1"/>
  <c r="Q41" i="1"/>
  <c r="R41" i="1" s="1"/>
  <c r="P43" i="1"/>
  <c r="Q42" i="1"/>
  <c r="Q43" i="1"/>
  <c r="P44" i="1"/>
  <c r="R43" i="1"/>
  <c r="S43" i="1" s="1"/>
  <c r="Q44" i="1"/>
  <c r="R44" i="1" s="1"/>
  <c r="P45" i="1"/>
  <c r="P46" i="1"/>
  <c r="Q45" i="1"/>
  <c r="Q46" i="1"/>
  <c r="P47" i="1"/>
  <c r="P48" i="1"/>
  <c r="Q47" i="1"/>
  <c r="R47" i="1" s="1"/>
  <c r="Q48" i="1"/>
  <c r="P49" i="1"/>
  <c r="P50" i="1"/>
  <c r="Q49" i="1"/>
  <c r="R49" i="1" s="1"/>
  <c r="P51" i="1"/>
  <c r="Q50" i="1"/>
  <c r="P52" i="1"/>
  <c r="Q51" i="1"/>
  <c r="P53" i="1"/>
  <c r="Q52" i="1"/>
  <c r="R52" i="1" s="1"/>
  <c r="Q53" i="1"/>
  <c r="R53" i="1" s="1"/>
  <c r="P54" i="1"/>
  <c r="P55" i="1"/>
  <c r="Q54" i="1"/>
  <c r="P56" i="1"/>
  <c r="Q55" i="1"/>
  <c r="R55" i="1" s="1"/>
  <c r="P57" i="1"/>
  <c r="Q56" i="1"/>
  <c r="P58" i="1"/>
  <c r="Q57" i="1"/>
  <c r="R57" i="1" s="1"/>
  <c r="P59" i="1"/>
  <c r="Q58" i="1"/>
  <c r="Q59" i="1"/>
  <c r="P60" i="1"/>
  <c r="R59" i="1"/>
  <c r="S59" i="1"/>
  <c r="P61" i="1"/>
  <c r="Q60" i="1"/>
  <c r="P62" i="1"/>
  <c r="Q61" i="1"/>
  <c r="Q62" i="1"/>
  <c r="R62" i="1" s="1"/>
  <c r="P63" i="1"/>
  <c r="R61" i="1"/>
  <c r="S61" i="1" s="1"/>
  <c r="P64" i="1"/>
  <c r="Q63" i="1"/>
  <c r="R63" i="1" s="1"/>
  <c r="Q64" i="1"/>
  <c r="P65" i="1"/>
  <c r="Q65" i="1"/>
  <c r="P66" i="1"/>
  <c r="P67" i="1"/>
  <c r="Q66" i="1"/>
  <c r="P68" i="1"/>
  <c r="Q67" i="1"/>
  <c r="R67" i="1" s="1"/>
  <c r="Q68" i="1"/>
  <c r="R68" i="1" s="1"/>
  <c r="P69" i="1"/>
  <c r="Q69" i="1"/>
  <c r="R69" i="1" s="1"/>
  <c r="P70" i="1"/>
  <c r="Q70" i="1"/>
  <c r="P71" i="1"/>
  <c r="P72" i="1"/>
  <c r="Q71" i="1"/>
  <c r="R71" i="1" s="1"/>
  <c r="Q72" i="1"/>
  <c r="P73" i="1"/>
  <c r="P74" i="1"/>
  <c r="Q73" i="1"/>
  <c r="R73" i="1" s="1"/>
  <c r="P75" i="1"/>
  <c r="Q74" i="1"/>
  <c r="Q75" i="1"/>
  <c r="P76" i="1"/>
  <c r="R75" i="1"/>
  <c r="S75" i="1" s="1"/>
  <c r="Q76" i="1"/>
  <c r="P77" i="1"/>
  <c r="Q77" i="1"/>
  <c r="P78" i="1"/>
  <c r="Q78" i="1"/>
  <c r="P79" i="1"/>
  <c r="P80" i="1"/>
  <c r="Q79" i="1"/>
  <c r="R79" i="1" s="1"/>
  <c r="P81" i="1"/>
  <c r="Q80" i="1"/>
  <c r="Q81" i="1"/>
  <c r="R81" i="1" s="1"/>
  <c r="P82" i="1"/>
  <c r="P83" i="1"/>
  <c r="Q82" i="1"/>
  <c r="Q83" i="1"/>
  <c r="R83" i="1" s="1"/>
  <c r="P84" i="1"/>
  <c r="Q84" i="1"/>
  <c r="R84" i="1" s="1"/>
  <c r="P85" i="1"/>
  <c r="P86" i="1"/>
  <c r="Q85" i="1"/>
  <c r="P87" i="1"/>
  <c r="Q86" i="1"/>
  <c r="Q87" i="1"/>
  <c r="R87" i="1" s="1"/>
  <c r="P88" i="1"/>
  <c r="P89" i="1"/>
  <c r="Q88" i="1"/>
  <c r="P90" i="1"/>
  <c r="Q89" i="1"/>
  <c r="R89" i="1" s="1"/>
  <c r="P91" i="1"/>
  <c r="Q90" i="1"/>
  <c r="R90" i="1" s="1"/>
  <c r="Q91" i="1"/>
  <c r="R91" i="1" s="1"/>
  <c r="P92" i="1"/>
  <c r="P93" i="1"/>
  <c r="Q92" i="1"/>
  <c r="Q93" i="1"/>
  <c r="P94" i="1"/>
  <c r="R92" i="1"/>
  <c r="S92" i="1"/>
  <c r="Q94" i="1"/>
  <c r="P95" i="1"/>
  <c r="P96" i="1"/>
  <c r="Q95" i="1"/>
  <c r="R95" i="1" s="1"/>
  <c r="Q96" i="1"/>
  <c r="P97" i="1"/>
  <c r="P98" i="1"/>
  <c r="Q97" i="1"/>
  <c r="P99" i="1"/>
  <c r="Q98" i="1"/>
  <c r="P100" i="1"/>
  <c r="Q99" i="1"/>
  <c r="Q100" i="1"/>
  <c r="P101" i="1"/>
  <c r="R100" i="1"/>
  <c r="S100" i="1" s="1"/>
  <c r="P102" i="1"/>
  <c r="Q101" i="1"/>
  <c r="P103" i="1"/>
  <c r="Q102" i="1"/>
  <c r="R101" i="1"/>
  <c r="S101" i="1" s="1"/>
  <c r="P104" i="1"/>
  <c r="Q103" i="1"/>
  <c r="R103" i="1" s="1"/>
  <c r="P105" i="1"/>
  <c r="Q104" i="1"/>
  <c r="Q105" i="1"/>
  <c r="R105" i="1" s="1"/>
  <c r="P106" i="1"/>
  <c r="Q106" i="1"/>
  <c r="P107" i="1"/>
  <c r="Q107" i="1"/>
  <c r="P108" i="1"/>
  <c r="Q108" i="1"/>
  <c r="P109" i="1"/>
  <c r="P110" i="1"/>
  <c r="Q109" i="1"/>
  <c r="R109" i="1" s="1"/>
  <c r="P111" i="1"/>
  <c r="Q110" i="1"/>
  <c r="Q111" i="1"/>
  <c r="P112" i="1"/>
  <c r="R111" i="1"/>
  <c r="S111" i="1" s="1"/>
  <c r="Q112" i="1"/>
  <c r="P113" i="1"/>
  <c r="P114" i="1"/>
  <c r="Q113" i="1"/>
  <c r="R113" i="1" s="1"/>
  <c r="P115" i="1"/>
  <c r="Q114" i="1"/>
  <c r="Q115" i="1"/>
  <c r="P116" i="1"/>
  <c r="Q116" i="1"/>
  <c r="R116" i="1" s="1"/>
  <c r="P117" i="1"/>
  <c r="Q117" i="1"/>
  <c r="P118" i="1"/>
  <c r="P119" i="1"/>
  <c r="Q118" i="1"/>
  <c r="P120" i="1"/>
  <c r="Q119" i="1"/>
  <c r="P121" i="1"/>
  <c r="Q120" i="1"/>
  <c r="R119" i="1"/>
  <c r="S119" i="1"/>
  <c r="Q121" i="1"/>
  <c r="R121" i="1" s="1"/>
  <c r="P122" i="1"/>
  <c r="P123" i="1"/>
  <c r="Q122" i="1"/>
  <c r="P124" i="1"/>
  <c r="Q123" i="1"/>
  <c r="R123" i="1" s="1"/>
  <c r="P125" i="1"/>
  <c r="Q124" i="1"/>
  <c r="P126" i="1"/>
  <c r="Q125" i="1"/>
  <c r="R125" i="1" s="1"/>
  <c r="R124" i="1"/>
  <c r="S124" i="1"/>
  <c r="P127" i="1"/>
  <c r="Q126" i="1"/>
  <c r="P128" i="1"/>
  <c r="Q127" i="1"/>
  <c r="R127" i="1" s="1"/>
  <c r="Q128" i="1"/>
  <c r="P129" i="1"/>
  <c r="P130" i="1"/>
  <c r="Q129" i="1"/>
  <c r="Q130" i="1"/>
  <c r="P131" i="1"/>
  <c r="Q131" i="1"/>
  <c r="P132" i="1"/>
  <c r="P133" i="1"/>
  <c r="Q132" i="1"/>
  <c r="R132" i="1" s="1"/>
  <c r="Q133" i="1"/>
  <c r="R133" i="1" s="1"/>
  <c r="P134" i="1"/>
  <c r="P135" i="1"/>
  <c r="Q134" i="1"/>
  <c r="R134" i="1" s="1"/>
  <c r="P136" i="1"/>
  <c r="Q135" i="1"/>
  <c r="R135" i="1" s="1"/>
  <c r="Q136" i="1"/>
  <c r="P137" i="1"/>
  <c r="Q137" i="1"/>
  <c r="P138" i="1"/>
  <c r="R137" i="1"/>
  <c r="S137" i="1" s="1"/>
  <c r="Q138" i="1"/>
  <c r="P139" i="1"/>
  <c r="Q139" i="1"/>
  <c r="P140" i="1"/>
  <c r="R139" i="1"/>
  <c r="S139" i="1"/>
  <c r="P141" i="1"/>
  <c r="Q140" i="1"/>
  <c r="R140" i="1" s="1"/>
  <c r="Q141" i="1"/>
  <c r="P142" i="1"/>
  <c r="Q142" i="1"/>
  <c r="P143" i="1"/>
  <c r="Q143" i="1"/>
  <c r="R143" i="1" s="1"/>
  <c r="P144" i="1"/>
  <c r="Q144" i="1"/>
  <c r="P145" i="1"/>
  <c r="P146" i="1"/>
  <c r="Q145" i="1"/>
  <c r="P147" i="1"/>
  <c r="Q146" i="1"/>
  <c r="R146" i="1" s="1"/>
  <c r="Q147" i="1"/>
  <c r="P148" i="1"/>
  <c r="Q148" i="1"/>
  <c r="R148" i="1" s="1"/>
  <c r="P149" i="1"/>
  <c r="P150" i="1"/>
  <c r="Q149" i="1"/>
  <c r="P151" i="1"/>
  <c r="Q150" i="1"/>
  <c r="Q151" i="1"/>
  <c r="P152" i="1"/>
  <c r="R151" i="1"/>
  <c r="S151" i="1"/>
  <c r="P153" i="1"/>
  <c r="Q152" i="1"/>
  <c r="P154" i="1"/>
  <c r="Q153" i="1"/>
  <c r="P155" i="1"/>
  <c r="Q154" i="1"/>
  <c r="Q155" i="1"/>
  <c r="R155" i="1" s="1"/>
  <c r="P156" i="1"/>
  <c r="P157" i="1"/>
  <c r="Q156" i="1"/>
  <c r="P158" i="1"/>
  <c r="Q157" i="1"/>
  <c r="R157" i="1" s="1"/>
  <c r="P159" i="1"/>
  <c r="Q158" i="1"/>
  <c r="P160" i="1"/>
  <c r="Q159" i="1"/>
  <c r="R159" i="1" s="1"/>
  <c r="P161" i="1"/>
  <c r="Q160" i="1"/>
  <c r="P162" i="1"/>
  <c r="Q161" i="1"/>
  <c r="R161" i="1" s="1"/>
  <c r="P163" i="1"/>
  <c r="Q162" i="1"/>
  <c r="Q163" i="1"/>
  <c r="P164" i="1"/>
  <c r="R163" i="1"/>
  <c r="S163" i="1" s="1"/>
  <c r="P165" i="1"/>
  <c r="Q164" i="1"/>
  <c r="R164" i="1" s="1"/>
  <c r="P166" i="1"/>
  <c r="Q165" i="1"/>
  <c r="Q166" i="1"/>
  <c r="P167" i="1"/>
  <c r="R165" i="1"/>
  <c r="S165" i="1" s="1"/>
  <c r="Q167" i="1"/>
  <c r="R167" i="1" s="1"/>
  <c r="P168" i="1"/>
  <c r="Q168" i="1"/>
  <c r="P169" i="1"/>
  <c r="P170" i="1"/>
  <c r="Q169" i="1"/>
  <c r="R169" i="1" s="1"/>
  <c r="P171" i="1"/>
  <c r="Q170" i="1"/>
  <c r="Q171" i="1"/>
  <c r="P172" i="1"/>
  <c r="R171" i="1"/>
  <c r="S171" i="1" s="1"/>
  <c r="Q172" i="1"/>
  <c r="R172" i="1" s="1"/>
  <c r="P173" i="1"/>
  <c r="Q173" i="1"/>
  <c r="P174" i="1"/>
  <c r="Q174" i="1"/>
  <c r="P175" i="1"/>
  <c r="P176" i="1"/>
  <c r="Q175" i="1"/>
  <c r="R175" i="1" s="1"/>
  <c r="Q176" i="1"/>
  <c r="P177" i="1"/>
  <c r="Q177" i="1"/>
  <c r="P178" i="1"/>
  <c r="Q178" i="1"/>
  <c r="P179" i="1"/>
  <c r="P180" i="1"/>
  <c r="Q179" i="1"/>
  <c r="P181" i="1"/>
  <c r="Q180" i="1"/>
  <c r="R179" i="1"/>
  <c r="S179" i="1" s="1"/>
  <c r="Q181" i="1"/>
  <c r="R181" i="1" s="1"/>
  <c r="P182" i="1"/>
  <c r="Q182" i="1"/>
  <c r="P183" i="1"/>
  <c r="P184" i="1"/>
  <c r="Q183" i="1"/>
  <c r="R183" i="1" s="1"/>
  <c r="P185" i="1"/>
  <c r="Q184" i="1"/>
  <c r="Q185" i="1"/>
  <c r="P186" i="1"/>
  <c r="P187" i="1"/>
  <c r="Q186" i="1"/>
  <c r="Q187" i="1"/>
  <c r="R187" i="1" s="1"/>
  <c r="P188" i="1"/>
  <c r="P189" i="1"/>
  <c r="Q188" i="1"/>
  <c r="P190" i="1"/>
  <c r="Q189" i="1"/>
  <c r="P191" i="1"/>
  <c r="Q190" i="1"/>
  <c r="Q191" i="1"/>
  <c r="P192" i="1"/>
  <c r="R191" i="1"/>
  <c r="S191" i="1" s="1"/>
  <c r="P193" i="1"/>
  <c r="Q192" i="1"/>
  <c r="P194" i="1"/>
  <c r="Q193" i="1"/>
  <c r="Q194" i="1"/>
  <c r="P195" i="1"/>
  <c r="R194" i="1"/>
  <c r="S194" i="1" s="1"/>
  <c r="Q195" i="1"/>
  <c r="P196" i="1"/>
  <c r="P197" i="1"/>
  <c r="Q196" i="1"/>
  <c r="P198" i="1"/>
  <c r="Q197" i="1"/>
  <c r="Q198" i="1"/>
  <c r="R198" i="1" s="1"/>
  <c r="P199" i="1"/>
  <c r="Q199" i="1"/>
  <c r="R199" i="1" s="1"/>
  <c r="P200" i="1"/>
  <c r="Q200" i="1"/>
  <c r="P201" i="1"/>
  <c r="P202" i="1"/>
  <c r="Q201" i="1"/>
  <c r="R201" i="1" s="1"/>
  <c r="P203" i="1"/>
  <c r="Q202" i="1"/>
  <c r="Q203" i="1"/>
  <c r="R203" i="1" s="1"/>
  <c r="P204" i="1"/>
  <c r="Q204" i="1"/>
  <c r="R204" i="1" s="1"/>
  <c r="P205" i="1"/>
  <c r="P206" i="1"/>
  <c r="Q205" i="1"/>
  <c r="P207" i="1"/>
  <c r="Q206" i="1"/>
  <c r="Q207" i="1"/>
  <c r="P208" i="1"/>
  <c r="R207" i="1"/>
  <c r="S207" i="1"/>
  <c r="P209" i="1"/>
  <c r="Q208" i="1"/>
  <c r="Q209" i="1"/>
  <c r="P210" i="1"/>
  <c r="Q210" i="1"/>
  <c r="P211" i="1"/>
  <c r="P212" i="1"/>
  <c r="Q211" i="1"/>
  <c r="R211" i="1" s="1"/>
  <c r="Q212" i="1"/>
  <c r="R212" i="1" s="1"/>
  <c r="P213" i="1"/>
  <c r="Q213" i="1"/>
  <c r="R213" i="1" s="1"/>
  <c r="P214" i="1"/>
  <c r="Q214" i="1"/>
  <c r="P215" i="1"/>
  <c r="P216" i="1"/>
  <c r="Q215" i="1"/>
  <c r="P217" i="1"/>
  <c r="Q216" i="1"/>
  <c r="Q217" i="1"/>
  <c r="P218" i="1"/>
  <c r="P219" i="1"/>
  <c r="Q218" i="1"/>
  <c r="P220" i="1"/>
  <c r="Q219" i="1"/>
  <c r="R218" i="1"/>
  <c r="S218" i="1" s="1"/>
  <c r="Q220" i="1"/>
  <c r="P221" i="1"/>
  <c r="P222" i="1"/>
  <c r="Q221" i="1"/>
  <c r="R221" i="1" s="1"/>
  <c r="Q222" i="1"/>
  <c r="P223" i="1"/>
  <c r="P224" i="1"/>
  <c r="Q223" i="1"/>
  <c r="R223" i="1" s="1"/>
  <c r="P225" i="1"/>
  <c r="Q224" i="1"/>
  <c r="P226" i="1"/>
  <c r="Q225" i="1"/>
  <c r="R225" i="1" s="1"/>
  <c r="Q226" i="1"/>
  <c r="P227" i="1"/>
  <c r="Q227" i="1"/>
  <c r="R227" i="1" s="1"/>
  <c r="P228" i="1"/>
  <c r="P229" i="1"/>
  <c r="Q228" i="1"/>
  <c r="P230" i="1"/>
  <c r="Q229" i="1"/>
  <c r="P231" i="1"/>
  <c r="Q230" i="1"/>
  <c r="R229" i="1"/>
  <c r="S229" i="1"/>
  <c r="Q231" i="1"/>
  <c r="P232" i="1"/>
  <c r="P233" i="1"/>
  <c r="Q232" i="1"/>
  <c r="R232" i="1" s="1"/>
  <c r="Q233" i="1"/>
  <c r="P234" i="1"/>
  <c r="R233" i="1"/>
  <c r="S233" i="1" s="1"/>
  <c r="P235" i="1"/>
  <c r="Q234" i="1"/>
  <c r="P236" i="1"/>
  <c r="Q235" i="1"/>
  <c r="P237" i="1"/>
  <c r="Q236" i="1"/>
  <c r="R235" i="1"/>
  <c r="S235" i="1" s="1"/>
  <c r="Q237" i="1"/>
  <c r="R237" i="1" s="1"/>
  <c r="P238" i="1"/>
  <c r="P239" i="1"/>
  <c r="Q238" i="1"/>
  <c r="Q239" i="1"/>
  <c r="R239" i="1" s="1"/>
  <c r="P240" i="1"/>
  <c r="Q240" i="1"/>
  <c r="P241" i="1"/>
  <c r="Q241" i="1"/>
  <c r="P242" i="1"/>
  <c r="R241" i="1"/>
  <c r="S241" i="1" s="1"/>
  <c r="P243" i="1"/>
  <c r="Q242" i="1"/>
  <c r="Q243" i="1"/>
  <c r="P244" i="1"/>
  <c r="R242" i="1"/>
  <c r="S242" i="1"/>
  <c r="Q244" i="1"/>
  <c r="P245" i="1"/>
  <c r="Q245" i="1"/>
  <c r="P246" i="1"/>
  <c r="Q246" i="1"/>
  <c r="P247" i="1"/>
  <c r="Q247" i="1"/>
  <c r="P248" i="1"/>
  <c r="R247" i="1"/>
  <c r="S247" i="1" s="1"/>
  <c r="P249" i="1"/>
  <c r="Q248" i="1"/>
  <c r="Q249" i="1"/>
  <c r="P250" i="1"/>
  <c r="P251" i="1"/>
  <c r="Q250" i="1"/>
  <c r="R250" i="1" s="1"/>
  <c r="Q251" i="1"/>
  <c r="R251" i="1" s="1"/>
  <c r="P252" i="1"/>
  <c r="P253" i="1"/>
  <c r="Q252" i="1"/>
  <c r="Q253" i="1"/>
  <c r="R253" i="1" s="1"/>
  <c r="P254" i="1"/>
  <c r="R252" i="1"/>
  <c r="S252" i="1" s="1"/>
  <c r="Q254" i="1"/>
  <c r="P255" i="1"/>
  <c r="Q255" i="1"/>
  <c r="P256" i="1"/>
  <c r="P257" i="1"/>
  <c r="Q256" i="1"/>
  <c r="Q257" i="1"/>
  <c r="R257" i="1" s="1"/>
  <c r="P258" i="1"/>
  <c r="R256" i="1"/>
  <c r="S256" i="1" s="1"/>
  <c r="P259" i="1"/>
  <c r="Q258" i="1"/>
  <c r="P260" i="1"/>
  <c r="Q259" i="1"/>
  <c r="R258" i="1"/>
  <c r="S258" i="1" s="1"/>
  <c r="P261" i="1"/>
  <c r="Q260" i="1"/>
  <c r="R260" i="1" s="1"/>
  <c r="Q261" i="1"/>
  <c r="R261" i="1" s="1"/>
  <c r="P262" i="1"/>
  <c r="Q262" i="1"/>
  <c r="R262" i="1" s="1"/>
  <c r="P263" i="1"/>
  <c r="Q263" i="1"/>
  <c r="P264" i="1"/>
  <c r="R263" i="1"/>
  <c r="S263" i="1" s="1"/>
  <c r="Q264" i="1"/>
  <c r="P265" i="1"/>
  <c r="R264" i="1"/>
  <c r="S264" i="1" s="1"/>
  <c r="P266" i="1"/>
  <c r="Q265" i="1"/>
  <c r="R265" i="1" s="1"/>
  <c r="P267" i="1"/>
  <c r="Q266" i="1"/>
  <c r="R266" i="1" s="1"/>
  <c r="Q267" i="1"/>
  <c r="R267" i="1" s="1"/>
  <c r="P268" i="1"/>
  <c r="P269" i="1"/>
  <c r="Q268" i="1"/>
  <c r="R268" i="1" s="1"/>
  <c r="Q269" i="1"/>
  <c r="P270" i="1"/>
  <c r="R269" i="1"/>
  <c r="S269" i="1"/>
  <c r="Q270" i="1"/>
  <c r="P271" i="1"/>
  <c r="P272" i="1"/>
  <c r="Q271" i="1"/>
  <c r="P273" i="1"/>
  <c r="Q272" i="1"/>
  <c r="P274" i="1"/>
  <c r="Q273" i="1"/>
  <c r="R273" i="1" s="1"/>
  <c r="P275" i="1"/>
  <c r="Q274" i="1"/>
  <c r="P276" i="1"/>
  <c r="Q275" i="1"/>
  <c r="R274" i="1"/>
  <c r="S274" i="1" s="1"/>
  <c r="P277" i="1"/>
  <c r="Q276" i="1"/>
  <c r="R276" i="1" s="1"/>
  <c r="P278" i="1"/>
  <c r="Q277" i="1"/>
  <c r="R277" i="1" s="1"/>
  <c r="P279" i="1"/>
  <c r="Q278" i="1"/>
  <c r="R278" i="1" s="1"/>
  <c r="P280" i="1"/>
  <c r="Q279" i="1"/>
  <c r="R279" i="1" s="1"/>
  <c r="Q280" i="1"/>
  <c r="P281" i="1"/>
  <c r="P282" i="1"/>
  <c r="Q281" i="1"/>
  <c r="R281" i="1" s="1"/>
  <c r="P283" i="1"/>
  <c r="Q282" i="1"/>
  <c r="R282" i="1" s="1"/>
  <c r="P284" i="1"/>
  <c r="Q283" i="1"/>
  <c r="Q284" i="1"/>
  <c r="P285" i="1"/>
  <c r="R283" i="1"/>
  <c r="S283" i="1"/>
  <c r="R284" i="1"/>
  <c r="S284" i="1" s="1"/>
  <c r="P286" i="1"/>
  <c r="Q285" i="1"/>
  <c r="P287" i="1"/>
  <c r="Q286" i="1"/>
  <c r="R286" i="1" s="1"/>
  <c r="Q287" i="1"/>
  <c r="R287" i="1" s="1"/>
  <c r="P288" i="1"/>
  <c r="Q288" i="1"/>
  <c r="P289" i="1"/>
  <c r="P290" i="1"/>
  <c r="Q289" i="1"/>
  <c r="P291" i="1"/>
  <c r="Q290" i="1"/>
  <c r="R290" i="1" s="1"/>
  <c r="R289" i="1"/>
  <c r="S289" i="1" s="1"/>
  <c r="P292" i="1"/>
  <c r="Q291" i="1"/>
  <c r="Q292" i="1"/>
  <c r="R292" i="1" s="1"/>
  <c r="P293" i="1"/>
  <c r="Q293" i="1"/>
  <c r="R293" i="1" s="1"/>
  <c r="P294" i="1"/>
  <c r="Q294" i="1"/>
  <c r="R294" i="1" s="1"/>
  <c r="P295" i="1"/>
  <c r="P296" i="1"/>
  <c r="Q295" i="1"/>
  <c r="Q296" i="1"/>
  <c r="P297" i="1"/>
  <c r="R296" i="1"/>
  <c r="S296" i="1" s="1"/>
  <c r="P298" i="1"/>
  <c r="Q297" i="1"/>
  <c r="R297" i="1" s="1"/>
  <c r="Q298" i="1"/>
  <c r="P299" i="1"/>
  <c r="R298" i="1"/>
  <c r="S298" i="1" s="1"/>
  <c r="P300" i="1"/>
  <c r="Q299" i="1"/>
  <c r="Q300" i="1"/>
  <c r="P301" i="1"/>
  <c r="Q301" i="1"/>
  <c r="R301" i="1" s="1"/>
  <c r="P302" i="1"/>
  <c r="P303" i="1"/>
  <c r="Q302" i="1"/>
  <c r="Q303" i="1"/>
  <c r="P304" i="1"/>
  <c r="Q304" i="1"/>
  <c r="P305" i="1"/>
  <c r="Q305" i="1"/>
  <c r="P306" i="1"/>
  <c r="Q306" i="1"/>
  <c r="P307" i="1"/>
  <c r="P308" i="1"/>
  <c r="Q307" i="1"/>
  <c r="P309" i="1"/>
  <c r="Q308" i="1"/>
  <c r="P310" i="1"/>
  <c r="Q309" i="1"/>
  <c r="R309" i="1" s="1"/>
  <c r="Q310" i="1"/>
  <c r="P311" i="1"/>
  <c r="Q311" i="1"/>
  <c r="R311" i="1" s="1"/>
  <c r="P312" i="1"/>
  <c r="Q312" i="1"/>
  <c r="P313" i="1"/>
  <c r="Q313" i="1"/>
  <c r="P314" i="1"/>
  <c r="Q314" i="1"/>
  <c r="P315" i="1"/>
  <c r="Q315" i="1"/>
  <c r="R315" i="1" s="1"/>
  <c r="P316" i="1"/>
  <c r="Q316" i="1"/>
  <c r="P317" i="1"/>
  <c r="P318" i="1"/>
  <c r="Q317" i="1"/>
  <c r="P319" i="1"/>
  <c r="Q318" i="1"/>
  <c r="P320" i="1"/>
  <c r="Q319" i="1"/>
  <c r="R319" i="1" s="1"/>
  <c r="Q320" i="1"/>
  <c r="P321" i="1"/>
  <c r="R320" i="1"/>
  <c r="S320" i="1"/>
  <c r="Q321" i="1"/>
  <c r="P322" i="1"/>
  <c r="R321" i="1"/>
  <c r="S321" i="1" s="1"/>
  <c r="Q322" i="1"/>
  <c r="P323" i="1"/>
  <c r="P324" i="1"/>
  <c r="Q323" i="1"/>
  <c r="Q324" i="1"/>
  <c r="P325" i="1"/>
  <c r="R323" i="1"/>
  <c r="S323" i="1" s="1"/>
  <c r="P326" i="1"/>
  <c r="Q325" i="1"/>
  <c r="P327" i="1"/>
  <c r="Q326" i="1"/>
  <c r="R326" i="1" s="1"/>
  <c r="R325" i="1"/>
  <c r="S325" i="1" s="1"/>
  <c r="P328" i="1"/>
  <c r="Q327" i="1"/>
  <c r="P329" i="1"/>
  <c r="Q328" i="1"/>
  <c r="R327" i="1"/>
  <c r="S327" i="1" s="1"/>
  <c r="P330" i="1"/>
  <c r="Q329" i="1"/>
  <c r="P331" i="1"/>
  <c r="Q330" i="1"/>
  <c r="R330" i="1" s="1"/>
  <c r="R329" i="1"/>
  <c r="S329" i="1" s="1"/>
  <c r="P332" i="1"/>
  <c r="Q331" i="1"/>
  <c r="P333" i="1"/>
  <c r="Q332" i="1"/>
  <c r="R332" i="1" s="1"/>
  <c r="P334" i="1"/>
  <c r="Q333" i="1"/>
  <c r="R333" i="1" s="1"/>
  <c r="Q334" i="1"/>
  <c r="P335" i="1"/>
  <c r="P336" i="1"/>
  <c r="Q335" i="1"/>
  <c r="Q336" i="1"/>
  <c r="P337" i="1"/>
  <c r="Q337" i="1"/>
  <c r="P338" i="1"/>
  <c r="R337" i="1"/>
  <c r="S337" i="1" s="1"/>
  <c r="Q338" i="1"/>
  <c r="R338" i="1" s="1"/>
  <c r="P339" i="1"/>
  <c r="Q339" i="1"/>
  <c r="P340" i="1"/>
  <c r="R339" i="1"/>
  <c r="S339" i="1"/>
  <c r="Q340" i="1"/>
  <c r="P341" i="1"/>
  <c r="Q341" i="1"/>
  <c r="R341" i="1" s="1"/>
  <c r="P342" i="1"/>
  <c r="P343" i="1"/>
  <c r="Q342" i="1"/>
  <c r="Q343" i="1"/>
  <c r="P344" i="1"/>
  <c r="R343" i="1"/>
  <c r="S343" i="1"/>
  <c r="P345" i="1"/>
  <c r="Q344" i="1"/>
  <c r="Q345" i="1"/>
  <c r="R345" i="1" s="1"/>
  <c r="P346" i="1"/>
  <c r="Q346" i="1"/>
  <c r="P347" i="1"/>
  <c r="P348" i="1"/>
  <c r="Q347" i="1"/>
  <c r="R347" i="1" s="1"/>
  <c r="Q348" i="1"/>
  <c r="P349" i="1"/>
  <c r="P350" i="1"/>
  <c r="Q349" i="1"/>
  <c r="R349" i="1" s="1"/>
  <c r="P351" i="1"/>
  <c r="Q350" i="1"/>
  <c r="P352" i="1"/>
  <c r="Q351" i="1"/>
  <c r="P353" i="1"/>
  <c r="Q352" i="1"/>
  <c r="Q353" i="1"/>
  <c r="R353" i="1" s="1"/>
  <c r="P354" i="1"/>
  <c r="Q354" i="1"/>
  <c r="R354" i="1" s="1"/>
  <c r="P355" i="1"/>
  <c r="Q355" i="1"/>
  <c r="P356" i="1"/>
  <c r="R355" i="1"/>
  <c r="S355" i="1" s="1"/>
  <c r="P357" i="1"/>
  <c r="Q356" i="1"/>
  <c r="Q357" i="1"/>
  <c r="R357" i="1" s="1"/>
  <c r="P358" i="1"/>
  <c r="Q358" i="1"/>
  <c r="P359" i="1"/>
  <c r="P360" i="1"/>
  <c r="Q359" i="1"/>
  <c r="P361" i="1"/>
  <c r="Q360" i="1"/>
  <c r="R359" i="1"/>
  <c r="S359" i="1" s="1"/>
  <c r="Q361" i="1"/>
  <c r="R361" i="1" s="1"/>
  <c r="P362" i="1"/>
  <c r="P363" i="1"/>
  <c r="Q362" i="1"/>
  <c r="R362" i="1" s="1"/>
  <c r="P364" i="1"/>
  <c r="Q363" i="1"/>
  <c r="R363" i="1" s="1"/>
  <c r="P365" i="1"/>
  <c r="Q364" i="1"/>
  <c r="R364" i="1" s="1"/>
  <c r="P366" i="1"/>
  <c r="Q365" i="1"/>
  <c r="R365" i="1" s="1"/>
  <c r="Q366" i="1"/>
  <c r="R366" i="1" s="1"/>
  <c r="P367" i="1"/>
  <c r="Q367" i="1"/>
  <c r="R367" i="1" s="1"/>
  <c r="P368" i="1"/>
  <c r="P369" i="1"/>
  <c r="Q368" i="1"/>
  <c r="R368" i="1" s="1"/>
  <c r="Q369" i="1"/>
  <c r="R369" i="1" s="1"/>
  <c r="P370" i="1"/>
  <c r="Q370" i="1"/>
  <c r="R370" i="1" s="1"/>
  <c r="P371" i="1"/>
  <c r="Q371" i="1"/>
  <c r="R371" i="1" s="1"/>
  <c r="P372" i="1"/>
  <c r="P373" i="1"/>
  <c r="Q372" i="1"/>
  <c r="Q373" i="1"/>
  <c r="P374" i="1"/>
  <c r="R373" i="1"/>
  <c r="S373" i="1" s="1"/>
  <c r="P375" i="1"/>
  <c r="Q374" i="1"/>
  <c r="Q375" i="1"/>
  <c r="R375" i="1" s="1"/>
  <c r="P376" i="1"/>
  <c r="Q376" i="1"/>
  <c r="P377" i="1"/>
  <c r="P378" i="1"/>
  <c r="Q377" i="1"/>
  <c r="R377" i="1" s="1"/>
  <c r="P379" i="1"/>
  <c r="Q378" i="1"/>
  <c r="P380" i="1"/>
  <c r="Q379" i="1"/>
  <c r="P381" i="1"/>
  <c r="Q380" i="1"/>
  <c r="R380" i="1" s="1"/>
  <c r="P382" i="1"/>
  <c r="Q381" i="1"/>
  <c r="R381" i="1" s="1"/>
  <c r="Q382" i="1"/>
  <c r="R382" i="1" s="1"/>
  <c r="P383" i="1"/>
  <c r="P384" i="1"/>
  <c r="Q383" i="1"/>
  <c r="Q384" i="1"/>
  <c r="R384" i="1" s="1"/>
  <c r="P385" i="1"/>
  <c r="P386" i="1"/>
  <c r="Q385" i="1"/>
  <c r="Q386" i="1"/>
  <c r="P387" i="1"/>
  <c r="Q387" i="1"/>
  <c r="R387" i="1" s="1"/>
  <c r="P388" i="1"/>
  <c r="P389" i="1"/>
  <c r="Q388" i="1"/>
  <c r="R388" i="1" s="1"/>
  <c r="P390" i="1"/>
  <c r="Q389" i="1"/>
  <c r="R389" i="1" s="1"/>
  <c r="P391" i="1"/>
  <c r="Q390" i="1"/>
  <c r="P392" i="1"/>
  <c r="Q391" i="1"/>
  <c r="R391" i="1" s="1"/>
  <c r="Q392" i="1"/>
  <c r="P393" i="1"/>
  <c r="P394" i="1"/>
  <c r="Q393" i="1"/>
  <c r="Q394" i="1"/>
  <c r="P395" i="1"/>
  <c r="R393" i="1"/>
  <c r="S393" i="1" s="1"/>
  <c r="P396" i="1"/>
  <c r="Q395" i="1"/>
  <c r="R395" i="1" s="1"/>
  <c r="Q396" i="1"/>
  <c r="P397" i="1"/>
  <c r="Q397" i="1"/>
  <c r="P398" i="1"/>
  <c r="Q398" i="1"/>
  <c r="P399" i="1"/>
  <c r="Q399" i="1"/>
  <c r="P400" i="1"/>
  <c r="P401" i="1"/>
  <c r="Q400" i="1"/>
  <c r="P402" i="1"/>
  <c r="Q401" i="1"/>
  <c r="Q402" i="1"/>
  <c r="R402" i="1" s="1"/>
  <c r="P403" i="1"/>
  <c r="Q403" i="1"/>
  <c r="P404" i="1"/>
  <c r="Q404" i="1"/>
  <c r="P405" i="1"/>
  <c r="Q405" i="1"/>
  <c r="P406" i="1"/>
  <c r="R405" i="1"/>
  <c r="S405" i="1" s="1"/>
  <c r="Q406" i="1"/>
  <c r="P407" i="1"/>
  <c r="Q407" i="1"/>
  <c r="R407" i="1" s="1"/>
  <c r="P408" i="1"/>
  <c r="P409" i="1"/>
  <c r="Q408" i="1"/>
  <c r="P410" i="1"/>
  <c r="Q409" i="1"/>
  <c r="R409" i="1" s="1"/>
  <c r="Q410" i="1"/>
  <c r="P411" i="1"/>
  <c r="Q411" i="1"/>
  <c r="P412" i="1"/>
  <c r="R411" i="1"/>
  <c r="S411" i="1" s="1"/>
  <c r="P413" i="1"/>
  <c r="Q412" i="1"/>
  <c r="Q413" i="1"/>
  <c r="P414" i="1"/>
  <c r="R412" i="1"/>
  <c r="S412" i="1" s="1"/>
  <c r="P415" i="1"/>
  <c r="Q414" i="1"/>
  <c r="R414" i="1" s="1"/>
  <c r="Q415" i="1"/>
  <c r="P416" i="1"/>
  <c r="P417" i="1"/>
  <c r="Q416" i="1"/>
  <c r="P418" i="1"/>
  <c r="Q417" i="1"/>
  <c r="R417" i="1" s="1"/>
  <c r="Q418" i="1"/>
  <c r="R418" i="1" s="1"/>
  <c r="P419" i="1"/>
  <c r="P420" i="1"/>
  <c r="Q419" i="1"/>
  <c r="P421" i="1"/>
  <c r="Q420" i="1"/>
  <c r="R420" i="1" s="1"/>
  <c r="R419" i="1"/>
  <c r="S419" i="1" s="1"/>
  <c r="Q421" i="1"/>
  <c r="R421" i="1" s="1"/>
  <c r="P422" i="1"/>
  <c r="Q422" i="1"/>
  <c r="P423" i="1"/>
  <c r="P424" i="1"/>
  <c r="Q423" i="1"/>
  <c r="R423" i="1" s="1"/>
  <c r="Q424" i="1"/>
  <c r="P425" i="1"/>
  <c r="Q425" i="1"/>
  <c r="P426" i="1"/>
  <c r="P427" i="1"/>
  <c r="Q426" i="1"/>
  <c r="P428" i="1"/>
  <c r="Q427" i="1"/>
  <c r="R427" i="1" s="1"/>
  <c r="Q428" i="1"/>
  <c r="P429" i="1"/>
  <c r="Q429" i="1"/>
  <c r="P430" i="1"/>
  <c r="R429" i="1"/>
  <c r="S429" i="1" s="1"/>
  <c r="Q430" i="1"/>
  <c r="P431" i="1"/>
  <c r="R430" i="1"/>
  <c r="S430" i="1"/>
  <c r="P432" i="1"/>
  <c r="Q431" i="1"/>
  <c r="R431" i="1" s="1"/>
  <c r="P433" i="1"/>
  <c r="Q432" i="1"/>
  <c r="R432" i="1" s="1"/>
  <c r="Q433" i="1"/>
  <c r="R433" i="1" s="1"/>
  <c r="P434" i="1"/>
  <c r="Q434" i="1"/>
  <c r="R434" i="1" s="1"/>
  <c r="P435" i="1"/>
  <c r="Q435" i="1"/>
  <c r="P436" i="1"/>
  <c r="Q436" i="1"/>
  <c r="P437" i="1"/>
  <c r="P438" i="1"/>
  <c r="Q437" i="1"/>
  <c r="R437" i="1" s="1"/>
  <c r="Q438" i="1"/>
  <c r="R438" i="1" s="1"/>
  <c r="P439" i="1"/>
  <c r="Q439" i="1"/>
  <c r="R439" i="1" s="1"/>
  <c r="P440" i="1"/>
  <c r="Q440" i="1"/>
  <c r="P441" i="1"/>
  <c r="P442" i="1"/>
  <c r="Q441" i="1"/>
  <c r="R441" i="1" s="1"/>
  <c r="Q442" i="1"/>
  <c r="P443" i="1"/>
  <c r="P444" i="1"/>
  <c r="Q443" i="1"/>
  <c r="R443" i="1" s="1"/>
  <c r="Q444" i="1"/>
  <c r="P445" i="1"/>
  <c r="P446" i="1"/>
  <c r="Q445" i="1"/>
  <c r="Q446" i="1"/>
  <c r="P447" i="1"/>
  <c r="P448" i="1"/>
  <c r="Q447" i="1"/>
  <c r="Q448" i="1"/>
  <c r="P449" i="1"/>
  <c r="P450" i="1"/>
  <c r="Q449" i="1"/>
  <c r="Q450" i="1"/>
  <c r="P451" i="1"/>
  <c r="Q451" i="1"/>
  <c r="R451" i="1" s="1"/>
  <c r="P452" i="1"/>
  <c r="Q452" i="1"/>
  <c r="R452" i="1" s="1"/>
  <c r="P453" i="1"/>
  <c r="P454" i="1"/>
  <c r="Q453" i="1"/>
  <c r="R453" i="1" s="1"/>
  <c r="P455" i="1"/>
  <c r="Q454" i="1"/>
  <c r="P456" i="1"/>
  <c r="Q455" i="1"/>
  <c r="R455" i="1" s="1"/>
  <c r="Q456" i="1"/>
  <c r="P457" i="1"/>
  <c r="R456" i="1"/>
  <c r="S456" i="1" s="1"/>
  <c r="P458" i="1"/>
  <c r="Q457" i="1"/>
  <c r="R457" i="1" s="1"/>
  <c r="Q458" i="1"/>
  <c r="P459" i="1"/>
  <c r="Q459" i="1"/>
  <c r="P460" i="1"/>
  <c r="P461" i="1"/>
  <c r="Q460" i="1"/>
  <c r="Q461" i="1"/>
  <c r="P462" i="1"/>
  <c r="P463" i="1"/>
  <c r="Q462" i="1"/>
  <c r="P464" i="1"/>
  <c r="Q463" i="1"/>
  <c r="R463" i="1" s="1"/>
  <c r="Q464" i="1"/>
  <c r="P465" i="1"/>
  <c r="Q465" i="1"/>
  <c r="P466" i="1"/>
  <c r="Q466" i="1"/>
  <c r="P467" i="1"/>
  <c r="Q467" i="1"/>
  <c r="R467" i="1" s="1"/>
  <c r="P468" i="1"/>
  <c r="Q468" i="1"/>
  <c r="R468" i="1" s="1"/>
  <c r="P469" i="1"/>
  <c r="Q469" i="1"/>
  <c r="R469" i="1" s="1"/>
  <c r="P470" i="1"/>
  <c r="Q470" i="1"/>
  <c r="R470" i="1" s="1"/>
  <c r="P471" i="1"/>
  <c r="Q471" i="1"/>
  <c r="R471" i="1" s="1"/>
  <c r="P472" i="1"/>
  <c r="P473" i="1"/>
  <c r="Q472" i="1"/>
  <c r="P474" i="1"/>
  <c r="Q473" i="1"/>
  <c r="R473" i="1" s="1"/>
  <c r="P475" i="1"/>
  <c r="Q474" i="1"/>
  <c r="Q475" i="1"/>
  <c r="P476" i="1"/>
  <c r="Q476" i="1"/>
  <c r="R476" i="1" s="1"/>
  <c r="P477" i="1"/>
  <c r="P478" i="1"/>
  <c r="Q477" i="1"/>
  <c r="P479" i="1"/>
  <c r="Q478" i="1"/>
  <c r="R478" i="1" s="1"/>
  <c r="P480" i="1"/>
  <c r="Q479" i="1"/>
  <c r="R479" i="1" s="1"/>
  <c r="P481" i="1"/>
  <c r="Q480" i="1"/>
  <c r="R480" i="1" s="1"/>
  <c r="Q481" i="1"/>
  <c r="R481" i="1" s="1"/>
  <c r="P482" i="1"/>
  <c r="Q482" i="1"/>
  <c r="R482" i="1" s="1"/>
  <c r="P483" i="1"/>
  <c r="P484" i="1"/>
  <c r="Q483" i="1"/>
  <c r="P485" i="1"/>
  <c r="Q484" i="1"/>
  <c r="P486" i="1"/>
  <c r="Q485" i="1"/>
  <c r="P487" i="1"/>
  <c r="Q486" i="1"/>
  <c r="R485" i="1"/>
  <c r="S485" i="1" s="1"/>
  <c r="Q487" i="1"/>
  <c r="P488" i="1"/>
  <c r="R487" i="1"/>
  <c r="S487" i="1" s="1"/>
  <c r="P489" i="1"/>
  <c r="Q488" i="1"/>
  <c r="Q489" i="1"/>
  <c r="R489" i="1" s="1"/>
  <c r="P490" i="1"/>
  <c r="Q490" i="1"/>
  <c r="P491" i="1"/>
  <c r="P492" i="1"/>
  <c r="Q491" i="1"/>
  <c r="R491" i="1" s="1"/>
  <c r="Q492" i="1"/>
  <c r="P493" i="1"/>
  <c r="P494" i="1"/>
  <c r="Q493" i="1"/>
  <c r="R493" i="1" s="1"/>
  <c r="P495" i="1"/>
  <c r="Q494" i="1"/>
  <c r="P496" i="1"/>
  <c r="Q495" i="1"/>
  <c r="Q496" i="1"/>
  <c r="P497" i="1"/>
  <c r="Q497" i="1"/>
  <c r="R497" i="1" s="1"/>
  <c r="P498" i="1"/>
  <c r="Q498" i="1"/>
  <c r="P499" i="1"/>
  <c r="Q499" i="1"/>
  <c r="P500" i="1"/>
  <c r="R499" i="1"/>
  <c r="S499" i="1"/>
  <c r="P501" i="1"/>
  <c r="Q500" i="1"/>
  <c r="R500" i="1" s="1"/>
  <c r="P502" i="1"/>
  <c r="Q501" i="1"/>
  <c r="R501" i="1" s="1"/>
  <c r="Q502" i="1"/>
  <c r="P503" i="1"/>
  <c r="P504" i="1"/>
  <c r="Q503" i="1"/>
  <c r="R503" i="1" s="1"/>
  <c r="Q504" i="1"/>
  <c r="P505" i="1"/>
  <c r="P506" i="1"/>
  <c r="Q505" i="1"/>
  <c r="P507" i="1"/>
  <c r="Q506" i="1"/>
  <c r="P508" i="1"/>
  <c r="Q507" i="1"/>
  <c r="Q508" i="1"/>
  <c r="P509" i="1"/>
  <c r="R507" i="1"/>
  <c r="S507" i="1"/>
  <c r="R508" i="1"/>
  <c r="S508" i="1" s="1"/>
  <c r="P510" i="1"/>
  <c r="Q509" i="1"/>
  <c r="R509" i="1" s="1"/>
  <c r="P511" i="1"/>
  <c r="Q510" i="1"/>
  <c r="Q511" i="1"/>
  <c r="P512" i="1"/>
  <c r="Q512" i="1"/>
  <c r="R512" i="1" s="1"/>
  <c r="P513" i="1"/>
  <c r="Q513" i="1"/>
  <c r="P514" i="1"/>
  <c r="Q514" i="1"/>
  <c r="P515" i="1"/>
  <c r="Q515" i="1"/>
  <c r="P516" i="1"/>
  <c r="R515" i="1"/>
  <c r="S515" i="1"/>
  <c r="P517" i="1"/>
  <c r="Q516" i="1"/>
  <c r="R516" i="1" s="1"/>
  <c r="Q517" i="1"/>
  <c r="P518" i="1"/>
  <c r="R517" i="1"/>
  <c r="S517" i="1"/>
  <c r="P519" i="1"/>
  <c r="Q518" i="1"/>
  <c r="R518" i="1" s="1"/>
  <c r="Q519" i="1"/>
  <c r="P520" i="1"/>
  <c r="P521" i="1"/>
  <c r="Q520" i="1"/>
  <c r="Q521" i="1"/>
  <c r="P522" i="1"/>
  <c r="R521" i="1"/>
  <c r="S521" i="1" s="1"/>
  <c r="P523" i="1"/>
  <c r="Q522" i="1"/>
  <c r="P524" i="1"/>
  <c r="Q523" i="1"/>
  <c r="R523" i="1" s="1"/>
  <c r="Q524" i="1"/>
  <c r="P525" i="1"/>
  <c r="R524" i="1"/>
  <c r="S524" i="1"/>
  <c r="Q525" i="1"/>
  <c r="P526" i="1"/>
  <c r="Q526" i="1"/>
  <c r="R526" i="1" s="1"/>
  <c r="P527" i="1"/>
  <c r="P528" i="1"/>
  <c r="Q527" i="1"/>
  <c r="Q528" i="1"/>
  <c r="P529" i="1"/>
  <c r="Q529" i="1"/>
  <c r="P530" i="1"/>
  <c r="Q530" i="1"/>
  <c r="P531" i="1"/>
  <c r="P532" i="1"/>
  <c r="Q531" i="1"/>
  <c r="R531" i="1" s="1"/>
  <c r="P533" i="1"/>
  <c r="Q532" i="1"/>
  <c r="Q533" i="1"/>
  <c r="P534" i="1"/>
  <c r="Q534" i="1"/>
  <c r="P535" i="1"/>
  <c r="R534" i="1"/>
  <c r="S534" i="1"/>
  <c r="P536" i="1"/>
  <c r="Q535" i="1"/>
  <c r="P537" i="1"/>
  <c r="Q536" i="1"/>
  <c r="R536" i="1" s="1"/>
  <c r="P538" i="1"/>
  <c r="Q537" i="1"/>
  <c r="R537" i="1" s="1"/>
  <c r="Q538" i="1"/>
  <c r="P539" i="1"/>
  <c r="P540" i="1"/>
  <c r="Q539" i="1"/>
  <c r="R539" i="1" s="1"/>
  <c r="P541" i="1"/>
  <c r="Q540" i="1"/>
  <c r="P542" i="1"/>
  <c r="Q541" i="1"/>
  <c r="R541" i="1" s="1"/>
  <c r="Q542" i="1"/>
  <c r="R542" i="1" s="1"/>
  <c r="P543" i="1"/>
  <c r="P544" i="1"/>
  <c r="Q543" i="1"/>
  <c r="Q544" i="1"/>
  <c r="P545" i="1"/>
  <c r="P546" i="1"/>
  <c r="Q545" i="1"/>
  <c r="P547" i="1"/>
  <c r="Q546" i="1"/>
  <c r="P548" i="1"/>
  <c r="Q547" i="1"/>
  <c r="P549" i="1"/>
  <c r="Q548" i="1"/>
  <c r="R547" i="1"/>
  <c r="S547" i="1" s="1"/>
  <c r="P550" i="1"/>
  <c r="Q549" i="1"/>
  <c r="R549" i="1" s="1"/>
  <c r="P551" i="1"/>
  <c r="Q550" i="1"/>
  <c r="P552" i="1"/>
  <c r="Q551" i="1"/>
  <c r="R550" i="1"/>
  <c r="S550" i="1" s="1"/>
  <c r="P553" i="1"/>
  <c r="Q552" i="1"/>
  <c r="P554" i="1"/>
  <c r="Q553" i="1"/>
  <c r="R553" i="1" s="1"/>
  <c r="Q554" i="1"/>
  <c r="P555" i="1"/>
  <c r="P556" i="1"/>
  <c r="Q555" i="1"/>
  <c r="R555" i="1" s="1"/>
  <c r="P557" i="1"/>
  <c r="Q556" i="1"/>
  <c r="Q557" i="1"/>
  <c r="P558" i="1"/>
  <c r="P559" i="1"/>
  <c r="Q558" i="1"/>
  <c r="P560" i="1"/>
  <c r="Q559" i="1"/>
  <c r="P561" i="1"/>
  <c r="Q560" i="1"/>
  <c r="R559" i="1"/>
  <c r="S559" i="1"/>
  <c r="P562" i="1"/>
  <c r="Q561" i="1"/>
  <c r="Q562" i="1"/>
  <c r="P563" i="1"/>
  <c r="R561" i="1"/>
  <c r="S561" i="1" s="1"/>
  <c r="P564" i="1"/>
  <c r="Q563" i="1"/>
  <c r="R563" i="1" s="1"/>
  <c r="P565" i="1"/>
  <c r="Q564" i="1"/>
  <c r="P566" i="1"/>
  <c r="Q565" i="1"/>
  <c r="P567" i="1"/>
  <c r="Q566" i="1"/>
  <c r="P568" i="1"/>
  <c r="Q567" i="1"/>
  <c r="R567" i="1" s="1"/>
  <c r="Q568" i="1"/>
  <c r="R568" i="1" s="1"/>
  <c r="P569" i="1"/>
  <c r="P570" i="1"/>
  <c r="Q569" i="1"/>
  <c r="R569" i="1" s="1"/>
  <c r="Q570" i="1"/>
  <c r="P571" i="1"/>
  <c r="P572" i="1"/>
  <c r="Q571" i="1"/>
  <c r="R571" i="1" s="1"/>
  <c r="P573" i="1"/>
  <c r="Q572" i="1"/>
  <c r="Q573" i="1"/>
  <c r="P574" i="1"/>
  <c r="Q574" i="1"/>
  <c r="P575" i="1"/>
  <c r="Q575" i="1"/>
  <c r="R575" i="1" s="1"/>
  <c r="P576" i="1"/>
  <c r="P577" i="1"/>
  <c r="Q576" i="1"/>
  <c r="R576" i="1" s="1"/>
  <c r="Q577" i="1"/>
  <c r="R577" i="1" s="1"/>
  <c r="P578" i="1"/>
  <c r="Q578" i="1"/>
  <c r="P579" i="1"/>
  <c r="Q579" i="1"/>
  <c r="P580" i="1"/>
  <c r="R579" i="1"/>
  <c r="S579" i="1" s="1"/>
  <c r="Q580" i="1"/>
  <c r="P581" i="1"/>
  <c r="P582" i="1"/>
  <c r="Q581" i="1"/>
  <c r="R581" i="1" s="1"/>
  <c r="P583" i="1"/>
  <c r="Q582" i="1"/>
  <c r="Q583" i="1"/>
  <c r="R583" i="1" s="1"/>
  <c r="P584" i="1"/>
  <c r="P585" i="1"/>
  <c r="Q584" i="1"/>
  <c r="Q585" i="1"/>
  <c r="P586" i="1"/>
  <c r="P587" i="1"/>
  <c r="Q586" i="1"/>
  <c r="P588" i="1"/>
  <c r="Q587" i="1"/>
  <c r="R587" i="1" s="1"/>
  <c r="P589" i="1"/>
  <c r="Q588" i="1"/>
  <c r="P590" i="1"/>
  <c r="Q589" i="1"/>
  <c r="Q590" i="1"/>
  <c r="P591" i="1"/>
  <c r="R589" i="1"/>
  <c r="S589" i="1" s="1"/>
  <c r="Q591" i="1"/>
  <c r="P592" i="1"/>
  <c r="Q592" i="1"/>
  <c r="P593" i="1"/>
  <c r="R592" i="1"/>
  <c r="S592" i="1" s="1"/>
  <c r="Q593" i="1"/>
  <c r="R593" i="1" s="1"/>
  <c r="P594" i="1"/>
  <c r="Q594" i="1"/>
  <c r="P595" i="1"/>
  <c r="R594" i="1"/>
  <c r="S594" i="1" s="1"/>
  <c r="Q595" i="1"/>
  <c r="R595" i="1" s="1"/>
  <c r="P596" i="1"/>
  <c r="P597" i="1"/>
  <c r="Q596" i="1"/>
  <c r="P598" i="1"/>
  <c r="Q597" i="1"/>
  <c r="R597" i="1" s="1"/>
  <c r="R596" i="1"/>
  <c r="S596" i="1"/>
  <c r="P599" i="1"/>
  <c r="Q598" i="1"/>
  <c r="P600" i="1"/>
  <c r="Q599" i="1"/>
  <c r="R599" i="1" s="1"/>
  <c r="P601" i="1"/>
  <c r="Q600" i="1"/>
  <c r="R600" i="1" s="1"/>
  <c r="P602" i="1"/>
  <c r="Q601" i="1"/>
  <c r="R601" i="1" s="1"/>
  <c r="Q602" i="1"/>
  <c r="P603" i="1"/>
  <c r="R602" i="1"/>
  <c r="S602" i="1"/>
  <c r="Q603" i="1"/>
  <c r="R603" i="1" s="1"/>
  <c r="P604" i="1"/>
  <c r="Q604" i="1"/>
  <c r="P605" i="1"/>
  <c r="P606" i="1"/>
  <c r="Q605" i="1"/>
  <c r="P607" i="1"/>
  <c r="Q606" i="1"/>
  <c r="Q607" i="1"/>
  <c r="P608" i="1"/>
  <c r="Q608" i="1"/>
  <c r="R608" i="1" s="1"/>
  <c r="P609" i="1"/>
  <c r="Q609" i="1"/>
  <c r="P610" i="1"/>
  <c r="R609" i="1"/>
  <c r="S609" i="1"/>
  <c r="P611" i="1"/>
  <c r="Q610" i="1"/>
  <c r="Q611" i="1"/>
  <c r="R611" i="1" s="1"/>
  <c r="P612" i="1"/>
  <c r="P613" i="1"/>
  <c r="Q612" i="1"/>
  <c r="Q613" i="1"/>
  <c r="R613" i="1" s="1"/>
  <c r="P614" i="1"/>
  <c r="P615" i="1"/>
  <c r="Q614" i="1"/>
  <c r="Q615" i="1"/>
  <c r="R615" i="1" s="1"/>
  <c r="P616" i="1"/>
  <c r="P617" i="1"/>
  <c r="Q616" i="1"/>
  <c r="P618" i="1"/>
  <c r="Q617" i="1"/>
  <c r="R617" i="1" s="1"/>
  <c r="P619" i="1"/>
  <c r="Q618" i="1"/>
  <c r="R618" i="1" s="1"/>
  <c r="Q619" i="1"/>
  <c r="P620" i="1"/>
  <c r="Q620" i="1"/>
  <c r="R620" i="1" s="1"/>
  <c r="P621" i="1"/>
  <c r="P622" i="1"/>
  <c r="Q621" i="1"/>
  <c r="R621" i="1" s="1"/>
  <c r="P623" i="1"/>
  <c r="Q622" i="1"/>
  <c r="Q623" i="1"/>
  <c r="P624" i="1"/>
  <c r="P625" i="1"/>
  <c r="Q624" i="1"/>
  <c r="Q625" i="1"/>
  <c r="R625" i="1" s="1"/>
  <c r="P626" i="1"/>
  <c r="P627" i="1"/>
  <c r="Q626" i="1"/>
  <c r="Q627" i="1"/>
  <c r="P628" i="1"/>
  <c r="P629" i="1"/>
  <c r="Q628" i="1"/>
  <c r="R628" i="1" s="1"/>
  <c r="P630" i="1"/>
  <c r="Q629" i="1"/>
  <c r="P631" i="1"/>
  <c r="Q630" i="1"/>
  <c r="P632" i="1"/>
  <c r="Q631" i="1"/>
  <c r="R630" i="1"/>
  <c r="S630" i="1" s="1"/>
  <c r="Q632" i="1"/>
  <c r="P633" i="1"/>
  <c r="R631" i="1"/>
  <c r="S631" i="1"/>
  <c r="P634" i="1"/>
  <c r="Q633" i="1"/>
  <c r="R633" i="1" s="1"/>
  <c r="Q634" i="1"/>
  <c r="R634" i="1" s="1"/>
  <c r="P635" i="1"/>
  <c r="P636" i="1"/>
  <c r="Q635" i="1"/>
  <c r="R635" i="1" s="1"/>
  <c r="P637" i="1"/>
  <c r="Q636" i="1"/>
  <c r="R636" i="1" s="1"/>
  <c r="Q637" i="1"/>
  <c r="R637" i="1" s="1"/>
  <c r="P638" i="1"/>
  <c r="P639" i="1"/>
  <c r="Q638" i="1"/>
  <c r="P640" i="1"/>
  <c r="Q639" i="1"/>
  <c r="R638" i="1"/>
  <c r="S638" i="1" s="1"/>
  <c r="Q640" i="1"/>
  <c r="P641" i="1"/>
  <c r="Q641" i="1"/>
  <c r="R641" i="1" s="1"/>
  <c r="P642" i="1"/>
  <c r="P643" i="1"/>
  <c r="Q642" i="1"/>
  <c r="P644" i="1"/>
  <c r="Q643" i="1"/>
  <c r="Q644" i="1"/>
  <c r="P645" i="1"/>
  <c r="R643" i="1"/>
  <c r="S643" i="1"/>
  <c r="P646" i="1"/>
  <c r="Q645" i="1"/>
  <c r="R645" i="1" s="1"/>
  <c r="Q646" i="1"/>
  <c r="R646" i="1" s="1"/>
  <c r="P647" i="1"/>
  <c r="P648" i="1"/>
  <c r="Q647" i="1"/>
  <c r="R647" i="1" s="1"/>
  <c r="Q648" i="1"/>
  <c r="P649" i="1"/>
  <c r="Q649" i="1"/>
  <c r="P650" i="1"/>
  <c r="R649" i="1"/>
  <c r="S649" i="1"/>
  <c r="P651" i="1"/>
  <c r="Q650" i="1"/>
  <c r="Q651" i="1"/>
  <c r="P652" i="1"/>
  <c r="R651" i="1"/>
  <c r="S651" i="1"/>
  <c r="Q652" i="1"/>
  <c r="R652" i="1" s="1"/>
  <c r="P653" i="1"/>
  <c r="Q653" i="1"/>
  <c r="P654" i="1"/>
  <c r="Q654" i="1"/>
  <c r="P655" i="1"/>
  <c r="P656" i="1"/>
  <c r="Q655" i="1"/>
  <c r="P657" i="1"/>
  <c r="Q656" i="1"/>
  <c r="P658" i="1"/>
  <c r="Q657" i="1"/>
  <c r="R657" i="1" s="1"/>
  <c r="Q658" i="1"/>
  <c r="P659" i="1"/>
  <c r="Q659" i="1"/>
  <c r="P660" i="1"/>
  <c r="R659" i="1"/>
  <c r="S659" i="1" s="1"/>
  <c r="P661" i="1"/>
  <c r="Q660" i="1"/>
  <c r="Q661" i="1"/>
  <c r="R661" i="1" s="1"/>
  <c r="P662" i="1"/>
  <c r="Q662" i="1"/>
  <c r="R662" i="1" s="1"/>
  <c r="P663" i="1"/>
  <c r="P664" i="1"/>
  <c r="Q663" i="1"/>
  <c r="R663" i="1" s="1"/>
  <c r="Q664" i="1"/>
  <c r="P665" i="1"/>
  <c r="Q665" i="1"/>
  <c r="P666" i="1"/>
  <c r="P667" i="1"/>
  <c r="Q666" i="1"/>
  <c r="P668" i="1"/>
  <c r="Q667" i="1"/>
  <c r="Q668" i="1"/>
  <c r="R668" i="1" s="1"/>
  <c r="P669" i="1"/>
  <c r="P670" i="1"/>
  <c r="Q669" i="1"/>
  <c r="R669" i="1" s="1"/>
  <c r="Q670" i="1"/>
  <c r="P671" i="1"/>
  <c r="P672" i="1"/>
  <c r="Q671" i="1"/>
  <c r="R671" i="1" s="1"/>
  <c r="Q672" i="1"/>
  <c r="P673" i="1"/>
  <c r="P674" i="1"/>
  <c r="Q673" i="1"/>
  <c r="R673" i="1" s="1"/>
  <c r="Q674" i="1"/>
  <c r="P675" i="1"/>
  <c r="P676" i="1"/>
  <c r="Q675" i="1"/>
  <c r="P677" i="1"/>
  <c r="Q676" i="1"/>
  <c r="R675" i="1"/>
  <c r="S675" i="1" s="1"/>
  <c r="Q677" i="1"/>
  <c r="R677" i="1" s="1"/>
  <c r="P678" i="1"/>
  <c r="R676" i="1"/>
  <c r="S676" i="1" s="1"/>
  <c r="Q678" i="1"/>
  <c r="R678" i="1" s="1"/>
  <c r="P679" i="1"/>
  <c r="Q679" i="1"/>
  <c r="P680" i="1"/>
  <c r="R679" i="1"/>
  <c r="S679" i="1" s="1"/>
  <c r="P681" i="1"/>
  <c r="Q680" i="1"/>
  <c r="R680" i="1" s="1"/>
  <c r="Q681" i="1"/>
  <c r="R681" i="1" s="1"/>
  <c r="P682" i="1"/>
  <c r="P683" i="1"/>
  <c r="Q682" i="1"/>
  <c r="R682" i="1" s="1"/>
  <c r="P684" i="1"/>
  <c r="Q683" i="1"/>
  <c r="P685" i="1"/>
  <c r="Q684" i="1"/>
  <c r="Q685" i="1"/>
  <c r="P686" i="1"/>
  <c r="R685" i="1"/>
  <c r="S685" i="1" s="1"/>
  <c r="P687" i="1"/>
  <c r="Q686" i="1"/>
  <c r="R686" i="1" s="1"/>
  <c r="P688" i="1"/>
  <c r="Q687" i="1"/>
  <c r="P689" i="1"/>
  <c r="Q688" i="1"/>
  <c r="R688" i="1" s="1"/>
  <c r="Q689" i="1"/>
  <c r="P690" i="1"/>
  <c r="P691" i="1"/>
  <c r="Q690" i="1"/>
  <c r="R690" i="1" s="1"/>
  <c r="Q691" i="1"/>
  <c r="P692" i="1"/>
  <c r="P693" i="1"/>
  <c r="Q692" i="1"/>
  <c r="R692" i="1" s="1"/>
  <c r="P694" i="1"/>
  <c r="Q693" i="1"/>
  <c r="Q694" i="1"/>
  <c r="P695" i="1"/>
  <c r="R694" i="1"/>
  <c r="S694" i="1" s="1"/>
  <c r="P696" i="1"/>
  <c r="Q695" i="1"/>
  <c r="R695" i="1" s="1"/>
  <c r="Q696" i="1"/>
  <c r="R696" i="1" s="1"/>
  <c r="P697" i="1"/>
  <c r="Q697" i="1"/>
  <c r="P698" i="1"/>
  <c r="P699" i="1"/>
  <c r="Q698" i="1"/>
  <c r="R698" i="1" s="1"/>
  <c r="Q699" i="1"/>
  <c r="R699" i="1" s="1"/>
  <c r="P700" i="1"/>
  <c r="Q700" i="1"/>
  <c r="R700" i="1" s="1"/>
  <c r="P701" i="1"/>
  <c r="P702" i="1"/>
  <c r="Q701" i="1"/>
  <c r="P703" i="1"/>
  <c r="Q702" i="1"/>
  <c r="P704" i="1"/>
  <c r="Q703" i="1"/>
  <c r="R703" i="1" s="1"/>
  <c r="R702" i="1"/>
  <c r="S702" i="1"/>
  <c r="Q704" i="1"/>
  <c r="R704" i="1" s="1"/>
  <c r="P705" i="1"/>
  <c r="P706" i="1"/>
  <c r="Q705" i="1"/>
  <c r="Q706" i="1"/>
  <c r="R706" i="1" s="1"/>
  <c r="P707" i="1"/>
  <c r="Q707" i="1"/>
  <c r="R707" i="1" s="1"/>
  <c r="P708" i="1"/>
  <c r="Q708" i="1"/>
  <c r="P709" i="1"/>
  <c r="R708" i="1"/>
  <c r="S708" i="1" s="1"/>
  <c r="Q709" i="1"/>
  <c r="P710" i="1"/>
  <c r="P711" i="1"/>
  <c r="Q710" i="1"/>
  <c r="Q711" i="1"/>
  <c r="P712" i="1"/>
  <c r="Q712" i="1"/>
  <c r="P713" i="1"/>
  <c r="Q713" i="1"/>
  <c r="R713" i="1" s="1"/>
  <c r="P714" i="1"/>
  <c r="Q714" i="1"/>
  <c r="R714" i="1" s="1"/>
  <c r="P715" i="1"/>
  <c r="Q715" i="1"/>
  <c r="R715" i="1" s="1"/>
  <c r="P716" i="1"/>
  <c r="P717" i="1"/>
  <c r="Q716" i="1"/>
  <c r="Q717" i="1"/>
  <c r="P718" i="1"/>
  <c r="P719" i="1"/>
  <c r="Q718" i="1"/>
  <c r="R718" i="1" s="1"/>
  <c r="P720" i="1"/>
  <c r="Q719" i="1"/>
  <c r="R719" i="1" s="1"/>
  <c r="Q720" i="1"/>
  <c r="P721" i="1"/>
  <c r="Q721" i="1"/>
  <c r="P722" i="1"/>
  <c r="P723" i="1"/>
  <c r="Q722" i="1"/>
  <c r="Q723" i="1"/>
  <c r="P724" i="1"/>
  <c r="R723" i="1"/>
  <c r="S723" i="1" s="1"/>
  <c r="P725" i="1"/>
  <c r="Q724" i="1"/>
  <c r="P726" i="1"/>
  <c r="Q725" i="1"/>
  <c r="R724" i="1"/>
  <c r="S724" i="1" s="1"/>
  <c r="P727" i="1"/>
  <c r="Q726" i="1"/>
  <c r="R726" i="1" s="1"/>
  <c r="P728" i="1"/>
  <c r="Q727" i="1"/>
  <c r="Q728" i="1"/>
  <c r="P729" i="1"/>
  <c r="Q729" i="1"/>
  <c r="R729" i="1" s="1"/>
  <c r="P730" i="1"/>
  <c r="Q730" i="1"/>
  <c r="R730" i="1" s="1"/>
  <c r="P731" i="1"/>
  <c r="Q731" i="1"/>
  <c r="P732" i="1"/>
  <c r="P733" i="1"/>
  <c r="Q732" i="1"/>
  <c r="P734" i="1"/>
  <c r="Q733" i="1"/>
  <c r="R732" i="1"/>
  <c r="S732" i="1"/>
  <c r="Q734" i="1"/>
  <c r="P735" i="1"/>
  <c r="Q735" i="1"/>
  <c r="P736" i="1"/>
  <c r="Q736" i="1"/>
  <c r="R736" i="1" s="1"/>
  <c r="P737" i="1"/>
  <c r="P738" i="1"/>
  <c r="Q737" i="1"/>
  <c r="R737" i="1" s="1"/>
  <c r="P739" i="1"/>
  <c r="Q738" i="1"/>
  <c r="P740" i="1"/>
  <c r="Q739" i="1"/>
  <c r="Q740" i="1"/>
  <c r="R740" i="1" s="1"/>
  <c r="P741" i="1"/>
  <c r="P742" i="1"/>
  <c r="Q741" i="1"/>
  <c r="R741" i="1" s="1"/>
  <c r="P743" i="1"/>
  <c r="Q742" i="1"/>
  <c r="P744" i="1"/>
  <c r="Q743" i="1"/>
  <c r="Q744" i="1"/>
  <c r="R744" i="1" s="1"/>
  <c r="P745" i="1"/>
  <c r="P746" i="1"/>
  <c r="Q745" i="1"/>
  <c r="P747" i="1"/>
  <c r="Q746" i="1"/>
  <c r="P748" i="1"/>
  <c r="Q747" i="1"/>
  <c r="R747" i="1" s="1"/>
  <c r="Q748" i="1"/>
  <c r="P749" i="1"/>
  <c r="P750" i="1"/>
  <c r="Q749" i="1"/>
  <c r="Q750" i="1"/>
  <c r="P751" i="1"/>
  <c r="R750" i="1"/>
  <c r="S750" i="1" s="1"/>
  <c r="Q751" i="1"/>
  <c r="R751" i="1" s="1"/>
  <c r="P752" i="1"/>
  <c r="P753" i="1"/>
  <c r="Q752" i="1"/>
  <c r="R752" i="1" s="1"/>
  <c r="P754" i="1"/>
  <c r="Q753" i="1"/>
  <c r="P755" i="1"/>
  <c r="Q754" i="1"/>
  <c r="Q755" i="1"/>
  <c r="P756" i="1"/>
  <c r="R755" i="1"/>
  <c r="S755" i="1"/>
  <c r="P757" i="1"/>
  <c r="Q756" i="1"/>
  <c r="Q757" i="1"/>
  <c r="P758" i="1"/>
  <c r="P759" i="1"/>
  <c r="Q758" i="1"/>
  <c r="Q759" i="1"/>
  <c r="P760" i="1"/>
  <c r="P761" i="1"/>
  <c r="Q760" i="1"/>
  <c r="P762" i="1"/>
  <c r="Q761" i="1"/>
  <c r="P763" i="1"/>
  <c r="Q762" i="1"/>
  <c r="R762" i="1" s="1"/>
  <c r="Q763" i="1"/>
  <c r="P764" i="1"/>
  <c r="Q764" i="1"/>
  <c r="R764" i="1" s="1"/>
  <c r="P765" i="1"/>
  <c r="Q765" i="1"/>
  <c r="P766" i="1"/>
  <c r="R765" i="1"/>
  <c r="S765" i="1" s="1"/>
  <c r="P767" i="1"/>
  <c r="Q766" i="1"/>
  <c r="R766" i="1" s="1"/>
  <c r="Q767" i="1"/>
  <c r="P768" i="1"/>
  <c r="Q768" i="1"/>
  <c r="R768" i="1" s="1"/>
  <c r="P769" i="1"/>
  <c r="Q769" i="1"/>
  <c r="P770" i="1"/>
  <c r="Q770" i="1"/>
  <c r="P771" i="1"/>
  <c r="Q771" i="1"/>
  <c r="R771" i="1" s="1"/>
  <c r="P772" i="1"/>
  <c r="Q772" i="1"/>
  <c r="P773" i="1"/>
  <c r="R772" i="1"/>
  <c r="S772" i="1"/>
  <c r="Q773" i="1"/>
  <c r="R773" i="1" s="1"/>
  <c r="P774" i="1"/>
  <c r="Q774" i="1"/>
  <c r="P775" i="1"/>
  <c r="Q775" i="1"/>
  <c r="P776" i="1"/>
  <c r="P777" i="1"/>
  <c r="Q776" i="1"/>
  <c r="P778" i="1"/>
  <c r="Q777" i="1"/>
  <c r="P779" i="1"/>
  <c r="Q778" i="1"/>
  <c r="R778" i="1" s="1"/>
  <c r="R777" i="1"/>
  <c r="S777" i="1" s="1"/>
  <c r="P780" i="1"/>
  <c r="Q779" i="1"/>
  <c r="Q780" i="1"/>
  <c r="R780" i="1" s="1"/>
  <c r="P781" i="1"/>
  <c r="R779" i="1"/>
  <c r="S779" i="1" s="1"/>
  <c r="P782" i="1"/>
  <c r="Q781" i="1"/>
  <c r="R781" i="1" s="1"/>
  <c r="Q782" i="1"/>
  <c r="R782" i="1" s="1"/>
  <c r="P783" i="1"/>
  <c r="P784" i="1"/>
  <c r="Q783" i="1"/>
  <c r="P785" i="1"/>
  <c r="Q784" i="1"/>
  <c r="R784" i="1" s="1"/>
  <c r="Q785" i="1"/>
  <c r="R785" i="1" s="1"/>
  <c r="P786" i="1"/>
  <c r="Q786" i="1"/>
  <c r="P787" i="1"/>
  <c r="R786" i="1"/>
  <c r="S786" i="1"/>
  <c r="P788" i="1"/>
  <c r="Q787" i="1"/>
  <c r="R787" i="1" s="1"/>
  <c r="P789" i="1"/>
  <c r="Q788" i="1"/>
  <c r="R788" i="1" s="1"/>
  <c r="Q789" i="1"/>
  <c r="P790" i="1"/>
  <c r="R789" i="1"/>
  <c r="S789" i="1" s="1"/>
  <c r="Q790" i="1"/>
  <c r="R790" i="1" s="1"/>
  <c r="P791" i="1"/>
  <c r="Q791" i="1"/>
  <c r="R791" i="1" s="1"/>
  <c r="P792" i="1"/>
  <c r="P793" i="1"/>
  <c r="Q792" i="1"/>
  <c r="R792" i="1" s="1"/>
  <c r="Q793" i="1"/>
  <c r="R793" i="1" s="1"/>
  <c r="P794" i="1"/>
  <c r="P795" i="1"/>
  <c r="Q794" i="1"/>
  <c r="R794" i="1" s="1"/>
  <c r="Q795" i="1"/>
  <c r="P796" i="1"/>
  <c r="R795" i="1"/>
  <c r="S795" i="1" s="1"/>
  <c r="Q796" i="1"/>
  <c r="P797" i="1"/>
  <c r="Q797" i="1"/>
  <c r="P798" i="1"/>
  <c r="P799" i="1"/>
  <c r="Q798" i="1"/>
  <c r="Q799" i="1"/>
  <c r="P800" i="1"/>
  <c r="R798" i="1"/>
  <c r="S798" i="1"/>
  <c r="Q800" i="1"/>
  <c r="P801" i="1"/>
  <c r="R800" i="1"/>
  <c r="S800" i="1" s="1"/>
  <c r="P802" i="1"/>
  <c r="Q801" i="1"/>
  <c r="P803" i="1"/>
  <c r="Q802" i="1"/>
  <c r="R802" i="1" s="1"/>
  <c r="R801" i="1"/>
  <c r="S801" i="1" s="1"/>
  <c r="P804" i="1"/>
  <c r="Q803" i="1"/>
  <c r="P805" i="1"/>
  <c r="Q804" i="1"/>
  <c r="P806" i="1"/>
  <c r="Q805" i="1"/>
  <c r="R805" i="1" s="1"/>
  <c r="Q806" i="1"/>
  <c r="P807" i="1"/>
  <c r="P808" i="1"/>
  <c r="Q807" i="1"/>
  <c r="Q808" i="1"/>
  <c r="R808" i="1" s="1"/>
  <c r="P809" i="1"/>
  <c r="Q809" i="1"/>
  <c r="P810" i="1"/>
  <c r="Q810" i="1"/>
  <c r="P811" i="1"/>
  <c r="Q811" i="1"/>
  <c r="P812" i="1"/>
  <c r="P813" i="1"/>
  <c r="Q812" i="1"/>
  <c r="Q813" i="1"/>
  <c r="P814" i="1"/>
  <c r="P815" i="1"/>
  <c r="Q814" i="1"/>
  <c r="R814" i="1" s="1"/>
  <c r="P816" i="1"/>
  <c r="Q815" i="1"/>
  <c r="R815" i="1" s="1"/>
  <c r="P817" i="1"/>
  <c r="Q816" i="1"/>
  <c r="P818" i="1"/>
  <c r="Q817" i="1"/>
  <c r="R817" i="1" s="1"/>
  <c r="Q818" i="1"/>
  <c r="P819" i="1"/>
  <c r="P820" i="1"/>
  <c r="Q819" i="1"/>
  <c r="Q820" i="1"/>
  <c r="P821" i="1"/>
  <c r="Q821" i="1"/>
  <c r="P822" i="1"/>
  <c r="Q822" i="1"/>
  <c r="R822" i="1" s="1"/>
  <c r="P823" i="1"/>
  <c r="P824" i="1"/>
  <c r="Q823" i="1"/>
  <c r="Q824" i="1"/>
  <c r="R824" i="1" s="1"/>
  <c r="P825" i="1"/>
  <c r="R823" i="1"/>
  <c r="S823" i="1"/>
  <c r="P826" i="1"/>
  <c r="Q825" i="1"/>
  <c r="P827" i="1"/>
  <c r="Q826" i="1"/>
  <c r="R825" i="1"/>
  <c r="S825" i="1" s="1"/>
  <c r="P828" i="1"/>
  <c r="Q827" i="1"/>
  <c r="R827" i="1" s="1"/>
  <c r="R826" i="1"/>
  <c r="S826" i="1" s="1"/>
  <c r="Q828" i="1"/>
  <c r="R828" i="1" s="1"/>
  <c r="P829" i="1"/>
  <c r="P830" i="1"/>
  <c r="Q829" i="1"/>
  <c r="P831" i="1"/>
  <c r="Q830" i="1"/>
  <c r="Q831" i="1"/>
  <c r="P832" i="1"/>
  <c r="Q832" i="1"/>
  <c r="R832" i="1" s="1"/>
  <c r="P833" i="1"/>
  <c r="P834" i="1"/>
  <c r="Q833" i="1"/>
  <c r="P835" i="1"/>
  <c r="Q834" i="1"/>
  <c r="R834" i="1" s="1"/>
  <c r="P836" i="1"/>
  <c r="Q835" i="1"/>
  <c r="Q836" i="1"/>
  <c r="P837" i="1"/>
  <c r="P838" i="1"/>
  <c r="Q837" i="1"/>
  <c r="P839" i="1"/>
  <c r="Q838" i="1"/>
  <c r="R837" i="1"/>
  <c r="S837" i="1" s="1"/>
  <c r="P840" i="1"/>
  <c r="Q839" i="1"/>
  <c r="R838" i="1"/>
  <c r="S838" i="1" s="1"/>
  <c r="P841" i="1"/>
  <c r="Q840" i="1"/>
  <c r="R840" i="1" s="1"/>
  <c r="R839" i="1"/>
  <c r="S839" i="1" s="1"/>
  <c r="P842" i="1"/>
  <c r="Q841" i="1"/>
  <c r="P843" i="1"/>
  <c r="Q842" i="1"/>
  <c r="R842" i="1" s="1"/>
  <c r="Q843" i="1"/>
  <c r="R843" i="1" s="1"/>
  <c r="P844" i="1"/>
  <c r="P845" i="1"/>
  <c r="Q844" i="1"/>
  <c r="R844" i="1" s="1"/>
  <c r="P846" i="1"/>
  <c r="Q845" i="1"/>
  <c r="Q846" i="1"/>
  <c r="R846" i="1" s="1"/>
  <c r="P847" i="1"/>
  <c r="Q847" i="1"/>
  <c r="P848" i="1"/>
  <c r="R847" i="1"/>
  <c r="S847" i="1"/>
  <c r="Q848" i="1"/>
  <c r="R848" i="1" s="1"/>
  <c r="P849" i="1"/>
  <c r="P850" i="1"/>
  <c r="Q849" i="1"/>
  <c r="Q850" i="1"/>
  <c r="R850" i="1" s="1"/>
  <c r="P851" i="1"/>
  <c r="R849" i="1"/>
  <c r="S849" i="1" s="1"/>
  <c r="P852" i="1"/>
  <c r="Q851" i="1"/>
  <c r="P853" i="1"/>
  <c r="Q852" i="1"/>
  <c r="R851" i="1"/>
  <c r="S851" i="1" s="1"/>
  <c r="Q853" i="1"/>
  <c r="R853" i="1" s="1"/>
  <c r="P854" i="1"/>
  <c r="P855" i="1"/>
  <c r="Q854" i="1"/>
  <c r="Q855" i="1"/>
  <c r="P856" i="1"/>
  <c r="R855" i="1"/>
  <c r="S855" i="1" s="1"/>
  <c r="Q856" i="1"/>
  <c r="R856" i="1" s="1"/>
  <c r="P857" i="1"/>
  <c r="Q857" i="1"/>
  <c r="R857" i="1" s="1"/>
  <c r="P858" i="1"/>
  <c r="P859" i="1"/>
  <c r="Q858" i="1"/>
  <c r="Q859" i="1"/>
  <c r="R859" i="1" s="1"/>
  <c r="P860" i="1"/>
  <c r="R858" i="1"/>
  <c r="S858" i="1" s="1"/>
  <c r="Q860" i="1"/>
  <c r="P861" i="1"/>
  <c r="P862" i="1"/>
  <c r="Q861" i="1"/>
  <c r="R861" i="1" s="1"/>
  <c r="P863" i="1"/>
  <c r="Q862" i="1"/>
  <c r="P864" i="1"/>
  <c r="Q863" i="1"/>
  <c r="R863" i="1" s="1"/>
  <c r="Q864" i="1"/>
  <c r="P865" i="1"/>
  <c r="R864" i="1"/>
  <c r="S864" i="1" s="1"/>
  <c r="P866" i="1"/>
  <c r="Q865" i="1"/>
  <c r="P867" i="1"/>
  <c r="Q866" i="1"/>
  <c r="P868" i="1"/>
  <c r="Q867" i="1"/>
  <c r="P869" i="1"/>
  <c r="Q868" i="1"/>
  <c r="R867" i="1"/>
  <c r="S867" i="1" s="1"/>
  <c r="Q869" i="1"/>
  <c r="R869" i="1" s="1"/>
  <c r="P870" i="1"/>
  <c r="P871" i="1"/>
  <c r="Q870" i="1"/>
  <c r="P872" i="1"/>
  <c r="Q871" i="1"/>
  <c r="R871" i="1" s="1"/>
  <c r="Q872" i="1"/>
  <c r="R872" i="1" s="1"/>
  <c r="P873" i="1"/>
  <c r="Q873" i="1"/>
  <c r="P874" i="1"/>
  <c r="R873" i="1"/>
  <c r="S873" i="1" s="1"/>
  <c r="Q874" i="1"/>
  <c r="R874" i="1" s="1"/>
  <c r="P875" i="1"/>
  <c r="P876" i="1"/>
  <c r="Q875" i="1"/>
  <c r="P877" i="1"/>
  <c r="Q876" i="1"/>
  <c r="R875" i="1"/>
  <c r="S875" i="1" s="1"/>
  <c r="Q877" i="1"/>
  <c r="R877" i="1" s="1"/>
  <c r="P878" i="1"/>
  <c r="P879" i="1"/>
  <c r="Q878" i="1"/>
  <c r="P880" i="1"/>
  <c r="Q879" i="1"/>
  <c r="R879" i="1" s="1"/>
  <c r="P881" i="1"/>
  <c r="Q880" i="1"/>
  <c r="R880" i="1" s="1"/>
  <c r="P882" i="1"/>
  <c r="Q881" i="1"/>
  <c r="Q882" i="1"/>
  <c r="P883" i="1"/>
  <c r="P884" i="1"/>
  <c r="Q883" i="1"/>
  <c r="R883" i="1" s="1"/>
  <c r="Q884" i="1"/>
  <c r="P885" i="1"/>
  <c r="Q885" i="1"/>
  <c r="R885" i="1" s="1"/>
  <c r="P886" i="1"/>
  <c r="Q886" i="1"/>
  <c r="P887" i="1"/>
  <c r="Q887" i="1"/>
  <c r="P888" i="1"/>
  <c r="R887" i="1"/>
  <c r="S887" i="1" s="1"/>
  <c r="P889" i="1"/>
  <c r="Q888" i="1"/>
  <c r="R888" i="1" s="1"/>
  <c r="P890" i="1"/>
  <c r="Q889" i="1"/>
  <c r="R889" i="1" s="1"/>
  <c r="P891" i="1"/>
  <c r="Q890" i="1"/>
  <c r="P892" i="1"/>
  <c r="Q891" i="1"/>
  <c r="R890" i="1"/>
  <c r="S890" i="1" s="1"/>
  <c r="Q892" i="1"/>
  <c r="P893" i="1"/>
  <c r="R891" i="1"/>
  <c r="S891" i="1" s="1"/>
  <c r="Q893" i="1"/>
  <c r="P894" i="1"/>
  <c r="P895" i="1"/>
  <c r="Q894" i="1"/>
  <c r="P896" i="1"/>
  <c r="Q895" i="1"/>
  <c r="R895" i="1" s="1"/>
  <c r="P897" i="1"/>
  <c r="Q896" i="1"/>
  <c r="R896" i="1" s="1"/>
  <c r="P898" i="1"/>
  <c r="Q897" i="1"/>
  <c r="R897" i="1" s="1"/>
  <c r="P899" i="1"/>
  <c r="Q898" i="1"/>
  <c r="Q899" i="1"/>
  <c r="R899" i="1" s="1"/>
  <c r="P900" i="1"/>
  <c r="P901" i="1"/>
  <c r="Q900" i="1"/>
  <c r="Q901" i="1"/>
  <c r="P902" i="1"/>
  <c r="Q902" i="1"/>
  <c r="P903" i="1"/>
  <c r="P904" i="1"/>
  <c r="Q903" i="1"/>
  <c r="P905" i="1"/>
  <c r="Q904" i="1"/>
  <c r="P906" i="1"/>
  <c r="Q905" i="1"/>
  <c r="R905" i="1" s="1"/>
  <c r="P907" i="1"/>
  <c r="Q906" i="1"/>
  <c r="P908" i="1"/>
  <c r="Q907" i="1"/>
  <c r="R907" i="1" s="1"/>
  <c r="P909" i="1"/>
  <c r="Q908" i="1"/>
  <c r="R908" i="1" s="1"/>
  <c r="Q909" i="1"/>
  <c r="P910" i="1"/>
  <c r="R909" i="1"/>
  <c r="S909" i="1"/>
  <c r="P911" i="1"/>
  <c r="Q910" i="1"/>
  <c r="P912" i="1"/>
  <c r="Q911" i="1"/>
  <c r="P913" i="1"/>
  <c r="Q912" i="1"/>
  <c r="R911" i="1"/>
  <c r="S911" i="1" s="1"/>
  <c r="P914" i="1"/>
  <c r="Q913" i="1"/>
  <c r="R913" i="1" s="1"/>
  <c r="Q914" i="1"/>
  <c r="R914" i="1" s="1"/>
  <c r="P915" i="1"/>
  <c r="Q915" i="1"/>
  <c r="R915" i="1" s="1"/>
  <c r="P916" i="1"/>
  <c r="P917" i="1"/>
  <c r="Q916" i="1"/>
  <c r="Q917" i="1"/>
  <c r="R917" i="1" s="1"/>
  <c r="P918" i="1"/>
  <c r="Q918" i="1"/>
  <c r="P919" i="1"/>
  <c r="Q919" i="1"/>
  <c r="R919" i="1" s="1"/>
  <c r="P920" i="1"/>
  <c r="P921" i="1"/>
  <c r="Q920" i="1"/>
  <c r="P922" i="1"/>
  <c r="Q921" i="1"/>
  <c r="R920" i="1"/>
  <c r="S920" i="1"/>
  <c r="P923" i="1"/>
  <c r="Q922" i="1"/>
  <c r="P924" i="1"/>
  <c r="Q923" i="1"/>
  <c r="R923" i="1" s="1"/>
  <c r="R922" i="1"/>
  <c r="S922" i="1"/>
  <c r="P925" i="1"/>
  <c r="Q924" i="1"/>
  <c r="Q925" i="1"/>
  <c r="P926" i="1"/>
  <c r="R925" i="1"/>
  <c r="S925" i="1"/>
  <c r="Q926" i="1"/>
  <c r="P927" i="1"/>
  <c r="Q927" i="1"/>
  <c r="P928" i="1"/>
  <c r="Q928" i="1"/>
  <c r="P929" i="1"/>
  <c r="P930" i="1"/>
  <c r="Q929" i="1"/>
  <c r="R929" i="1" s="1"/>
  <c r="P931" i="1"/>
  <c r="Q930" i="1"/>
  <c r="R930" i="1" s="1"/>
  <c r="Q931" i="1"/>
  <c r="R931" i="1" s="1"/>
  <c r="P932" i="1"/>
  <c r="Q932" i="1"/>
  <c r="P933" i="1"/>
  <c r="Q933" i="1"/>
  <c r="P934" i="1"/>
  <c r="R933" i="1"/>
  <c r="S933" i="1" s="1"/>
  <c r="Q934" i="1"/>
  <c r="P935" i="1"/>
  <c r="P936" i="1"/>
  <c r="Q935" i="1"/>
  <c r="R935" i="1" s="1"/>
  <c r="Q936" i="1"/>
  <c r="P937" i="1"/>
  <c r="Q937" i="1"/>
  <c r="R937" i="1" s="1"/>
  <c r="P938" i="1"/>
  <c r="P939" i="1"/>
  <c r="Q938" i="1"/>
  <c r="Q939" i="1"/>
  <c r="R939" i="1" s="1"/>
  <c r="P940" i="1"/>
  <c r="R938" i="1"/>
  <c r="S938" i="1" s="1"/>
  <c r="Q940" i="1"/>
  <c r="P941" i="1"/>
  <c r="P942" i="1"/>
  <c r="Q941" i="1"/>
  <c r="R941" i="1" s="1"/>
  <c r="P943" i="1"/>
  <c r="Q942" i="1"/>
  <c r="P944" i="1"/>
  <c r="Q943" i="1"/>
  <c r="Q944" i="1"/>
  <c r="P945" i="1"/>
  <c r="R943" i="1"/>
  <c r="S943" i="1" s="1"/>
  <c r="P946" i="1"/>
  <c r="Q945" i="1"/>
  <c r="R945" i="1" s="1"/>
  <c r="P947" i="1"/>
  <c r="Q946" i="1"/>
  <c r="Q947" i="1"/>
  <c r="R947" i="1" s="1"/>
  <c r="P948" i="1"/>
  <c r="R946" i="1"/>
  <c r="S946" i="1"/>
  <c r="P949" i="1"/>
  <c r="Q948" i="1"/>
  <c r="Q949" i="1"/>
  <c r="R949" i="1" s="1"/>
  <c r="P950" i="1"/>
  <c r="Q950" i="1"/>
  <c r="P951" i="1"/>
  <c r="P952" i="1"/>
  <c r="Q951" i="1"/>
  <c r="P953" i="1"/>
  <c r="Q952" i="1"/>
  <c r="R952" i="1" s="1"/>
  <c r="Q953" i="1"/>
  <c r="P954" i="1"/>
  <c r="R953" i="1"/>
  <c r="S953" i="1"/>
  <c r="P955" i="1"/>
  <c r="Q954" i="1"/>
  <c r="P956" i="1"/>
  <c r="Q955" i="1"/>
  <c r="R955" i="1" s="1"/>
  <c r="P957" i="1"/>
  <c r="Q956" i="1"/>
  <c r="R956" i="1" s="1"/>
  <c r="P958" i="1"/>
  <c r="Q957" i="1"/>
  <c r="R957" i="1" s="1"/>
  <c r="P959" i="1"/>
  <c r="Q958" i="1"/>
  <c r="Q959" i="1"/>
  <c r="P960" i="1"/>
  <c r="P961" i="1"/>
  <c r="Q960" i="1"/>
  <c r="Q961" i="1"/>
  <c r="P962" i="1"/>
  <c r="P963" i="1"/>
  <c r="Q962" i="1"/>
  <c r="P964" i="1"/>
  <c r="Q963" i="1"/>
  <c r="P965" i="1"/>
  <c r="Q964" i="1"/>
  <c r="R963" i="1"/>
  <c r="S963" i="1"/>
  <c r="P966" i="1"/>
  <c r="Q965" i="1"/>
  <c r="R965" i="1" s="1"/>
  <c r="P967" i="1"/>
  <c r="Q966" i="1"/>
  <c r="P968" i="1"/>
  <c r="Q967" i="1"/>
  <c r="P969" i="1"/>
  <c r="Q968" i="1"/>
  <c r="R968" i="1" s="1"/>
  <c r="P970" i="1"/>
  <c r="Q969" i="1"/>
  <c r="Q970" i="1"/>
  <c r="P971" i="1"/>
  <c r="P972" i="1"/>
  <c r="Q971" i="1"/>
  <c r="Q972" i="1"/>
  <c r="P973" i="1"/>
  <c r="Q973" i="1"/>
  <c r="R973" i="1" s="1"/>
  <c r="P974" i="1"/>
  <c r="Q974" i="1"/>
  <c r="R974" i="1" s="1"/>
  <c r="P975" i="1"/>
  <c r="P976" i="1"/>
  <c r="Q975" i="1"/>
  <c r="R975" i="1" s="1"/>
  <c r="P977" i="1"/>
  <c r="Q976" i="1"/>
  <c r="P978" i="1"/>
  <c r="Q977" i="1"/>
  <c r="P979" i="1"/>
  <c r="Q978" i="1"/>
  <c r="R977" i="1"/>
  <c r="S977" i="1" s="1"/>
  <c r="Q979" i="1"/>
  <c r="R979" i="1" s="1"/>
  <c r="P980" i="1"/>
  <c r="Q980" i="1"/>
  <c r="P981" i="1"/>
  <c r="P982" i="1"/>
  <c r="Q981" i="1"/>
  <c r="Q982" i="1"/>
  <c r="R982" i="1" s="1"/>
  <c r="P983" i="1"/>
  <c r="R981" i="1"/>
  <c r="S981" i="1" s="1"/>
  <c r="P984" i="1"/>
  <c r="Q983" i="1"/>
  <c r="R983" i="1" s="1"/>
  <c r="P985" i="1"/>
  <c r="Q984" i="1"/>
  <c r="R984" i="1" s="1"/>
  <c r="P986" i="1"/>
  <c r="Q985" i="1"/>
  <c r="R985" i="1" s="1"/>
  <c r="Q986" i="1"/>
  <c r="P987" i="1"/>
  <c r="P988" i="1"/>
  <c r="Q987" i="1"/>
  <c r="P989" i="1"/>
  <c r="Q988" i="1"/>
  <c r="R988" i="1" s="1"/>
  <c r="R987" i="1"/>
  <c r="S987" i="1"/>
  <c r="P990" i="1"/>
  <c r="Q989" i="1"/>
  <c r="R989" i="1" s="1"/>
  <c r="P991" i="1"/>
  <c r="Q990" i="1"/>
  <c r="P992" i="1"/>
  <c r="Q991" i="1"/>
  <c r="R991" i="1" s="1"/>
  <c r="Q992" i="1"/>
  <c r="P993" i="1"/>
  <c r="Q993" i="1"/>
  <c r="R993" i="1" s="1"/>
  <c r="P994" i="1"/>
  <c r="Q994" i="1"/>
  <c r="P995" i="1"/>
  <c r="Q995" i="1"/>
  <c r="P996" i="1"/>
  <c r="R995" i="1"/>
  <c r="S995" i="1"/>
  <c r="Q996" i="1"/>
  <c r="P997" i="1"/>
  <c r="R996" i="1"/>
  <c r="S996" i="1" s="1"/>
  <c r="Q997" i="1"/>
  <c r="P998" i="1"/>
  <c r="R997" i="1"/>
  <c r="S997" i="1"/>
  <c r="P999" i="1"/>
  <c r="Q998" i="1"/>
  <c r="P1000" i="1"/>
  <c r="Q999" i="1"/>
  <c r="R999" i="1" s="1"/>
  <c r="Q1000" i="1"/>
  <c r="P1001" i="1"/>
  <c r="Q1001" i="1"/>
  <c r="R1001" i="1" s="1"/>
  <c r="P1002" i="1"/>
  <c r="Q1002" i="1"/>
  <c r="R1002" i="1" s="1"/>
  <c r="P1003" i="1"/>
  <c r="P1004" i="1"/>
  <c r="Q1003" i="1"/>
  <c r="Q1004" i="1"/>
  <c r="R1004" i="1" s="1"/>
  <c r="P1005" i="1"/>
  <c r="R1003" i="1"/>
  <c r="S1003" i="1" s="1"/>
  <c r="Q1005" i="1"/>
  <c r="R1005" i="1" s="1"/>
  <c r="P1006" i="1"/>
  <c r="Q1006" i="1"/>
  <c r="P1007" i="1"/>
  <c r="Q1007" i="1"/>
  <c r="R1007" i="1" s="1"/>
  <c r="P1008" i="1"/>
  <c r="Q1008" i="1"/>
  <c r="P1009" i="1"/>
  <c r="P1010" i="1"/>
  <c r="Q1009" i="1"/>
  <c r="R1009" i="1" s="1"/>
  <c r="P1011" i="1"/>
  <c r="Q1010" i="1"/>
  <c r="P1012" i="1"/>
  <c r="Q1011" i="1"/>
  <c r="P1013" i="1"/>
  <c r="Q1012" i="1"/>
  <c r="P1014" i="1"/>
  <c r="Q1013" i="1"/>
  <c r="R1013" i="1" s="1"/>
  <c r="Q1014" i="1"/>
  <c r="P1015" i="1"/>
  <c r="Q1015" i="1"/>
  <c r="P1016" i="1"/>
  <c r="R1015" i="1"/>
  <c r="S1015" i="1"/>
  <c r="P1017" i="1"/>
  <c r="Q1016" i="1"/>
  <c r="P1018" i="1"/>
  <c r="Q1017" i="1"/>
  <c r="R1016" i="1"/>
  <c r="S1016" i="1" s="1"/>
  <c r="P1019" i="1"/>
  <c r="Q1018" i="1"/>
  <c r="R1018" i="1" s="1"/>
  <c r="R1017" i="1"/>
  <c r="S1017" i="1" s="1"/>
  <c r="Q1019" i="1"/>
  <c r="P1020" i="1"/>
  <c r="R1019" i="1"/>
  <c r="S1019" i="1" s="1"/>
  <c r="P1021" i="1"/>
  <c r="Q1020" i="1"/>
  <c r="P1022" i="1"/>
  <c r="Q1021" i="1"/>
  <c r="R1021" i="1" s="1"/>
  <c r="R1020" i="1"/>
  <c r="S1020" i="1" s="1"/>
  <c r="Q1022" i="1"/>
  <c r="P1023" i="1"/>
  <c r="P1024" i="1"/>
  <c r="Q1023" i="1"/>
  <c r="R1023" i="1" s="1"/>
  <c r="P1025" i="1"/>
  <c r="Q1024" i="1"/>
  <c r="R1024" i="1" s="1"/>
  <c r="Q1025" i="1"/>
  <c r="R1025" i="1" s="1"/>
  <c r="P1026" i="1"/>
  <c r="P1027" i="1"/>
  <c r="Q1026" i="1"/>
  <c r="Q1027" i="1"/>
  <c r="R1027" i="1" s="1"/>
  <c r="P1028" i="1"/>
  <c r="Q1028" i="1"/>
  <c r="R1028" i="1" s="1"/>
  <c r="P1029" i="1"/>
  <c r="Q1029" i="1"/>
  <c r="P1030" i="1"/>
  <c r="P1031" i="1"/>
  <c r="Q1030" i="1"/>
  <c r="Q1031" i="1"/>
  <c r="P1032" i="1"/>
  <c r="P1033" i="1"/>
  <c r="Q1032" i="1"/>
  <c r="R1032" i="1" s="1"/>
  <c r="P1034" i="1"/>
  <c r="Q1033" i="1"/>
  <c r="R1033" i="1" s="1"/>
  <c r="Q1034" i="1"/>
  <c r="P1035" i="1"/>
  <c r="P1036" i="1"/>
  <c r="Q1035" i="1"/>
  <c r="Q1036" i="1"/>
  <c r="P1037" i="1"/>
  <c r="Q1037" i="1"/>
  <c r="P1038" i="1"/>
  <c r="R1037" i="1"/>
  <c r="S1037" i="1" s="1"/>
  <c r="P1039" i="1"/>
  <c r="Q1038" i="1"/>
  <c r="Q1039" i="1"/>
  <c r="R1039" i="1" s="1"/>
  <c r="P1040" i="1"/>
  <c r="P1041" i="1"/>
  <c r="Q1040" i="1"/>
  <c r="P1042" i="1"/>
  <c r="Q1041" i="1"/>
  <c r="P1043" i="1"/>
  <c r="Q1042" i="1"/>
  <c r="R1041" i="1"/>
  <c r="S1041" i="1"/>
  <c r="P1044" i="1"/>
  <c r="Q1043" i="1"/>
  <c r="R1043" i="1" s="1"/>
  <c r="Q1044" i="1"/>
  <c r="P1045" i="1"/>
  <c r="P1046" i="1"/>
  <c r="Q1045" i="1"/>
  <c r="Q1046" i="1"/>
  <c r="R1046" i="1" s="1"/>
  <c r="P1047" i="1"/>
  <c r="R1045" i="1"/>
  <c r="S1045" i="1" s="1"/>
  <c r="P1048" i="1"/>
  <c r="Q1047" i="1"/>
  <c r="P1049" i="1"/>
  <c r="Q1048" i="1"/>
  <c r="P1050" i="1"/>
  <c r="Q1049" i="1"/>
  <c r="R1049" i="1" s="1"/>
  <c r="P1051" i="1"/>
  <c r="Q1050" i="1"/>
  <c r="R1050" i="1" s="1"/>
  <c r="Q1051" i="1"/>
  <c r="R1051" i="1" s="1"/>
  <c r="P1052" i="1"/>
  <c r="P1053" i="1"/>
  <c r="Q1052" i="1"/>
  <c r="P1054" i="1"/>
  <c r="Q1053" i="1"/>
  <c r="R1053" i="1" s="1"/>
  <c r="R1052" i="1"/>
  <c r="S1052" i="1" s="1"/>
  <c r="P1055" i="1"/>
  <c r="Q1054" i="1"/>
  <c r="P1056" i="1"/>
  <c r="Q1055" i="1"/>
  <c r="R1055" i="1" s="1"/>
  <c r="Q1056" i="1"/>
  <c r="P1057" i="1"/>
  <c r="Q1057" i="1"/>
  <c r="P1058" i="1"/>
  <c r="R1057" i="1"/>
  <c r="S1057" i="1" s="1"/>
  <c r="P1059" i="1"/>
  <c r="Q1058" i="1"/>
  <c r="Q1059" i="1"/>
  <c r="R1059" i="1" s="1"/>
  <c r="P1060" i="1"/>
  <c r="P1061" i="1"/>
  <c r="Q1060" i="1"/>
  <c r="R1060" i="1" s="1"/>
  <c r="P1062" i="1"/>
  <c r="Q1061" i="1"/>
  <c r="R1061" i="1" s="1"/>
  <c r="P1063" i="1"/>
  <c r="Q1062" i="1"/>
  <c r="Q1063" i="1"/>
  <c r="P1064" i="1"/>
  <c r="P1065" i="1"/>
  <c r="Q1064" i="1"/>
  <c r="R1064" i="1" s="1"/>
  <c r="Q1065" i="1"/>
  <c r="P1066" i="1"/>
  <c r="R1065" i="1"/>
  <c r="S1065" i="1"/>
  <c r="Q1066" i="1"/>
  <c r="P1067" i="1"/>
  <c r="R1066" i="1"/>
  <c r="S1066" i="1" s="1"/>
  <c r="P1068" i="1"/>
  <c r="Q1067" i="1"/>
  <c r="R1067" i="1" s="1"/>
  <c r="P1069" i="1"/>
  <c r="Q1068" i="1"/>
  <c r="P1070" i="1"/>
  <c r="Q1069" i="1"/>
  <c r="R1069" i="1" s="1"/>
  <c r="R1068" i="1"/>
  <c r="S1068" i="1" s="1"/>
  <c r="Q1070" i="1"/>
  <c r="P1071" i="1"/>
  <c r="P1072" i="1"/>
  <c r="Q1071" i="1"/>
  <c r="P1073" i="1"/>
  <c r="Q1072" i="1"/>
  <c r="R1071" i="1"/>
  <c r="S1071" i="1" s="1"/>
  <c r="Q1073" i="1"/>
  <c r="R1073" i="1" s="1"/>
  <c r="P1074" i="1"/>
  <c r="Q1074" i="1"/>
  <c r="P1075" i="1"/>
  <c r="P1076" i="1"/>
  <c r="Q1075" i="1"/>
  <c r="R1075" i="1" s="1"/>
  <c r="Q1076" i="1"/>
  <c r="R1076" i="1" s="1"/>
  <c r="P1077" i="1"/>
  <c r="Q1077" i="1"/>
  <c r="P1078" i="1"/>
  <c r="P1079" i="1"/>
  <c r="Q1078" i="1"/>
  <c r="P1080" i="1"/>
  <c r="Q1079" i="1"/>
  <c r="R1079" i="1" s="1"/>
  <c r="Q1080" i="1"/>
  <c r="R1080" i="1" s="1"/>
  <c r="P1081" i="1"/>
  <c r="P1082" i="1"/>
  <c r="Q1081" i="1"/>
  <c r="Q1082" i="1"/>
  <c r="P1083" i="1"/>
  <c r="Q1083" i="1"/>
  <c r="P1084" i="1"/>
  <c r="Q1084" i="1"/>
  <c r="P1085" i="1"/>
  <c r="Q1085" i="1"/>
  <c r="R1085" i="1" s="1"/>
  <c r="P1086" i="1"/>
  <c r="Q1086" i="1"/>
  <c r="P1087" i="1"/>
  <c r="R1086" i="1"/>
  <c r="S1086" i="1"/>
  <c r="Q1087" i="1"/>
  <c r="R1087" i="1" s="1"/>
  <c r="P1088" i="1"/>
  <c r="P1089" i="1"/>
  <c r="Q1088" i="1"/>
  <c r="Q1089" i="1"/>
  <c r="R1089" i="1" s="1"/>
  <c r="P1090" i="1"/>
  <c r="P1091" i="1"/>
  <c r="Q1090" i="1"/>
  <c r="P1092" i="1"/>
  <c r="Q1091" i="1"/>
  <c r="P1093" i="1"/>
  <c r="Q1092" i="1"/>
  <c r="P1094" i="1"/>
  <c r="Q1093" i="1"/>
  <c r="R1093" i="1" s="1"/>
  <c r="Q1094" i="1"/>
  <c r="P1095" i="1"/>
  <c r="R1094" i="1"/>
  <c r="S1094" i="1"/>
  <c r="Q1095" i="1"/>
  <c r="R1095" i="1" s="1"/>
  <c r="P1096" i="1"/>
  <c r="Q1096" i="1"/>
  <c r="P1097" i="1"/>
  <c r="Q1097" i="1"/>
  <c r="P1098" i="1"/>
  <c r="R1097" i="1"/>
  <c r="S1097" i="1" s="1"/>
  <c r="P1099" i="1"/>
  <c r="Q1098" i="1"/>
  <c r="Q1099" i="1"/>
  <c r="P1100" i="1"/>
  <c r="R1099" i="1"/>
  <c r="S1099" i="1" s="1"/>
  <c r="P1101" i="1"/>
  <c r="Q1100" i="1"/>
  <c r="R1100" i="1" s="1"/>
  <c r="P1102" i="1"/>
  <c r="Q1101" i="1"/>
  <c r="R1101" i="1" s="1"/>
  <c r="Q1102" i="1"/>
  <c r="R1102" i="1" s="1"/>
  <c r="P1103" i="1"/>
  <c r="Q1103" i="1"/>
  <c r="R1103" i="1" s="1"/>
  <c r="P1104" i="1"/>
  <c r="Q1104" i="1"/>
  <c r="R1104" i="1" s="1"/>
  <c r="P1105" i="1"/>
  <c r="Q1105" i="1"/>
  <c r="R1105" i="1" s="1"/>
  <c r="P1106" i="1"/>
  <c r="P1107" i="1"/>
  <c r="Q1106" i="1"/>
  <c r="P1108" i="1"/>
  <c r="Q1107" i="1"/>
  <c r="P1109" i="1"/>
  <c r="Q1108" i="1"/>
  <c r="Q1109" i="1"/>
  <c r="P1110" i="1"/>
  <c r="P1111" i="1"/>
  <c r="Q1110" i="1"/>
  <c r="P1112" i="1"/>
  <c r="Q1111" i="1"/>
  <c r="R1110" i="1"/>
  <c r="S1110" i="1"/>
  <c r="Q1112" i="1"/>
  <c r="P1113" i="1"/>
  <c r="R1111" i="1"/>
  <c r="S1111" i="1" s="1"/>
  <c r="P1114" i="1"/>
  <c r="Q1113" i="1"/>
  <c r="P1115" i="1"/>
  <c r="Q1114" i="1"/>
  <c r="Q1115" i="1"/>
  <c r="P1116" i="1"/>
  <c r="P1117" i="1"/>
  <c r="Q1116" i="1"/>
  <c r="Q1117" i="1"/>
  <c r="R1117" i="1" s="1"/>
  <c r="P1118" i="1"/>
  <c r="Q1118" i="1"/>
  <c r="P1119" i="1"/>
  <c r="Q1119" i="1"/>
  <c r="R1119" i="1" s="1"/>
  <c r="P1120" i="1"/>
  <c r="Q1120" i="1"/>
  <c r="P1121" i="1"/>
  <c r="Q1121" i="1"/>
  <c r="R1121" i="1" s="1"/>
  <c r="P1122" i="1"/>
  <c r="Q1122" i="1"/>
  <c r="P1123" i="1"/>
  <c r="P1124" i="1"/>
  <c r="Q1123" i="1"/>
  <c r="R1123" i="1" s="1"/>
  <c r="Q1124" i="1"/>
  <c r="P1125" i="1"/>
  <c r="Q1125" i="1"/>
  <c r="P1126" i="1"/>
  <c r="Q1126" i="1"/>
  <c r="R1126" i="1" s="1"/>
  <c r="P1127" i="1"/>
  <c r="Q1127" i="1"/>
  <c r="R1127" i="1" s="1"/>
  <c r="P1128" i="1"/>
  <c r="Q1128" i="1"/>
  <c r="P1129" i="1"/>
  <c r="P1130" i="1"/>
  <c r="Q1129" i="1"/>
  <c r="P1131" i="1"/>
  <c r="Q1130" i="1"/>
  <c r="R1130" i="1" s="1"/>
  <c r="R1129" i="1"/>
  <c r="S1129" i="1" s="1"/>
  <c r="Q1131" i="1"/>
  <c r="R1131" i="1" s="1"/>
  <c r="P1132" i="1"/>
  <c r="Q1132" i="1"/>
  <c r="P1133" i="1"/>
  <c r="P1134" i="1"/>
  <c r="Q1133" i="1"/>
  <c r="R1133" i="1" s="1"/>
  <c r="P1135" i="1"/>
  <c r="Q1134" i="1"/>
  <c r="P1136" i="1"/>
  <c r="Q1135" i="1"/>
  <c r="Q1136" i="1"/>
  <c r="P1137" i="1"/>
  <c r="R1135" i="1"/>
  <c r="S1135" i="1"/>
  <c r="P1138" i="1"/>
  <c r="Q1137" i="1"/>
  <c r="P1139" i="1"/>
  <c r="Q1138" i="1"/>
  <c r="R1137" i="1"/>
  <c r="S1137" i="1"/>
  <c r="Q1139" i="1"/>
  <c r="P1140" i="1"/>
  <c r="R1139" i="1"/>
  <c r="S1139" i="1" s="1"/>
  <c r="P1141" i="1"/>
  <c r="Q1140" i="1"/>
  <c r="R1140" i="1" s="1"/>
  <c r="P1142" i="1"/>
  <c r="Q1141" i="1"/>
  <c r="R1141" i="1" s="1"/>
  <c r="Q1142" i="1"/>
  <c r="R1142" i="1" s="1"/>
  <c r="P1143" i="1"/>
  <c r="P1144" i="1"/>
  <c r="Q1143" i="1"/>
  <c r="P1145" i="1"/>
  <c r="Q1144" i="1"/>
  <c r="P1146" i="1"/>
  <c r="Q1145" i="1"/>
  <c r="P1147" i="1"/>
  <c r="Q1146" i="1"/>
  <c r="R1146" i="1" s="1"/>
  <c r="P1148" i="1"/>
  <c r="Q1147" i="1"/>
  <c r="Q1148" i="1"/>
  <c r="P1149" i="1"/>
  <c r="Q1149" i="1"/>
  <c r="P1150" i="1"/>
  <c r="Q1150" i="1"/>
  <c r="P1151" i="1"/>
  <c r="Q1151" i="1"/>
  <c r="P1152" i="1"/>
  <c r="Q1152" i="1"/>
  <c r="P1153" i="1"/>
  <c r="Q1153" i="1"/>
  <c r="P1154" i="1"/>
  <c r="P1155" i="1"/>
  <c r="Q1154" i="1"/>
  <c r="Q1155" i="1"/>
  <c r="P1156" i="1"/>
  <c r="P1157" i="1"/>
  <c r="Q1156" i="1"/>
  <c r="R1156" i="1" s="1"/>
  <c r="Q1157" i="1"/>
  <c r="R1157" i="1" s="1"/>
  <c r="P1158" i="1"/>
  <c r="Q1158" i="1"/>
  <c r="R1158" i="1" s="1"/>
  <c r="P1159" i="1"/>
  <c r="Q1159" i="1"/>
  <c r="P1160" i="1"/>
  <c r="Q1160" i="1"/>
  <c r="R1160" i="1" s="1"/>
  <c r="P1161" i="1"/>
  <c r="P1162" i="1"/>
  <c r="Q1161" i="1"/>
  <c r="Q1162" i="1"/>
  <c r="R1162" i="1" s="1"/>
  <c r="P1163" i="1"/>
  <c r="Q1163" i="1"/>
  <c r="R1163" i="1" s="1"/>
  <c r="P1164" i="1"/>
  <c r="Q1164" i="1"/>
  <c r="P1165" i="1"/>
  <c r="Q1165" i="1"/>
  <c r="P1166" i="1"/>
  <c r="P1167" i="1"/>
  <c r="Q1166" i="1"/>
  <c r="R1166" i="1" s="1"/>
  <c r="P1168" i="1"/>
  <c r="Q1167" i="1"/>
  <c r="Q1168" i="1"/>
  <c r="P1169" i="1"/>
  <c r="R1168" i="1"/>
  <c r="S1168" i="1" s="1"/>
  <c r="P1170" i="1"/>
  <c r="Q1169" i="1"/>
  <c r="R1169" i="1" s="1"/>
  <c r="P1171" i="1"/>
  <c r="Q1170" i="1"/>
  <c r="Q1171" i="1"/>
  <c r="P1172" i="1"/>
  <c r="R1170" i="1"/>
  <c r="S1170" i="1" s="1"/>
  <c r="Q1172" i="1"/>
  <c r="P1173" i="1"/>
  <c r="Q1173" i="1"/>
  <c r="P1174" i="1"/>
  <c r="P1175" i="1"/>
  <c r="Q1174" i="1"/>
  <c r="R1174" i="1" s="1"/>
  <c r="Q1175" i="1"/>
  <c r="P1176" i="1"/>
  <c r="P1177" i="1"/>
  <c r="Q1176" i="1"/>
  <c r="Q1177" i="1"/>
  <c r="P1178" i="1"/>
  <c r="R1176" i="1"/>
  <c r="S1176" i="1"/>
  <c r="Q1178" i="1"/>
  <c r="P1179" i="1"/>
  <c r="P1180" i="1"/>
  <c r="Q1179" i="1"/>
  <c r="Q1180" i="1"/>
  <c r="P1181" i="1"/>
  <c r="P1182" i="1"/>
  <c r="Q1181" i="1"/>
  <c r="P1183" i="1"/>
  <c r="Q1182" i="1"/>
  <c r="R1182" i="1" s="1"/>
  <c r="Q1183" i="1"/>
  <c r="P1184" i="1"/>
  <c r="Q1184" i="1"/>
  <c r="P1185" i="1"/>
  <c r="Q1185" i="1"/>
  <c r="P1186" i="1"/>
  <c r="Q1186" i="1"/>
  <c r="P1187" i="1"/>
  <c r="R1186" i="1"/>
  <c r="S1186" i="1" s="1"/>
  <c r="P1188" i="1"/>
  <c r="Q1187" i="1"/>
  <c r="P1189" i="1"/>
  <c r="Q1188" i="1"/>
  <c r="R1188" i="1" s="1"/>
  <c r="Q1189" i="1"/>
  <c r="P1190" i="1"/>
  <c r="R1189" i="1"/>
  <c r="S1189" i="1" s="1"/>
  <c r="P1191" i="1"/>
  <c r="Q1190" i="1"/>
  <c r="Q1191" i="1"/>
  <c r="P1192" i="1"/>
  <c r="Q1192" i="1"/>
  <c r="R1192" i="1" s="1"/>
  <c r="P1193" i="1"/>
  <c r="Q1193" i="1"/>
  <c r="P1194" i="1"/>
  <c r="Q1194" i="1"/>
  <c r="P1195" i="1"/>
  <c r="P1196" i="1"/>
  <c r="Q1195" i="1"/>
  <c r="Q1196" i="1"/>
  <c r="R1196" i="1" s="1"/>
  <c r="P1197" i="1"/>
  <c r="Q1197" i="1"/>
  <c r="P1198" i="1"/>
  <c r="P1199" i="1"/>
  <c r="Q1198" i="1"/>
  <c r="P1200" i="1"/>
  <c r="Q1199" i="1"/>
  <c r="R1199" i="1" s="1"/>
  <c r="R1198" i="1"/>
  <c r="S1198" i="1" s="1"/>
  <c r="Q1200" i="1"/>
  <c r="P1201" i="1"/>
  <c r="P1202" i="1"/>
  <c r="Q1201" i="1"/>
  <c r="Q1202" i="1"/>
  <c r="R1202" i="1" s="1"/>
  <c r="P1203" i="1"/>
  <c r="Q1203" i="1"/>
  <c r="P1204" i="1"/>
  <c r="P1205" i="1"/>
  <c r="Q1204" i="1"/>
  <c r="P1206" i="1"/>
  <c r="Q1205" i="1"/>
  <c r="R1204" i="1"/>
  <c r="S1204" i="1" s="1"/>
  <c r="Q1206" i="1"/>
  <c r="P1207" i="1"/>
  <c r="Q1207" i="1"/>
  <c r="P1208" i="1"/>
  <c r="Q1208" i="1"/>
  <c r="P1209" i="1"/>
  <c r="R1208" i="1"/>
  <c r="S1208" i="1"/>
  <c r="Q1209" i="1"/>
  <c r="R1209" i="1" s="1"/>
  <c r="P1210" i="1"/>
  <c r="P1211" i="1"/>
  <c r="Q1210" i="1"/>
  <c r="R1210" i="1" s="1"/>
  <c r="P1212" i="1"/>
  <c r="Q1211" i="1"/>
  <c r="R1211" i="1" s="1"/>
  <c r="P1213" i="1"/>
  <c r="Q1212" i="1"/>
  <c r="R1212" i="1" s="1"/>
  <c r="Q1213" i="1"/>
  <c r="R1213" i="1" s="1"/>
  <c r="P1214" i="1"/>
  <c r="Q1214" i="1"/>
  <c r="P1215" i="1"/>
  <c r="Q1215" i="1"/>
  <c r="P1216" i="1"/>
  <c r="P1217" i="1"/>
  <c r="Q1216" i="1"/>
  <c r="R1216" i="1" s="1"/>
  <c r="Q1217" i="1"/>
  <c r="P1218" i="1"/>
  <c r="Q1218" i="1"/>
  <c r="P1219" i="1"/>
  <c r="R1218" i="1"/>
  <c r="S1218" i="1" s="1"/>
  <c r="Q1219" i="1"/>
  <c r="P1220" i="1"/>
  <c r="P1221" i="1"/>
  <c r="Q1220" i="1"/>
  <c r="R1220" i="1" s="1"/>
  <c r="Q1221" i="1"/>
  <c r="P1222" i="1"/>
  <c r="R1221" i="1"/>
  <c r="S1221" i="1" s="1"/>
  <c r="Q1222" i="1"/>
  <c r="R1222" i="1" s="1"/>
  <c r="P1223" i="1"/>
  <c r="P1224" i="1"/>
  <c r="Q1223" i="1"/>
  <c r="P1225" i="1"/>
  <c r="Q1224" i="1"/>
  <c r="P1226" i="1"/>
  <c r="Q1225" i="1"/>
  <c r="R1224" i="1"/>
  <c r="S1224" i="1" s="1"/>
  <c r="P1227" i="1"/>
  <c r="Q1226" i="1"/>
  <c r="R1226" i="1" s="1"/>
  <c r="Q1227" i="1"/>
  <c r="P1228" i="1"/>
  <c r="Q1228" i="1"/>
  <c r="P1229" i="1"/>
  <c r="R1228" i="1"/>
  <c r="S1228" i="1" s="1"/>
  <c r="P1230" i="1"/>
  <c r="Q1229" i="1"/>
  <c r="Q1230" i="1"/>
  <c r="R1230" i="1" s="1"/>
  <c r="P1231" i="1"/>
  <c r="R1229" i="1"/>
  <c r="S1229" i="1" s="1"/>
  <c r="Q1231" i="1"/>
  <c r="P1232" i="1"/>
  <c r="Q1232" i="1"/>
  <c r="R1232" i="1" s="1"/>
  <c r="P1233" i="1"/>
  <c r="Q1233" i="1"/>
  <c r="P1234" i="1"/>
  <c r="P1235" i="1"/>
  <c r="Q1234" i="1"/>
  <c r="R1234" i="1" s="1"/>
  <c r="Q1235" i="1"/>
  <c r="P1236" i="1"/>
  <c r="P1237" i="1"/>
  <c r="Q1236" i="1"/>
  <c r="Q1237" i="1"/>
  <c r="R1237" i="1" s="1"/>
  <c r="P1238" i="1"/>
  <c r="R1236" i="1"/>
  <c r="S1236" i="1"/>
  <c r="P1239" i="1"/>
  <c r="Q1238" i="1"/>
  <c r="R1238" i="1" s="1"/>
  <c r="P1240" i="1"/>
  <c r="Q1239" i="1"/>
  <c r="R1239" i="1" s="1"/>
  <c r="Q1240" i="1"/>
  <c r="R1240" i="1" s="1"/>
  <c r="P1241" i="1"/>
  <c r="P1242" i="1"/>
  <c r="Q1241" i="1"/>
  <c r="Q1242" i="1"/>
  <c r="R1242" i="1" s="1"/>
  <c r="P1243" i="1"/>
  <c r="P1244" i="1"/>
  <c r="Q1243" i="1"/>
  <c r="Q1244" i="1"/>
  <c r="P1245" i="1"/>
  <c r="Q1245" i="1"/>
  <c r="P1246" i="1"/>
  <c r="Q1246" i="1"/>
  <c r="P1247" i="1"/>
  <c r="P1248" i="1"/>
  <c r="Q1247" i="1"/>
  <c r="P1249" i="1"/>
  <c r="Q1248" i="1"/>
  <c r="P1250" i="1"/>
  <c r="Q1249" i="1"/>
  <c r="Q1250" i="1"/>
  <c r="R1250" i="1" s="1"/>
  <c r="P1251" i="1"/>
  <c r="Q1251" i="1"/>
  <c r="P1252" i="1"/>
  <c r="P1253" i="1"/>
  <c r="Q1252" i="1"/>
  <c r="Q1253" i="1"/>
  <c r="P1254" i="1"/>
  <c r="R1252" i="1"/>
  <c r="S1252" i="1"/>
  <c r="Q1254" i="1"/>
  <c r="P1255" i="1"/>
  <c r="P1256" i="1"/>
  <c r="Q1255" i="1"/>
  <c r="Q1256" i="1"/>
  <c r="P1257" i="1"/>
  <c r="Q1257" i="1"/>
  <c r="P1258" i="1"/>
  <c r="Q1258" i="1"/>
  <c r="R1258" i="1" s="1"/>
  <c r="P1259" i="1"/>
  <c r="P1260" i="1"/>
  <c r="Q1259" i="1"/>
  <c r="Q1260" i="1"/>
  <c r="R1260" i="1" s="1"/>
  <c r="P1261" i="1"/>
  <c r="Q1261" i="1"/>
  <c r="P1262" i="1"/>
  <c r="P1263" i="1"/>
  <c r="Q1262" i="1"/>
  <c r="P1264" i="1"/>
  <c r="Q1263" i="1"/>
  <c r="R1262" i="1"/>
  <c r="S1262" i="1"/>
  <c r="Q1264" i="1"/>
  <c r="R1264" i="1" s="1"/>
  <c r="P1265" i="1"/>
  <c r="R1263" i="1"/>
  <c r="S1263" i="1"/>
  <c r="Q1265" i="1"/>
  <c r="P1266" i="1"/>
  <c r="P1267" i="1"/>
  <c r="Q1266" i="1"/>
  <c r="R1266" i="1" s="1"/>
  <c r="Q1267" i="1"/>
  <c r="P1268" i="1"/>
  <c r="Q1268" i="1"/>
  <c r="R1268" i="1" s="1"/>
  <c r="P1269" i="1"/>
  <c r="P1270" i="1"/>
  <c r="Q1269" i="1"/>
  <c r="R1269" i="1" s="1"/>
  <c r="Q1270" i="1"/>
  <c r="P1271" i="1"/>
  <c r="P1272" i="1"/>
  <c r="Q1271" i="1"/>
  <c r="P1273" i="1"/>
  <c r="Q1272" i="1"/>
  <c r="R1272" i="1" s="1"/>
  <c r="P1274" i="1"/>
  <c r="Q1273" i="1"/>
  <c r="P1275" i="1"/>
  <c r="Q1274" i="1"/>
  <c r="R1274" i="1" s="1"/>
  <c r="P1276" i="1"/>
  <c r="Q1275" i="1"/>
  <c r="P1277" i="1"/>
  <c r="Q1276" i="1"/>
  <c r="R1276" i="1" s="1"/>
  <c r="P1278" i="1"/>
  <c r="Q1277" i="1"/>
  <c r="R1277" i="1" s="1"/>
  <c r="Q1278" i="1"/>
  <c r="P1279" i="1"/>
  <c r="R1278" i="1"/>
  <c r="S1278" i="1"/>
  <c r="P1280" i="1"/>
  <c r="Q1279" i="1"/>
  <c r="R1279" i="1" s="1"/>
  <c r="Q1280" i="1"/>
  <c r="P1281" i="1"/>
  <c r="P1282" i="1"/>
  <c r="Q1281" i="1"/>
  <c r="R1281" i="1" s="1"/>
  <c r="Q1282" i="1"/>
  <c r="P1283" i="1"/>
  <c r="P1284" i="1"/>
  <c r="Q1283" i="1"/>
  <c r="Q1284" i="1"/>
  <c r="P1285" i="1"/>
  <c r="P1286" i="1"/>
  <c r="Q1285" i="1"/>
  <c r="R1285" i="1" s="1"/>
  <c r="P1287" i="1"/>
  <c r="Q1286" i="1"/>
  <c r="R1286" i="1" s="1"/>
  <c r="Q1287" i="1"/>
  <c r="P1288" i="1"/>
  <c r="P1289" i="1"/>
  <c r="Q1288" i="1"/>
  <c r="Q1289" i="1"/>
  <c r="P1290" i="1"/>
  <c r="R1288" i="1"/>
  <c r="S1288" i="1"/>
  <c r="P1291" i="1"/>
  <c r="Q1290" i="1"/>
  <c r="R1290" i="1" s="1"/>
  <c r="Q1291" i="1"/>
  <c r="P1292" i="1"/>
  <c r="Q1292" i="1"/>
  <c r="R1292" i="1" s="1"/>
  <c r="P1293" i="1"/>
  <c r="Q1293" i="1"/>
  <c r="R1293" i="1" s="1"/>
  <c r="P1294" i="1"/>
  <c r="Q1294" i="1"/>
  <c r="R1294" i="1" s="1"/>
  <c r="P1295" i="1"/>
  <c r="P1296" i="1"/>
  <c r="Q1295" i="1"/>
  <c r="R1295" i="1" s="1"/>
  <c r="P1297" i="1"/>
  <c r="Q1296" i="1"/>
  <c r="Q1297" i="1"/>
  <c r="P1298" i="1"/>
  <c r="Q1298" i="1"/>
  <c r="R1298" i="1" s="1"/>
  <c r="P1299" i="1"/>
  <c r="P1300" i="1"/>
  <c r="Q1299" i="1"/>
  <c r="R1299" i="1" s="1"/>
  <c r="Q1300" i="1"/>
  <c r="R1300" i="1" s="1"/>
  <c r="P1301" i="1"/>
  <c r="Q1301" i="1"/>
  <c r="P1302" i="1"/>
  <c r="P1303" i="1"/>
  <c r="Q1302" i="1"/>
  <c r="P1304" i="1"/>
  <c r="Q1303" i="1"/>
  <c r="R1302" i="1"/>
  <c r="S1302" i="1" s="1"/>
  <c r="Q1304" i="1"/>
  <c r="P1305" i="1"/>
  <c r="R1304" i="1"/>
  <c r="S1304" i="1" s="1"/>
  <c r="P1306" i="1"/>
  <c r="Q1305" i="1"/>
  <c r="Q1306" i="1"/>
  <c r="R1306" i="1" s="1"/>
  <c r="P1307" i="1"/>
  <c r="P1308" i="1"/>
  <c r="Q1307" i="1"/>
  <c r="P1309" i="1"/>
  <c r="Q1308" i="1"/>
  <c r="Q1309" i="1"/>
  <c r="P1310" i="1"/>
  <c r="Q1310" i="1" s="1"/>
  <c r="R1308" i="1"/>
  <c r="S1308" i="1" s="1"/>
  <c r="R1309" i="1"/>
  <c r="S1309" i="1" s="1"/>
  <c r="AL61" i="5" l="1"/>
  <c r="AL60" i="5"/>
  <c r="AL59" i="5"/>
  <c r="AL58" i="5"/>
  <c r="I8" i="4"/>
  <c r="P36" i="5"/>
  <c r="R1310" i="1"/>
  <c r="S1310" i="1" s="1"/>
  <c r="S1298" i="1"/>
  <c r="S1290" i="1"/>
  <c r="S1281" i="1"/>
  <c r="S1272" i="1"/>
  <c r="S1264" i="1"/>
  <c r="R1254" i="1"/>
  <c r="S1254" i="1" s="1"/>
  <c r="R1245" i="1"/>
  <c r="S1245" i="1" s="1"/>
  <c r="S1237" i="1"/>
  <c r="S1226" i="1"/>
  <c r="R1215" i="1"/>
  <c r="S1215" i="1" s="1"/>
  <c r="R1206" i="1"/>
  <c r="S1206" i="1" s="1"/>
  <c r="S1196" i="1"/>
  <c r="R1187" i="1"/>
  <c r="S1187" i="1" s="1"/>
  <c r="R1178" i="1"/>
  <c r="S1178" i="1" s="1"/>
  <c r="R1167" i="1"/>
  <c r="S1167" i="1" s="1"/>
  <c r="R1159" i="1"/>
  <c r="S1159" i="1" s="1"/>
  <c r="R1151" i="1"/>
  <c r="S1151" i="1" s="1"/>
  <c r="R1143" i="1"/>
  <c r="S1143" i="1" s="1"/>
  <c r="R1132" i="1"/>
  <c r="S1132" i="1" s="1"/>
  <c r="S1123" i="1"/>
  <c r="R1115" i="1"/>
  <c r="S1115" i="1" s="1"/>
  <c r="S1105" i="1"/>
  <c r="S1095" i="1"/>
  <c r="S1085" i="1"/>
  <c r="R1077" i="1"/>
  <c r="S1077" i="1" s="1"/>
  <c r="S1067" i="1"/>
  <c r="R1056" i="1"/>
  <c r="S1056" i="1" s="1"/>
  <c r="R1047" i="1"/>
  <c r="S1047" i="1" s="1"/>
  <c r="R1036" i="1"/>
  <c r="S1036" i="1" s="1"/>
  <c r="S1028" i="1"/>
  <c r="S1018" i="1"/>
  <c r="S1007" i="1"/>
  <c r="R998" i="1"/>
  <c r="S998" i="1" s="1"/>
  <c r="R986" i="1"/>
  <c r="S986" i="1" s="1"/>
  <c r="R976" i="1"/>
  <c r="S976" i="1" s="1"/>
  <c r="S968" i="1"/>
  <c r="R959" i="1"/>
  <c r="S959" i="1" s="1"/>
  <c r="R950" i="1"/>
  <c r="S950" i="1" s="1"/>
  <c r="R940" i="1"/>
  <c r="S940" i="1" s="1"/>
  <c r="S930" i="1"/>
  <c r="S919" i="1"/>
  <c r="R910" i="1"/>
  <c r="S910" i="1" s="1"/>
  <c r="R901" i="1"/>
  <c r="S901" i="1" s="1"/>
  <c r="R893" i="1"/>
  <c r="S893" i="1" s="1"/>
  <c r="R882" i="1"/>
  <c r="S882" i="1" s="1"/>
  <c r="S872" i="1"/>
  <c r="R862" i="1"/>
  <c r="S862" i="1" s="1"/>
  <c r="R852" i="1"/>
  <c r="S852" i="1" s="1"/>
  <c r="R841" i="1"/>
  <c r="S841" i="1" s="1"/>
  <c r="R830" i="1"/>
  <c r="S830" i="1" s="1"/>
  <c r="R819" i="1"/>
  <c r="S819" i="1" s="1"/>
  <c r="R811" i="1"/>
  <c r="S811" i="1" s="1"/>
  <c r="R803" i="1"/>
  <c r="S803" i="1" s="1"/>
  <c r="S791" i="1"/>
  <c r="S781" i="1"/>
  <c r="R770" i="1"/>
  <c r="S770" i="1" s="1"/>
  <c r="R761" i="1"/>
  <c r="S761" i="1" s="1"/>
  <c r="S752" i="1"/>
  <c r="R743" i="1"/>
  <c r="S743" i="1" s="1"/>
  <c r="R735" i="1"/>
  <c r="S735" i="1" s="1"/>
  <c r="S726" i="1"/>
  <c r="R716" i="1"/>
  <c r="S716" i="1" s="1"/>
  <c r="S707" i="1"/>
  <c r="S698" i="1"/>
  <c r="R689" i="1"/>
  <c r="S689" i="1" s="1"/>
  <c r="S680" i="1"/>
  <c r="S669" i="1"/>
  <c r="S661" i="1"/>
  <c r="S652" i="1"/>
  <c r="S641" i="1"/>
  <c r="R632" i="1"/>
  <c r="S632" i="1" s="1"/>
  <c r="R622" i="1"/>
  <c r="S622" i="1" s="1"/>
  <c r="R614" i="1"/>
  <c r="S614" i="1" s="1"/>
  <c r="R605" i="1"/>
  <c r="S605" i="1" s="1"/>
  <c r="S595" i="1"/>
  <c r="R584" i="1"/>
  <c r="S584" i="1" s="1"/>
  <c r="S575" i="1"/>
  <c r="S567" i="1"/>
  <c r="R557" i="1"/>
  <c r="S557" i="1" s="1"/>
  <c r="R548" i="1"/>
  <c r="S548" i="1" s="1"/>
  <c r="S539" i="1"/>
  <c r="R530" i="1"/>
  <c r="S530" i="1" s="1"/>
  <c r="R520" i="1"/>
  <c r="S520" i="1" s="1"/>
  <c r="R510" i="1"/>
  <c r="S510" i="1" s="1"/>
  <c r="S500" i="1"/>
  <c r="S491" i="1"/>
  <c r="S481" i="1"/>
  <c r="S473" i="1"/>
  <c r="R465" i="1"/>
  <c r="S465" i="1" s="1"/>
  <c r="S457" i="1"/>
  <c r="R448" i="1"/>
  <c r="S448" i="1" s="1"/>
  <c r="R440" i="1"/>
  <c r="S440" i="1" s="1"/>
  <c r="S432" i="1"/>
  <c r="R422" i="1"/>
  <c r="S422" i="1" s="1"/>
  <c r="R413" i="1"/>
  <c r="S413" i="1" s="1"/>
  <c r="S402" i="1"/>
  <c r="R394" i="1"/>
  <c r="S394" i="1" s="1"/>
  <c r="R385" i="1"/>
  <c r="S385" i="1" s="1"/>
  <c r="S377" i="1"/>
  <c r="S368" i="1"/>
  <c r="R360" i="1"/>
  <c r="S360" i="1" s="1"/>
  <c r="R350" i="1"/>
  <c r="S350" i="1" s="1"/>
  <c r="S341" i="1"/>
  <c r="R331" i="1"/>
  <c r="S331" i="1" s="1"/>
  <c r="R317" i="1"/>
  <c r="S317" i="1" s="1"/>
  <c r="S309" i="1"/>
  <c r="S301" i="1"/>
  <c r="R291" i="1"/>
  <c r="S291" i="1" s="1"/>
  <c r="R280" i="1"/>
  <c r="S280" i="1" s="1"/>
  <c r="R271" i="1"/>
  <c r="S271" i="1" s="1"/>
  <c r="S260" i="1"/>
  <c r="R249" i="1"/>
  <c r="S249" i="1" s="1"/>
  <c r="R238" i="1"/>
  <c r="S238" i="1" s="1"/>
  <c r="S227" i="1"/>
  <c r="R219" i="1"/>
  <c r="S219" i="1" s="1"/>
  <c r="R210" i="1"/>
  <c r="S210" i="1" s="1"/>
  <c r="S201" i="1"/>
  <c r="R192" i="1"/>
  <c r="S192" i="1" s="1"/>
  <c r="S183" i="1"/>
  <c r="R174" i="1"/>
  <c r="S174" i="1" s="1"/>
  <c r="S164" i="1"/>
  <c r="S155" i="1"/>
  <c r="S146" i="1"/>
  <c r="R136" i="1"/>
  <c r="S136" i="1" s="1"/>
  <c r="R128" i="1"/>
  <c r="S128" i="1" s="1"/>
  <c r="R118" i="1"/>
  <c r="S118" i="1" s="1"/>
  <c r="S109" i="1"/>
  <c r="R99" i="1"/>
  <c r="S99" i="1" s="1"/>
  <c r="S90" i="1"/>
  <c r="R82" i="1"/>
  <c r="S82" i="1" s="1"/>
  <c r="S73" i="1"/>
  <c r="R65" i="1"/>
  <c r="S65" i="1" s="1"/>
  <c r="S55" i="1"/>
  <c r="S47" i="1"/>
  <c r="R38" i="1"/>
  <c r="S38" i="1" s="1"/>
  <c r="R29" i="1"/>
  <c r="S29" i="1" s="1"/>
  <c r="R19" i="1"/>
  <c r="S19" i="1" s="1"/>
  <c r="R10" i="1"/>
  <c r="S10" i="1" s="1"/>
  <c r="T8" i="5"/>
  <c r="R19" i="5"/>
  <c r="R32" i="5"/>
  <c r="R30" i="5"/>
  <c r="T5" i="5"/>
  <c r="S330" i="1"/>
  <c r="R270" i="1"/>
  <c r="S270" i="1" s="1"/>
  <c r="R248" i="1"/>
  <c r="S248" i="1" s="1"/>
  <c r="R226" i="1"/>
  <c r="S226" i="1" s="1"/>
  <c r="R217" i="1"/>
  <c r="S217" i="1" s="1"/>
  <c r="R200" i="1"/>
  <c r="S200" i="1" s="1"/>
  <c r="R190" i="1"/>
  <c r="S190" i="1" s="1"/>
  <c r="R173" i="1"/>
  <c r="S173" i="1" s="1"/>
  <c r="R162" i="1"/>
  <c r="S162" i="1" s="1"/>
  <c r="R145" i="1"/>
  <c r="S145" i="1" s="1"/>
  <c r="S135" i="1"/>
  <c r="R117" i="1"/>
  <c r="S117" i="1" s="1"/>
  <c r="R108" i="1"/>
  <c r="S108" i="1" s="1"/>
  <c r="S89" i="1"/>
  <c r="S81" i="1"/>
  <c r="R64" i="1"/>
  <c r="S64" i="1" s="1"/>
  <c r="R46" i="1"/>
  <c r="S46" i="1" s="1"/>
  <c r="R28" i="1"/>
  <c r="S28" i="1" s="1"/>
  <c r="R18" i="1"/>
  <c r="S18" i="1" s="1"/>
  <c r="R591" i="1"/>
  <c r="S591" i="1" s="1"/>
  <c r="S489" i="1"/>
  <c r="R454" i="1"/>
  <c r="S454" i="1" s="1"/>
  <c r="R446" i="1"/>
  <c r="S446" i="1" s="1"/>
  <c r="R428" i="1"/>
  <c r="S428" i="1" s="1"/>
  <c r="S420" i="1"/>
  <c r="R400" i="1"/>
  <c r="S400" i="1" s="1"/>
  <c r="R383" i="1"/>
  <c r="S383" i="1" s="1"/>
  <c r="S375" i="1"/>
  <c r="S357" i="1"/>
  <c r="S338" i="1"/>
  <c r="S315" i="1"/>
  <c r="R299" i="1"/>
  <c r="S299" i="1" s="1"/>
  <c r="S278" i="1"/>
  <c r="S257" i="1"/>
  <c r="R236" i="1"/>
  <c r="S236" i="1" s="1"/>
  <c r="R216" i="1"/>
  <c r="S216" i="1" s="1"/>
  <c r="R208" i="1"/>
  <c r="S208" i="1" s="1"/>
  <c r="R189" i="1"/>
  <c r="S189" i="1" s="1"/>
  <c r="S172" i="1"/>
  <c r="R153" i="1"/>
  <c r="S153" i="1" s="1"/>
  <c r="R144" i="1"/>
  <c r="S144" i="1" s="1"/>
  <c r="R126" i="1"/>
  <c r="S126" i="1" s="1"/>
  <c r="R107" i="1"/>
  <c r="S107" i="1" s="1"/>
  <c r="R97" i="1"/>
  <c r="S97" i="1" s="1"/>
  <c r="R80" i="1"/>
  <c r="S80" i="1" s="1"/>
  <c r="S63" i="1"/>
  <c r="R45" i="1"/>
  <c r="S45" i="1" s="1"/>
  <c r="R36" i="1"/>
  <c r="S36" i="1" s="1"/>
  <c r="S17" i="1"/>
  <c r="R16" i="5"/>
  <c r="R28" i="5"/>
  <c r="S1053" i="1"/>
  <c r="R936" i="1"/>
  <c r="S936" i="1" s="1"/>
  <c r="R916" i="1"/>
  <c r="S916" i="1" s="1"/>
  <c r="R898" i="1"/>
  <c r="S898" i="1" s="1"/>
  <c r="S879" i="1"/>
  <c r="S859" i="1"/>
  <c r="R835" i="1"/>
  <c r="S835" i="1" s="1"/>
  <c r="S808" i="1"/>
  <c r="S787" i="1"/>
  <c r="R767" i="1"/>
  <c r="S767" i="1" s="1"/>
  <c r="R748" i="1"/>
  <c r="S748" i="1" s="1"/>
  <c r="R731" i="1"/>
  <c r="S731" i="1" s="1"/>
  <c r="S713" i="1"/>
  <c r="S695" i="1"/>
  <c r="R674" i="1"/>
  <c r="S674" i="1" s="1"/>
  <c r="S657" i="1"/>
  <c r="S637" i="1"/>
  <c r="S611" i="1"/>
  <c r="S581" i="1"/>
  <c r="R564" i="1"/>
  <c r="S564" i="1" s="1"/>
  <c r="R544" i="1"/>
  <c r="S544" i="1" s="1"/>
  <c r="R527" i="1"/>
  <c r="S527" i="1" s="1"/>
  <c r="R505" i="1"/>
  <c r="S505" i="1" s="1"/>
  <c r="R496" i="1"/>
  <c r="S496" i="1" s="1"/>
  <c r="S478" i="1"/>
  <c r="R462" i="1"/>
  <c r="S462" i="1" s="1"/>
  <c r="R445" i="1"/>
  <c r="S445" i="1" s="1"/>
  <c r="S427" i="1"/>
  <c r="R399" i="1"/>
  <c r="S399" i="1" s="1"/>
  <c r="S382" i="1"/>
  <c r="R356" i="1"/>
  <c r="S356" i="1" s="1"/>
  <c r="S326" i="1"/>
  <c r="S297" i="1"/>
  <c r="S267" i="1"/>
  <c r="R224" i="1"/>
  <c r="S224" i="1" s="1"/>
  <c r="S198" i="1"/>
  <c r="R152" i="1"/>
  <c r="S152" i="1" s="1"/>
  <c r="S125" i="1"/>
  <c r="R96" i="1"/>
  <c r="S96" i="1" s="1"/>
  <c r="S62" i="1"/>
  <c r="S35" i="1"/>
  <c r="S6" i="1"/>
  <c r="R12" i="5"/>
  <c r="S815" i="1"/>
  <c r="R693" i="1"/>
  <c r="S693" i="1" s="1"/>
  <c r="R656" i="1"/>
  <c r="S656" i="1" s="1"/>
  <c r="R626" i="1"/>
  <c r="S626" i="1" s="1"/>
  <c r="S600" i="1"/>
  <c r="S563" i="1"/>
  <c r="R535" i="1"/>
  <c r="S535" i="1" s="1"/>
  <c r="R514" i="1"/>
  <c r="S514" i="1" s="1"/>
  <c r="R486" i="1"/>
  <c r="S486" i="1" s="1"/>
  <c r="S452" i="1"/>
  <c r="R426" i="1"/>
  <c r="S426" i="1" s="1"/>
  <c r="R398" i="1"/>
  <c r="S398" i="1" s="1"/>
  <c r="R372" i="1"/>
  <c r="S372" i="1" s="1"/>
  <c r="S354" i="1"/>
  <c r="R313" i="1"/>
  <c r="S313" i="1" s="1"/>
  <c r="S286" i="1"/>
  <c r="S232" i="1"/>
  <c r="R205" i="1"/>
  <c r="S205" i="1" s="1"/>
  <c r="R178" i="1"/>
  <c r="S178" i="1" s="1"/>
  <c r="R150" i="1"/>
  <c r="S150" i="1" s="1"/>
  <c r="R114" i="1"/>
  <c r="S114" i="1" s="1"/>
  <c r="S95" i="1"/>
  <c r="R78" i="1"/>
  <c r="S78" i="1" s="1"/>
  <c r="R42" i="1"/>
  <c r="S42" i="1" s="1"/>
  <c r="S5" i="1"/>
  <c r="R944" i="1"/>
  <c r="S944" i="1" s="1"/>
  <c r="S844" i="1"/>
  <c r="S814" i="1"/>
  <c r="S764" i="1"/>
  <c r="S729" i="1"/>
  <c r="S692" i="1"/>
  <c r="R655" i="1"/>
  <c r="S655" i="1" s="1"/>
  <c r="S617" i="1"/>
  <c r="R570" i="1"/>
  <c r="S570" i="1" s="1"/>
  <c r="S542" i="1"/>
  <c r="R494" i="1"/>
  <c r="S494" i="1" s="1"/>
  <c r="S468" i="1"/>
  <c r="R425" i="1"/>
  <c r="S425" i="1" s="1"/>
  <c r="R397" i="1"/>
  <c r="S397" i="1" s="1"/>
  <c r="S353" i="1"/>
  <c r="R322" i="1"/>
  <c r="S322" i="1" s="1"/>
  <c r="S294" i="1"/>
  <c r="S265" i="1"/>
  <c r="S204" i="1"/>
  <c r="R158" i="1"/>
  <c r="S158" i="1" s="1"/>
  <c r="R122" i="1"/>
  <c r="S122" i="1" s="1"/>
  <c r="R94" i="1"/>
  <c r="S94" i="1" s="1"/>
  <c r="R58" i="1"/>
  <c r="S58" i="1" s="1"/>
  <c r="R32" i="1"/>
  <c r="S32" i="1" s="1"/>
  <c r="R27" i="5"/>
  <c r="Q36" i="5"/>
  <c r="S989" i="1"/>
  <c r="S913" i="1"/>
  <c r="R865" i="1"/>
  <c r="S865" i="1" s="1"/>
  <c r="S832" i="1"/>
  <c r="S793" i="1"/>
  <c r="S773" i="1"/>
  <c r="R728" i="1"/>
  <c r="S728" i="1" s="1"/>
  <c r="S700" i="1"/>
  <c r="R644" i="1"/>
  <c r="S644" i="1" s="1"/>
  <c r="R607" i="1"/>
  <c r="S607" i="1" s="1"/>
  <c r="R586" i="1"/>
  <c r="S586" i="1" s="1"/>
  <c r="R551" i="1"/>
  <c r="S551" i="1" s="1"/>
  <c r="R502" i="1"/>
  <c r="S502" i="1" s="1"/>
  <c r="R483" i="1"/>
  <c r="S483" i="1" s="1"/>
  <c r="R450" i="1"/>
  <c r="S450" i="1" s="1"/>
  <c r="R404" i="1"/>
  <c r="S404" i="1" s="1"/>
  <c r="R379" i="1"/>
  <c r="S379" i="1" s="1"/>
  <c r="R352" i="1"/>
  <c r="S352" i="1" s="1"/>
  <c r="S311" i="1"/>
  <c r="S273" i="1"/>
  <c r="S221" i="1"/>
  <c r="R195" i="1"/>
  <c r="S195" i="1" s="1"/>
  <c r="S140" i="1"/>
  <c r="S103" i="1"/>
  <c r="R76" i="1"/>
  <c r="S76" i="1" s="1"/>
  <c r="R40" i="1"/>
  <c r="S40" i="1" s="1"/>
  <c r="R12" i="1"/>
  <c r="S12" i="1" s="1"/>
  <c r="R17" i="5"/>
  <c r="R386" i="1"/>
  <c r="S386" i="1" s="1"/>
  <c r="S292" i="1"/>
  <c r="R228" i="1"/>
  <c r="S228" i="1" s="1"/>
  <c r="R193" i="1"/>
  <c r="S193" i="1" s="1"/>
  <c r="R166" i="1"/>
  <c r="S166" i="1" s="1"/>
  <c r="R110" i="1"/>
  <c r="S110" i="1" s="1"/>
  <c r="R66" i="1"/>
  <c r="S66" i="1" s="1"/>
  <c r="R30" i="1"/>
  <c r="S30" i="1" s="1"/>
  <c r="R20" i="5"/>
  <c r="R1307" i="1"/>
  <c r="S1307" i="1" s="1"/>
  <c r="R1297" i="1"/>
  <c r="S1297" i="1" s="1"/>
  <c r="R1289" i="1"/>
  <c r="S1289" i="1" s="1"/>
  <c r="R1280" i="1"/>
  <c r="S1280" i="1" s="1"/>
  <c r="R1271" i="1"/>
  <c r="S1271" i="1" s="1"/>
  <c r="R1261" i="1"/>
  <c r="S1261" i="1" s="1"/>
  <c r="R1253" i="1"/>
  <c r="S1253" i="1" s="1"/>
  <c r="R1244" i="1"/>
  <c r="S1244" i="1" s="1"/>
  <c r="R1235" i="1"/>
  <c r="S1235" i="1" s="1"/>
  <c r="R1225" i="1"/>
  <c r="S1225" i="1" s="1"/>
  <c r="R1214" i="1"/>
  <c r="S1214" i="1" s="1"/>
  <c r="R1205" i="1"/>
  <c r="S1205" i="1" s="1"/>
  <c r="R1195" i="1"/>
  <c r="S1195" i="1" s="1"/>
  <c r="R1185" i="1"/>
  <c r="S1185" i="1" s="1"/>
  <c r="R1177" i="1"/>
  <c r="S1177" i="1" s="1"/>
  <c r="S1166" i="1"/>
  <c r="S1158" i="1"/>
  <c r="R1150" i="1"/>
  <c r="S1150" i="1" s="1"/>
  <c r="S1142" i="1"/>
  <c r="S1131" i="1"/>
  <c r="R1122" i="1"/>
  <c r="S1122" i="1" s="1"/>
  <c r="R1114" i="1"/>
  <c r="S1114" i="1" s="1"/>
  <c r="S1104" i="1"/>
  <c r="S1093" i="1"/>
  <c r="R1084" i="1"/>
  <c r="S1084" i="1" s="1"/>
  <c r="S1076" i="1"/>
  <c r="S1064" i="1"/>
  <c r="S1055" i="1"/>
  <c r="S1046" i="1"/>
  <c r="R1035" i="1"/>
  <c r="S1035" i="1" s="1"/>
  <c r="S1027" i="1"/>
  <c r="R1014" i="1"/>
  <c r="S1014" i="1" s="1"/>
  <c r="R1006" i="1"/>
  <c r="S1006" i="1" s="1"/>
  <c r="R994" i="1"/>
  <c r="S994" i="1" s="1"/>
  <c r="S985" i="1"/>
  <c r="S975" i="1"/>
  <c r="R967" i="1"/>
  <c r="S967" i="1" s="1"/>
  <c r="R958" i="1"/>
  <c r="S958" i="1" s="1"/>
  <c r="S949" i="1"/>
  <c r="S939" i="1"/>
  <c r="S929" i="1"/>
  <c r="R918" i="1"/>
  <c r="S918" i="1" s="1"/>
  <c r="S908" i="1"/>
  <c r="R900" i="1"/>
  <c r="S900" i="1" s="1"/>
  <c r="R892" i="1"/>
  <c r="S892" i="1" s="1"/>
  <c r="R881" i="1"/>
  <c r="S881" i="1" s="1"/>
  <c r="S871" i="1"/>
  <c r="S861" i="1"/>
  <c r="S850" i="1"/>
  <c r="S840" i="1"/>
  <c r="R829" i="1"/>
  <c r="S829" i="1" s="1"/>
  <c r="R818" i="1"/>
  <c r="S818" i="1" s="1"/>
  <c r="R810" i="1"/>
  <c r="S810" i="1" s="1"/>
  <c r="S802" i="1"/>
  <c r="S790" i="1"/>
  <c r="S780" i="1"/>
  <c r="R769" i="1"/>
  <c r="S769" i="1" s="1"/>
  <c r="R760" i="1"/>
  <c r="S760" i="1" s="1"/>
  <c r="S751" i="1"/>
  <c r="R742" i="1"/>
  <c r="S742" i="1" s="1"/>
  <c r="R734" i="1"/>
  <c r="S734" i="1" s="1"/>
  <c r="R725" i="1"/>
  <c r="S725" i="1" s="1"/>
  <c r="S715" i="1"/>
  <c r="S706" i="1"/>
  <c r="R697" i="1"/>
  <c r="S697" i="1" s="1"/>
  <c r="S688" i="1"/>
  <c r="S678" i="1"/>
  <c r="S668" i="1"/>
  <c r="R660" i="1"/>
  <c r="S660" i="1" s="1"/>
  <c r="R650" i="1"/>
  <c r="S650" i="1" s="1"/>
  <c r="R640" i="1"/>
  <c r="S640" i="1" s="1"/>
  <c r="R629" i="1"/>
  <c r="S629" i="1" s="1"/>
  <c r="S621" i="1"/>
  <c r="S613" i="1"/>
  <c r="R604" i="1"/>
  <c r="S604" i="1" s="1"/>
  <c r="S593" i="1"/>
  <c r="S583" i="1"/>
  <c r="R574" i="1"/>
  <c r="S574" i="1" s="1"/>
  <c r="R566" i="1"/>
  <c r="S566" i="1" s="1"/>
  <c r="R556" i="1"/>
  <c r="S556" i="1" s="1"/>
  <c r="R546" i="1"/>
  <c r="S546" i="1" s="1"/>
  <c r="R538" i="1"/>
  <c r="S538" i="1" s="1"/>
  <c r="R529" i="1"/>
  <c r="S529" i="1" s="1"/>
  <c r="R519" i="1"/>
  <c r="S519" i="1" s="1"/>
  <c r="S509" i="1"/>
  <c r="R498" i="1"/>
  <c r="S498" i="1" s="1"/>
  <c r="R490" i="1"/>
  <c r="S490" i="1" s="1"/>
  <c r="S480" i="1"/>
  <c r="R472" i="1"/>
  <c r="S472" i="1" s="1"/>
  <c r="R464" i="1"/>
  <c r="S464" i="1" s="1"/>
  <c r="S455" i="1"/>
  <c r="R447" i="1"/>
  <c r="S447" i="1" s="1"/>
  <c r="S439" i="1"/>
  <c r="S431" i="1"/>
  <c r="S421" i="1"/>
  <c r="R410" i="1"/>
  <c r="S410" i="1" s="1"/>
  <c r="R401" i="1"/>
  <c r="S401" i="1" s="1"/>
  <c r="R392" i="1"/>
  <c r="S392" i="1" s="1"/>
  <c r="S384" i="1"/>
  <c r="R376" i="1"/>
  <c r="S376" i="1" s="1"/>
  <c r="S367" i="1"/>
  <c r="R358" i="1"/>
  <c r="S358" i="1" s="1"/>
  <c r="S349" i="1"/>
  <c r="R340" i="1"/>
  <c r="S340" i="1" s="1"/>
  <c r="R316" i="1"/>
  <c r="S316" i="1" s="1"/>
  <c r="R308" i="1"/>
  <c r="S308" i="1" s="1"/>
  <c r="R300" i="1"/>
  <c r="S300" i="1" s="1"/>
  <c r="S290" i="1"/>
  <c r="S279" i="1"/>
  <c r="R259" i="1"/>
  <c r="S259" i="1" s="1"/>
  <c r="S237" i="1"/>
  <c r="R209" i="1"/>
  <c r="S209" i="1" s="1"/>
  <c r="R182" i="1"/>
  <c r="S182" i="1" s="1"/>
  <c r="R154" i="1"/>
  <c r="S154" i="1" s="1"/>
  <c r="S127" i="1"/>
  <c r="R98" i="1"/>
  <c r="S98" i="1" s="1"/>
  <c r="R72" i="1"/>
  <c r="S72" i="1" s="1"/>
  <c r="R54" i="1"/>
  <c r="S54" i="1" s="1"/>
  <c r="R37" i="1"/>
  <c r="S37" i="1" s="1"/>
  <c r="R8" i="1"/>
  <c r="S8" i="1" s="1"/>
  <c r="R24" i="5"/>
  <c r="R21" i="5"/>
  <c r="R14" i="5"/>
  <c r="M14" i="5"/>
  <c r="R582" i="1"/>
  <c r="S582" i="1" s="1"/>
  <c r="S479" i="1"/>
  <c r="S418" i="1"/>
  <c r="S365" i="1"/>
  <c r="R336" i="1"/>
  <c r="S336" i="1" s="1"/>
  <c r="R306" i="1"/>
  <c r="S306" i="1" s="1"/>
  <c r="S287" i="1"/>
  <c r="R255" i="1"/>
  <c r="S255" i="1" s="1"/>
  <c r="R234" i="1"/>
  <c r="S234" i="1" s="1"/>
  <c r="R206" i="1"/>
  <c r="S206" i="1" s="1"/>
  <c r="R188" i="1"/>
  <c r="S188" i="1" s="1"/>
  <c r="R160" i="1"/>
  <c r="S160" i="1" s="1"/>
  <c r="S133" i="1"/>
  <c r="R106" i="1"/>
  <c r="S106" i="1" s="1"/>
  <c r="S87" i="1"/>
  <c r="R70" i="1"/>
  <c r="S70" i="1" s="1"/>
  <c r="S44" i="1"/>
  <c r="R16" i="1"/>
  <c r="S16" i="1" s="1"/>
  <c r="R34" i="5"/>
  <c r="R22" i="5"/>
  <c r="S824" i="1"/>
  <c r="R684" i="1"/>
  <c r="S684" i="1" s="1"/>
  <c r="S636" i="1"/>
  <c r="R610" i="1"/>
  <c r="S610" i="1" s="1"/>
  <c r="S571" i="1"/>
  <c r="R543" i="1"/>
  <c r="S543" i="1" s="1"/>
  <c r="R504" i="1"/>
  <c r="S504" i="1" s="1"/>
  <c r="R477" i="1"/>
  <c r="S477" i="1" s="1"/>
  <c r="R444" i="1"/>
  <c r="S444" i="1" s="1"/>
  <c r="S417" i="1"/>
  <c r="S389" i="1"/>
  <c r="S364" i="1"/>
  <c r="R324" i="1"/>
  <c r="S324" i="1" s="1"/>
  <c r="R295" i="1"/>
  <c r="S295" i="1" s="1"/>
  <c r="S266" i="1"/>
  <c r="S223" i="1"/>
  <c r="S187" i="1"/>
  <c r="S159" i="1"/>
  <c r="S123" i="1"/>
  <c r="R86" i="1"/>
  <c r="S86" i="1" s="1"/>
  <c r="R60" i="1"/>
  <c r="S60" i="1" s="1"/>
  <c r="R34" i="1"/>
  <c r="S34" i="1" s="1"/>
  <c r="S896" i="1"/>
  <c r="S794" i="1"/>
  <c r="R756" i="1"/>
  <c r="S756" i="1" s="1"/>
  <c r="S719" i="1"/>
  <c r="R683" i="1"/>
  <c r="S683" i="1" s="1"/>
  <c r="S645" i="1"/>
  <c r="S599" i="1"/>
  <c r="R552" i="1"/>
  <c r="S552" i="1" s="1"/>
  <c r="R525" i="1"/>
  <c r="S525" i="1" s="1"/>
  <c r="S476" i="1"/>
  <c r="R435" i="1"/>
  <c r="S435" i="1" s="1"/>
  <c r="S380" i="1"/>
  <c r="R334" i="1"/>
  <c r="S334" i="1" s="1"/>
  <c r="R304" i="1"/>
  <c r="S304" i="1" s="1"/>
  <c r="R275" i="1"/>
  <c r="S275" i="1" s="1"/>
  <c r="R222" i="1"/>
  <c r="S222" i="1" s="1"/>
  <c r="R186" i="1"/>
  <c r="S186" i="1" s="1"/>
  <c r="R168" i="1"/>
  <c r="S168" i="1" s="1"/>
  <c r="R131" i="1"/>
  <c r="S131" i="1" s="1"/>
  <c r="R85" i="1"/>
  <c r="S85" i="1" s="1"/>
  <c r="S41" i="1"/>
  <c r="R23" i="5"/>
  <c r="S1009" i="1"/>
  <c r="R884" i="1"/>
  <c r="S884" i="1" s="1"/>
  <c r="S843" i="1"/>
  <c r="R783" i="1"/>
  <c r="S783" i="1" s="1"/>
  <c r="R745" i="1"/>
  <c r="S745" i="1" s="1"/>
  <c r="R710" i="1"/>
  <c r="S710" i="1" s="1"/>
  <c r="S682" i="1"/>
  <c r="R616" i="1"/>
  <c r="S616" i="1" s="1"/>
  <c r="S577" i="1"/>
  <c r="S523" i="1"/>
  <c r="S467" i="1"/>
  <c r="S434" i="1"/>
  <c r="S387" i="1"/>
  <c r="R344" i="1"/>
  <c r="S344" i="1" s="1"/>
  <c r="R303" i="1"/>
  <c r="S303" i="1" s="1"/>
  <c r="S251" i="1"/>
  <c r="S212" i="1"/>
  <c r="R185" i="1"/>
  <c r="S185" i="1" s="1"/>
  <c r="R130" i="1"/>
  <c r="S130" i="1" s="1"/>
  <c r="R93" i="1"/>
  <c r="S93" i="1" s="1"/>
  <c r="S67" i="1"/>
  <c r="R22" i="1"/>
  <c r="S22" i="1" s="1"/>
  <c r="R15" i="5"/>
  <c r="S361" i="1"/>
  <c r="S281" i="1"/>
  <c r="R220" i="1"/>
  <c r="S220" i="1" s="1"/>
  <c r="S175" i="1"/>
  <c r="R120" i="1"/>
  <c r="S120" i="1" s="1"/>
  <c r="R74" i="1"/>
  <c r="S74" i="1" s="1"/>
  <c r="R39" i="1"/>
  <c r="S39" i="1" s="1"/>
  <c r="R11" i="5"/>
  <c r="S1306" i="1"/>
  <c r="R1296" i="1"/>
  <c r="S1296" i="1" s="1"/>
  <c r="R1287" i="1"/>
  <c r="S1287" i="1" s="1"/>
  <c r="S1279" i="1"/>
  <c r="R1270" i="1"/>
  <c r="S1270" i="1" s="1"/>
  <c r="S1260" i="1"/>
  <c r="R1251" i="1"/>
  <c r="S1251" i="1" s="1"/>
  <c r="R1243" i="1"/>
  <c r="S1243" i="1" s="1"/>
  <c r="S1234" i="1"/>
  <c r="R1223" i="1"/>
  <c r="S1223" i="1" s="1"/>
  <c r="S1213" i="1"/>
  <c r="R1203" i="1"/>
  <c r="S1203" i="1" s="1"/>
  <c r="R1194" i="1"/>
  <c r="S1194" i="1" s="1"/>
  <c r="R1184" i="1"/>
  <c r="S1184" i="1" s="1"/>
  <c r="R1175" i="1"/>
  <c r="S1175" i="1" s="1"/>
  <c r="R1165" i="1"/>
  <c r="S1165" i="1" s="1"/>
  <c r="S1157" i="1"/>
  <c r="R1149" i="1"/>
  <c r="S1149" i="1" s="1"/>
  <c r="S1141" i="1"/>
  <c r="S1130" i="1"/>
  <c r="S1121" i="1"/>
  <c r="R1113" i="1"/>
  <c r="S1113" i="1" s="1"/>
  <c r="S1103" i="1"/>
  <c r="R1092" i="1"/>
  <c r="S1092" i="1" s="1"/>
  <c r="R1083" i="1"/>
  <c r="S1083" i="1" s="1"/>
  <c r="S1075" i="1"/>
  <c r="R1063" i="1"/>
  <c r="S1063" i="1" s="1"/>
  <c r="R1054" i="1"/>
  <c r="S1054" i="1" s="1"/>
  <c r="R1044" i="1"/>
  <c r="S1044" i="1" s="1"/>
  <c r="R1034" i="1"/>
  <c r="S1034" i="1" s="1"/>
  <c r="R1026" i="1"/>
  <c r="S1026" i="1" s="1"/>
  <c r="S1013" i="1"/>
  <c r="S1005" i="1"/>
  <c r="S993" i="1"/>
  <c r="S984" i="1"/>
  <c r="S974" i="1"/>
  <c r="R966" i="1"/>
  <c r="S966" i="1" s="1"/>
  <c r="S957" i="1"/>
  <c r="R948" i="1"/>
  <c r="S948" i="1" s="1"/>
  <c r="S937" i="1"/>
  <c r="R928" i="1"/>
  <c r="S928" i="1" s="1"/>
  <c r="S917" i="1"/>
  <c r="S907" i="1"/>
  <c r="S899" i="1"/>
  <c r="S889" i="1"/>
  <c r="S880" i="1"/>
  <c r="R870" i="1"/>
  <c r="S870" i="1" s="1"/>
  <c r="R860" i="1"/>
  <c r="S860" i="1" s="1"/>
  <c r="S848" i="1"/>
  <c r="R836" i="1"/>
  <c r="S836" i="1" s="1"/>
  <c r="S828" i="1"/>
  <c r="S817" i="1"/>
  <c r="R809" i="1"/>
  <c r="S809" i="1" s="1"/>
  <c r="R799" i="1"/>
  <c r="S799" i="1" s="1"/>
  <c r="S788" i="1"/>
  <c r="S778" i="1"/>
  <c r="S768" i="1"/>
  <c r="R759" i="1"/>
  <c r="S759" i="1" s="1"/>
  <c r="R749" i="1"/>
  <c r="S749" i="1" s="1"/>
  <c r="S741" i="1"/>
  <c r="R733" i="1"/>
  <c r="S733" i="1" s="1"/>
  <c r="R722" i="1"/>
  <c r="S722" i="1" s="1"/>
  <c r="S714" i="1"/>
  <c r="R705" i="1"/>
  <c r="S705" i="1" s="1"/>
  <c r="S696" i="1"/>
  <c r="R687" i="1"/>
  <c r="S687" i="1" s="1"/>
  <c r="S677" i="1"/>
  <c r="R667" i="1"/>
  <c r="S667" i="1" s="1"/>
  <c r="R658" i="1"/>
  <c r="S658" i="1" s="1"/>
  <c r="R648" i="1"/>
  <c r="S648" i="1" s="1"/>
  <c r="R639" i="1"/>
  <c r="S639" i="1" s="1"/>
  <c r="S628" i="1"/>
  <c r="S620" i="1"/>
  <c r="R612" i="1"/>
  <c r="S612" i="1" s="1"/>
  <c r="S603" i="1"/>
  <c r="R573" i="1"/>
  <c r="S573" i="1" s="1"/>
  <c r="R565" i="1"/>
  <c r="S565" i="1" s="1"/>
  <c r="S555" i="1"/>
  <c r="R545" i="1"/>
  <c r="S545" i="1" s="1"/>
  <c r="S537" i="1"/>
  <c r="R528" i="1"/>
  <c r="S528" i="1" s="1"/>
  <c r="S518" i="1"/>
  <c r="R506" i="1"/>
  <c r="S506" i="1" s="1"/>
  <c r="S497" i="1"/>
  <c r="S471" i="1"/>
  <c r="S463" i="1"/>
  <c r="S438" i="1"/>
  <c r="S409" i="1"/>
  <c r="S391" i="1"/>
  <c r="S366" i="1"/>
  <c r="R348" i="1"/>
  <c r="S348" i="1" s="1"/>
  <c r="R328" i="1"/>
  <c r="S328" i="1" s="1"/>
  <c r="R307" i="1"/>
  <c r="S307" i="1" s="1"/>
  <c r="R288" i="1"/>
  <c r="S288" i="1" s="1"/>
  <c r="S268" i="1"/>
  <c r="R246" i="1"/>
  <c r="S246" i="1" s="1"/>
  <c r="S225" i="1"/>
  <c r="S199" i="1"/>
  <c r="S181" i="1"/>
  <c r="S161" i="1"/>
  <c r="S134" i="1"/>
  <c r="S116" i="1"/>
  <c r="R88" i="1"/>
  <c r="S88" i="1" s="1"/>
  <c r="S71" i="1"/>
  <c r="S53" i="1"/>
  <c r="S27" i="1"/>
  <c r="S7" i="1"/>
  <c r="R13" i="5"/>
  <c r="S3" i="5"/>
  <c r="T3" i="5" s="1"/>
  <c r="S1033" i="1"/>
  <c r="S947" i="1"/>
  <c r="R906" i="1"/>
  <c r="S906" i="1" s="1"/>
  <c r="S888" i="1"/>
  <c r="S869" i="1"/>
  <c r="S846" i="1"/>
  <c r="R816" i="1"/>
  <c r="S816" i="1" s="1"/>
  <c r="R797" i="1"/>
  <c r="S797" i="1" s="1"/>
  <c r="R776" i="1"/>
  <c r="S776" i="1" s="1"/>
  <c r="R758" i="1"/>
  <c r="S758" i="1" s="1"/>
  <c r="S740" i="1"/>
  <c r="R721" i="1"/>
  <c r="S721" i="1" s="1"/>
  <c r="S704" i="1"/>
  <c r="S686" i="1"/>
  <c r="R666" i="1"/>
  <c r="S666" i="1" s="1"/>
  <c r="S647" i="1"/>
  <c r="R627" i="1"/>
  <c r="S627" i="1" s="1"/>
  <c r="R619" i="1"/>
  <c r="S619" i="1" s="1"/>
  <c r="R590" i="1"/>
  <c r="S590" i="1" s="1"/>
  <c r="R572" i="1"/>
  <c r="S572" i="1" s="1"/>
  <c r="R554" i="1"/>
  <c r="S554" i="1" s="1"/>
  <c r="S536" i="1"/>
  <c r="S516" i="1"/>
  <c r="R488" i="1"/>
  <c r="S488" i="1" s="1"/>
  <c r="S470" i="1"/>
  <c r="S453" i="1"/>
  <c r="S437" i="1"/>
  <c r="R408" i="1"/>
  <c r="S408" i="1" s="1"/>
  <c r="R390" i="1"/>
  <c r="S390" i="1" s="1"/>
  <c r="R374" i="1"/>
  <c r="S374" i="1" s="1"/>
  <c r="S347" i="1"/>
  <c r="R314" i="1"/>
  <c r="S314" i="1" s="1"/>
  <c r="S277" i="1"/>
  <c r="R245" i="1"/>
  <c r="S245" i="1" s="1"/>
  <c r="R215" i="1"/>
  <c r="S215" i="1" s="1"/>
  <c r="R180" i="1"/>
  <c r="S180" i="1" s="1"/>
  <c r="S143" i="1"/>
  <c r="R115" i="1"/>
  <c r="S115" i="1" s="1"/>
  <c r="S79" i="1"/>
  <c r="S52" i="1"/>
  <c r="R26" i="1"/>
  <c r="S26" i="1" s="1"/>
  <c r="R796" i="1"/>
  <c r="S796" i="1" s="1"/>
  <c r="S703" i="1"/>
  <c r="R665" i="1"/>
  <c r="S665" i="1" s="1"/>
  <c r="S646" i="1"/>
  <c r="S618" i="1"/>
  <c r="R588" i="1"/>
  <c r="S588" i="1" s="1"/>
  <c r="S553" i="1"/>
  <c r="S526" i="1"/>
  <c r="R495" i="1"/>
  <c r="S495" i="1" s="1"/>
  <c r="R461" i="1"/>
  <c r="S461" i="1" s="1"/>
  <c r="R436" i="1"/>
  <c r="S436" i="1" s="1"/>
  <c r="S407" i="1"/>
  <c r="S381" i="1"/>
  <c r="R335" i="1"/>
  <c r="S335" i="1" s="1"/>
  <c r="R305" i="1"/>
  <c r="S305" i="1" s="1"/>
  <c r="S276" i="1"/>
  <c r="R254" i="1"/>
  <c r="S254" i="1" s="1"/>
  <c r="R214" i="1"/>
  <c r="S214" i="1" s="1"/>
  <c r="R197" i="1"/>
  <c r="S197" i="1" s="1"/>
  <c r="S169" i="1"/>
  <c r="S132" i="1"/>
  <c r="S105" i="1"/>
  <c r="S69" i="1"/>
  <c r="R24" i="1"/>
  <c r="S24" i="1" s="1"/>
  <c r="R18" i="5"/>
  <c r="R954" i="1"/>
  <c r="S954" i="1" s="1"/>
  <c r="R833" i="1"/>
  <c r="S833" i="1" s="1"/>
  <c r="R806" i="1"/>
  <c r="S806" i="1" s="1"/>
  <c r="S784" i="1"/>
  <c r="R738" i="1"/>
  <c r="S738" i="1" s="1"/>
  <c r="R711" i="1"/>
  <c r="S711" i="1" s="1"/>
  <c r="R672" i="1"/>
  <c r="S672" i="1" s="1"/>
  <c r="S635" i="1"/>
  <c r="S608" i="1"/>
  <c r="R562" i="1"/>
  <c r="S562" i="1" s="1"/>
  <c r="R533" i="1"/>
  <c r="S533" i="1" s="1"/>
  <c r="S503" i="1"/>
  <c r="S451" i="1"/>
  <c r="R416" i="1"/>
  <c r="S416" i="1" s="1"/>
  <c r="R406" i="1"/>
  <c r="S406" i="1" s="1"/>
  <c r="S363" i="1"/>
  <c r="R312" i="1"/>
  <c r="S312" i="1" s="1"/>
  <c r="R285" i="1"/>
  <c r="S285" i="1" s="1"/>
  <c r="R231" i="1"/>
  <c r="S231" i="1" s="1"/>
  <c r="R196" i="1"/>
  <c r="S196" i="1" s="1"/>
  <c r="R177" i="1"/>
  <c r="S177" i="1" s="1"/>
  <c r="R149" i="1"/>
  <c r="S149" i="1" s="1"/>
  <c r="S113" i="1"/>
  <c r="R77" i="1"/>
  <c r="S77" i="1" s="1"/>
  <c r="R50" i="1"/>
  <c r="S50" i="1" s="1"/>
  <c r="R23" i="1"/>
  <c r="S23" i="1" s="1"/>
  <c r="R10" i="5"/>
  <c r="R1022" i="1"/>
  <c r="S1022" i="1" s="1"/>
  <c r="R876" i="1"/>
  <c r="S876" i="1" s="1"/>
  <c r="R821" i="1"/>
  <c r="S821" i="1" s="1"/>
  <c r="S805" i="1"/>
  <c r="R754" i="1"/>
  <c r="S754" i="1" s="1"/>
  <c r="S718" i="1"/>
  <c r="R691" i="1"/>
  <c r="S691" i="1" s="1"/>
  <c r="S634" i="1"/>
  <c r="R598" i="1"/>
  <c r="S598" i="1" s="1"/>
  <c r="R560" i="1"/>
  <c r="S560" i="1" s="1"/>
  <c r="S512" i="1"/>
  <c r="R475" i="1"/>
  <c r="S475" i="1" s="1"/>
  <c r="R442" i="1"/>
  <c r="S442" i="1" s="1"/>
  <c r="R396" i="1"/>
  <c r="S396" i="1" s="1"/>
  <c r="S370" i="1"/>
  <c r="S319" i="1"/>
  <c r="S282" i="1"/>
  <c r="R230" i="1"/>
  <c r="S230" i="1" s="1"/>
  <c r="S203" i="1"/>
  <c r="R176" i="1"/>
  <c r="S176" i="1" s="1"/>
  <c r="S121" i="1"/>
  <c r="S84" i="1"/>
  <c r="S49" i="1"/>
  <c r="Z36" i="5"/>
  <c r="R378" i="1"/>
  <c r="S378" i="1" s="1"/>
  <c r="R272" i="1"/>
  <c r="S272" i="1" s="1"/>
  <c r="S239" i="1"/>
  <c r="R184" i="1"/>
  <c r="S184" i="1" s="1"/>
  <c r="R147" i="1"/>
  <c r="S147" i="1" s="1"/>
  <c r="S91" i="1"/>
  <c r="R48" i="1"/>
  <c r="S48" i="1" s="1"/>
  <c r="R26" i="5"/>
  <c r="R1305" i="1"/>
  <c r="S1305" i="1" s="1"/>
  <c r="S1295" i="1"/>
  <c r="S1286" i="1"/>
  <c r="S1277" i="1"/>
  <c r="S1269" i="1"/>
  <c r="R1259" i="1"/>
  <c r="S1259" i="1" s="1"/>
  <c r="S1250" i="1"/>
  <c r="S1242" i="1"/>
  <c r="R1233" i="1"/>
  <c r="S1233" i="1" s="1"/>
  <c r="S1222" i="1"/>
  <c r="S1212" i="1"/>
  <c r="S1202" i="1"/>
  <c r="R1193" i="1"/>
  <c r="S1193" i="1" s="1"/>
  <c r="R1183" i="1"/>
  <c r="S1183" i="1" s="1"/>
  <c r="S1174" i="1"/>
  <c r="R1164" i="1"/>
  <c r="S1164" i="1" s="1"/>
  <c r="S1156" i="1"/>
  <c r="R1148" i="1"/>
  <c r="S1148" i="1" s="1"/>
  <c r="S1140" i="1"/>
  <c r="R1128" i="1"/>
  <c r="S1128" i="1" s="1"/>
  <c r="R1120" i="1"/>
  <c r="S1120" i="1" s="1"/>
  <c r="R1112" i="1"/>
  <c r="S1112" i="1" s="1"/>
  <c r="S1102" i="1"/>
  <c r="R1091" i="1"/>
  <c r="S1091" i="1" s="1"/>
  <c r="R1082" i="1"/>
  <c r="S1082" i="1" s="1"/>
  <c r="R1074" i="1"/>
  <c r="S1074" i="1" s="1"/>
  <c r="R1062" i="1"/>
  <c r="S1062" i="1" s="1"/>
  <c r="S1043" i="1"/>
  <c r="S1025" i="1"/>
  <c r="R1012" i="1"/>
  <c r="S1012" i="1" s="1"/>
  <c r="S1004" i="1"/>
  <c r="R992" i="1"/>
  <c r="S992" i="1" s="1"/>
  <c r="S983" i="1"/>
  <c r="S973" i="1"/>
  <c r="S965" i="1"/>
  <c r="S956" i="1"/>
  <c r="R927" i="1"/>
  <c r="S927" i="1" s="1"/>
  <c r="S827" i="1"/>
  <c r="S601" i="1"/>
  <c r="R170" i="1"/>
  <c r="S170" i="1" s="1"/>
  <c r="R14" i="1"/>
  <c r="S14" i="1" s="1"/>
  <c r="R33" i="5"/>
  <c r="R934" i="1"/>
  <c r="S934" i="1" s="1"/>
  <c r="R746" i="1"/>
  <c r="S746" i="1" s="1"/>
  <c r="R664" i="1"/>
  <c r="S664" i="1" s="1"/>
  <c r="R578" i="1"/>
  <c r="S578" i="1" s="1"/>
  <c r="R513" i="1"/>
  <c r="S513" i="1" s="1"/>
  <c r="S443" i="1"/>
  <c r="S345" i="1"/>
  <c r="S253" i="1"/>
  <c r="R141" i="1"/>
  <c r="S141" i="1" s="1"/>
  <c r="S13" i="1"/>
  <c r="S979" i="1"/>
  <c r="S895" i="1"/>
  <c r="R813" i="1"/>
  <c r="S813" i="1" s="1"/>
  <c r="S737" i="1"/>
  <c r="S663" i="1"/>
  <c r="S569" i="1"/>
  <c r="R459" i="1"/>
  <c r="S459" i="1" s="1"/>
  <c r="S362" i="1"/>
  <c r="R240" i="1"/>
  <c r="S240" i="1" s="1"/>
  <c r="S157" i="1"/>
  <c r="S57" i="1"/>
  <c r="S369" i="1"/>
  <c r="R302" i="1"/>
  <c r="S302" i="1" s="1"/>
  <c r="S211" i="1"/>
  <c r="R102" i="1"/>
  <c r="S102" i="1" s="1"/>
  <c r="R11" i="1"/>
  <c r="S11" i="1" s="1"/>
  <c r="R1303" i="1"/>
  <c r="S1303" i="1" s="1"/>
  <c r="S1294" i="1"/>
  <c r="S1285" i="1"/>
  <c r="S1276" i="1"/>
  <c r="S1268" i="1"/>
  <c r="S1258" i="1"/>
  <c r="R1249" i="1"/>
  <c r="S1249" i="1" s="1"/>
  <c r="R1241" i="1"/>
  <c r="S1241" i="1" s="1"/>
  <c r="S1232" i="1"/>
  <c r="S1220" i="1"/>
  <c r="S1211" i="1"/>
  <c r="R1201" i="1"/>
  <c r="S1201" i="1" s="1"/>
  <c r="S1192" i="1"/>
  <c r="S1182" i="1"/>
  <c r="R1173" i="1"/>
  <c r="S1173" i="1" s="1"/>
  <c r="S1163" i="1"/>
  <c r="R1155" i="1"/>
  <c r="S1155" i="1" s="1"/>
  <c r="R1147" i="1"/>
  <c r="S1147" i="1" s="1"/>
  <c r="R1138" i="1"/>
  <c r="S1138" i="1" s="1"/>
  <c r="S1127" i="1"/>
  <c r="S1119" i="1"/>
  <c r="R1109" i="1"/>
  <c r="S1109" i="1" s="1"/>
  <c r="S1101" i="1"/>
  <c r="R1090" i="1"/>
  <c r="S1090" i="1" s="1"/>
  <c r="R1081" i="1"/>
  <c r="S1081" i="1" s="1"/>
  <c r="S1073" i="1"/>
  <c r="S1061" i="1"/>
  <c r="S1051" i="1"/>
  <c r="R1042" i="1"/>
  <c r="S1042" i="1" s="1"/>
  <c r="S1032" i="1"/>
  <c r="S1024" i="1"/>
  <c r="R1011" i="1"/>
  <c r="S1011" i="1" s="1"/>
  <c r="S1002" i="1"/>
  <c r="S991" i="1"/>
  <c r="S982" i="1"/>
  <c r="R972" i="1"/>
  <c r="S972" i="1" s="1"/>
  <c r="R964" i="1"/>
  <c r="S964" i="1" s="1"/>
  <c r="S955" i="1"/>
  <c r="S945" i="1"/>
  <c r="S935" i="1"/>
  <c r="R926" i="1"/>
  <c r="S926" i="1" s="1"/>
  <c r="S915" i="1"/>
  <c r="S905" i="1"/>
  <c r="S897" i="1"/>
  <c r="R886" i="1"/>
  <c r="S886" i="1" s="1"/>
  <c r="R878" i="1"/>
  <c r="S878" i="1" s="1"/>
  <c r="R868" i="1"/>
  <c r="S868" i="1" s="1"/>
  <c r="S857" i="1"/>
  <c r="R845" i="1"/>
  <c r="S845" i="1" s="1"/>
  <c r="S834" i="1"/>
  <c r="R807" i="1"/>
  <c r="S807" i="1" s="1"/>
  <c r="S785" i="1"/>
  <c r="R775" i="1"/>
  <c r="S775" i="1" s="1"/>
  <c r="S766" i="1"/>
  <c r="R757" i="1"/>
  <c r="S757" i="1" s="1"/>
  <c r="S747" i="1"/>
  <c r="R739" i="1"/>
  <c r="S739" i="1" s="1"/>
  <c r="S730" i="1"/>
  <c r="R720" i="1"/>
  <c r="S720" i="1" s="1"/>
  <c r="R712" i="1"/>
  <c r="S712" i="1" s="1"/>
  <c r="S673" i="1"/>
  <c r="R580" i="1"/>
  <c r="S580" i="1" s="1"/>
  <c r="S469" i="1"/>
  <c r="R346" i="1"/>
  <c r="S346" i="1" s="1"/>
  <c r="R244" i="1"/>
  <c r="S244" i="1" s="1"/>
  <c r="R142" i="1"/>
  <c r="S142" i="1" s="1"/>
  <c r="R51" i="1"/>
  <c r="S51" i="1" s="1"/>
  <c r="R31" i="5"/>
  <c r="S914" i="1"/>
  <c r="S625" i="1"/>
  <c r="R484" i="1"/>
  <c r="S484" i="1" s="1"/>
  <c r="S388" i="1"/>
  <c r="R243" i="1"/>
  <c r="S243" i="1" s="1"/>
  <c r="R104" i="1"/>
  <c r="S104" i="1" s="1"/>
  <c r="R25" i="5"/>
  <c r="S952" i="1"/>
  <c r="R624" i="1"/>
  <c r="S624" i="1" s="1"/>
  <c r="S493" i="1"/>
  <c r="S333" i="1"/>
  <c r="S148" i="1"/>
  <c r="R29" i="5"/>
  <c r="R318" i="1"/>
  <c r="S318" i="1" s="1"/>
  <c r="R156" i="1"/>
  <c r="S156" i="1" s="1"/>
  <c r="R20" i="1"/>
  <c r="S20" i="1" s="1"/>
  <c r="R1301" i="1"/>
  <c r="S1301" i="1" s="1"/>
  <c r="S1293" i="1"/>
  <c r="R1284" i="1"/>
  <c r="S1284" i="1" s="1"/>
  <c r="R1275" i="1"/>
  <c r="S1275" i="1" s="1"/>
  <c r="R1267" i="1"/>
  <c r="S1267" i="1" s="1"/>
  <c r="R1257" i="1"/>
  <c r="S1257" i="1" s="1"/>
  <c r="R1248" i="1"/>
  <c r="S1248" i="1" s="1"/>
  <c r="S1240" i="1"/>
  <c r="R1231" i="1"/>
  <c r="S1231" i="1" s="1"/>
  <c r="R1219" i="1"/>
  <c r="S1219" i="1" s="1"/>
  <c r="S1210" i="1"/>
  <c r="R1200" i="1"/>
  <c r="S1200" i="1" s="1"/>
  <c r="R1191" i="1"/>
  <c r="S1191" i="1" s="1"/>
  <c r="R1181" i="1"/>
  <c r="S1181" i="1" s="1"/>
  <c r="R1172" i="1"/>
  <c r="S1172" i="1" s="1"/>
  <c r="S1162" i="1"/>
  <c r="R1154" i="1"/>
  <c r="S1154" i="1" s="1"/>
  <c r="S1146" i="1"/>
  <c r="R1136" i="1"/>
  <c r="S1136" i="1" s="1"/>
  <c r="S1126" i="1"/>
  <c r="R1118" i="1"/>
  <c r="S1118" i="1" s="1"/>
  <c r="R1108" i="1"/>
  <c r="S1108" i="1" s="1"/>
  <c r="S1100" i="1"/>
  <c r="S1089" i="1"/>
  <c r="S1080" i="1"/>
  <c r="R1072" i="1"/>
  <c r="S1072" i="1" s="1"/>
  <c r="S1060" i="1"/>
  <c r="S1050" i="1"/>
  <c r="R1040" i="1"/>
  <c r="S1040" i="1" s="1"/>
  <c r="R1031" i="1"/>
  <c r="S1031" i="1" s="1"/>
  <c r="S1023" i="1"/>
  <c r="R1010" i="1"/>
  <c r="S1010" i="1" s="1"/>
  <c r="S1001" i="1"/>
  <c r="R990" i="1"/>
  <c r="S990" i="1" s="1"/>
  <c r="R980" i="1"/>
  <c r="S980" i="1" s="1"/>
  <c r="R971" i="1"/>
  <c r="S971" i="1" s="1"/>
  <c r="R962" i="1"/>
  <c r="S962" i="1" s="1"/>
  <c r="R924" i="1"/>
  <c r="S924" i="1" s="1"/>
  <c r="R904" i="1"/>
  <c r="S904" i="1" s="1"/>
  <c r="S885" i="1"/>
  <c r="S877" i="1"/>
  <c r="R866" i="1"/>
  <c r="S866" i="1" s="1"/>
  <c r="S856" i="1"/>
  <c r="S822" i="1"/>
  <c r="R774" i="1"/>
  <c r="S774" i="1" s="1"/>
  <c r="R701" i="1"/>
  <c r="S701" i="1" s="1"/>
  <c r="S587" i="1"/>
  <c r="R460" i="1"/>
  <c r="S460" i="1" s="1"/>
  <c r="S371" i="1"/>
  <c r="S213" i="1"/>
  <c r="S68" i="1"/>
  <c r="R961" i="1"/>
  <c r="S961" i="1" s="1"/>
  <c r="S671" i="1"/>
  <c r="S541" i="1"/>
  <c r="R415" i="1"/>
  <c r="S415" i="1" s="1"/>
  <c r="S262" i="1"/>
  <c r="R112" i="1"/>
  <c r="S112" i="1" s="1"/>
  <c r="R35" i="5"/>
  <c r="R342" i="1"/>
  <c r="S342" i="1" s="1"/>
  <c r="R202" i="1"/>
  <c r="S202" i="1" s="1"/>
  <c r="S83" i="1"/>
  <c r="S1300" i="1"/>
  <c r="S1292" i="1"/>
  <c r="R1283" i="1"/>
  <c r="S1283" i="1" s="1"/>
  <c r="S1274" i="1"/>
  <c r="S1266" i="1"/>
  <c r="R1256" i="1"/>
  <c r="S1256" i="1" s="1"/>
  <c r="R1247" i="1"/>
  <c r="S1247" i="1" s="1"/>
  <c r="S1239" i="1"/>
  <c r="S1230" i="1"/>
  <c r="R1217" i="1"/>
  <c r="S1217" i="1" s="1"/>
  <c r="S1209" i="1"/>
  <c r="S1199" i="1"/>
  <c r="R1190" i="1"/>
  <c r="S1190" i="1" s="1"/>
  <c r="R1180" i="1"/>
  <c r="S1180" i="1" s="1"/>
  <c r="R1171" i="1"/>
  <c r="S1171" i="1" s="1"/>
  <c r="R1161" i="1"/>
  <c r="S1161" i="1" s="1"/>
  <c r="R1153" i="1"/>
  <c r="S1153" i="1" s="1"/>
  <c r="R1145" i="1"/>
  <c r="S1145" i="1" s="1"/>
  <c r="R1134" i="1"/>
  <c r="S1134" i="1" s="1"/>
  <c r="R1125" i="1"/>
  <c r="S1125" i="1" s="1"/>
  <c r="S1117" i="1"/>
  <c r="R1107" i="1"/>
  <c r="S1107" i="1" s="1"/>
  <c r="R1098" i="1"/>
  <c r="S1098" i="1" s="1"/>
  <c r="R1088" i="1"/>
  <c r="S1088" i="1" s="1"/>
  <c r="S1079" i="1"/>
  <c r="R1070" i="1"/>
  <c r="S1070" i="1" s="1"/>
  <c r="S1059" i="1"/>
  <c r="S1049" i="1"/>
  <c r="S1039" i="1"/>
  <c r="R1030" i="1"/>
  <c r="S1030" i="1" s="1"/>
  <c r="R1000" i="1"/>
  <c r="S1000" i="1" s="1"/>
  <c r="R970" i="1"/>
  <c r="S970" i="1" s="1"/>
  <c r="R942" i="1"/>
  <c r="S942" i="1" s="1"/>
  <c r="R932" i="1"/>
  <c r="S932" i="1" s="1"/>
  <c r="S923" i="1"/>
  <c r="R903" i="1"/>
  <c r="S903" i="1" s="1"/>
  <c r="R854" i="1"/>
  <c r="S854" i="1" s="1"/>
  <c r="R763" i="1"/>
  <c r="S763" i="1" s="1"/>
  <c r="R654" i="1"/>
  <c r="S654" i="1" s="1"/>
  <c r="R532" i="1"/>
  <c r="S532" i="1" s="1"/>
  <c r="R424" i="1"/>
  <c r="S424" i="1" s="1"/>
  <c r="S293" i="1"/>
  <c r="S167" i="1"/>
  <c r="R31" i="1"/>
  <c r="S31" i="1" s="1"/>
  <c r="R310" i="1"/>
  <c r="S310" i="1" s="1"/>
  <c r="S250" i="1"/>
  <c r="R138" i="1"/>
  <c r="S138" i="1" s="1"/>
  <c r="R56" i="1"/>
  <c r="S56" i="1" s="1"/>
  <c r="Z9" i="5"/>
  <c r="S1299" i="1"/>
  <c r="R1291" i="1"/>
  <c r="S1291" i="1" s="1"/>
  <c r="R1282" i="1"/>
  <c r="S1282" i="1" s="1"/>
  <c r="R1273" i="1"/>
  <c r="S1273" i="1" s="1"/>
  <c r="R1265" i="1"/>
  <c r="S1265" i="1" s="1"/>
  <c r="R1255" i="1"/>
  <c r="S1255" i="1" s="1"/>
  <c r="R1246" i="1"/>
  <c r="S1246" i="1" s="1"/>
  <c r="S1238" i="1"/>
  <c r="R1227" i="1"/>
  <c r="S1227" i="1" s="1"/>
  <c r="S1216" i="1"/>
  <c r="R1207" i="1"/>
  <c r="S1207" i="1" s="1"/>
  <c r="R1197" i="1"/>
  <c r="S1197" i="1" s="1"/>
  <c r="S1188" i="1"/>
  <c r="R1179" i="1"/>
  <c r="S1179" i="1" s="1"/>
  <c r="S1169" i="1"/>
  <c r="S1160" i="1"/>
  <c r="R1152" i="1"/>
  <c r="S1152" i="1" s="1"/>
  <c r="R1144" i="1"/>
  <c r="S1144" i="1" s="1"/>
  <c r="S1133" i="1"/>
  <c r="R1124" i="1"/>
  <c r="S1124" i="1" s="1"/>
  <c r="R1116" i="1"/>
  <c r="S1116" i="1" s="1"/>
  <c r="R1106" i="1"/>
  <c r="S1106" i="1" s="1"/>
  <c r="R1096" i="1"/>
  <c r="S1096" i="1" s="1"/>
  <c r="S1087" i="1"/>
  <c r="R1078" i="1"/>
  <c r="S1078" i="1" s="1"/>
  <c r="S1069" i="1"/>
  <c r="R1058" i="1"/>
  <c r="S1058" i="1" s="1"/>
  <c r="R1048" i="1"/>
  <c r="S1048" i="1" s="1"/>
  <c r="R1038" i="1"/>
  <c r="S1038" i="1" s="1"/>
  <c r="R1029" i="1"/>
  <c r="S1029" i="1" s="1"/>
  <c r="S1021" i="1"/>
  <c r="R1008" i="1"/>
  <c r="S1008" i="1" s="1"/>
  <c r="S999" i="1"/>
  <c r="S988" i="1"/>
  <c r="R978" i="1"/>
  <c r="S978" i="1" s="1"/>
  <c r="R969" i="1"/>
  <c r="S969" i="1" s="1"/>
  <c r="R960" i="1"/>
  <c r="S960" i="1" s="1"/>
  <c r="R951" i="1"/>
  <c r="S951" i="1" s="1"/>
  <c r="S941" i="1"/>
  <c r="S931" i="1"/>
  <c r="R921" i="1"/>
  <c r="S921" i="1" s="1"/>
  <c r="R912" i="1"/>
  <c r="S912" i="1" s="1"/>
  <c r="R902" i="1"/>
  <c r="S902" i="1" s="1"/>
  <c r="R894" i="1"/>
  <c r="S894" i="1" s="1"/>
  <c r="S883" i="1"/>
  <c r="S874" i="1"/>
  <c r="S863" i="1"/>
  <c r="S853" i="1"/>
  <c r="S842" i="1"/>
  <c r="R831" i="1"/>
  <c r="S831" i="1" s="1"/>
  <c r="R820" i="1"/>
  <c r="S820" i="1" s="1"/>
  <c r="R812" i="1"/>
  <c r="S812" i="1" s="1"/>
  <c r="R804" i="1"/>
  <c r="S804" i="1" s="1"/>
  <c r="S792" i="1"/>
  <c r="S782" i="1"/>
  <c r="S771" i="1"/>
  <c r="S762" i="1"/>
  <c r="R753" i="1"/>
  <c r="S753" i="1" s="1"/>
  <c r="S744" i="1"/>
  <c r="S736" i="1"/>
  <c r="R727" i="1"/>
  <c r="S727" i="1" s="1"/>
  <c r="R717" i="1"/>
  <c r="S717" i="1" s="1"/>
  <c r="R709" i="1"/>
  <c r="S709" i="1" s="1"/>
  <c r="S699" i="1"/>
  <c r="S690" i="1"/>
  <c r="S681" i="1"/>
  <c r="R670" i="1"/>
  <c r="S670" i="1" s="1"/>
  <c r="S662" i="1"/>
  <c r="R653" i="1"/>
  <c r="S653" i="1" s="1"/>
  <c r="R642" i="1"/>
  <c r="S642" i="1" s="1"/>
  <c r="S633" i="1"/>
  <c r="R623" i="1"/>
  <c r="S623" i="1" s="1"/>
  <c r="S615" i="1"/>
  <c r="R606" i="1"/>
  <c r="S606" i="1" s="1"/>
  <c r="S597" i="1"/>
  <c r="R585" i="1"/>
  <c r="S585" i="1" s="1"/>
  <c r="S576" i="1"/>
  <c r="S568" i="1"/>
  <c r="R558" i="1"/>
  <c r="S558" i="1" s="1"/>
  <c r="S549" i="1"/>
  <c r="R540" i="1"/>
  <c r="S540" i="1" s="1"/>
  <c r="S531" i="1"/>
  <c r="R522" i="1"/>
  <c r="S522" i="1" s="1"/>
  <c r="R511" i="1"/>
  <c r="S511" i="1" s="1"/>
  <c r="S501" i="1"/>
  <c r="R492" i="1"/>
  <c r="S492" i="1" s="1"/>
  <c r="S482" i="1"/>
  <c r="R474" i="1"/>
  <c r="S474" i="1" s="1"/>
  <c r="R466" i="1"/>
  <c r="S466" i="1" s="1"/>
  <c r="R458" i="1"/>
  <c r="S458" i="1" s="1"/>
  <c r="R449" i="1"/>
  <c r="S449" i="1" s="1"/>
  <c r="S441" i="1"/>
  <c r="S433" i="1"/>
  <c r="S423" i="1"/>
  <c r="S414" i="1"/>
  <c r="R403" i="1"/>
  <c r="S403" i="1" s="1"/>
  <c r="S395" i="1"/>
  <c r="R351" i="1"/>
  <c r="S351" i="1" s="1"/>
  <c r="S332" i="1"/>
  <c r="S261" i="1"/>
  <c r="R129" i="1"/>
  <c r="S129" i="1" s="1"/>
  <c r="AB19" i="5"/>
  <c r="AC19" i="5" s="1"/>
  <c r="S19" i="5"/>
  <c r="AB32" i="5"/>
  <c r="AC32" i="5" s="1"/>
  <c r="S32" i="5"/>
  <c r="S30" i="5"/>
  <c r="AB30" i="5"/>
  <c r="AC30" i="5" s="1"/>
  <c r="S16" i="5"/>
  <c r="AB16" i="5"/>
  <c r="AC16" i="5" s="1"/>
  <c r="AB28" i="5"/>
  <c r="AC28" i="5" s="1"/>
  <c r="S28" i="5"/>
  <c r="AB12" i="5"/>
  <c r="AC12" i="5" s="1"/>
  <c r="S12" i="5"/>
  <c r="AB27" i="5"/>
  <c r="AC27" i="5" s="1"/>
  <c r="S27" i="5"/>
  <c r="AB17" i="5"/>
  <c r="AC17" i="5" s="1"/>
  <c r="S17" i="5"/>
  <c r="AB20" i="5"/>
  <c r="AC20" i="5" s="1"/>
  <c r="S20" i="5"/>
  <c r="AB24" i="5"/>
  <c r="AC24" i="5" s="1"/>
  <c r="S24" i="5"/>
  <c r="AB21" i="5"/>
  <c r="AC21" i="5" s="1"/>
  <c r="S21" i="5"/>
  <c r="S14" i="5"/>
  <c r="AB14" i="5"/>
  <c r="AC14" i="5" s="1"/>
  <c r="S34" i="5"/>
  <c r="AB34" i="5"/>
  <c r="AC34" i="5" s="1"/>
  <c r="AB22" i="5"/>
  <c r="AC22" i="5" s="1"/>
  <c r="S22" i="5"/>
  <c r="S23" i="5"/>
  <c r="AB23" i="5"/>
  <c r="AC23" i="5" s="1"/>
  <c r="AB15" i="5"/>
  <c r="AC15" i="5" s="1"/>
  <c r="S15" i="5"/>
  <c r="AB11" i="5"/>
  <c r="AC11" i="5" s="1"/>
  <c r="S11" i="5"/>
  <c r="AB13" i="5"/>
  <c r="AC13" i="5" s="1"/>
  <c r="S13" i="5"/>
  <c r="AB18" i="5"/>
  <c r="AC18" i="5" s="1"/>
  <c r="S18" i="5"/>
  <c r="S10" i="5"/>
  <c r="AB10" i="5"/>
  <c r="AC10" i="5" s="1"/>
  <c r="AB26" i="5"/>
  <c r="AC26" i="5" s="1"/>
  <c r="S26" i="5"/>
  <c r="S33" i="5"/>
  <c r="AB33" i="5"/>
  <c r="AC33" i="5" s="1"/>
  <c r="AB31" i="5"/>
  <c r="AC31" i="5" s="1"/>
  <c r="S31" i="5"/>
  <c r="S25" i="5"/>
  <c r="AB25" i="5"/>
  <c r="AC25" i="5" s="1"/>
  <c r="AB29" i="5"/>
  <c r="AC29" i="5" s="1"/>
  <c r="S29" i="5"/>
  <c r="AB35" i="5"/>
  <c r="S35" i="5"/>
  <c r="AM59" i="5" l="1"/>
  <c r="AN59" i="5" s="1"/>
  <c r="AM44" i="5"/>
  <c r="AN44" i="5" s="1"/>
  <c r="AM58" i="5"/>
  <c r="AN58" i="5" s="1"/>
  <c r="AM43" i="5"/>
  <c r="AN43" i="5" s="1"/>
  <c r="AM60" i="5"/>
  <c r="AN60" i="5" s="1"/>
  <c r="AM45" i="5"/>
  <c r="AN45" i="5" s="1"/>
  <c r="AM61" i="5"/>
  <c r="AN61" i="5" s="1"/>
  <c r="AM46" i="5"/>
  <c r="AN46" i="5" s="1"/>
  <c r="P37" i="5"/>
  <c r="T35" i="5"/>
  <c r="T18" i="5"/>
  <c r="T21" i="5"/>
  <c r="T30" i="5"/>
  <c r="AC35" i="5"/>
  <c r="T13" i="5"/>
  <c r="T24" i="5"/>
  <c r="T32" i="5"/>
  <c r="T29" i="5"/>
  <c r="T11" i="5"/>
  <c r="T20" i="5"/>
  <c r="T19" i="5"/>
  <c r="T25" i="5"/>
  <c r="T15" i="5"/>
  <c r="T17" i="5"/>
  <c r="R36" i="5"/>
  <c r="T31" i="5"/>
  <c r="T23" i="5"/>
  <c r="T27" i="5"/>
  <c r="T33" i="5"/>
  <c r="T22" i="5"/>
  <c r="T12" i="5"/>
  <c r="Q37" i="5"/>
  <c r="T26" i="5"/>
  <c r="T34" i="5"/>
  <c r="T28" i="5"/>
  <c r="Z37" i="5"/>
  <c r="T10" i="5"/>
  <c r="T14" i="5"/>
  <c r="T16" i="5"/>
  <c r="S36" i="5"/>
  <c r="AB36" i="5"/>
  <c r="P38" i="5" l="1"/>
  <c r="AC36" i="5"/>
  <c r="T36" i="5"/>
  <c r="R37" i="5"/>
  <c r="Q38" i="5"/>
  <c r="Z38" i="5"/>
  <c r="AB37" i="5"/>
  <c r="S37" i="5"/>
  <c r="P39" i="5" l="1"/>
  <c r="AC37" i="5"/>
  <c r="R38" i="5"/>
  <c r="Q39" i="5"/>
  <c r="Z39" i="5"/>
  <c r="T37" i="5"/>
  <c r="AB38" i="5"/>
  <c r="S38" i="5"/>
  <c r="P40" i="5" l="1"/>
  <c r="T38" i="5"/>
  <c r="AC38" i="5"/>
  <c r="R39" i="5"/>
  <c r="Q40" i="5"/>
  <c r="Z40" i="5"/>
  <c r="S39" i="5"/>
  <c r="AB39" i="5"/>
  <c r="P41" i="5" l="1"/>
  <c r="AC39" i="5"/>
  <c r="R40" i="5"/>
  <c r="Q41" i="5"/>
  <c r="T39" i="5"/>
  <c r="Z41" i="5"/>
  <c r="S40" i="5"/>
  <c r="AB40" i="5"/>
  <c r="P42" i="5" l="1"/>
  <c r="AC40" i="5"/>
  <c r="T40" i="5"/>
  <c r="R41" i="5"/>
  <c r="Q42" i="5"/>
  <c r="Z42" i="5"/>
  <c r="S41" i="5"/>
  <c r="AB41" i="5"/>
  <c r="P43" i="5" l="1"/>
  <c r="T41" i="5"/>
  <c r="Q43" i="5"/>
  <c r="R42" i="5"/>
  <c r="Z43" i="5"/>
  <c r="AC41" i="5"/>
  <c r="AB42" i="5"/>
  <c r="S42" i="5"/>
  <c r="P44" i="5" l="1"/>
  <c r="T42" i="5"/>
  <c r="AC42" i="5"/>
  <c r="R43" i="5"/>
  <c r="Q44" i="5"/>
  <c r="Z44" i="5"/>
  <c r="S43" i="5"/>
  <c r="AB43" i="5"/>
  <c r="P45" i="5" l="1"/>
  <c r="AC43" i="5"/>
  <c r="T43" i="5"/>
  <c r="R44" i="5"/>
  <c r="Q45" i="5"/>
  <c r="Z45" i="5"/>
  <c r="AB44" i="5"/>
  <c r="S44" i="5"/>
  <c r="P46" i="5" l="1"/>
  <c r="AC44" i="5"/>
  <c r="R45" i="5"/>
  <c r="Q46" i="5"/>
  <c r="Z46" i="5"/>
  <c r="T44" i="5"/>
  <c r="AB45" i="5"/>
  <c r="S45" i="5"/>
  <c r="P47" i="5" l="1"/>
  <c r="AC45" i="5"/>
  <c r="R46" i="5"/>
  <c r="Q47" i="5"/>
  <c r="Z47" i="5"/>
  <c r="T45" i="5"/>
  <c r="AB46" i="5"/>
  <c r="S46" i="5"/>
  <c r="P48" i="5" l="1"/>
  <c r="T46" i="5"/>
  <c r="AC46" i="5"/>
  <c r="R47" i="5"/>
  <c r="Q48" i="5"/>
  <c r="Z48" i="5"/>
  <c r="S47" i="5"/>
  <c r="AB47" i="5"/>
  <c r="P49" i="5" l="1"/>
  <c r="T47" i="5"/>
  <c r="R48" i="5"/>
  <c r="Q49" i="5"/>
  <c r="Z49" i="5"/>
  <c r="AC47" i="5"/>
  <c r="S48" i="5"/>
  <c r="AB48" i="5"/>
  <c r="P50" i="5" l="1"/>
  <c r="AC48" i="5"/>
  <c r="T48" i="5"/>
  <c r="R49" i="5"/>
  <c r="Q50" i="5"/>
  <c r="Z50" i="5"/>
  <c r="S49" i="5"/>
  <c r="AB49" i="5"/>
  <c r="P51" i="5" l="1"/>
  <c r="AC49" i="5"/>
  <c r="T49" i="5"/>
  <c r="R50" i="5"/>
  <c r="Q51" i="5"/>
  <c r="Z51" i="5"/>
  <c r="S50" i="5"/>
  <c r="AB50" i="5"/>
  <c r="P52" i="5" l="1"/>
  <c r="T50" i="5"/>
  <c r="R51" i="5"/>
  <c r="Q52" i="5"/>
  <c r="Z52" i="5"/>
  <c r="AC50" i="5"/>
  <c r="AB51" i="5"/>
  <c r="S51" i="5"/>
  <c r="P53" i="5" l="1"/>
  <c r="T51" i="5"/>
  <c r="AC51" i="5"/>
  <c r="R52" i="5"/>
  <c r="Q53" i="5"/>
  <c r="Z53" i="5"/>
  <c r="S52" i="5"/>
  <c r="AB52" i="5"/>
  <c r="P54" i="5" l="1"/>
  <c r="AC52" i="5"/>
  <c r="T52" i="5"/>
  <c r="R53" i="5"/>
  <c r="Q54" i="5"/>
  <c r="Z54" i="5"/>
  <c r="AB53" i="5"/>
  <c r="S53" i="5"/>
  <c r="P55" i="5" l="1"/>
  <c r="T53" i="5"/>
  <c r="AC53" i="5"/>
  <c r="R54" i="5"/>
  <c r="Q55" i="5"/>
  <c r="Z55" i="5"/>
  <c r="AB54" i="5"/>
  <c r="S54" i="5"/>
  <c r="P56" i="5" l="1"/>
  <c r="T54" i="5"/>
  <c r="AC54" i="5"/>
  <c r="R55" i="5"/>
  <c r="Q56" i="5"/>
  <c r="Z56" i="5"/>
  <c r="S55" i="5"/>
  <c r="AB55" i="5"/>
  <c r="P57" i="5" l="1"/>
  <c r="T55" i="5"/>
  <c r="R56" i="5"/>
  <c r="Q57" i="5"/>
  <c r="Z57" i="5"/>
  <c r="AC55" i="5"/>
  <c r="AB56" i="5"/>
  <c r="S56" i="5"/>
  <c r="P58" i="5" l="1"/>
  <c r="T56" i="5"/>
  <c r="AC56" i="5"/>
  <c r="R57" i="5"/>
  <c r="Q58" i="5"/>
  <c r="Z58" i="5"/>
  <c r="AB57" i="5"/>
  <c r="S57" i="5"/>
  <c r="P59" i="5" l="1"/>
  <c r="T57" i="5"/>
  <c r="AC57" i="5"/>
  <c r="R58" i="5"/>
  <c r="Q59" i="5"/>
  <c r="Z59" i="5"/>
  <c r="AB58" i="5"/>
  <c r="S58" i="5"/>
  <c r="P60" i="5" l="1"/>
  <c r="T58" i="5"/>
  <c r="AC58" i="5"/>
  <c r="R59" i="5"/>
  <c r="Q60" i="5"/>
  <c r="Z60" i="5"/>
  <c r="S59" i="5"/>
  <c r="AB59" i="5"/>
  <c r="P61" i="5" l="1"/>
  <c r="AC59" i="5"/>
  <c r="T59" i="5"/>
  <c r="R60" i="5"/>
  <c r="Q61" i="5"/>
  <c r="Z61" i="5"/>
  <c r="AB60" i="5"/>
  <c r="S60" i="5"/>
  <c r="P62" i="5" l="1"/>
  <c r="T60" i="5"/>
  <c r="AC60" i="5"/>
  <c r="R61" i="5"/>
  <c r="Q62" i="5"/>
  <c r="Z62" i="5"/>
  <c r="S61" i="5"/>
  <c r="AB61" i="5"/>
  <c r="P63" i="5" l="1"/>
  <c r="AC61" i="5"/>
  <c r="T61" i="5"/>
  <c r="R62" i="5"/>
  <c r="Q63" i="5"/>
  <c r="Z63" i="5"/>
  <c r="AB62" i="5"/>
  <c r="S62" i="5"/>
  <c r="P64" i="5" l="1"/>
  <c r="T62" i="5"/>
  <c r="AC62" i="5"/>
  <c r="R63" i="5"/>
  <c r="Q64" i="5"/>
  <c r="Z64" i="5"/>
  <c r="AB63" i="5"/>
  <c r="S63" i="5"/>
  <c r="P65" i="5" l="1"/>
  <c r="T63" i="5"/>
  <c r="AC63" i="5"/>
  <c r="R64" i="5"/>
  <c r="Q65" i="5"/>
  <c r="Z65" i="5"/>
  <c r="AB64" i="5"/>
  <c r="S64" i="5"/>
  <c r="P66" i="5" l="1"/>
  <c r="T64" i="5"/>
  <c r="AC64" i="5"/>
  <c r="R65" i="5"/>
  <c r="Q66" i="5"/>
  <c r="Z66" i="5"/>
  <c r="S65" i="5"/>
  <c r="AB65" i="5"/>
  <c r="P67" i="5" l="1"/>
  <c r="AC65" i="5"/>
  <c r="T65" i="5"/>
  <c r="R66" i="5"/>
  <c r="Q67" i="5"/>
  <c r="Z67" i="5"/>
  <c r="AB66" i="5"/>
  <c r="S66" i="5"/>
  <c r="P68" i="5" l="1"/>
  <c r="T66" i="5"/>
  <c r="AC66" i="5"/>
  <c r="R67" i="5"/>
  <c r="Q68" i="5"/>
  <c r="Z68" i="5"/>
  <c r="AB67" i="5"/>
  <c r="S67" i="5"/>
  <c r="P69" i="5" l="1"/>
  <c r="T67" i="5"/>
  <c r="AC67" i="5"/>
  <c r="R68" i="5"/>
  <c r="Q69" i="5"/>
  <c r="Z69" i="5"/>
  <c r="AB68" i="5"/>
  <c r="S68" i="5"/>
  <c r="P70" i="5" l="1"/>
  <c r="T68" i="5"/>
  <c r="AC68" i="5"/>
  <c r="R69" i="5"/>
  <c r="Q70" i="5"/>
  <c r="Z70" i="5"/>
  <c r="AB69" i="5"/>
  <c r="S69" i="5"/>
  <c r="P71" i="5" l="1"/>
  <c r="T69" i="5"/>
  <c r="Q71" i="5"/>
  <c r="Z71" i="5"/>
  <c r="AC69" i="5"/>
  <c r="R70" i="5"/>
  <c r="S70" i="5"/>
  <c r="AB70" i="5"/>
  <c r="P72" i="5" l="1"/>
  <c r="AC70" i="5"/>
  <c r="T70" i="5"/>
  <c r="R71" i="5"/>
  <c r="Q72" i="5"/>
  <c r="Z72" i="5"/>
  <c r="AB71" i="5"/>
  <c r="S71" i="5"/>
  <c r="P73" i="5" l="1"/>
  <c r="T71" i="5"/>
  <c r="AC71" i="5"/>
  <c r="R72" i="5"/>
  <c r="Q73" i="5"/>
  <c r="Z73" i="5"/>
  <c r="AB72" i="5"/>
  <c r="S72" i="5"/>
  <c r="P74" i="5" l="1"/>
  <c r="T72" i="5"/>
  <c r="AC72" i="5"/>
  <c r="R73" i="5"/>
  <c r="Q74" i="5"/>
  <c r="Z74" i="5"/>
  <c r="S73" i="5"/>
  <c r="AB73" i="5"/>
  <c r="P75" i="5" l="1"/>
  <c r="T73" i="5"/>
  <c r="R74" i="5"/>
  <c r="Q75" i="5"/>
  <c r="Z75" i="5"/>
  <c r="AC73" i="5"/>
  <c r="S74" i="5"/>
  <c r="AB74" i="5"/>
  <c r="P76" i="5" l="1"/>
  <c r="AC74" i="5"/>
  <c r="T74" i="5"/>
  <c r="Q76" i="5"/>
  <c r="Z76" i="5"/>
  <c r="R75" i="5"/>
  <c r="S75" i="5"/>
  <c r="AB75" i="5"/>
  <c r="P77" i="5" l="1"/>
  <c r="AC75" i="5"/>
  <c r="T75" i="5"/>
  <c r="R76" i="5"/>
  <c r="Q77" i="5"/>
  <c r="Z77" i="5"/>
  <c r="AB76" i="5"/>
  <c r="S76" i="5"/>
  <c r="P78" i="5" l="1"/>
  <c r="T76" i="5"/>
  <c r="AC76" i="5"/>
  <c r="R77" i="5"/>
  <c r="Q78" i="5"/>
  <c r="Z78" i="5"/>
  <c r="AB77" i="5"/>
  <c r="S77" i="5"/>
  <c r="P79" i="5" l="1"/>
  <c r="T77" i="5"/>
  <c r="AC77" i="5"/>
  <c r="R78" i="5"/>
  <c r="Q79" i="5"/>
  <c r="Z79" i="5"/>
  <c r="S78" i="5"/>
  <c r="AB78" i="5"/>
  <c r="P80" i="5" l="1"/>
  <c r="AC78" i="5"/>
  <c r="T78" i="5"/>
  <c r="R79" i="5"/>
  <c r="Q80" i="5"/>
  <c r="Z80" i="5"/>
  <c r="AB79" i="5"/>
  <c r="S79" i="5"/>
  <c r="P81" i="5" l="1"/>
  <c r="T79" i="5"/>
  <c r="AC79" i="5"/>
  <c r="R80" i="5"/>
  <c r="Q81" i="5"/>
  <c r="Z81" i="5"/>
  <c r="AB80" i="5"/>
  <c r="S80" i="5"/>
  <c r="P82" i="5" l="1"/>
  <c r="T80" i="5"/>
  <c r="AC80" i="5"/>
  <c r="R81" i="5"/>
  <c r="Q82" i="5"/>
  <c r="Z82" i="5"/>
  <c r="S81" i="5"/>
  <c r="AB81" i="5"/>
  <c r="P83" i="5" l="1"/>
  <c r="AC81" i="5"/>
  <c r="T81" i="5"/>
  <c r="Z83" i="5"/>
  <c r="R82" i="5"/>
  <c r="Q83" i="5"/>
  <c r="AB82" i="5"/>
  <c r="S82" i="5"/>
  <c r="P84" i="5" l="1"/>
  <c r="T82" i="5"/>
  <c r="AC82" i="5"/>
  <c r="Z84" i="5"/>
  <c r="R83" i="5"/>
  <c r="Q84" i="5"/>
  <c r="S83" i="5"/>
  <c r="AB83" i="5"/>
  <c r="P85" i="5" l="1"/>
  <c r="AC83" i="5"/>
  <c r="T83" i="5"/>
  <c r="R84" i="5"/>
  <c r="Q85" i="5"/>
  <c r="Z85" i="5"/>
  <c r="AB84" i="5"/>
  <c r="S84" i="5"/>
  <c r="P86" i="5" l="1"/>
  <c r="T84" i="5"/>
  <c r="AC84" i="5"/>
  <c r="R85" i="5"/>
  <c r="Q86" i="5"/>
  <c r="Z86" i="5"/>
  <c r="S85" i="5"/>
  <c r="AB85" i="5"/>
  <c r="P87" i="5" l="1"/>
  <c r="T85" i="5"/>
  <c r="R86" i="5"/>
  <c r="Q87" i="5"/>
  <c r="Z87" i="5"/>
  <c r="AC85" i="5"/>
  <c r="AB86" i="5"/>
  <c r="S86" i="5"/>
  <c r="P88" i="5" l="1"/>
  <c r="T86" i="5"/>
  <c r="AC86" i="5"/>
  <c r="R87" i="5"/>
  <c r="Q88" i="5"/>
  <c r="Z88" i="5"/>
  <c r="AB87" i="5"/>
  <c r="S87" i="5"/>
  <c r="P89" i="5" l="1"/>
  <c r="AC87" i="5"/>
  <c r="R88" i="5"/>
  <c r="Q89" i="5"/>
  <c r="Z89" i="5"/>
  <c r="T87" i="5"/>
  <c r="AB88" i="5"/>
  <c r="S88" i="5"/>
  <c r="P90" i="5" l="1"/>
  <c r="T88" i="5"/>
  <c r="AC88" i="5"/>
  <c r="R89" i="5"/>
  <c r="Q90" i="5"/>
  <c r="Z90" i="5"/>
  <c r="S89" i="5"/>
  <c r="AB89" i="5"/>
  <c r="P91" i="5" l="1"/>
  <c r="T89" i="5"/>
  <c r="R90" i="5"/>
  <c r="Q91" i="5"/>
  <c r="Z91" i="5"/>
  <c r="AC89" i="5"/>
  <c r="S90" i="5"/>
  <c r="AB90" i="5"/>
  <c r="P92" i="5" l="1"/>
  <c r="AC90" i="5"/>
  <c r="T90" i="5"/>
  <c r="R91" i="5"/>
  <c r="Q92" i="5"/>
  <c r="Z92" i="5"/>
  <c r="S91" i="5"/>
  <c r="AB91" i="5"/>
  <c r="P93" i="5" l="1"/>
  <c r="T91" i="5"/>
  <c r="R92" i="5"/>
  <c r="Q93" i="5"/>
  <c r="Z93" i="5"/>
  <c r="AC91" i="5"/>
  <c r="AB92" i="5"/>
  <c r="S92" i="5"/>
  <c r="P94" i="5" l="1"/>
  <c r="AC92" i="5"/>
  <c r="R93" i="5"/>
  <c r="Q94" i="5"/>
  <c r="Z94" i="5"/>
  <c r="T92" i="5"/>
  <c r="AB93" i="5"/>
  <c r="S93" i="5"/>
  <c r="P95" i="5" l="1"/>
  <c r="T93" i="5"/>
  <c r="AC93" i="5"/>
  <c r="R94" i="5"/>
  <c r="Q95" i="5"/>
  <c r="Z95" i="5"/>
  <c r="S94" i="5"/>
  <c r="AB94" i="5"/>
  <c r="P96" i="5" l="1"/>
  <c r="T94" i="5"/>
  <c r="R95" i="5"/>
  <c r="Q96" i="5"/>
  <c r="Z96" i="5"/>
  <c r="AC94" i="5"/>
  <c r="AB95" i="5"/>
  <c r="S95" i="5"/>
  <c r="P97" i="5" l="1"/>
  <c r="T95" i="5"/>
  <c r="AC95" i="5"/>
  <c r="R96" i="5"/>
  <c r="Q97" i="5"/>
  <c r="Z97" i="5"/>
  <c r="S96" i="5"/>
  <c r="AB96" i="5"/>
  <c r="P98" i="5" l="1"/>
  <c r="AC96" i="5"/>
  <c r="T96" i="5"/>
  <c r="R97" i="5"/>
  <c r="Q98" i="5"/>
  <c r="Z98" i="5"/>
  <c r="AB97" i="5"/>
  <c r="S97" i="5"/>
  <c r="P99" i="5" l="1"/>
  <c r="T97" i="5"/>
  <c r="AC97" i="5"/>
  <c r="R98" i="5"/>
  <c r="Q99" i="5"/>
  <c r="Z99" i="5"/>
  <c r="AB98" i="5"/>
  <c r="S98" i="5"/>
  <c r="P100" i="5" l="1"/>
  <c r="T98" i="5"/>
  <c r="AC98" i="5"/>
  <c r="R99" i="5"/>
  <c r="Q100" i="5"/>
  <c r="Z100" i="5"/>
  <c r="S99" i="5"/>
  <c r="AB99" i="5"/>
  <c r="P101" i="5" l="1"/>
  <c r="AC99" i="5"/>
  <c r="T99" i="5"/>
  <c r="R100" i="5"/>
  <c r="Q101" i="5"/>
  <c r="Z101" i="5"/>
  <c r="AB100" i="5"/>
  <c r="S100" i="5"/>
  <c r="P102" i="5" l="1"/>
  <c r="T100" i="5"/>
  <c r="AC100" i="5"/>
  <c r="R101" i="5"/>
  <c r="Q102" i="5"/>
  <c r="Z102" i="5"/>
  <c r="AB101" i="5"/>
  <c r="S101" i="5"/>
  <c r="P103" i="5" l="1"/>
  <c r="T101" i="5"/>
  <c r="AC101" i="5"/>
  <c r="R102" i="5"/>
  <c r="Q103" i="5"/>
  <c r="Z103" i="5"/>
  <c r="S102" i="5"/>
  <c r="AB102" i="5"/>
  <c r="P104" i="5" l="1"/>
  <c r="AC102" i="5"/>
  <c r="T102" i="5"/>
  <c r="R103" i="5"/>
  <c r="Q104" i="5"/>
  <c r="Z104" i="5"/>
  <c r="AB103" i="5"/>
  <c r="S103" i="5"/>
  <c r="P105" i="5" l="1"/>
  <c r="AC103" i="5"/>
  <c r="R104" i="5"/>
  <c r="Q105" i="5"/>
  <c r="Z105" i="5"/>
  <c r="T103" i="5"/>
  <c r="AB104" i="5"/>
  <c r="S104" i="5"/>
  <c r="P106" i="5" l="1"/>
  <c r="AC104" i="5"/>
  <c r="R105" i="5"/>
  <c r="Q106" i="5"/>
  <c r="Z106" i="5"/>
  <c r="T104" i="5"/>
  <c r="S105" i="5"/>
  <c r="AB105" i="5"/>
  <c r="P107" i="5" l="1"/>
  <c r="AC105" i="5"/>
  <c r="T105" i="5"/>
  <c r="R106" i="5"/>
  <c r="Q107" i="5"/>
  <c r="Z107" i="5"/>
  <c r="AB106" i="5"/>
  <c r="S106" i="5"/>
  <c r="P108" i="5" l="1"/>
  <c r="T106" i="5"/>
  <c r="AC106" i="5"/>
  <c r="R107" i="5"/>
  <c r="Q108" i="5"/>
  <c r="Z108" i="5"/>
  <c r="AB107" i="5"/>
  <c r="S107" i="5"/>
  <c r="P109" i="5" l="1"/>
  <c r="T107" i="5"/>
  <c r="AC107" i="5"/>
  <c r="R108" i="5"/>
  <c r="Q109" i="5"/>
  <c r="Z109" i="5"/>
  <c r="S108" i="5"/>
  <c r="AB108" i="5"/>
  <c r="P110" i="5" l="1"/>
  <c r="AC108" i="5"/>
  <c r="T108" i="5"/>
  <c r="R109" i="5"/>
  <c r="Q110" i="5"/>
  <c r="Z110" i="5"/>
  <c r="AB109" i="5"/>
  <c r="S109" i="5"/>
  <c r="P111" i="5" l="1"/>
  <c r="T109" i="5"/>
  <c r="AC109" i="5"/>
  <c r="R110" i="5"/>
  <c r="Q111" i="5"/>
  <c r="Z111" i="5"/>
  <c r="S110" i="5"/>
  <c r="AB110" i="5"/>
  <c r="P112" i="5" l="1"/>
  <c r="AC110" i="5"/>
  <c r="T110" i="5"/>
  <c r="R111" i="5"/>
  <c r="Q112" i="5"/>
  <c r="Z112" i="5"/>
  <c r="S111" i="5"/>
  <c r="AB111" i="5"/>
  <c r="P113" i="5" l="1"/>
  <c r="AC111" i="5"/>
  <c r="T111" i="5"/>
  <c r="R112" i="5"/>
  <c r="Q113" i="5"/>
  <c r="Z113" i="5"/>
  <c r="S112" i="5"/>
  <c r="AB112" i="5"/>
  <c r="P114" i="5" l="1"/>
  <c r="AC112" i="5"/>
  <c r="T112" i="5"/>
  <c r="R113" i="5"/>
  <c r="Q114" i="5"/>
  <c r="Z114" i="5"/>
  <c r="S113" i="5"/>
  <c r="AB113" i="5"/>
  <c r="P115" i="5" l="1"/>
  <c r="AC113" i="5"/>
  <c r="T113" i="5"/>
  <c r="R114" i="5"/>
  <c r="Q115" i="5"/>
  <c r="Z115" i="5"/>
  <c r="S114" i="5"/>
  <c r="AB114" i="5"/>
  <c r="P116" i="5" l="1"/>
  <c r="T114" i="5"/>
  <c r="R115" i="5"/>
  <c r="Q116" i="5"/>
  <c r="Z116" i="5"/>
  <c r="AC114" i="5"/>
  <c r="S115" i="5"/>
  <c r="AB115" i="5"/>
  <c r="P117" i="5" l="1"/>
  <c r="AC115" i="5"/>
  <c r="T115" i="5"/>
  <c r="R116" i="5"/>
  <c r="Q117" i="5"/>
  <c r="Z117" i="5"/>
  <c r="S116" i="5"/>
  <c r="AB116" i="5"/>
  <c r="P118" i="5" l="1"/>
  <c r="AC116" i="5"/>
  <c r="T116" i="5"/>
  <c r="R117" i="5"/>
  <c r="Q118" i="5"/>
  <c r="Z118" i="5"/>
  <c r="S117" i="5"/>
  <c r="AB117" i="5"/>
  <c r="P119" i="5" l="1"/>
  <c r="T117" i="5"/>
  <c r="R118" i="5"/>
  <c r="Q119" i="5"/>
  <c r="Z119" i="5"/>
  <c r="AC117" i="5"/>
  <c r="S118" i="5"/>
  <c r="AB118" i="5"/>
  <c r="P120" i="5" l="1"/>
  <c r="T118" i="5"/>
  <c r="R119" i="5"/>
  <c r="Q120" i="5"/>
  <c r="Z120" i="5"/>
  <c r="AC118" i="5"/>
  <c r="AB119" i="5"/>
  <c r="S119" i="5"/>
  <c r="P121" i="5" l="1"/>
  <c r="T119" i="5"/>
  <c r="AC119" i="5"/>
  <c r="R120" i="5"/>
  <c r="Q121" i="5"/>
  <c r="Z121" i="5"/>
  <c r="S120" i="5"/>
  <c r="AB120" i="5"/>
  <c r="P122" i="5" l="1"/>
  <c r="T120" i="5"/>
  <c r="R121" i="5"/>
  <c r="Q122" i="5"/>
  <c r="Z122" i="5"/>
  <c r="AC120" i="5"/>
  <c r="S121" i="5"/>
  <c r="AB121" i="5"/>
  <c r="P123" i="5" l="1"/>
  <c r="AC121" i="5"/>
  <c r="T121" i="5"/>
  <c r="R122" i="5"/>
  <c r="Q123" i="5"/>
  <c r="Z123" i="5"/>
  <c r="S122" i="5"/>
  <c r="AB122" i="5"/>
  <c r="P124" i="5" l="1"/>
  <c r="AC122" i="5"/>
  <c r="T122" i="5"/>
  <c r="Q124" i="5"/>
  <c r="R123" i="5"/>
  <c r="Z124" i="5"/>
  <c r="S123" i="5"/>
  <c r="AB123" i="5"/>
  <c r="P125" i="5" l="1"/>
  <c r="AC123" i="5"/>
  <c r="T123" i="5"/>
  <c r="R124" i="5"/>
  <c r="Q125" i="5"/>
  <c r="Z125" i="5"/>
  <c r="AB124" i="5"/>
  <c r="S124" i="5"/>
  <c r="P126" i="5" l="1"/>
  <c r="T124" i="5"/>
  <c r="AC124" i="5"/>
  <c r="R125" i="5"/>
  <c r="Q126" i="5"/>
  <c r="Z126" i="5"/>
  <c r="S125" i="5"/>
  <c r="AB125" i="5"/>
  <c r="P127" i="5" l="1"/>
  <c r="AC125" i="5"/>
  <c r="T125" i="5"/>
  <c r="R126" i="5"/>
  <c r="Q127" i="5"/>
  <c r="Z127" i="5"/>
  <c r="S126" i="5"/>
  <c r="AB126" i="5"/>
  <c r="P128" i="5" l="1"/>
  <c r="AC126" i="5"/>
  <c r="T126" i="5"/>
  <c r="R127" i="5"/>
  <c r="Q128" i="5"/>
  <c r="Z128" i="5"/>
  <c r="AB127" i="5"/>
  <c r="S127" i="5"/>
  <c r="P129" i="5" l="1"/>
  <c r="T127" i="5"/>
  <c r="AC127" i="5"/>
  <c r="R128" i="5"/>
  <c r="Q129" i="5"/>
  <c r="Z129" i="5"/>
  <c r="S128" i="5"/>
  <c r="AB128" i="5"/>
  <c r="P130" i="5" l="1"/>
  <c r="AC128" i="5"/>
  <c r="T128" i="5"/>
  <c r="R129" i="5"/>
  <c r="Q130" i="5"/>
  <c r="Z130" i="5"/>
  <c r="S129" i="5"/>
  <c r="AB129" i="5"/>
  <c r="P131" i="5" l="1"/>
  <c r="AC129" i="5"/>
  <c r="T129" i="5"/>
  <c r="R130" i="5"/>
  <c r="Q131" i="5"/>
  <c r="Z131" i="5"/>
  <c r="S130" i="5"/>
  <c r="AB130" i="5"/>
  <c r="P132" i="5" l="1"/>
  <c r="AC130" i="5"/>
  <c r="T130" i="5"/>
  <c r="R131" i="5"/>
  <c r="Q132" i="5"/>
  <c r="Z132" i="5"/>
  <c r="AB131" i="5"/>
  <c r="S131" i="5"/>
  <c r="P133" i="5" l="1"/>
  <c r="T131" i="5"/>
  <c r="AC131" i="5"/>
  <c r="R132" i="5"/>
  <c r="Q133" i="5"/>
  <c r="Z133" i="5"/>
  <c r="S132" i="5"/>
  <c r="AB132" i="5"/>
  <c r="P134" i="5" l="1"/>
  <c r="AC132" i="5"/>
  <c r="T132" i="5"/>
  <c r="R133" i="5"/>
  <c r="Q134" i="5"/>
  <c r="Z134" i="5"/>
  <c r="S133" i="5"/>
  <c r="AB133" i="5"/>
  <c r="P135" i="5" l="1"/>
  <c r="AC133" i="5"/>
  <c r="T133" i="5"/>
  <c r="R134" i="5"/>
  <c r="Q135" i="5"/>
  <c r="Z135" i="5"/>
  <c r="AB134" i="5"/>
  <c r="S134" i="5"/>
  <c r="T134" i="5" l="1"/>
  <c r="AC134" i="5"/>
  <c r="R135" i="5"/>
  <c r="S135" i="5"/>
  <c r="AB135" i="5"/>
  <c r="AC135" i="5" l="1"/>
  <c r="T135" i="5"/>
  <c r="S1" i="5" l="1"/>
  <c r="T1" i="5"/>
  <c r="U1" i="5"/>
  <c r="I7" i="4" l="1"/>
  <c r="U511" i="1"/>
  <c r="V404" i="1"/>
  <c r="U75" i="1"/>
  <c r="U152" i="1"/>
  <c r="T585" i="1"/>
  <c r="T85" i="1"/>
  <c r="T97" i="1"/>
  <c r="V4" i="1"/>
  <c r="V284" i="1"/>
  <c r="T508" i="1"/>
  <c r="T35" i="1"/>
  <c r="T83" i="1"/>
  <c r="T92" i="1"/>
  <c r="T70" i="1"/>
  <c r="T196" i="1"/>
  <c r="T244" i="1"/>
  <c r="V344" i="1"/>
  <c r="T75" i="1"/>
  <c r="T78" i="1"/>
  <c r="T625" i="1"/>
  <c r="U10" i="5"/>
  <c r="U171" i="1"/>
  <c r="T126" i="1"/>
  <c r="T154" i="1"/>
  <c r="V20" i="5"/>
  <c r="U4" i="1"/>
  <c r="V516" i="1"/>
  <c r="U512" i="1"/>
  <c r="V639" i="1"/>
  <c r="T185" i="1"/>
  <c r="V210" i="1"/>
  <c r="V175" i="1"/>
  <c r="U293" i="1"/>
  <c r="U318" i="1"/>
  <c r="V578" i="1"/>
  <c r="V194" i="1"/>
  <c r="V21" i="1"/>
  <c r="V148" i="1"/>
  <c r="V10" i="1"/>
  <c r="V314" i="1"/>
  <c r="U427" i="1"/>
  <c r="U238" i="1"/>
  <c r="V31" i="1"/>
  <c r="V127" i="1"/>
  <c r="T337" i="1"/>
  <c r="T132" i="1"/>
  <c r="V463" i="1"/>
  <c r="U27" i="1"/>
  <c r="T165" i="1"/>
  <c r="U350" i="1"/>
  <c r="V22" i="5"/>
  <c r="V472" i="1"/>
  <c r="V32" i="1"/>
  <c r="T546" i="1"/>
  <c r="V104" i="1"/>
  <c r="V143" i="1"/>
  <c r="T265" i="1"/>
  <c r="U555" i="1"/>
  <c r="U312" i="1"/>
  <c r="T633" i="1"/>
  <c r="U22" i="1"/>
  <c r="V130" i="1"/>
  <c r="U118" i="1"/>
  <c r="T188" i="1"/>
  <c r="U211" i="1"/>
  <c r="U478" i="1"/>
  <c r="T316" i="1"/>
  <c r="U297" i="1"/>
  <c r="T223" i="1"/>
  <c r="W10" i="5"/>
  <c r="U481" i="1"/>
  <c r="V237" i="1"/>
  <c r="T513" i="1"/>
  <c r="V26" i="5"/>
  <c r="T145" i="1"/>
  <c r="W23" i="5"/>
  <c r="U553" i="1"/>
  <c r="V310" i="1"/>
  <c r="V584" i="1"/>
  <c r="V221" i="1"/>
  <c r="T17" i="1"/>
  <c r="T351" i="1"/>
  <c r="V461" i="1"/>
  <c r="U83" i="1"/>
  <c r="U23" i="5"/>
  <c r="V16" i="5"/>
  <c r="V309" i="1"/>
  <c r="V124" i="1"/>
  <c r="U608" i="1"/>
  <c r="U37" i="1"/>
  <c r="U316" i="1"/>
  <c r="V10" i="5"/>
  <c r="T124" i="1"/>
  <c r="U181" i="1"/>
  <c r="U70" i="1"/>
  <c r="V349" i="1"/>
  <c r="V25" i="5"/>
  <c r="T346" i="1"/>
  <c r="U57" i="1"/>
  <c r="V238" i="1"/>
  <c r="U136" i="1"/>
  <c r="U584" i="1"/>
  <c r="T669" i="1"/>
  <c r="U190" i="1"/>
  <c r="U273" i="1"/>
  <c r="W30" i="5"/>
  <c r="V100" i="1"/>
  <c r="V549" i="1"/>
  <c r="T28" i="1"/>
  <c r="T226" i="1"/>
  <c r="T516" i="1"/>
  <c r="U443" i="1"/>
  <c r="V546" i="1"/>
  <c r="V14" i="1"/>
  <c r="V154" i="1"/>
  <c r="U29" i="1"/>
  <c r="V586" i="1"/>
  <c r="T517" i="1"/>
  <c r="U355" i="1"/>
  <c r="V23" i="1"/>
  <c r="T332" i="1"/>
  <c r="T589" i="1"/>
  <c r="T58" i="1"/>
  <c r="W27" i="5"/>
  <c r="U391" i="1"/>
  <c r="T311" i="1"/>
  <c r="T73" i="1"/>
  <c r="T580" i="1"/>
  <c r="V307" i="1"/>
  <c r="V437" i="1"/>
  <c r="W11" i="5"/>
  <c r="U637" i="1"/>
  <c r="U22" i="5"/>
  <c r="V44" i="1"/>
  <c r="U315" i="1"/>
  <c r="U278" i="1"/>
  <c r="T385" i="1"/>
  <c r="U303" i="1"/>
  <c r="T89" i="1"/>
  <c r="T68" i="1"/>
  <c r="U89" i="1"/>
  <c r="V95" i="1"/>
  <c r="U112" i="1"/>
  <c r="T54" i="1"/>
  <c r="V589" i="1"/>
  <c r="T151" i="1"/>
  <c r="U633" i="1"/>
  <c r="U277" i="1"/>
  <c r="U16" i="5"/>
  <c r="U126" i="1"/>
  <c r="W34" i="5"/>
  <c r="V27" i="5"/>
  <c r="V548" i="1"/>
  <c r="V477" i="1"/>
  <c r="V282" i="1"/>
  <c r="T37" i="1"/>
  <c r="T239" i="1"/>
  <c r="T190" i="1"/>
  <c r="T631" i="1"/>
  <c r="U550" i="1"/>
  <c r="T390" i="1"/>
  <c r="U7" i="5"/>
  <c r="T388" i="1"/>
  <c r="U632" i="1"/>
  <c r="V117" i="1"/>
  <c r="V47" i="1"/>
  <c r="T426" i="1"/>
  <c r="V129" i="1"/>
  <c r="U502" i="1"/>
  <c r="V605" i="1"/>
  <c r="U116" i="1"/>
  <c r="V453" i="1"/>
  <c r="U66" i="1"/>
  <c r="V448" i="1"/>
  <c r="W26" i="5"/>
  <c r="V322" i="1"/>
  <c r="T749" i="1"/>
  <c r="T110" i="1"/>
  <c r="U491" i="1"/>
  <c r="V247" i="1"/>
  <c r="U119" i="1"/>
  <c r="V456" i="1"/>
  <c r="U68" i="1"/>
  <c r="U454" i="1"/>
  <c r="W17" i="5"/>
  <c r="V325" i="1"/>
  <c r="U751" i="1"/>
  <c r="T559" i="1"/>
  <c r="V460" i="1"/>
  <c r="T66" i="1"/>
  <c r="T327" i="1"/>
  <c r="U62" i="1"/>
  <c r="U221" i="1"/>
  <c r="V43" i="1"/>
  <c r="T142" i="1"/>
  <c r="V568" i="1"/>
  <c r="V178" i="1"/>
  <c r="T646" i="1"/>
  <c r="T535" i="1"/>
  <c r="U94" i="1"/>
  <c r="T231" i="1"/>
  <c r="V469" i="1"/>
  <c r="T562" i="1"/>
  <c r="U166" i="1"/>
  <c r="U432" i="1"/>
  <c r="U387" i="1"/>
  <c r="V596" i="1"/>
  <c r="U568" i="1"/>
  <c r="V239" i="1"/>
  <c r="T621" i="1"/>
  <c r="T168" i="1"/>
  <c r="U38" i="5"/>
  <c r="V41" i="1"/>
  <c r="U177" i="1"/>
  <c r="T383" i="1"/>
  <c r="U728" i="1"/>
  <c r="U686" i="1"/>
  <c r="V778" i="1"/>
  <c r="T776" i="1"/>
  <c r="V313" i="1"/>
  <c r="V611" i="1"/>
  <c r="T928" i="1"/>
  <c r="V363" i="1"/>
  <c r="V333" i="1"/>
  <c r="T59" i="1"/>
  <c r="U769" i="1"/>
  <c r="T834" i="1"/>
  <c r="U868" i="1"/>
  <c r="V1141" i="1"/>
  <c r="V881" i="1"/>
  <c r="V443" i="1"/>
  <c r="V31" i="5"/>
  <c r="T437" i="1"/>
  <c r="T506" i="1"/>
  <c r="T404" i="1"/>
  <c r="T839" i="1"/>
  <c r="U788" i="1"/>
  <c r="T277" i="1"/>
  <c r="V822" i="1"/>
  <c r="T344" i="1"/>
  <c r="V147" i="1"/>
  <c r="T476" i="1"/>
  <c r="U647" i="1"/>
  <c r="U104" i="1"/>
  <c r="V185" i="1"/>
  <c r="U24" i="1"/>
  <c r="T234" i="1"/>
  <c r="V133" i="1"/>
  <c r="U11" i="1"/>
  <c r="U43" i="1"/>
  <c r="T95" i="1"/>
  <c r="V114" i="1"/>
  <c r="U230" i="1"/>
  <c r="V84" i="1"/>
  <c r="T212" i="1"/>
  <c r="V64" i="1"/>
  <c r="U19" i="5"/>
  <c r="T111" i="1"/>
  <c r="T178" i="1"/>
  <c r="V616" i="1"/>
  <c r="T660" i="1"/>
  <c r="U473" i="1"/>
  <c r="U337" i="1"/>
  <c r="V173" i="1"/>
  <c r="T140" i="1"/>
  <c r="T533" i="1"/>
  <c r="T175" i="1"/>
  <c r="U444" i="1"/>
  <c r="U145" i="1"/>
  <c r="U590" i="1"/>
  <c r="T88" i="1"/>
  <c r="V483" i="1"/>
  <c r="V6" i="1"/>
  <c r="T357" i="1"/>
  <c r="U884" i="1"/>
  <c r="U395" i="1"/>
  <c r="V557" i="1"/>
  <c r="U329" i="1"/>
  <c r="U151" i="1"/>
  <c r="T596" i="1"/>
  <c r="V89" i="1"/>
  <c r="T489" i="1"/>
  <c r="U10" i="1"/>
  <c r="T362" i="1"/>
  <c r="T103" i="1"/>
  <c r="T639" i="1"/>
  <c r="T530" i="1"/>
  <c r="U153" i="1"/>
  <c r="U360" i="1"/>
  <c r="V40" i="5"/>
  <c r="T255" i="1"/>
  <c r="U108" i="1"/>
  <c r="U162" i="1"/>
  <c r="U606" i="1"/>
  <c r="V55" i="1"/>
  <c r="V181" i="1"/>
  <c r="T604" i="1"/>
  <c r="T214" i="1"/>
  <c r="U299" i="1"/>
  <c r="V272" i="1"/>
  <c r="U644" i="1"/>
  <c r="V218" i="1"/>
  <c r="T501" i="1"/>
  <c r="U456" i="1"/>
  <c r="T359" i="1"/>
  <c r="U619" i="1"/>
  <c r="V274" i="1"/>
  <c r="U688" i="1"/>
  <c r="V187" i="1"/>
  <c r="V214" i="1"/>
  <c r="U84" i="1"/>
  <c r="V29" i="5"/>
  <c r="T442" i="1"/>
  <c r="T762" i="1"/>
  <c r="T797" i="1"/>
  <c r="U813" i="1"/>
  <c r="T810" i="1"/>
  <c r="T336" i="1"/>
  <c r="V633" i="1"/>
  <c r="U363" i="1"/>
  <c r="V431" i="1"/>
  <c r="V394" i="1"/>
  <c r="V86" i="1"/>
  <c r="V811" i="1"/>
  <c r="U1042" i="1"/>
  <c r="T907" i="1"/>
  <c r="T613" i="1"/>
  <c r="U927" i="1"/>
  <c r="V465" i="1"/>
  <c r="V439" i="1"/>
  <c r="U505" i="1"/>
  <c r="U565" i="1"/>
  <c r="T452" i="1"/>
  <c r="V626" i="1"/>
  <c r="U855" i="1"/>
  <c r="T299" i="1"/>
  <c r="T858" i="1"/>
  <c r="U403" i="1"/>
  <c r="U574" i="1"/>
  <c r="T43" i="1"/>
  <c r="U869" i="1"/>
  <c r="T626" i="1"/>
  <c r="T424" i="1"/>
  <c r="T50" i="1"/>
  <c r="V160" i="1"/>
  <c r="U35" i="1"/>
  <c r="V15" i="1"/>
  <c r="V275" i="1"/>
  <c r="V119" i="1"/>
  <c r="T4" i="1"/>
  <c r="V420" i="1"/>
  <c r="U379" i="1"/>
  <c r="V698" i="1"/>
  <c r="U384" i="1"/>
  <c r="T164" i="1"/>
  <c r="T420" i="1"/>
  <c r="T215" i="1"/>
  <c r="T497" i="1"/>
  <c r="U188" i="1"/>
  <c r="V126" i="1"/>
  <c r="T269" i="1"/>
  <c r="V136" i="1"/>
  <c r="V74" i="1"/>
  <c r="V71" i="1"/>
  <c r="T177" i="1"/>
  <c r="V18" i="1"/>
  <c r="V458" i="1"/>
  <c r="U19" i="1"/>
  <c r="U85" i="1"/>
  <c r="T108" i="1"/>
  <c r="V72" i="1"/>
  <c r="T295" i="1"/>
  <c r="T137" i="1"/>
  <c r="T33" i="1"/>
  <c r="T193" i="1"/>
  <c r="U54" i="1"/>
  <c r="V101" i="1"/>
  <c r="U30" i="1"/>
  <c r="U158" i="1"/>
  <c r="V15" i="5"/>
  <c r="V132" i="1"/>
  <c r="V343" i="1"/>
  <c r="U107" i="1"/>
  <c r="T19" i="1"/>
  <c r="T107" i="1"/>
  <c r="V279" i="1"/>
  <c r="U675" i="1"/>
  <c r="V165" i="1"/>
  <c r="T543" i="1"/>
  <c r="T372" i="1"/>
  <c r="V230" i="1"/>
  <c r="U91" i="1"/>
  <c r="T602" i="1"/>
  <c r="V229" i="1"/>
  <c r="U577" i="1"/>
  <c r="V174" i="1"/>
  <c r="U635" i="1"/>
  <c r="V107" i="1"/>
  <c r="U518" i="1"/>
  <c r="T94" i="1"/>
  <c r="U390" i="1"/>
  <c r="V929" i="1"/>
  <c r="T529" i="1"/>
  <c r="V637" i="1"/>
  <c r="V580" i="1"/>
  <c r="V176" i="1"/>
  <c r="T642" i="1"/>
  <c r="U111" i="1"/>
  <c r="T524" i="1"/>
  <c r="V94" i="1"/>
  <c r="T396" i="1"/>
  <c r="T14" i="1"/>
  <c r="U179" i="1"/>
  <c r="U598" i="1"/>
  <c r="T69" i="1"/>
  <c r="V392" i="1"/>
  <c r="V27" i="1"/>
  <c r="T289" i="1"/>
  <c r="T167" i="1"/>
  <c r="T263" i="1"/>
  <c r="T658" i="1"/>
  <c r="T81" i="1"/>
  <c r="T227" i="1"/>
  <c r="V77" i="1"/>
  <c r="U438" i="1"/>
  <c r="V365" i="1"/>
  <c r="T343" i="1"/>
  <c r="V382" i="1"/>
  <c r="U286" i="1"/>
  <c r="T198" i="1"/>
  <c r="T525" i="1"/>
  <c r="T428" i="1"/>
  <c r="T8" i="1"/>
  <c r="T309" i="1"/>
  <c r="U35" i="5"/>
  <c r="T211" i="1"/>
  <c r="V277" i="1"/>
  <c r="U127" i="1"/>
  <c r="U18" i="1"/>
  <c r="T716" i="1"/>
  <c r="U795" i="1"/>
  <c r="T831" i="1"/>
  <c r="T848" i="1"/>
  <c r="U844" i="1"/>
  <c r="V419" i="1"/>
  <c r="T656" i="1"/>
  <c r="V410" i="1"/>
  <c r="U500" i="1"/>
  <c r="U441" i="1"/>
  <c r="U233" i="1"/>
  <c r="U863" i="1"/>
  <c r="V624" i="1"/>
  <c r="U964" i="1"/>
  <c r="T634" i="1"/>
  <c r="V251" i="1"/>
  <c r="T488" i="1"/>
  <c r="V706" i="1"/>
  <c r="V11" i="1"/>
  <c r="W4" i="5"/>
  <c r="T774" i="1"/>
  <c r="V648" i="1"/>
  <c r="V614" i="1"/>
  <c r="T341" i="1"/>
  <c r="V498" i="1"/>
  <c r="U209" i="1"/>
  <c r="V102" i="1"/>
  <c r="V373" i="1"/>
  <c r="V9" i="5"/>
  <c r="V582" i="1"/>
  <c r="T581" i="1"/>
  <c r="U72" i="1"/>
  <c r="T458" i="1"/>
  <c r="V12" i="1"/>
  <c r="V186" i="1"/>
  <c r="U529" i="1"/>
  <c r="U15" i="5"/>
  <c r="U148" i="1"/>
  <c r="U17" i="5"/>
  <c r="V63" i="1"/>
  <c r="T87" i="1"/>
  <c r="T36" i="1"/>
  <c r="U276" i="1"/>
  <c r="T62" i="1"/>
  <c r="T129" i="1"/>
  <c r="T22" i="1"/>
  <c r="U67" i="1"/>
  <c r="U88" i="1"/>
  <c r="V122" i="1"/>
  <c r="U307" i="1"/>
  <c r="T98" i="1"/>
  <c r="T9" i="1"/>
  <c r="U58" i="1"/>
  <c r="T247" i="1"/>
  <c r="V250" i="1"/>
  <c r="U192" i="1"/>
  <c r="U147" i="1"/>
  <c r="U150" i="1"/>
  <c r="U61" i="1"/>
  <c r="U12" i="5"/>
  <c r="T375" i="1"/>
  <c r="U366" i="1"/>
  <c r="V207" i="1"/>
  <c r="T577" i="1"/>
  <c r="V405" i="1"/>
  <c r="V311" i="1"/>
  <c r="T116" i="1"/>
  <c r="U163" i="1"/>
  <c r="T368" i="1"/>
  <c r="V653" i="1"/>
  <c r="T197" i="1"/>
  <c r="V21" i="5"/>
  <c r="T195" i="1"/>
  <c r="V551" i="1"/>
  <c r="U114" i="1"/>
  <c r="U425" i="1"/>
  <c r="U996" i="1"/>
  <c r="T487" i="1"/>
  <c r="U198" i="1"/>
  <c r="T663" i="1"/>
  <c r="T200" i="1"/>
  <c r="W18" i="5"/>
  <c r="V195" i="1"/>
  <c r="U556" i="1"/>
  <c r="T118" i="1"/>
  <c r="V428" i="1"/>
  <c r="U80" i="1"/>
  <c r="V426" i="1"/>
  <c r="U33" i="1"/>
  <c r="U95" i="1"/>
  <c r="T429" i="1"/>
  <c r="T51" i="1"/>
  <c r="V423" i="1"/>
  <c r="U3" i="5"/>
  <c r="V296" i="1"/>
  <c r="T726" i="1"/>
  <c r="T153" i="1"/>
  <c r="U499" i="1"/>
  <c r="T266" i="1"/>
  <c r="U540" i="1"/>
  <c r="T436" i="1"/>
  <c r="U197" i="1"/>
  <c r="T156" i="1"/>
  <c r="T356" i="1"/>
  <c r="V30" i="5"/>
  <c r="V591" i="1"/>
  <c r="U495" i="1"/>
  <c r="V24" i="1"/>
  <c r="U342" i="1"/>
  <c r="W32" i="5"/>
  <c r="U236" i="1"/>
  <c r="U347" i="1"/>
  <c r="V330" i="1"/>
  <c r="V46" i="1"/>
  <c r="T765" i="1"/>
  <c r="V828" i="1"/>
  <c r="V862" i="1"/>
  <c r="V1110" i="1"/>
  <c r="U878" i="1"/>
  <c r="V441" i="1"/>
  <c r="T677" i="1"/>
  <c r="V684" i="1"/>
  <c r="W5" i="5"/>
  <c r="V500" i="1"/>
  <c r="U280" i="1"/>
  <c r="V909" i="1"/>
  <c r="T647" i="1"/>
  <c r="T722" i="1"/>
  <c r="V654" i="1"/>
  <c r="U274" i="1"/>
  <c r="V507" i="1"/>
  <c r="U196" i="1"/>
  <c r="U55" i="1"/>
  <c r="U23" i="1"/>
  <c r="T821" i="1"/>
  <c r="T692" i="1"/>
  <c r="U636" i="1"/>
  <c r="T448" i="1"/>
  <c r="T479" i="1"/>
  <c r="T242" i="1"/>
  <c r="T473" i="1"/>
  <c r="T842" i="1"/>
  <c r="U475" i="1"/>
  <c r="U284" i="1"/>
  <c r="T274" i="1"/>
  <c r="V13" i="5"/>
  <c r="U7" i="1"/>
  <c r="V112" i="1"/>
  <c r="T65" i="1"/>
  <c r="T105" i="1"/>
  <c r="V49" i="1"/>
  <c r="U225" i="1"/>
  <c r="V103" i="1"/>
  <c r="U96" i="1"/>
  <c r="V407" i="1"/>
  <c r="T614" i="1"/>
  <c r="T441" i="1"/>
  <c r="U77" i="1"/>
  <c r="U206" i="1"/>
  <c r="U504" i="1"/>
  <c r="T23" i="1"/>
  <c r="V316" i="1"/>
  <c r="V45" i="1"/>
  <c r="T216" i="1"/>
  <c r="U587" i="1"/>
  <c r="V134" i="1"/>
  <c r="U561" i="1"/>
  <c r="U1127" i="1"/>
  <c r="T554" i="1"/>
  <c r="T253" i="1"/>
  <c r="V29" i="1"/>
  <c r="U321" i="1"/>
  <c r="T55" i="1"/>
  <c r="T219" i="1"/>
  <c r="T591" i="1"/>
  <c r="U138" i="1"/>
  <c r="U566" i="1"/>
  <c r="U120" i="1"/>
  <c r="V493" i="1"/>
  <c r="U252" i="1"/>
  <c r="T125" i="1"/>
  <c r="U564" i="1"/>
  <c r="T72" i="1"/>
  <c r="U459" i="1"/>
  <c r="V12" i="5"/>
  <c r="U331" i="1"/>
  <c r="U858" i="1"/>
  <c r="U430" i="1"/>
  <c r="V566" i="1"/>
  <c r="V336" i="1"/>
  <c r="U611" i="1"/>
  <c r="T207" i="1"/>
  <c r="U39" i="5"/>
  <c r="T199" i="1"/>
  <c r="V421" i="1"/>
  <c r="T143" i="1"/>
  <c r="V323" i="1"/>
  <c r="T564" i="1"/>
  <c r="U52" i="1"/>
  <c r="U377" i="1"/>
  <c r="V17" i="1"/>
  <c r="V293" i="1"/>
  <c r="V414" i="1"/>
  <c r="T378" i="1"/>
  <c r="T86" i="1"/>
  <c r="T808" i="1"/>
  <c r="T1034" i="1"/>
  <c r="T901" i="1"/>
  <c r="V608" i="1"/>
  <c r="U919" i="1"/>
  <c r="U463" i="1"/>
  <c r="T781" i="1"/>
  <c r="U161" i="1"/>
  <c r="V9" i="1"/>
  <c r="V547" i="1"/>
  <c r="V338" i="1"/>
  <c r="V709" i="1"/>
  <c r="U667" i="1"/>
  <c r="U749" i="1"/>
  <c r="U676" i="1"/>
  <c r="T296" i="1"/>
  <c r="V593" i="1"/>
  <c r="T18" i="1"/>
  <c r="T99" i="1"/>
  <c r="V60" i="1"/>
  <c r="V866" i="1"/>
  <c r="V837" i="1"/>
  <c r="V678" i="1"/>
  <c r="V467" i="1"/>
  <c r="V235" i="1"/>
  <c r="T732" i="1"/>
  <c r="U937" i="1"/>
  <c r="T787" i="1"/>
  <c r="U122" i="1"/>
  <c r="V540" i="1"/>
  <c r="V384" i="1"/>
  <c r="V209" i="1"/>
  <c r="V381" i="1"/>
  <c r="U345" i="1"/>
  <c r="T705" i="1"/>
  <c r="V120" i="1"/>
  <c r="V164" i="1"/>
  <c r="T414" i="1"/>
  <c r="T453" i="1"/>
  <c r="T209" i="1"/>
  <c r="V138" i="1"/>
  <c r="V11" i="5"/>
  <c r="V574" i="1"/>
  <c r="V341" i="1"/>
  <c r="U41" i="1"/>
  <c r="V339" i="1"/>
  <c r="T115" i="1"/>
  <c r="U374" i="1"/>
  <c r="T702" i="1"/>
  <c r="V490" i="1"/>
  <c r="T27" i="1"/>
  <c r="T260" i="1"/>
  <c r="U447" i="1"/>
  <c r="V216" i="1"/>
  <c r="V563" i="1"/>
  <c r="U189" i="1"/>
  <c r="U6" i="1"/>
  <c r="V183" i="1"/>
  <c r="U173" i="1"/>
  <c r="U144" i="1"/>
  <c r="U380" i="1"/>
  <c r="W6" i="5"/>
  <c r="T201" i="1"/>
  <c r="T169" i="1"/>
  <c r="U157" i="1"/>
  <c r="V65" i="1"/>
  <c r="V14" i="5"/>
  <c r="V378" i="1"/>
  <c r="U696" i="1"/>
  <c r="U612" i="1"/>
  <c r="T342" i="1"/>
  <c r="V618" i="1"/>
  <c r="U376" i="1"/>
  <c r="U683" i="1"/>
  <c r="T454" i="1"/>
  <c r="T106" i="1"/>
  <c r="U100" i="1"/>
  <c r="V232" i="1"/>
  <c r="V98" i="1"/>
  <c r="V52" i="1"/>
  <c r="T20" i="1"/>
  <c r="T158" i="1"/>
  <c r="U8" i="1"/>
  <c r="U451" i="1"/>
  <c r="V408" i="1"/>
  <c r="T172" i="1"/>
  <c r="V413" i="1"/>
  <c r="T186" i="1"/>
  <c r="U448" i="1"/>
  <c r="T241" i="1"/>
  <c r="T527" i="1"/>
  <c r="V28" i="5"/>
  <c r="U160" i="1"/>
  <c r="T119" i="1"/>
  <c r="V34" i="5"/>
  <c r="W21" i="5"/>
  <c r="T31" i="1"/>
  <c r="T100" i="1"/>
  <c r="V522" i="1"/>
  <c r="T482" i="1"/>
  <c r="V215" i="1"/>
  <c r="U486" i="1"/>
  <c r="U248" i="1"/>
  <c r="V520" i="1"/>
  <c r="V324" i="1"/>
  <c r="T599" i="1"/>
  <c r="T21" i="1"/>
  <c r="U51" i="1"/>
  <c r="T102" i="1"/>
  <c r="V172" i="1"/>
  <c r="V42" i="1"/>
  <c r="T60" i="1"/>
  <c r="W16" i="5"/>
  <c r="T148" i="1"/>
  <c r="W40" i="5"/>
  <c r="V116" i="1"/>
  <c r="U289" i="1"/>
  <c r="V90" i="1"/>
  <c r="V3" i="1"/>
  <c r="U32" i="1"/>
  <c r="T134" i="1"/>
  <c r="T273" i="1"/>
  <c r="V50" i="1"/>
  <c r="U202" i="1"/>
  <c r="U93" i="1"/>
  <c r="V69" i="1"/>
  <c r="T401" i="1"/>
  <c r="U208" i="1"/>
  <c r="U46" i="1"/>
  <c r="U16" i="1"/>
  <c r="U13" i="5"/>
  <c r="V145" i="1"/>
  <c r="V37" i="5"/>
  <c r="V442" i="1"/>
  <c r="U468" i="1"/>
  <c r="V301" i="1"/>
  <c r="T668" i="1"/>
  <c r="U508" i="1"/>
  <c r="T415" i="1"/>
  <c r="V368" i="1"/>
  <c r="U332" i="1"/>
  <c r="V571" i="1"/>
  <c r="U137" i="1"/>
  <c r="U351" i="1"/>
  <c r="V123" i="1"/>
  <c r="V244" i="1"/>
  <c r="V91" i="1"/>
  <c r="V156" i="1"/>
  <c r="V594" i="1"/>
  <c r="V159" i="1"/>
  <c r="V629" i="1"/>
  <c r="V524" i="1"/>
  <c r="T146" i="1"/>
  <c r="V354" i="1"/>
  <c r="U134" i="1"/>
  <c r="T250" i="1"/>
  <c r="T101" i="1"/>
  <c r="T160" i="1"/>
  <c r="U600" i="1"/>
  <c r="V403" i="1"/>
  <c r="U563" i="1"/>
  <c r="V538" i="1"/>
  <c r="V152" i="1"/>
  <c r="V597" i="1"/>
  <c r="U92" i="1"/>
  <c r="T493" i="1"/>
  <c r="V76" i="1"/>
  <c r="U365" i="1"/>
  <c r="V892" i="1"/>
  <c r="V535" i="1"/>
  <c r="U653" i="1"/>
  <c r="V602" i="1"/>
  <c r="V360" i="1"/>
  <c r="V264" i="1"/>
  <c r="W22" i="5"/>
  <c r="U251" i="1"/>
  <c r="T218" i="1"/>
  <c r="U203" i="1"/>
  <c r="U392" i="1"/>
  <c r="U646" i="1"/>
  <c r="T82" i="1"/>
  <c r="U513" i="1"/>
  <c r="T40" i="1"/>
  <c r="V371" i="1"/>
  <c r="T484" i="1"/>
  <c r="V436" i="1"/>
  <c r="U218" i="1"/>
  <c r="V853" i="1"/>
  <c r="U622" i="1"/>
  <c r="U956" i="1"/>
  <c r="U631" i="1"/>
  <c r="V249" i="1"/>
  <c r="T485" i="1"/>
  <c r="T815" i="1"/>
  <c r="U12" i="1"/>
  <c r="V51" i="1"/>
  <c r="U185" i="1"/>
  <c r="V386" i="1"/>
  <c r="V731" i="1"/>
  <c r="V688" i="1"/>
  <c r="T784" i="1"/>
  <c r="U780" i="1"/>
  <c r="V315" i="1"/>
  <c r="U615" i="1"/>
  <c r="T74" i="1"/>
  <c r="V139" i="1"/>
  <c r="T91" i="1"/>
  <c r="T918" i="1"/>
  <c r="V872" i="1"/>
  <c r="T819" i="1"/>
  <c r="T512" i="1"/>
  <c r="U304" i="1"/>
  <c r="U715" i="1"/>
  <c r="U81" i="1"/>
  <c r="U659" i="1"/>
  <c r="U539" i="1"/>
  <c r="U545" i="1"/>
  <c r="V56" i="1"/>
  <c r="U246" i="1"/>
  <c r="U340" i="1"/>
  <c r="V623" i="1"/>
  <c r="U110" i="1"/>
  <c r="U64" i="1"/>
  <c r="V454" i="1"/>
  <c r="U417" i="1"/>
  <c r="U40" i="5"/>
  <c r="W3" i="5"/>
  <c r="T298" i="1"/>
  <c r="T308" i="1"/>
  <c r="T620" i="1"/>
  <c r="T80" i="1"/>
  <c r="T7" i="1"/>
  <c r="U21" i="5"/>
  <c r="U677" i="1"/>
  <c r="U414" i="1"/>
  <c r="V179" i="1"/>
  <c r="U14" i="1"/>
  <c r="T490" i="1"/>
  <c r="U452" i="1"/>
  <c r="T292" i="1"/>
  <c r="T170" i="1"/>
  <c r="V36" i="5"/>
  <c r="U99" i="1"/>
  <c r="V48" i="1"/>
  <c r="U9" i="1"/>
  <c r="U139" i="1"/>
  <c r="T367" i="1"/>
  <c r="T303" i="1"/>
  <c r="U400" i="1"/>
  <c r="U149" i="1"/>
  <c r="U241" i="1"/>
  <c r="U11" i="5"/>
  <c r="V370" i="1"/>
  <c r="T376" i="1"/>
  <c r="U680" i="1"/>
  <c r="U409" i="1"/>
  <c r="T202" i="1"/>
  <c r="U487" i="1"/>
  <c r="V171" i="1"/>
  <c r="U121" i="1"/>
  <c r="V61" i="1"/>
  <c r="U32" i="5"/>
  <c r="T44" i="1"/>
  <c r="V5" i="5"/>
  <c r="U243" i="1"/>
  <c r="T52" i="1"/>
  <c r="U485" i="1"/>
  <c r="T444" i="1"/>
  <c r="V191" i="1"/>
  <c r="T449" i="1"/>
  <c r="U214" i="1"/>
  <c r="V482" i="1"/>
  <c r="T287" i="1"/>
  <c r="U560" i="1"/>
  <c r="V23" i="5"/>
  <c r="U90" i="1"/>
  <c r="V162" i="1"/>
  <c r="T39" i="1"/>
  <c r="U38" i="1"/>
  <c r="T282" i="1"/>
  <c r="V140" i="1"/>
  <c r="U558" i="1"/>
  <c r="U515" i="1"/>
  <c r="T248" i="1"/>
  <c r="V519" i="1"/>
  <c r="V280" i="1"/>
  <c r="T556" i="1"/>
  <c r="V358" i="1"/>
  <c r="U648" i="1"/>
  <c r="T42" i="1"/>
  <c r="W25" i="5"/>
  <c r="T113" i="1"/>
  <c r="U272" i="1"/>
  <c r="U86" i="1"/>
  <c r="W19" i="5"/>
  <c r="T11" i="1"/>
  <c r="U216" i="1"/>
  <c r="U131" i="1"/>
  <c r="T163" i="1"/>
  <c r="T79" i="1"/>
  <c r="T135" i="1"/>
  <c r="U45" i="1"/>
  <c r="U48" i="1"/>
  <c r="T191" i="1"/>
  <c r="U25" i="5"/>
  <c r="U34" i="5"/>
  <c r="U327" i="1"/>
  <c r="V135" i="1"/>
  <c r="W13" i="5"/>
  <c r="V432" i="1"/>
  <c r="U336" i="1"/>
  <c r="V217" i="1"/>
  <c r="T12" i="1"/>
  <c r="V177" i="1"/>
  <c r="V212" i="1"/>
  <c r="T41" i="1"/>
  <c r="U476" i="1"/>
  <c r="U537" i="1"/>
  <c r="T338" i="1"/>
  <c r="T180" i="1"/>
  <c r="U576" i="1"/>
  <c r="U449" i="1"/>
  <c r="V506" i="1"/>
  <c r="V468" i="1"/>
  <c r="U661" i="1"/>
  <c r="U26" i="5"/>
  <c r="U385" i="1"/>
  <c r="T24" i="1"/>
  <c r="V278" i="1"/>
  <c r="V155" i="1"/>
  <c r="T179" i="1"/>
  <c r="U643" i="1"/>
  <c r="U6" i="5"/>
  <c r="U176" i="1"/>
  <c r="T594" i="1"/>
  <c r="U8" i="5"/>
  <c r="V389" i="1"/>
  <c r="V25" i="1"/>
  <c r="U283" i="1"/>
  <c r="V163" i="1"/>
  <c r="V180" i="1"/>
  <c r="V650" i="1"/>
  <c r="T423" i="1"/>
  <c r="V645" i="1"/>
  <c r="T586" i="1"/>
  <c r="U180" i="1"/>
  <c r="T649" i="1"/>
  <c r="U178" i="1"/>
  <c r="V525" i="1"/>
  <c r="U98" i="1"/>
  <c r="U399" i="1"/>
  <c r="T945" i="1"/>
  <c r="U494" i="1"/>
  <c r="V202" i="1"/>
  <c r="T139" i="1"/>
  <c r="T431" i="1"/>
  <c r="U333" i="1"/>
  <c r="U229" i="1"/>
  <c r="U320" i="1"/>
  <c r="U295" i="1"/>
  <c r="V34" i="1"/>
  <c r="T461" i="1"/>
  <c r="V435" i="1"/>
  <c r="T112" i="1"/>
  <c r="T548" i="1"/>
  <c r="T61" i="1"/>
  <c r="T628" i="1"/>
  <c r="V189" i="1"/>
  <c r="U497" i="1"/>
  <c r="T276" i="1"/>
  <c r="V903" i="1"/>
  <c r="V642" i="1"/>
  <c r="T719" i="1"/>
  <c r="U652" i="1"/>
  <c r="T272" i="1"/>
  <c r="V505" i="1"/>
  <c r="V848" i="1"/>
  <c r="V226" i="1"/>
  <c r="T96" i="1"/>
  <c r="U18" i="5"/>
  <c r="T447" i="1"/>
  <c r="V764" i="1"/>
  <c r="T800" i="1"/>
  <c r="V816" i="1"/>
  <c r="U814" i="1"/>
  <c r="T339" i="1"/>
  <c r="T637" i="1"/>
  <c r="V299" i="1"/>
  <c r="U398" i="1"/>
  <c r="T285" i="1"/>
  <c r="T736" i="1"/>
  <c r="T974" i="1"/>
  <c r="U852" i="1"/>
  <c r="V617" i="1"/>
  <c r="U4" i="5"/>
  <c r="U28" i="1"/>
  <c r="V402" i="1"/>
  <c r="U889" i="1"/>
  <c r="U82" i="1"/>
  <c r="V306" i="1"/>
  <c r="U42" i="1"/>
  <c r="T166" i="1"/>
  <c r="U617" i="1"/>
  <c r="V379" i="1"/>
  <c r="T252" i="1"/>
  <c r="V39" i="1"/>
  <c r="U174" i="1"/>
  <c r="V243" i="1"/>
  <c r="T495" i="1"/>
  <c r="V40" i="1"/>
  <c r="T25" i="1"/>
  <c r="T623" i="1"/>
  <c r="V579" i="1"/>
  <c r="U419" i="1"/>
  <c r="V153" i="1"/>
  <c r="U259" i="1"/>
  <c r="V416" i="1"/>
  <c r="T380" i="1"/>
  <c r="T213" i="1"/>
  <c r="V204" i="1"/>
  <c r="T57" i="1"/>
  <c r="U195" i="1"/>
  <c r="V485" i="1"/>
  <c r="W14" i="5"/>
  <c r="U123" i="1"/>
  <c r="T47" i="1"/>
  <c r="V24" i="5"/>
  <c r="V79" i="1"/>
  <c r="V146" i="1"/>
  <c r="V109" i="1"/>
  <c r="U59" i="1"/>
  <c r="V304" i="1"/>
  <c r="U268" i="1"/>
  <c r="U323" i="1"/>
  <c r="W20" i="5"/>
  <c r="U109" i="1"/>
  <c r="T413" i="1"/>
  <c r="V666" i="1"/>
  <c r="T220" i="1"/>
  <c r="U78" i="1"/>
  <c r="V36" i="1"/>
  <c r="U5" i="1"/>
  <c r="V151" i="1"/>
  <c r="T5" i="1"/>
  <c r="U446" i="1"/>
  <c r="T405" i="1"/>
  <c r="V167" i="1"/>
  <c r="T410" i="1"/>
  <c r="U182" i="1"/>
  <c r="T445" i="1"/>
  <c r="T236" i="1"/>
  <c r="U521" i="1"/>
  <c r="U33" i="5"/>
  <c r="T144" i="1"/>
  <c r="U142" i="1"/>
  <c r="V111" i="1"/>
  <c r="V33" i="5"/>
  <c r="V121" i="1"/>
  <c r="V13" i="1"/>
  <c r="V92" i="1"/>
  <c r="T520" i="1"/>
  <c r="T478" i="1"/>
  <c r="V213" i="1"/>
  <c r="V480" i="1"/>
  <c r="V242" i="1"/>
  <c r="U516" i="1"/>
  <c r="T322" i="1"/>
  <c r="V592" i="1"/>
  <c r="V331" i="1"/>
  <c r="V106" i="1"/>
  <c r="U255" i="1"/>
  <c r="V80" i="1"/>
  <c r="U3" i="1"/>
  <c r="W7" i="5"/>
  <c r="U205" i="1"/>
  <c r="U592" i="1"/>
  <c r="T551" i="1"/>
  <c r="U281" i="1"/>
  <c r="V554" i="1"/>
  <c r="T317" i="1"/>
  <c r="V588" i="1"/>
  <c r="T394" i="1"/>
  <c r="V8" i="5"/>
  <c r="U63" i="1"/>
  <c r="U115" i="1"/>
  <c r="U155" i="1"/>
  <c r="U56" i="1"/>
  <c r="V128" i="1"/>
  <c r="U40" i="1"/>
  <c r="V26" i="1"/>
  <c r="T358" i="1"/>
  <c r="U117" i="1"/>
  <c r="V253" i="1"/>
  <c r="U25" i="1"/>
  <c r="V192" i="1"/>
  <c r="V87" i="1"/>
  <c r="V53" i="1"/>
  <c r="U302" i="1"/>
  <c r="U170" i="1"/>
  <c r="W9" i="5"/>
  <c r="T121" i="1"/>
  <c r="V193" i="1"/>
  <c r="V28" i="1"/>
  <c r="T469" i="1"/>
  <c r="U105" i="1"/>
  <c r="T49" i="1"/>
  <c r="V7" i="5"/>
  <c r="U21" i="1"/>
  <c r="T354" i="1"/>
  <c r="V82" i="1"/>
  <c r="U510" i="1"/>
  <c r="T572" i="1"/>
  <c r="U371" i="1"/>
  <c r="U235" i="1"/>
  <c r="V613" i="1"/>
  <c r="U483" i="1"/>
  <c r="T666" i="1"/>
  <c r="T538" i="1"/>
  <c r="U227" i="1"/>
  <c r="V88" i="1"/>
  <c r="V418" i="1"/>
  <c r="U44" i="1"/>
  <c r="T314" i="1"/>
  <c r="U5" i="5"/>
  <c r="U288" i="1"/>
  <c r="U720" i="1"/>
  <c r="T63" i="1"/>
  <c r="U219" i="1"/>
  <c r="V39" i="5"/>
  <c r="T93" i="1"/>
  <c r="U424" i="1"/>
  <c r="T48" i="1"/>
  <c r="V317" i="1"/>
  <c r="T3" i="1"/>
  <c r="U292" i="1"/>
  <c r="T724" i="1"/>
  <c r="U489" i="1"/>
  <c r="U201" i="1"/>
  <c r="V668" i="1"/>
  <c r="V290" i="1"/>
  <c r="U37" i="5"/>
  <c r="U199" i="1"/>
  <c r="V560" i="1"/>
  <c r="V118" i="1"/>
  <c r="U536" i="1"/>
  <c r="U1020" i="1"/>
  <c r="V562" i="1"/>
  <c r="U260" i="1"/>
  <c r="T290" i="1"/>
  <c r="U184" i="1"/>
  <c r="T402" i="1"/>
  <c r="U464" i="1"/>
  <c r="U388" i="1"/>
  <c r="T364" i="1"/>
  <c r="U651" i="1"/>
  <c r="V528" i="1"/>
  <c r="V503" i="1"/>
  <c r="T138" i="1"/>
  <c r="V581" i="1"/>
  <c r="T147" i="1"/>
  <c r="T127" i="1"/>
  <c r="W29" i="5"/>
  <c r="T545" i="1"/>
  <c r="U335" i="1"/>
  <c r="T708" i="1"/>
  <c r="V664" i="1"/>
  <c r="U745" i="1"/>
  <c r="T674" i="1"/>
  <c r="T293" i="1"/>
  <c r="T592" i="1"/>
  <c r="U882" i="1"/>
  <c r="U296" i="1"/>
  <c r="V137" i="1"/>
  <c r="V20" i="1"/>
  <c r="V716" i="1"/>
  <c r="U799" i="1"/>
  <c r="V833" i="1"/>
  <c r="T853" i="1"/>
  <c r="U847" i="1"/>
  <c r="U423" i="1"/>
  <c r="U658" i="1"/>
  <c r="V367" i="1"/>
  <c r="V445" i="1"/>
  <c r="U344" i="1"/>
  <c r="T770" i="1"/>
  <c r="T754" i="1"/>
  <c r="U935" i="1"/>
  <c r="U639" i="1"/>
  <c r="U15" i="1"/>
  <c r="T519" i="1"/>
  <c r="V75" i="1"/>
  <c r="U804" i="1"/>
  <c r="T439" i="1"/>
  <c r="T900" i="1"/>
  <c r="V201" i="1"/>
  <c r="T989" i="1"/>
  <c r="U708" i="1"/>
  <c r="U758" i="1"/>
  <c r="T365" i="1"/>
  <c r="T632" i="1"/>
  <c r="T984" i="1"/>
  <c r="V366" i="1"/>
  <c r="U538" i="1"/>
  <c r="V708" i="1"/>
  <c r="V1037" i="1"/>
  <c r="V369" i="1"/>
  <c r="U541" i="1"/>
  <c r="V711" i="1"/>
  <c r="T1055" i="1"/>
  <c r="V1074" i="1"/>
  <c r="U1138" i="1"/>
  <c r="V857" i="1"/>
  <c r="T1133" i="1"/>
  <c r="V882" i="1"/>
  <c r="T796" i="1"/>
  <c r="V1075" i="1"/>
  <c r="V1142" i="1"/>
  <c r="T583" i="1"/>
  <c r="U851" i="1"/>
  <c r="T709" i="1"/>
  <c r="V499" i="1"/>
  <c r="U914" i="1"/>
  <c r="V476" i="1"/>
  <c r="U802" i="1"/>
  <c r="V329" i="1"/>
  <c r="U629" i="1"/>
  <c r="T979" i="1"/>
  <c r="U1013" i="1"/>
  <c r="U941" i="1"/>
  <c r="V820" i="1"/>
  <c r="U776" i="1"/>
  <c r="U1083" i="1"/>
  <c r="U893" i="1"/>
  <c r="U628" i="1"/>
  <c r="U370" i="1"/>
  <c r="T871" i="1"/>
  <c r="U394" i="1"/>
  <c r="V692" i="1"/>
  <c r="T313" i="1"/>
  <c r="V545" i="1"/>
  <c r="T923" i="1"/>
  <c r="V1145" i="1"/>
  <c r="T843" i="1"/>
  <c r="V802" i="1"/>
  <c r="V1157" i="1"/>
  <c r="V1048" i="1"/>
  <c r="U1151" i="1"/>
  <c r="T700" i="1"/>
  <c r="U860" i="1"/>
  <c r="V267" i="1"/>
  <c r="U737" i="1"/>
  <c r="V332" i="1"/>
  <c r="V630" i="1"/>
  <c r="T655" i="1"/>
  <c r="V598" i="1"/>
  <c r="V449" i="1"/>
  <c r="V835" i="1"/>
  <c r="U442" i="1"/>
  <c r="T1135" i="1"/>
  <c r="T312" i="1"/>
  <c r="T1051" i="1"/>
  <c r="V533" i="1"/>
  <c r="T661" i="1"/>
  <c r="T693" i="1"/>
  <c r="V281" i="1"/>
  <c r="T598" i="1"/>
  <c r="V1115" i="1"/>
  <c r="T927" i="1"/>
  <c r="V1100" i="1"/>
  <c r="U60" i="5"/>
  <c r="W12" i="5"/>
  <c r="V300" i="1"/>
  <c r="V776" i="1"/>
  <c r="T329" i="1"/>
  <c r="U87" i="1"/>
  <c r="U585" i="1"/>
  <c r="T192" i="1"/>
  <c r="T650" i="1"/>
  <c r="U133" i="1"/>
  <c r="V517" i="1"/>
  <c r="V1041" i="1"/>
  <c r="W37" i="5"/>
  <c r="T471" i="1"/>
  <c r="T120" i="1"/>
  <c r="T536" i="1"/>
  <c r="V78" i="1"/>
  <c r="U420" i="1"/>
  <c r="V888" i="1"/>
  <c r="U820" i="1"/>
  <c r="T682" i="1"/>
  <c r="V939" i="1"/>
  <c r="V838" i="1"/>
  <c r="U668" i="1"/>
  <c r="T908" i="1"/>
  <c r="U49" i="1"/>
  <c r="T544" i="1"/>
  <c r="U164" i="1"/>
  <c r="T601" i="1"/>
  <c r="V110" i="1"/>
  <c r="U484" i="1"/>
  <c r="V969" i="1"/>
  <c r="V655" i="1"/>
  <c r="V632" i="1"/>
  <c r="V761" i="1"/>
  <c r="T827" i="1"/>
  <c r="V393" i="1"/>
  <c r="V667" i="1"/>
  <c r="T1117" i="1"/>
  <c r="V388" i="1"/>
  <c r="T560" i="1"/>
  <c r="T731" i="1"/>
  <c r="T222" i="1"/>
  <c r="V391" i="1"/>
  <c r="T563" i="1"/>
  <c r="U734" i="1"/>
  <c r="V1238" i="1"/>
  <c r="U1129" i="1"/>
  <c r="T1223" i="1"/>
  <c r="U880" i="1"/>
  <c r="V1209" i="1"/>
  <c r="V941" i="1"/>
  <c r="V815" i="1"/>
  <c r="V1132" i="1"/>
  <c r="T1212" i="1"/>
  <c r="U678" i="1"/>
  <c r="T933" i="1"/>
  <c r="U831" i="1"/>
  <c r="V537" i="1"/>
  <c r="U263" i="1"/>
  <c r="T499" i="1"/>
  <c r="T837" i="1"/>
  <c r="V351" i="1"/>
  <c r="V649" i="1"/>
  <c r="T1099" i="1"/>
  <c r="T1048" i="1"/>
  <c r="V974" i="1"/>
  <c r="V842" i="1"/>
  <c r="V797" i="1"/>
  <c r="U603" i="1"/>
  <c r="V1019" i="1"/>
  <c r="V670" i="1"/>
  <c r="U407" i="1"/>
  <c r="V921" i="1"/>
  <c r="U479" i="1"/>
  <c r="U714" i="1"/>
  <c r="T334" i="1"/>
  <c r="V567" i="1"/>
  <c r="T987" i="1"/>
  <c r="T1019" i="1"/>
  <c r="V863" i="1"/>
  <c r="U824" i="1"/>
  <c r="T1248" i="1"/>
  <c r="V1088" i="1"/>
  <c r="V1294" i="1"/>
  <c r="U774" i="1"/>
  <c r="T949" i="1"/>
  <c r="V305" i="1"/>
  <c r="V784" i="1"/>
  <c r="U418" i="1"/>
  <c r="V652" i="1"/>
  <c r="U697" i="1"/>
  <c r="U641" i="1"/>
  <c r="T480" i="1"/>
  <c r="V228" i="1"/>
  <c r="V462" i="1"/>
  <c r="V656" i="1"/>
  <c r="V347" i="1"/>
  <c r="U338" i="1"/>
  <c r="U159" i="1"/>
  <c r="V702" i="1"/>
  <c r="U975" i="1"/>
  <c r="V303" i="1"/>
  <c r="V676" i="1"/>
  <c r="V813" i="1"/>
  <c r="V946" i="1"/>
  <c r="V1122" i="1"/>
  <c r="U124" i="5"/>
  <c r="V803" i="1"/>
  <c r="U670" i="1"/>
  <c r="U911" i="1"/>
  <c r="U822" i="1"/>
  <c r="U657" i="1"/>
  <c r="V885" i="1"/>
  <c r="U319" i="1"/>
  <c r="T491" i="1"/>
  <c r="V659" i="1"/>
  <c r="U892" i="1"/>
  <c r="U36" i="5"/>
  <c r="U372" i="1"/>
  <c r="V57" i="1"/>
  <c r="U462" i="1"/>
  <c r="U26" i="1"/>
  <c r="T349" i="1"/>
  <c r="V827" i="1"/>
  <c r="V527" i="1"/>
  <c r="U140" i="1"/>
  <c r="T710" i="1"/>
  <c r="V240" i="1"/>
  <c r="T10" i="1"/>
  <c r="T171" i="1"/>
  <c r="U579" i="1"/>
  <c r="T676" i="1"/>
  <c r="U47" i="1"/>
  <c r="T540" i="1"/>
  <c r="V161" i="1"/>
  <c r="U582" i="1"/>
  <c r="V108" i="1"/>
  <c r="V479" i="1"/>
  <c r="V960" i="1"/>
  <c r="V854" i="1"/>
  <c r="U702" i="1"/>
  <c r="V1011" i="1"/>
  <c r="T874" i="1"/>
  <c r="T690" i="1"/>
  <c r="V496" i="1"/>
  <c r="T109" i="1"/>
  <c r="T615" i="1"/>
  <c r="T208" i="1"/>
  <c r="T673" i="1"/>
  <c r="T150" i="1"/>
  <c r="V543" i="1"/>
  <c r="U1098" i="1"/>
  <c r="V142" i="1"/>
  <c r="V674" i="1"/>
  <c r="U830" i="1"/>
  <c r="U896" i="1"/>
  <c r="T432" i="1"/>
  <c r="T696" i="1"/>
  <c r="U239" i="1"/>
  <c r="T411" i="1"/>
  <c r="U581" i="1"/>
  <c r="V763" i="1"/>
  <c r="V241" i="1"/>
  <c r="U413" i="1"/>
  <c r="V583" i="1"/>
  <c r="V768" i="1"/>
  <c r="V1049" i="1"/>
  <c r="U1209" i="1"/>
  <c r="V729" i="1"/>
  <c r="U904" i="1"/>
  <c r="V88" i="5"/>
  <c r="U1010" i="1"/>
  <c r="U838" i="1"/>
  <c r="U1214" i="1"/>
  <c r="T1283" i="1"/>
  <c r="U748" i="1"/>
  <c r="T1138" i="1"/>
  <c r="T1026" i="1"/>
  <c r="U567" i="1"/>
  <c r="U285" i="1"/>
  <c r="V518" i="1"/>
  <c r="U870" i="1"/>
  <c r="U437" i="1"/>
  <c r="U672" i="1"/>
  <c r="U1162" i="1"/>
  <c r="T1087" i="1"/>
  <c r="V1009" i="1"/>
  <c r="U946" i="1"/>
  <c r="T820" i="1"/>
  <c r="T205" i="1"/>
  <c r="V640" i="1"/>
  <c r="V712" i="1"/>
  <c r="V539" i="1"/>
  <c r="T1005" i="1"/>
  <c r="U501" i="1"/>
  <c r="T739" i="1"/>
  <c r="V353" i="1"/>
  <c r="T654" i="1"/>
  <c r="U1095" i="1"/>
  <c r="U1052" i="1"/>
  <c r="U885" i="1"/>
  <c r="T846" i="1"/>
  <c r="T801" i="1"/>
  <c r="U1150" i="1"/>
  <c r="U102" i="5"/>
  <c r="V841" i="1"/>
  <c r="V1226" i="1"/>
  <c r="U439" i="1"/>
  <c r="T832" i="1"/>
  <c r="V438" i="1"/>
  <c r="U547" i="1"/>
  <c r="V744" i="1"/>
  <c r="V859" i="1"/>
  <c r="V515" i="1"/>
  <c r="U250" i="1"/>
  <c r="T399" i="1"/>
  <c r="U999" i="1"/>
  <c r="V385" i="1"/>
  <c r="U359" i="1"/>
  <c r="V806" i="1"/>
  <c r="V753" i="1"/>
  <c r="V236" i="1"/>
  <c r="U517" i="1"/>
  <c r="U552" i="1"/>
  <c r="T1232" i="1"/>
  <c r="T1213" i="1"/>
  <c r="V130" i="5"/>
  <c r="U1216" i="1"/>
  <c r="T683" i="1"/>
  <c r="T942" i="1"/>
  <c r="V203" i="1"/>
  <c r="V440" i="1"/>
  <c r="V99" i="1"/>
  <c r="V509" i="1"/>
  <c r="V62" i="1"/>
  <c r="T409" i="1"/>
  <c r="U871" i="1"/>
  <c r="U533" i="1"/>
  <c r="U193" i="1"/>
  <c r="U113" i="1"/>
  <c r="T301" i="1"/>
  <c r="T122" i="1"/>
  <c r="U207" i="1"/>
  <c r="V635" i="1"/>
  <c r="U361" i="1"/>
  <c r="U103" i="1"/>
  <c r="U609" i="1"/>
  <c r="U204" i="1"/>
  <c r="U664" i="1"/>
  <c r="U146" i="1"/>
  <c r="T541" i="1"/>
  <c r="T1074" i="1"/>
  <c r="T890" i="1"/>
  <c r="V722" i="1"/>
  <c r="T1172" i="1"/>
  <c r="V912" i="1"/>
  <c r="U711" i="1"/>
  <c r="T204" i="1"/>
  <c r="T162" i="1"/>
  <c r="U20" i="1"/>
  <c r="V266" i="1"/>
  <c r="V59" i="1"/>
  <c r="U186" i="1"/>
  <c r="V590" i="1"/>
  <c r="T684" i="1"/>
  <c r="U523" i="1"/>
  <c r="U718" i="1"/>
  <c r="V899" i="1"/>
  <c r="U1012" i="1"/>
  <c r="U460" i="1"/>
  <c r="U727" i="1"/>
  <c r="V260" i="1"/>
  <c r="U431" i="1"/>
  <c r="T603" i="1"/>
  <c r="U798" i="1"/>
  <c r="U264" i="1"/>
  <c r="V433" i="1"/>
  <c r="U605" i="1"/>
  <c r="T803" i="1"/>
  <c r="T1092" i="1"/>
  <c r="W77" i="5"/>
  <c r="U752" i="1"/>
  <c r="V936" i="1"/>
  <c r="T756" i="1"/>
  <c r="V1043" i="1"/>
  <c r="U859" i="1"/>
  <c r="V56" i="5"/>
  <c r="W80" i="5"/>
  <c r="T818" i="1"/>
  <c r="V765" i="1"/>
  <c r="V225" i="1"/>
  <c r="U604" i="1"/>
  <c r="T307" i="1"/>
  <c r="T606" i="1"/>
  <c r="U909" i="1"/>
  <c r="U458" i="1"/>
  <c r="U693" i="1"/>
  <c r="T1253" i="1"/>
  <c r="U754" i="1"/>
  <c r="U1044" i="1"/>
  <c r="V979" i="1"/>
  <c r="V839" i="1"/>
  <c r="V149" i="1"/>
  <c r="T861" i="1"/>
  <c r="V770" i="1"/>
  <c r="V577" i="1"/>
  <c r="U1193" i="1"/>
  <c r="T523" i="1"/>
  <c r="U874" i="1"/>
  <c r="T377" i="1"/>
  <c r="U674" i="1"/>
  <c r="V1259" i="1"/>
  <c r="T1095" i="1"/>
  <c r="V1013" i="1"/>
  <c r="T868" i="1"/>
  <c r="V821" i="1"/>
  <c r="U1236" i="1"/>
  <c r="V908" i="1"/>
  <c r="U694" i="1"/>
  <c r="T640" i="1"/>
  <c r="T477" i="1"/>
  <c r="T875" i="1"/>
  <c r="U461" i="1"/>
  <c r="W38" i="5"/>
  <c r="U812" i="1"/>
  <c r="U948" i="1"/>
  <c r="U546" i="1"/>
  <c r="V270" i="1"/>
  <c r="V73" i="1"/>
  <c r="U689" i="1"/>
  <c r="T587" i="1"/>
  <c r="V380" i="1"/>
  <c r="T877" i="1"/>
  <c r="U287" i="1"/>
  <c r="U279" i="1"/>
  <c r="T539" i="1"/>
  <c r="U594" i="1"/>
  <c r="T1277" i="1"/>
  <c r="W117" i="5"/>
  <c r="T1084" i="1"/>
  <c r="T1281" i="1"/>
  <c r="V572" i="1"/>
  <c r="U183" i="1"/>
  <c r="U616" i="1"/>
  <c r="T128" i="1"/>
  <c r="T511" i="1"/>
  <c r="V1006" i="1"/>
  <c r="V870" i="1"/>
  <c r="T714" i="1"/>
  <c r="U1058" i="1"/>
  <c r="T891" i="1"/>
  <c r="T701" i="1"/>
  <c r="V1001" i="1"/>
  <c r="U362" i="1"/>
  <c r="V531" i="1"/>
  <c r="T704" i="1"/>
  <c r="V1014" i="1"/>
  <c r="V22" i="1"/>
  <c r="T510" i="1"/>
  <c r="U143" i="1"/>
  <c r="T570" i="1"/>
  <c r="U101" i="1"/>
  <c r="T455" i="1"/>
  <c r="T925" i="1"/>
  <c r="T569" i="1"/>
  <c r="T245" i="1"/>
  <c r="V18" i="5"/>
  <c r="V359" i="1"/>
  <c r="T262" i="1"/>
  <c r="V245" i="1"/>
  <c r="U735" i="1"/>
  <c r="T161" i="1"/>
  <c r="V158" i="1"/>
  <c r="T13" i="1"/>
  <c r="U262" i="1"/>
  <c r="T53" i="1"/>
  <c r="T176" i="1"/>
  <c r="T588" i="1"/>
  <c r="V679" i="1"/>
  <c r="V937" i="1"/>
  <c r="U753" i="1"/>
  <c r="V691" i="1"/>
  <c r="U973" i="1"/>
  <c r="V732" i="1"/>
  <c r="T228" i="1"/>
  <c r="V208" i="1"/>
  <c r="U169" i="1"/>
  <c r="U326" i="1"/>
  <c r="T149" i="1"/>
  <c r="U215" i="1"/>
  <c r="T694" i="1"/>
  <c r="V703" i="1"/>
  <c r="V1054" i="1"/>
  <c r="U778" i="1"/>
  <c r="U1034" i="1"/>
  <c r="U223" i="1"/>
  <c r="V497" i="1"/>
  <c r="U767" i="1"/>
  <c r="T283" i="1"/>
  <c r="V452" i="1"/>
  <c r="U623" i="1"/>
  <c r="V830" i="1"/>
  <c r="T286" i="1"/>
  <c r="T457" i="1"/>
  <c r="V625" i="1"/>
  <c r="U836" i="1"/>
  <c r="V1153" i="1"/>
  <c r="T976" i="1"/>
  <c r="U773" i="1"/>
  <c r="V971" i="1"/>
  <c r="V796" i="1"/>
  <c r="T1083" i="1"/>
  <c r="V879" i="1"/>
  <c r="T1216" i="1"/>
  <c r="U596" i="1"/>
  <c r="V883" i="1"/>
  <c r="V905" i="1"/>
  <c r="T264" i="1"/>
  <c r="U730" i="1"/>
  <c r="V326" i="1"/>
  <c r="U626" i="1"/>
  <c r="U969" i="1"/>
  <c r="T481" i="1"/>
  <c r="U807" i="1"/>
  <c r="T1010" i="1"/>
  <c r="V775" i="1"/>
  <c r="V1081" i="1"/>
  <c r="T1016" i="1"/>
  <c r="T944" i="1"/>
  <c r="U305" i="1"/>
  <c r="V947" i="1"/>
  <c r="T840" i="1"/>
  <c r="T608" i="1"/>
  <c r="T310" i="1"/>
  <c r="V542" i="1"/>
  <c r="V913" i="1"/>
  <c r="T398" i="1"/>
  <c r="T697" i="1"/>
  <c r="V1264" i="1"/>
  <c r="V1154" i="1"/>
  <c r="V1047" i="1"/>
  <c r="T889" i="1"/>
  <c r="T844" i="1"/>
  <c r="U1223" i="1"/>
  <c r="U654" i="1"/>
  <c r="U740" i="1"/>
  <c r="V680" i="1"/>
  <c r="V513" i="1"/>
  <c r="V246" i="1"/>
  <c r="U482" i="1"/>
  <c r="U310" i="1"/>
  <c r="U881" i="1"/>
  <c r="T1064" i="1"/>
  <c r="U684" i="1"/>
  <c r="V292" i="1"/>
  <c r="V470" i="1"/>
  <c r="T733" i="1"/>
  <c r="T624" i="1"/>
  <c r="V508" i="1"/>
  <c r="V977" i="1"/>
  <c r="U324" i="1"/>
  <c r="T451" i="1"/>
  <c r="T867" i="1"/>
  <c r="T1022" i="1"/>
  <c r="T1052" i="1"/>
  <c r="V94" i="5"/>
  <c r="V1295" i="1"/>
  <c r="U1263" i="1"/>
  <c r="U435" i="1"/>
  <c r="U187" i="1"/>
  <c r="T440" i="1"/>
  <c r="T210" i="1"/>
  <c r="T474" i="1"/>
  <c r="T279" i="1"/>
  <c r="U267" i="1"/>
  <c r="V573" i="1"/>
  <c r="V263" i="1"/>
  <c r="T300" i="1"/>
  <c r="V375" i="1"/>
  <c r="V5" i="1"/>
  <c r="U217" i="1"/>
  <c r="U488" i="1"/>
  <c r="V197" i="1"/>
  <c r="U130" i="1"/>
  <c r="V346" i="1"/>
  <c r="T629" i="1"/>
  <c r="T30" i="1"/>
  <c r="V198" i="1"/>
  <c r="T460" i="1"/>
  <c r="U782" i="1"/>
  <c r="V68" i="1"/>
  <c r="T597" i="1"/>
  <c r="V285" i="1"/>
  <c r="V319" i="1"/>
  <c r="V397" i="1"/>
  <c r="V7" i="1"/>
  <c r="U220" i="1"/>
  <c r="V491" i="1"/>
  <c r="V205" i="1"/>
  <c r="V131" i="1"/>
  <c r="T353" i="1"/>
  <c r="T636" i="1"/>
  <c r="V30" i="1"/>
  <c r="T203" i="1"/>
  <c r="T464" i="1"/>
  <c r="T217" i="1"/>
  <c r="U532" i="1"/>
  <c r="U222" i="1"/>
  <c r="T257" i="1"/>
  <c r="T335" i="1"/>
  <c r="U24" i="5"/>
  <c r="V200" i="1"/>
  <c r="T463" i="1"/>
  <c r="V141" i="1"/>
  <c r="V113" i="1"/>
  <c r="V320" i="1"/>
  <c r="U595" i="1"/>
  <c r="U13" i="1"/>
  <c r="T184" i="1"/>
  <c r="U433" i="1"/>
  <c r="U756" i="1"/>
  <c r="T182" i="1"/>
  <c r="T607" i="1"/>
  <c r="U294" i="1"/>
  <c r="T330" i="1"/>
  <c r="T407" i="1"/>
  <c r="V97" i="1"/>
  <c r="T500" i="1"/>
  <c r="V502" i="1"/>
  <c r="V536" i="1"/>
  <c r="U348" i="1"/>
  <c r="V450" i="1"/>
  <c r="V455" i="1"/>
  <c r="T492" i="1"/>
  <c r="T552" i="1"/>
  <c r="V262" i="1"/>
  <c r="V157" i="1"/>
  <c r="V168" i="1"/>
  <c r="T221" i="1"/>
  <c r="U97" i="1"/>
  <c r="V166" i="1"/>
  <c r="T412" i="1"/>
  <c r="T29" i="1"/>
  <c r="V81" i="1"/>
  <c r="T84" i="1"/>
  <c r="V54" i="1"/>
  <c r="T553" i="1"/>
  <c r="V169" i="1"/>
  <c r="V604" i="1"/>
  <c r="T123" i="1"/>
  <c r="V488" i="1"/>
  <c r="U978" i="1"/>
  <c r="T864" i="1"/>
  <c r="U707" i="1"/>
  <c r="U1033" i="1"/>
  <c r="T882" i="1"/>
  <c r="V694" i="1"/>
  <c r="V982" i="1"/>
  <c r="V355" i="1"/>
  <c r="U527" i="1"/>
  <c r="V697" i="1"/>
  <c r="U28" i="5"/>
  <c r="V70" i="1"/>
  <c r="U569" i="1"/>
  <c r="T181" i="1"/>
  <c r="V610" i="1"/>
  <c r="U125" i="1"/>
  <c r="V504" i="1"/>
  <c r="V985" i="1"/>
  <c r="T869" i="1"/>
  <c r="T711" i="1"/>
  <c r="U1045" i="1"/>
  <c r="T887" i="1"/>
  <c r="V696" i="1"/>
  <c r="U991" i="1"/>
  <c r="T360" i="1"/>
  <c r="U530" i="1"/>
  <c r="T393" i="1"/>
  <c r="U132" i="1"/>
  <c r="V661" i="1"/>
  <c r="U228" i="1"/>
  <c r="V3" i="5"/>
  <c r="U165" i="1"/>
  <c r="V556" i="1"/>
  <c r="V669" i="1"/>
  <c r="T912" i="1"/>
  <c r="V734" i="1"/>
  <c r="U681" i="1"/>
  <c r="T941" i="1"/>
  <c r="V720" i="1"/>
  <c r="T1146" i="1"/>
  <c r="U383" i="1"/>
  <c r="V553" i="1"/>
  <c r="V723" i="1"/>
  <c r="W35" i="5"/>
  <c r="T77" i="1"/>
  <c r="T578" i="1"/>
  <c r="T187" i="1"/>
  <c r="V620" i="1"/>
  <c r="T131" i="1"/>
  <c r="V514" i="1"/>
  <c r="U1029" i="1"/>
  <c r="T509" i="1"/>
  <c r="U313" i="1"/>
  <c r="V19" i="1"/>
  <c r="T408" i="1"/>
  <c r="W33" i="5"/>
  <c r="T306" i="1"/>
  <c r="U786" i="1"/>
  <c r="V170" i="1"/>
  <c r="V206" i="1"/>
  <c r="T159" i="1"/>
  <c r="V308" i="1"/>
  <c r="T141" i="1"/>
  <c r="U213" i="1"/>
  <c r="U673" i="1"/>
  <c r="V701" i="1"/>
  <c r="V1007" i="1"/>
  <c r="U787" i="1"/>
  <c r="U713" i="1"/>
  <c r="U1063" i="1"/>
  <c r="V766" i="1"/>
  <c r="T305" i="1"/>
  <c r="U270" i="1"/>
  <c r="V32" i="5"/>
  <c r="T374" i="1"/>
  <c r="U30" i="5"/>
  <c r="U271" i="1"/>
  <c r="U761" i="1"/>
  <c r="V66" i="1"/>
  <c r="V742" i="1"/>
  <c r="V846" i="1"/>
  <c r="U620" i="1"/>
  <c r="T261" i="1"/>
  <c r="U535" i="1"/>
  <c r="V809" i="1"/>
  <c r="V302" i="1"/>
  <c r="U474" i="1"/>
  <c r="V644" i="1"/>
  <c r="V865" i="1"/>
  <c r="U306" i="1"/>
  <c r="U477" i="1"/>
  <c r="V647" i="1"/>
  <c r="T872" i="1"/>
  <c r="U1239" i="1"/>
  <c r="V1008" i="1"/>
  <c r="V793" i="1"/>
  <c r="T1006" i="1"/>
  <c r="U819" i="1"/>
  <c r="V1140" i="1"/>
  <c r="U938" i="1"/>
  <c r="T1250" i="1"/>
  <c r="U156" i="1"/>
  <c r="V634" i="1"/>
  <c r="V1045" i="1"/>
  <c r="U300" i="1"/>
  <c r="T773" i="1"/>
  <c r="T350" i="1"/>
  <c r="V646" i="1"/>
  <c r="V265" i="1"/>
  <c r="T502" i="1"/>
  <c r="U841" i="1"/>
  <c r="T1043" i="1"/>
  <c r="T798" i="1"/>
  <c r="V756" i="1"/>
  <c r="U1049" i="1"/>
  <c r="T978" i="1"/>
  <c r="T133" i="1"/>
  <c r="V1216" i="1"/>
  <c r="U266" i="1"/>
  <c r="V643" i="1"/>
  <c r="T331" i="1"/>
  <c r="V564" i="1"/>
  <c r="U977" i="1"/>
  <c r="T483" i="1"/>
  <c r="T718" i="1"/>
  <c r="T1014" i="1"/>
  <c r="V1243" i="1"/>
  <c r="V1086" i="1"/>
  <c r="V1017" i="1"/>
  <c r="T865" i="1"/>
  <c r="V1256" i="1"/>
  <c r="V261" i="1"/>
  <c r="V808" i="1"/>
  <c r="U940" i="1"/>
  <c r="U543" i="1"/>
  <c r="T270" i="1"/>
  <c r="U503" i="1"/>
  <c r="T795" i="1"/>
  <c r="U796" i="1"/>
  <c r="T243" i="1"/>
  <c r="T712" i="1"/>
  <c r="T315" i="1"/>
  <c r="U39" i="1"/>
  <c r="U687" i="1"/>
  <c r="T653" i="1"/>
  <c r="T531" i="1"/>
  <c r="V918" i="1"/>
  <c r="T355" i="1"/>
  <c r="U471" i="1"/>
  <c r="V902" i="1"/>
  <c r="U1099" i="1"/>
  <c r="V1072" i="1"/>
  <c r="U116" i="5"/>
  <c r="U112" i="5"/>
  <c r="U1133" i="1"/>
  <c r="T32" i="1"/>
  <c r="U249" i="1"/>
  <c r="T522" i="1"/>
  <c r="U20" i="5"/>
  <c r="T152" i="1"/>
  <c r="U382" i="1"/>
  <c r="T713" i="1"/>
  <c r="U50" i="1"/>
  <c r="V220" i="1"/>
  <c r="V492" i="1"/>
  <c r="U815" i="1"/>
  <c r="U200" i="1"/>
  <c r="V348" i="1"/>
  <c r="V352" i="1"/>
  <c r="T389" i="1"/>
  <c r="V464" i="1"/>
  <c r="T34" i="1"/>
  <c r="V252" i="1"/>
  <c r="U526" i="1"/>
  <c r="V4" i="5"/>
  <c r="T155" i="1"/>
  <c r="T386" i="1"/>
  <c r="U31" i="5"/>
  <c r="U53" i="1"/>
  <c r="V224" i="1"/>
  <c r="T498" i="1"/>
  <c r="U128" i="1"/>
  <c r="U601" i="1"/>
  <c r="V288" i="1"/>
  <c r="T325" i="1"/>
  <c r="V400" i="1"/>
  <c r="V8" i="1"/>
  <c r="T225" i="1"/>
  <c r="U496" i="1"/>
  <c r="V256" i="1"/>
  <c r="T136" i="1"/>
  <c r="U356" i="1"/>
  <c r="T644" i="1"/>
  <c r="U34" i="1"/>
  <c r="T206" i="1"/>
  <c r="V466" i="1"/>
  <c r="V789" i="1"/>
  <c r="V125" i="1"/>
  <c r="V357" i="1"/>
  <c r="V362" i="1"/>
  <c r="V396" i="1"/>
  <c r="V474" i="1"/>
  <c r="T76" i="1"/>
  <c r="V565" i="1"/>
  <c r="V570" i="1"/>
  <c r="V607" i="1"/>
  <c r="U141" i="1"/>
  <c r="T521" i="1"/>
  <c r="U524" i="1"/>
  <c r="V558" i="1"/>
  <c r="U614" i="1"/>
  <c r="V471" i="1"/>
  <c r="V199" i="1"/>
  <c r="T224" i="1"/>
  <c r="V298" i="1"/>
  <c r="T271" i="1"/>
  <c r="V190" i="1"/>
  <c r="V444" i="1"/>
  <c r="U102" i="1"/>
  <c r="T104" i="1"/>
  <c r="U571" i="1"/>
  <c r="T114" i="1"/>
  <c r="U627" i="1"/>
  <c r="V211" i="1"/>
  <c r="V690" i="1"/>
  <c r="V150" i="1"/>
  <c r="T549" i="1"/>
  <c r="V1161" i="1"/>
  <c r="U900" i="1"/>
  <c r="T730" i="1"/>
  <c r="V675" i="1"/>
  <c r="V926" i="1"/>
  <c r="U716" i="1"/>
  <c r="V1083" i="1"/>
  <c r="V377" i="1"/>
  <c r="U548" i="1"/>
  <c r="T720" i="1"/>
  <c r="V658" i="1"/>
  <c r="U129" i="1"/>
  <c r="T657" i="1"/>
  <c r="V223" i="1"/>
  <c r="V17" i="5"/>
  <c r="U154" i="1"/>
  <c r="V552" i="1"/>
  <c r="V1204" i="1"/>
  <c r="U906" i="1"/>
  <c r="U732" i="1"/>
  <c r="V677" i="1"/>
  <c r="V931" i="1"/>
  <c r="V718" i="1"/>
  <c r="T1112" i="1"/>
  <c r="T381" i="1"/>
  <c r="U551" i="1"/>
  <c r="U396" i="1"/>
  <c r="V184" i="1"/>
  <c r="V83" i="1"/>
  <c r="V291" i="1"/>
  <c r="V85" i="1"/>
  <c r="U194" i="1"/>
  <c r="V621" i="1"/>
  <c r="U691" i="1"/>
  <c r="T971" i="1"/>
  <c r="V769" i="1"/>
  <c r="T703" i="1"/>
  <c r="T1013" i="1"/>
  <c r="U750" i="1"/>
  <c r="V233" i="1"/>
  <c r="U404" i="1"/>
  <c r="U575" i="1"/>
  <c r="T755" i="1"/>
  <c r="V459" i="1"/>
  <c r="U135" i="1"/>
  <c r="T671" i="1"/>
  <c r="V231" i="1"/>
  <c r="W15" i="5"/>
  <c r="U167" i="1"/>
  <c r="T575" i="1"/>
  <c r="V671" i="1"/>
  <c r="T15" i="1"/>
  <c r="U381" i="1"/>
  <c r="T64" i="1"/>
  <c r="U467" i="1"/>
  <c r="T38" i="1"/>
  <c r="U352" i="1"/>
  <c r="U833" i="1"/>
  <c r="V222" i="1"/>
  <c r="U265" i="1"/>
  <c r="V6" i="5"/>
  <c r="T370" i="1"/>
  <c r="U14" i="5"/>
  <c r="T268" i="1"/>
  <c r="T744" i="1"/>
  <c r="U723" i="1"/>
  <c r="T1171" i="1"/>
  <c r="U821" i="1"/>
  <c r="V736" i="1"/>
  <c r="T605" i="1"/>
  <c r="T802" i="1"/>
  <c r="T610" i="1"/>
  <c r="U339" i="1"/>
  <c r="U36" i="1"/>
  <c r="T434" i="1"/>
  <c r="T16" i="1"/>
  <c r="T319" i="1"/>
  <c r="T804" i="1"/>
  <c r="V96" i="1"/>
  <c r="T813" i="1"/>
  <c r="V925" i="1"/>
  <c r="U663" i="1"/>
  <c r="T291" i="1"/>
  <c r="T565" i="1"/>
  <c r="T862" i="1"/>
  <c r="T326" i="1"/>
  <c r="V494" i="1"/>
  <c r="T667" i="1"/>
  <c r="T904" i="1"/>
  <c r="V327" i="1"/>
  <c r="U498" i="1"/>
  <c r="T670" i="1"/>
  <c r="T911" i="1"/>
  <c r="V1003" i="1"/>
  <c r="T1045" i="1"/>
  <c r="T817" i="1"/>
  <c r="U1039" i="1"/>
  <c r="T841" i="1"/>
  <c r="V1222" i="1"/>
  <c r="U1007" i="1"/>
  <c r="U1287" i="1"/>
  <c r="W36" i="5"/>
  <c r="U721" i="1"/>
  <c r="V622" i="1"/>
  <c r="U330" i="1"/>
  <c r="U818" i="1"/>
  <c r="U434" i="1"/>
  <c r="U669" i="1"/>
  <c r="V287" i="1"/>
  <c r="U522" i="1"/>
  <c r="V874" i="1"/>
  <c r="V944" i="1"/>
  <c r="V817" i="1"/>
  <c r="T780" i="1"/>
  <c r="U1087" i="1"/>
  <c r="T1011" i="1"/>
  <c r="V755" i="1"/>
  <c r="T717" i="1"/>
  <c r="T304" i="1"/>
  <c r="V673" i="1"/>
  <c r="V350" i="1"/>
  <c r="T651" i="1"/>
  <c r="T1069" i="1"/>
  <c r="T505" i="1"/>
  <c r="U743" i="1"/>
  <c r="U1047" i="1"/>
  <c r="V799" i="1"/>
  <c r="U1149" i="1"/>
  <c r="U1053" i="1"/>
  <c r="U886" i="1"/>
  <c r="U1302" i="1"/>
  <c r="V248" i="1"/>
  <c r="U876" i="1"/>
  <c r="V1046" i="1"/>
  <c r="U580" i="1"/>
  <c r="U290" i="1"/>
  <c r="U589" i="1"/>
  <c r="V717" i="1"/>
  <c r="V864" i="1"/>
  <c r="T280" i="1"/>
  <c r="U742" i="1"/>
  <c r="V398" i="1"/>
  <c r="T851" i="1"/>
  <c r="V728" i="1"/>
  <c r="V886" i="1"/>
  <c r="V550" i="1"/>
  <c r="T1080" i="1"/>
  <c r="U599" i="1"/>
  <c r="V662" i="1"/>
  <c r="V1067" i="1"/>
  <c r="V1035" i="1"/>
  <c r="V965" i="1"/>
  <c r="V1185" i="1"/>
  <c r="U1254" i="1"/>
  <c r="T786" i="1"/>
  <c r="V544" i="1"/>
  <c r="T503" i="1"/>
  <c r="V234" i="1"/>
  <c r="U507" i="1"/>
  <c r="V268" i="1"/>
  <c r="U542" i="1"/>
  <c r="T348" i="1"/>
  <c r="V16" i="1"/>
  <c r="T397" i="1"/>
  <c r="U401" i="1"/>
  <c r="V434" i="1"/>
  <c r="V512" i="1"/>
  <c r="U60" i="1"/>
  <c r="T284" i="1"/>
  <c r="T557" i="1"/>
  <c r="V38" i="5"/>
  <c r="U172" i="1"/>
  <c r="U416" i="1"/>
  <c r="T26" i="1"/>
  <c r="U71" i="1"/>
  <c r="U254" i="1"/>
  <c r="T528" i="1"/>
  <c r="U850" i="1"/>
  <c r="V58" i="1"/>
  <c r="T418" i="1"/>
  <c r="U422" i="1"/>
  <c r="U457" i="1"/>
  <c r="U534" i="1"/>
  <c r="U65" i="1"/>
  <c r="V286" i="1"/>
  <c r="T561" i="1"/>
  <c r="T6" i="1"/>
  <c r="U175" i="1"/>
  <c r="T421" i="1"/>
  <c r="V35" i="1"/>
  <c r="U74" i="1"/>
  <c r="V258" i="1"/>
  <c r="U531" i="1"/>
  <c r="T324" i="1"/>
  <c r="U353" i="1"/>
  <c r="U358" i="1"/>
  <c r="U393" i="1"/>
  <c r="U470" i="1"/>
  <c r="V38" i="1"/>
  <c r="T258" i="1"/>
  <c r="V530" i="1"/>
  <c r="W28" i="5"/>
  <c r="T157" i="1"/>
  <c r="T391" i="1"/>
  <c r="U29" i="5"/>
  <c r="T56" i="1"/>
  <c r="T229" i="1"/>
  <c r="V501" i="1"/>
  <c r="T826" i="1"/>
  <c r="V144" i="1"/>
  <c r="V424" i="1"/>
  <c r="V429" i="1"/>
  <c r="T466" i="1"/>
  <c r="V541" i="1"/>
  <c r="U168" i="1"/>
  <c r="V651" i="1"/>
  <c r="U660" i="1"/>
  <c r="T130" i="1"/>
  <c r="V19" i="5"/>
  <c r="V587" i="1"/>
  <c r="U593" i="1"/>
  <c r="T641" i="1"/>
  <c r="T320" i="1"/>
  <c r="T567" i="1"/>
  <c r="U256" i="1"/>
  <c r="U291" i="1"/>
  <c r="U368" i="1"/>
  <c r="W8" i="5"/>
  <c r="U212" i="1"/>
  <c r="V478" i="1"/>
  <c r="T183" i="1"/>
  <c r="U124" i="1"/>
  <c r="V259" i="1"/>
  <c r="T173" i="1"/>
  <c r="V37" i="1"/>
  <c r="V269" i="1"/>
  <c r="V67" i="1"/>
  <c r="V188" i="1"/>
  <c r="T612" i="1"/>
  <c r="T687" i="1"/>
  <c r="U953" i="1"/>
  <c r="V760" i="1"/>
  <c r="T698" i="1"/>
  <c r="V990" i="1"/>
  <c r="V740" i="1"/>
  <c r="V227" i="1"/>
  <c r="T400" i="1"/>
  <c r="V569" i="1"/>
  <c r="V745" i="1"/>
  <c r="U328" i="1"/>
  <c r="V182" i="1"/>
  <c r="T71" i="1"/>
  <c r="U275" i="1"/>
  <c r="U76" i="1"/>
  <c r="U191" i="1"/>
  <c r="T617" i="1"/>
  <c r="T689" i="1"/>
  <c r="V961" i="1"/>
  <c r="T767" i="1"/>
  <c r="U700" i="1"/>
  <c r="V998" i="1"/>
  <c r="T746" i="1"/>
  <c r="T232" i="1"/>
  <c r="V401" i="1"/>
  <c r="U572" i="1"/>
  <c r="V430" i="1"/>
  <c r="U232" i="1"/>
  <c r="U27" i="5"/>
  <c r="T340" i="1"/>
  <c r="T194" i="1"/>
  <c r="U237" i="1"/>
  <c r="T729" i="1"/>
  <c r="U712" i="1"/>
  <c r="T1059" i="1"/>
  <c r="T805" i="1"/>
  <c r="U724" i="1"/>
  <c r="U1180" i="1"/>
  <c r="V782" i="1"/>
  <c r="T256" i="1"/>
  <c r="V425" i="1"/>
  <c r="V595" i="1"/>
  <c r="V787" i="1"/>
  <c r="U465" i="1"/>
  <c r="T189" i="1"/>
  <c r="V93" i="1"/>
  <c r="T297" i="1"/>
  <c r="T117" i="1"/>
  <c r="V196" i="1"/>
  <c r="V628" i="1"/>
  <c r="V693" i="1"/>
  <c r="V35" i="5"/>
  <c r="T450" i="1"/>
  <c r="V105" i="1"/>
  <c r="T514" i="1"/>
  <c r="T67" i="1"/>
  <c r="U412" i="1"/>
  <c r="V875" i="1"/>
  <c r="T573" i="1"/>
  <c r="U334" i="1"/>
  <c r="V33" i="1"/>
  <c r="U428" i="1"/>
  <c r="W39" i="5"/>
  <c r="V312" i="1"/>
  <c r="V798" i="1"/>
  <c r="V752" i="1"/>
  <c r="U638" i="1"/>
  <c r="T856" i="1"/>
  <c r="T771" i="1"/>
  <c r="U625" i="1"/>
  <c r="T836" i="1"/>
  <c r="T90" i="1"/>
  <c r="U406" i="1"/>
  <c r="U79" i="1"/>
  <c r="U480" i="1"/>
  <c r="T46" i="1"/>
  <c r="V376" i="1"/>
  <c r="U846" i="1"/>
  <c r="V603" i="1"/>
  <c r="V880" i="1"/>
  <c r="U1103" i="1"/>
  <c r="T706" i="1"/>
  <c r="T328" i="1"/>
  <c r="V601" i="1"/>
  <c r="T909" i="1"/>
  <c r="U346" i="1"/>
  <c r="T518" i="1"/>
  <c r="V686" i="1"/>
  <c r="V959" i="1"/>
  <c r="U349" i="1"/>
  <c r="U520" i="1"/>
  <c r="T691" i="1"/>
  <c r="T970" i="1"/>
  <c r="V1038" i="1"/>
  <c r="T1081" i="1"/>
  <c r="U837" i="1"/>
  <c r="U1076" i="1"/>
  <c r="V860" i="1"/>
  <c r="V751" i="1"/>
  <c r="U1041" i="1"/>
  <c r="U91" i="5"/>
  <c r="U17" i="1"/>
  <c r="U783" i="1"/>
  <c r="U665" i="1"/>
  <c r="T472" i="1"/>
  <c r="T866" i="1"/>
  <c r="U455" i="1"/>
  <c r="U690" i="1"/>
  <c r="U309" i="1"/>
  <c r="T609" i="1"/>
  <c r="T917" i="1"/>
  <c r="T981" i="1"/>
  <c r="U840" i="1"/>
  <c r="U800" i="1"/>
  <c r="U755" i="1"/>
  <c r="T1046" i="1"/>
  <c r="U825" i="1"/>
  <c r="U775" i="1"/>
  <c r="T333" i="1"/>
  <c r="U827" i="1"/>
  <c r="V372" i="1"/>
  <c r="U671" i="1"/>
  <c r="U226" i="1"/>
  <c r="U525" i="1"/>
  <c r="T880" i="1"/>
  <c r="U1086" i="1"/>
  <c r="T822" i="1"/>
  <c r="U1234" i="1"/>
  <c r="V1094" i="1"/>
  <c r="U1015" i="1"/>
  <c r="V1116" i="1"/>
  <c r="V738" i="1"/>
  <c r="U981" i="1"/>
  <c r="T240" i="1"/>
  <c r="V707" i="1"/>
  <c r="U311" i="1"/>
  <c r="T611" i="1"/>
  <c r="T779" i="1"/>
  <c r="V955" i="1"/>
  <c r="V411" i="1"/>
  <c r="U793" i="1"/>
  <c r="T422" i="1"/>
  <c r="U932" i="1"/>
  <c r="V795" i="1"/>
  <c r="U957" i="1"/>
  <c r="T45" i="1"/>
  <c r="U705" i="1"/>
  <c r="V627" i="1"/>
  <c r="T686" i="1"/>
  <c r="U970" i="1"/>
  <c r="V1107" i="1"/>
  <c r="T988" i="1"/>
  <c r="V1207" i="1"/>
  <c r="T932" i="1"/>
  <c r="V681" i="1"/>
  <c r="V995" i="1"/>
  <c r="T753" i="1"/>
  <c r="T788" i="1"/>
  <c r="U1164" i="1"/>
  <c r="U1143" i="1"/>
  <c r="T1033" i="1"/>
  <c r="V992" i="1"/>
  <c r="V96" i="5"/>
  <c r="T1294" i="1"/>
  <c r="U1253" i="1"/>
  <c r="T1276" i="1"/>
  <c r="U72" i="5"/>
  <c r="W125" i="5"/>
  <c r="T1305" i="1"/>
  <c r="T352" i="1"/>
  <c r="V727" i="1"/>
  <c r="U1002" i="1"/>
  <c r="T1149" i="1"/>
  <c r="V71" i="5"/>
  <c r="W94" i="5"/>
  <c r="V741" i="1"/>
  <c r="U867" i="1"/>
  <c r="V128" i="5"/>
  <c r="U1021" i="1"/>
  <c r="T854" i="1"/>
  <c r="U725" i="1"/>
  <c r="V1055" i="1"/>
  <c r="U789" i="1"/>
  <c r="V933" i="1"/>
  <c r="U1207" i="1"/>
  <c r="V1176" i="1"/>
  <c r="V1053" i="1"/>
  <c r="U1014" i="1"/>
  <c r="W67" i="5"/>
  <c r="V44" i="5"/>
  <c r="V1273" i="1"/>
  <c r="U1296" i="1"/>
  <c r="W114" i="5"/>
  <c r="U73" i="5"/>
  <c r="T1231" i="1"/>
  <c r="T627" i="1"/>
  <c r="U794" i="1"/>
  <c r="T1062" i="1"/>
  <c r="V1181" i="1"/>
  <c r="W92" i="5"/>
  <c r="V1307" i="1"/>
  <c r="T230" i="1"/>
  <c r="T899" i="1"/>
  <c r="T494" i="1"/>
  <c r="U706" i="1"/>
  <c r="U325" i="1"/>
  <c r="U624" i="1"/>
  <c r="T962" i="1"/>
  <c r="W24" i="5"/>
  <c r="U719" i="1"/>
  <c r="T638" i="1"/>
  <c r="T1114" i="1"/>
  <c r="T1245" i="1"/>
  <c r="T852" i="1"/>
  <c r="W101" i="5"/>
  <c r="U1105" i="1"/>
  <c r="U1074" i="1"/>
  <c r="V968" i="1"/>
  <c r="V115" i="5"/>
  <c r="V1268" i="1"/>
  <c r="T1230" i="1"/>
  <c r="U1208" i="1"/>
  <c r="V1103" i="1"/>
  <c r="V133" i="5"/>
  <c r="U995" i="1"/>
  <c r="U1298" i="1"/>
  <c r="V1197" i="1"/>
  <c r="V118" i="5"/>
  <c r="U692" i="1"/>
  <c r="V934" i="1"/>
  <c r="T791" i="1"/>
  <c r="V785" i="1"/>
  <c r="V826" i="1"/>
  <c r="T995" i="1"/>
  <c r="T1259" i="1"/>
  <c r="V1211" i="1"/>
  <c r="T1179" i="1"/>
  <c r="T1036" i="1"/>
  <c r="U89" i="5"/>
  <c r="W65" i="5"/>
  <c r="T1297" i="1"/>
  <c r="W47" i="5"/>
  <c r="U1266" i="1"/>
  <c r="T1288" i="1"/>
  <c r="U107" i="5"/>
  <c r="V724" i="1"/>
  <c r="V861" i="1"/>
  <c r="V1057" i="1"/>
  <c r="U1085" i="1"/>
  <c r="T1257" i="1"/>
  <c r="U53" i="5"/>
  <c r="U656" i="1"/>
  <c r="U1172" i="1"/>
  <c r="V800" i="1"/>
  <c r="U865" i="1"/>
  <c r="U415" i="1"/>
  <c r="T688" i="1"/>
  <c r="U231" i="1"/>
  <c r="U402" i="1"/>
  <c r="T574" i="1"/>
  <c r="V576" i="1"/>
  <c r="U630" i="1"/>
  <c r="T759" i="1"/>
  <c r="T823" i="1"/>
  <c r="V427" i="1"/>
  <c r="V721" i="1"/>
  <c r="T302" i="1"/>
  <c r="U514" i="1"/>
  <c r="U828" i="1"/>
  <c r="V345" i="1"/>
  <c r="U645" i="1"/>
  <c r="T1042" i="1"/>
  <c r="V790" i="1"/>
  <c r="T1120" i="1"/>
  <c r="T681" i="1"/>
  <c r="V1254" i="1"/>
  <c r="V748" i="1"/>
  <c r="V887" i="1"/>
  <c r="U1310" i="1"/>
  <c r="U1139" i="1"/>
  <c r="V1104" i="1"/>
  <c r="T991" i="1"/>
  <c r="V43" i="5"/>
  <c r="V84" i="5"/>
  <c r="T1251" i="1"/>
  <c r="U1229" i="1"/>
  <c r="V1125" i="1"/>
  <c r="U1256" i="1"/>
  <c r="U934" i="1"/>
  <c r="V92" i="5"/>
  <c r="V1261" i="1"/>
  <c r="W62" i="5"/>
  <c r="U322" i="1"/>
  <c r="U341" i="1"/>
  <c r="T859" i="1"/>
  <c r="T825" i="1"/>
  <c r="T857" i="1"/>
  <c r="T1054" i="1"/>
  <c r="U947" i="1"/>
  <c r="T1247" i="1"/>
  <c r="U1212" i="1"/>
  <c r="V1056" i="1"/>
  <c r="V110" i="5"/>
  <c r="U1082" i="1"/>
  <c r="V47" i="5"/>
  <c r="U69" i="5"/>
  <c r="U1016" i="1"/>
  <c r="V1279" i="1"/>
  <c r="V54" i="5"/>
  <c r="V788" i="1"/>
  <c r="T1282" i="1"/>
  <c r="V1269" i="1"/>
  <c r="V1118" i="1"/>
  <c r="T1278" i="1"/>
  <c r="W95" i="5"/>
  <c r="T699" i="1"/>
  <c r="U952" i="1"/>
  <c r="V484" i="1"/>
  <c r="U369" i="1"/>
  <c r="U699" i="1"/>
  <c r="V867" i="1"/>
  <c r="T958" i="1"/>
  <c r="V451" i="1"/>
  <c r="T715" i="1"/>
  <c r="T254" i="1"/>
  <c r="V422" i="1"/>
  <c r="T595" i="1"/>
  <c r="U106" i="1"/>
  <c r="V672" i="1"/>
  <c r="U826" i="1"/>
  <c r="U890" i="1"/>
  <c r="V457" i="1"/>
  <c r="T764" i="1"/>
  <c r="T323" i="1"/>
  <c r="V534" i="1"/>
  <c r="U862" i="1"/>
  <c r="T369" i="1"/>
  <c r="V665" i="1"/>
  <c r="V1144" i="1"/>
  <c r="T896" i="1"/>
  <c r="U253" i="1"/>
  <c r="U722" i="1"/>
  <c r="U746" i="1"/>
  <c r="U891" i="1"/>
  <c r="U930" i="1"/>
  <c r="V898" i="1"/>
  <c r="U1173" i="1"/>
  <c r="U1140" i="1"/>
  <c r="T1079" i="1"/>
  <c r="U65" i="5"/>
  <c r="W105" i="5"/>
  <c r="V1271" i="1"/>
  <c r="V1250" i="1"/>
  <c r="U1211" i="1"/>
  <c r="T1300" i="1"/>
  <c r="U998" i="1"/>
  <c r="U1109" i="1"/>
  <c r="U56" i="5"/>
  <c r="U1154" i="1"/>
  <c r="U588" i="1"/>
  <c r="V383" i="1"/>
  <c r="V942" i="1"/>
  <c r="U853" i="1"/>
  <c r="T1058" i="1"/>
  <c r="U1116" i="1"/>
  <c r="U968" i="1"/>
  <c r="V1282" i="1"/>
  <c r="U1246" i="1"/>
  <c r="V1182" i="1"/>
  <c r="W131" i="5"/>
  <c r="T1105" i="1"/>
  <c r="U1104" i="1"/>
  <c r="T1108" i="1"/>
  <c r="U1038" i="1"/>
  <c r="V95" i="5"/>
  <c r="T1177" i="1"/>
  <c r="U857" i="1"/>
  <c r="V1059" i="1"/>
  <c r="T905" i="1"/>
  <c r="V70" i="5"/>
  <c r="V1215" i="1"/>
  <c r="U1196" i="1"/>
  <c r="T1165" i="1"/>
  <c r="V689" i="1"/>
  <c r="V907" i="1"/>
  <c r="U731" i="1"/>
  <c r="V904" i="1"/>
  <c r="U99" i="5"/>
  <c r="U1177" i="1"/>
  <c r="U257" i="1"/>
  <c r="T1000" i="1"/>
  <c r="U710" i="1"/>
  <c r="U762" i="1"/>
  <c r="U367" i="1"/>
  <c r="T643" i="1"/>
  <c r="T992" i="1"/>
  <c r="T371" i="1"/>
  <c r="T542" i="1"/>
  <c r="V710" i="1"/>
  <c r="U1050" i="1"/>
  <c r="U373" i="1"/>
  <c r="U544" i="1"/>
  <c r="V713" i="1"/>
  <c r="T1073" i="1"/>
  <c r="V1078" i="1"/>
  <c r="U1146" i="1"/>
  <c r="U861" i="1"/>
  <c r="V1139" i="1"/>
  <c r="U864" i="1"/>
  <c r="T1151" i="1"/>
  <c r="T863" i="1"/>
  <c r="T1143" i="1"/>
  <c r="U210" i="1"/>
  <c r="V682" i="1"/>
  <c r="U843" i="1"/>
  <c r="T915" i="1"/>
  <c r="U436" i="1"/>
  <c r="V705" i="1"/>
  <c r="U245" i="1"/>
  <c r="T416" i="1"/>
  <c r="U586" i="1"/>
  <c r="U772" i="1"/>
  <c r="T249" i="1"/>
  <c r="V417" i="1"/>
  <c r="T590" i="1"/>
  <c r="U777" i="1"/>
  <c r="U1060" i="1"/>
  <c r="V1230" i="1"/>
  <c r="V735" i="1"/>
  <c r="V910" i="1"/>
  <c r="U739" i="1"/>
  <c r="V915" i="1"/>
  <c r="T737" i="1"/>
  <c r="U913" i="1"/>
  <c r="U1281" i="1"/>
  <c r="V1184" i="1"/>
  <c r="W31" i="5"/>
  <c r="T919" i="1"/>
  <c r="V683" i="1"/>
  <c r="T725" i="1"/>
  <c r="U343" i="1"/>
  <c r="U610" i="1"/>
  <c r="T936" i="1"/>
  <c r="U354" i="1"/>
  <c r="T526" i="1"/>
  <c r="V328" i="1"/>
  <c r="T847" i="1"/>
  <c r="V989" i="1"/>
  <c r="T685" i="1"/>
  <c r="U308" i="1"/>
  <c r="U583" i="1"/>
  <c r="T879" i="1"/>
  <c r="V334" i="1"/>
  <c r="U506" i="1"/>
  <c r="T838" i="1"/>
  <c r="V747" i="1"/>
  <c r="U965" i="1"/>
  <c r="U1183" i="1"/>
  <c r="V481" i="1"/>
  <c r="T751" i="1"/>
  <c r="T275" i="1"/>
  <c r="U445" i="1"/>
  <c r="T616" i="1"/>
  <c r="V475" i="1"/>
  <c r="V714" i="1"/>
  <c r="U895" i="1"/>
  <c r="V973" i="1"/>
  <c r="T496" i="1"/>
  <c r="U806" i="1"/>
  <c r="V342" i="1"/>
  <c r="T579" i="1"/>
  <c r="T898" i="1"/>
  <c r="U453" i="1"/>
  <c r="V687" i="1"/>
  <c r="V1229" i="1"/>
  <c r="U649" i="1"/>
  <c r="V295" i="1"/>
  <c r="U1159" i="1"/>
  <c r="V783" i="1"/>
  <c r="T934" i="1"/>
  <c r="U989" i="1"/>
  <c r="V922" i="1"/>
  <c r="V72" i="5"/>
  <c r="U1174" i="1"/>
  <c r="T1111" i="1"/>
  <c r="V86" i="5"/>
  <c r="U127" i="5"/>
  <c r="V87" i="5"/>
  <c r="U1272" i="1"/>
  <c r="T1233" i="1"/>
  <c r="W50" i="5"/>
  <c r="U1062" i="1"/>
  <c r="W52" i="5"/>
  <c r="U120" i="5"/>
  <c r="U1240" i="1"/>
  <c r="V895" i="1"/>
  <c r="T427" i="1"/>
  <c r="V1025" i="1"/>
  <c r="V889" i="1"/>
  <c r="T1125" i="1"/>
  <c r="T1261" i="1"/>
  <c r="V988" i="1"/>
  <c r="T969" i="1"/>
  <c r="V1283" i="1"/>
  <c r="T1218" i="1"/>
  <c r="U1303" i="1"/>
  <c r="T1126" i="1"/>
  <c r="V1124" i="1"/>
  <c r="V1127" i="1"/>
  <c r="T1119" i="1"/>
  <c r="T1110" i="1"/>
  <c r="U1261" i="1"/>
  <c r="T387" i="1"/>
  <c r="V1128" i="1"/>
  <c r="T929" i="1"/>
  <c r="V1305" i="1"/>
  <c r="U1238" i="1"/>
  <c r="U43" i="5"/>
  <c r="W43" i="5"/>
  <c r="U234" i="1"/>
  <c r="V395" i="1"/>
  <c r="T672" i="1"/>
  <c r="T1152" i="1"/>
  <c r="V390" i="1"/>
  <c r="U562" i="1"/>
  <c r="T735" i="1"/>
  <c r="U224" i="1"/>
  <c r="T395" i="1"/>
  <c r="T566" i="1"/>
  <c r="U738" i="1"/>
  <c r="U1249" i="1"/>
  <c r="V1136" i="1"/>
  <c r="U1231" i="1"/>
  <c r="T883" i="1"/>
  <c r="V1221" i="1"/>
  <c r="V884" i="1"/>
  <c r="V1234" i="1"/>
  <c r="T884" i="1"/>
  <c r="T1227" i="1"/>
  <c r="T665" i="1"/>
  <c r="U726" i="1"/>
  <c r="T920" i="1"/>
  <c r="T1038" i="1"/>
  <c r="V473" i="1"/>
  <c r="T734" i="1"/>
  <c r="T267" i="1"/>
  <c r="T438" i="1"/>
  <c r="U607" i="1"/>
  <c r="V805" i="1"/>
  <c r="U269" i="1"/>
  <c r="U440" i="1"/>
  <c r="V609" i="1"/>
  <c r="V810" i="1"/>
  <c r="T1106" i="1"/>
  <c r="T950" i="1"/>
  <c r="T758" i="1"/>
  <c r="T947" i="1"/>
  <c r="T761" i="1"/>
  <c r="U951" i="1"/>
  <c r="V757" i="1"/>
  <c r="V945" i="1"/>
  <c r="U78" i="5"/>
  <c r="U1220" i="1"/>
  <c r="U364" i="1"/>
  <c r="U1078" i="1"/>
  <c r="T727" i="1"/>
  <c r="T789" i="1"/>
  <c r="T373" i="1"/>
  <c r="T648" i="1"/>
  <c r="V1024" i="1"/>
  <c r="V374" i="1"/>
  <c r="T547" i="1"/>
  <c r="U31" i="1"/>
  <c r="U924" i="1"/>
  <c r="V685" i="1"/>
  <c r="V726" i="1"/>
  <c r="T347" i="1"/>
  <c r="V619" i="1"/>
  <c r="U949" i="1"/>
  <c r="V356" i="1"/>
  <c r="V526" i="1"/>
  <c r="V719" i="1"/>
  <c r="U817" i="1"/>
  <c r="V600" i="1"/>
  <c r="U244" i="1"/>
  <c r="U519" i="1"/>
  <c r="U797" i="1"/>
  <c r="V294" i="1"/>
  <c r="T467" i="1"/>
  <c r="V636" i="1"/>
  <c r="T954" i="1"/>
  <c r="V773" i="1"/>
  <c r="T1025" i="1"/>
  <c r="V219" i="1"/>
  <c r="V523" i="1"/>
  <c r="V851" i="1"/>
  <c r="V364" i="1"/>
  <c r="U621" i="1"/>
  <c r="V950" i="1"/>
  <c r="T475" i="1"/>
  <c r="U709" i="1"/>
  <c r="T1001" i="1"/>
  <c r="V318" i="1"/>
  <c r="V337" i="1"/>
  <c r="U1068" i="1"/>
  <c r="T814" i="1"/>
  <c r="U993" i="1"/>
  <c r="U1308" i="1"/>
  <c r="U944" i="1"/>
  <c r="T924" i="1"/>
  <c r="V1206" i="1"/>
  <c r="U1145" i="1"/>
  <c r="U52" i="5"/>
  <c r="U1080" i="1"/>
  <c r="W108" i="5"/>
  <c r="V1292" i="1"/>
  <c r="V1253" i="1"/>
  <c r="T1060" i="1"/>
  <c r="T1124" i="1"/>
  <c r="W116" i="5"/>
  <c r="T935" i="1"/>
  <c r="V1303" i="1"/>
  <c r="U679" i="1"/>
  <c r="T470" i="1"/>
  <c r="U1106" i="1"/>
  <c r="V932" i="1"/>
  <c r="U1270" i="1"/>
  <c r="V1280" i="1"/>
  <c r="V1010" i="1"/>
  <c r="U990" i="1"/>
  <c r="V83" i="5"/>
  <c r="U1251" i="1"/>
  <c r="W118" i="5"/>
  <c r="T1147" i="1"/>
  <c r="V1146" i="1"/>
  <c r="V1149" i="1"/>
  <c r="U1255" i="1"/>
  <c r="V1175" i="1"/>
  <c r="V55" i="5"/>
  <c r="U429" i="1"/>
  <c r="V996" i="1"/>
  <c r="T1290" i="1"/>
  <c r="U111" i="5"/>
  <c r="U1118" i="1"/>
  <c r="T532" i="1"/>
  <c r="U1286" i="1"/>
  <c r="T403" i="1"/>
  <c r="T777" i="1"/>
  <c r="V975" i="1"/>
  <c r="T775" i="1"/>
  <c r="U972" i="1"/>
  <c r="V1179" i="1"/>
  <c r="U1245" i="1"/>
  <c r="T174" i="1"/>
  <c r="T679" i="1"/>
  <c r="U834" i="1"/>
  <c r="U902" i="1"/>
  <c r="T435" i="1"/>
  <c r="V699" i="1"/>
  <c r="U242" i="1"/>
  <c r="V412" i="1"/>
  <c r="T584" i="1"/>
  <c r="T768" i="1"/>
  <c r="T246" i="1"/>
  <c r="V415" i="1"/>
  <c r="V585" i="1"/>
  <c r="V771" i="1"/>
  <c r="U1055" i="1"/>
  <c r="U1218" i="1"/>
  <c r="U733" i="1"/>
  <c r="U908" i="1"/>
  <c r="U736" i="1"/>
  <c r="T913" i="1"/>
  <c r="V733" i="1"/>
  <c r="T910" i="1"/>
  <c r="U1276" i="1"/>
  <c r="V695" i="1"/>
  <c r="T792" i="1"/>
  <c r="V1082" i="1"/>
  <c r="T237" i="1"/>
  <c r="T504" i="1"/>
  <c r="V774" i="1"/>
  <c r="T288" i="1"/>
  <c r="T459" i="1"/>
  <c r="T630" i="1"/>
  <c r="V840" i="1"/>
  <c r="V289" i="1"/>
  <c r="T462" i="1"/>
  <c r="V631" i="1"/>
  <c r="V844" i="1"/>
  <c r="V1171" i="1"/>
  <c r="U983" i="1"/>
  <c r="V777" i="1"/>
  <c r="U980" i="1"/>
  <c r="U781" i="1"/>
  <c r="T986" i="1"/>
  <c r="U779" i="1"/>
  <c r="T982" i="1"/>
  <c r="V1188" i="1"/>
  <c r="T1255" i="1"/>
  <c r="U9" i="5"/>
  <c r="T652" i="1"/>
  <c r="U791" i="1"/>
  <c r="V856" i="1"/>
  <c r="U410" i="1"/>
  <c r="T680" i="1"/>
  <c r="U1252" i="1"/>
  <c r="U397" i="1"/>
  <c r="T568" i="1"/>
  <c r="U411" i="1"/>
  <c r="T1104" i="1"/>
  <c r="U729" i="1"/>
  <c r="T794" i="1"/>
  <c r="U375" i="1"/>
  <c r="U650" i="1"/>
  <c r="U1037" i="1"/>
  <c r="U378" i="1"/>
  <c r="U73" i="1"/>
  <c r="V781" i="1"/>
  <c r="T886" i="1"/>
  <c r="T645" i="1"/>
  <c r="U282" i="1"/>
  <c r="V555" i="1"/>
  <c r="U839" i="1"/>
  <c r="U317" i="1"/>
  <c r="V486" i="1"/>
  <c r="T659" i="1"/>
  <c r="V739" i="1"/>
  <c r="U842" i="1"/>
  <c r="T618" i="1"/>
  <c r="U258" i="1"/>
  <c r="V561" i="1"/>
  <c r="U903" i="1"/>
  <c r="V406" i="1"/>
  <c r="U642" i="1"/>
  <c r="V1027" i="1"/>
  <c r="V495" i="1"/>
  <c r="V832" i="1"/>
  <c r="T1035" i="1"/>
  <c r="U490" i="1"/>
  <c r="T382" i="1"/>
  <c r="T1197" i="1"/>
  <c r="V987" i="1"/>
  <c r="U1040" i="1"/>
  <c r="U1185" i="1"/>
  <c r="V964" i="1"/>
  <c r="V943" i="1"/>
  <c r="T906" i="1"/>
  <c r="U1178" i="1"/>
  <c r="V73" i="5"/>
  <c r="T1102" i="1"/>
  <c r="U130" i="5"/>
  <c r="U109" i="5"/>
  <c r="U1275" i="1"/>
  <c r="V1150" i="1"/>
  <c r="U1225" i="1"/>
  <c r="U1152" i="1"/>
  <c r="T1162" i="1"/>
  <c r="U98" i="5"/>
  <c r="T723" i="1"/>
  <c r="V511" i="1"/>
  <c r="T1266" i="1"/>
  <c r="T1258" i="1"/>
  <c r="V749" i="1"/>
  <c r="V1120" i="1"/>
  <c r="U1032" i="1"/>
  <c r="U1011" i="1"/>
  <c r="V970" i="1"/>
  <c r="U1291" i="1"/>
  <c r="V1270" i="1"/>
  <c r="V1167" i="1"/>
  <c r="U1168" i="1"/>
  <c r="U1171" i="1"/>
  <c r="T914" i="1"/>
  <c r="V1239" i="1"/>
  <c r="T738" i="1"/>
  <c r="U472" i="1"/>
  <c r="U1057" i="1"/>
  <c r="W93" i="5"/>
  <c r="V132" i="5"/>
  <c r="V1015" i="1"/>
  <c r="V1213" i="1"/>
  <c r="U765" i="1"/>
  <c r="T446" i="1"/>
  <c r="T1008" i="1"/>
  <c r="T870" i="1"/>
  <c r="U905" i="1"/>
  <c r="U1167" i="1"/>
  <c r="U976" i="1"/>
  <c r="T956" i="1"/>
  <c r="T1094" i="1"/>
  <c r="V254" i="1"/>
  <c r="V447" i="1"/>
  <c r="T1061" i="1"/>
  <c r="U916" i="1"/>
  <c r="T740" i="1"/>
  <c r="U1190" i="1"/>
  <c r="V1227" i="1"/>
  <c r="T1264" i="1"/>
  <c r="T1269" i="1"/>
  <c r="U922" i="1"/>
  <c r="U988" i="1"/>
  <c r="V1031" i="1"/>
  <c r="V1005" i="1"/>
  <c r="U105" i="5"/>
  <c r="U1141" i="1"/>
  <c r="T576" i="1"/>
  <c r="U1299" i="1"/>
  <c r="V900" i="1"/>
  <c r="V1178" i="1"/>
  <c r="W56" i="5"/>
  <c r="U997" i="1"/>
  <c r="T977" i="1"/>
  <c r="W75" i="5"/>
  <c r="V700" i="1"/>
  <c r="V489" i="1"/>
  <c r="V1174" i="1"/>
  <c r="U962" i="1"/>
  <c r="T769" i="1"/>
  <c r="V1232" i="1"/>
  <c r="V1262" i="1"/>
  <c r="U41" i="5"/>
  <c r="W53" i="5"/>
  <c r="U421" i="1"/>
  <c r="V1033" i="1"/>
  <c r="V1102" i="1"/>
  <c r="U1027" i="1"/>
  <c r="V126" i="5"/>
  <c r="V1162" i="1"/>
  <c r="T281" i="1"/>
  <c r="V1123" i="1"/>
  <c r="T1293" i="1"/>
  <c r="V67" i="5"/>
  <c r="V948" i="1"/>
  <c r="U928" i="1"/>
  <c r="U94" i="5"/>
  <c r="T1154" i="1"/>
  <c r="V57" i="5"/>
  <c r="T1086" i="1"/>
  <c r="U114" i="5"/>
  <c r="U93" i="5"/>
  <c r="U1259" i="1"/>
  <c r="U1084" i="1"/>
  <c r="W102" i="5"/>
  <c r="U1091" i="1"/>
  <c r="V105" i="5"/>
  <c r="T741" i="1"/>
  <c r="V271" i="1"/>
  <c r="V746" i="1"/>
  <c r="T763" i="1"/>
  <c r="U901" i="1"/>
  <c r="T957" i="1"/>
  <c r="V1036" i="1"/>
  <c r="U405" i="1"/>
  <c r="V487" i="1"/>
  <c r="U1163" i="1"/>
  <c r="V958" i="1"/>
  <c r="W96" i="5"/>
  <c r="V99" i="5"/>
  <c r="T1020" i="1"/>
  <c r="T1063" i="1"/>
  <c r="U95" i="5"/>
  <c r="V750" i="1"/>
  <c r="T534" i="1"/>
  <c r="T963" i="1"/>
  <c r="U741" i="1"/>
  <c r="T965" i="1"/>
  <c r="V956" i="1"/>
  <c r="U979" i="1"/>
  <c r="T983" i="1"/>
  <c r="U247" i="1"/>
  <c r="T465" i="1"/>
  <c r="U848" i="1"/>
  <c r="U1156" i="1"/>
  <c r="T1239" i="1"/>
  <c r="V1286" i="1"/>
  <c r="V42" i="5"/>
  <c r="U1219" i="1"/>
  <c r="V81" i="5"/>
  <c r="V1172" i="1"/>
  <c r="W98" i="5"/>
  <c r="V1289" i="1"/>
  <c r="V1090" i="1"/>
  <c r="U966" i="1"/>
  <c r="U943" i="1"/>
  <c r="T515" i="1"/>
  <c r="V951" i="1"/>
  <c r="U1284" i="1"/>
  <c r="V1267" i="1"/>
  <c r="U790" i="1"/>
  <c r="U1198" i="1"/>
  <c r="V1034" i="1"/>
  <c r="V949" i="1"/>
  <c r="U910" i="1"/>
  <c r="V1186" i="1"/>
  <c r="W78" i="5"/>
  <c r="V1169" i="1"/>
  <c r="V135" i="5"/>
  <c r="V114" i="5"/>
  <c r="U1280" i="1"/>
  <c r="V1219" i="1"/>
  <c r="T1153" i="1"/>
  <c r="U1155" i="1"/>
  <c r="V52" i="5"/>
  <c r="T806" i="1"/>
  <c r="U314" i="1"/>
  <c r="T1275" i="1"/>
  <c r="T793" i="1"/>
  <c r="U959" i="1"/>
  <c r="T1003" i="1"/>
  <c r="U1153" i="1"/>
  <c r="T747" i="1"/>
  <c r="V529" i="1"/>
  <c r="V957" i="1"/>
  <c r="U1018" i="1"/>
  <c r="U766" i="1"/>
  <c r="V1133" i="1"/>
  <c r="T1041" i="1"/>
  <c r="T1090" i="1"/>
  <c r="T1219" i="1"/>
  <c r="V818" i="1"/>
  <c r="U704" i="1"/>
  <c r="T1027" i="1"/>
  <c r="T772" i="1"/>
  <c r="V1022" i="1"/>
  <c r="T980" i="1"/>
  <c r="V999" i="1"/>
  <c r="U1003" i="1"/>
  <c r="V521" i="1"/>
  <c r="T507" i="1"/>
  <c r="T878" i="1"/>
  <c r="T1199" i="1"/>
  <c r="T1274" i="1"/>
  <c r="V1308" i="1"/>
  <c r="W63" i="5"/>
  <c r="V916" i="1"/>
  <c r="W68" i="5"/>
  <c r="U1189" i="1"/>
  <c r="V90" i="5"/>
  <c r="U1192" i="1"/>
  <c r="T1085" i="1"/>
  <c r="V976" i="1"/>
  <c r="W49" i="5"/>
  <c r="U1237" i="1"/>
  <c r="V911" i="1"/>
  <c r="U84" i="5"/>
  <c r="T1198" i="1"/>
  <c r="T363" i="1"/>
  <c r="T1194" i="1"/>
  <c r="U557" i="1"/>
  <c r="V1274" i="1"/>
  <c r="V759" i="1"/>
  <c r="U792" i="1"/>
  <c r="T828" i="1"/>
  <c r="V1240" i="1"/>
  <c r="U1056" i="1"/>
  <c r="T972" i="1"/>
  <c r="U931" i="1"/>
  <c r="U110" i="5"/>
  <c r="U100" i="5"/>
  <c r="V1191" i="1"/>
  <c r="U1107" i="1"/>
  <c r="W135" i="5"/>
  <c r="U96" i="5"/>
  <c r="V107" i="5"/>
  <c r="U1194" i="1"/>
  <c r="T1220" i="1"/>
  <c r="T1070" i="1"/>
  <c r="T384" i="1"/>
  <c r="U357" i="1"/>
  <c r="U1111" i="1"/>
  <c r="U829" i="1"/>
  <c r="U1006" i="1"/>
  <c r="W88" i="5"/>
  <c r="U135" i="5"/>
  <c r="V814" i="1"/>
  <c r="U573" i="1"/>
  <c r="U1022" i="1"/>
  <c r="U768" i="1"/>
  <c r="U803" i="1"/>
  <c r="T1182" i="1"/>
  <c r="U1061" i="1"/>
  <c r="T1123" i="1"/>
  <c r="U877" i="1"/>
  <c r="T888" i="1"/>
  <c r="T757" i="1"/>
  <c r="U1075" i="1"/>
  <c r="U808" i="1"/>
  <c r="V1070" i="1"/>
  <c r="U1000" i="1"/>
  <c r="V1021" i="1"/>
  <c r="U1025" i="1"/>
  <c r="U801" i="1"/>
  <c r="V780" i="1"/>
  <c r="U784" i="1"/>
  <c r="T985" i="1"/>
  <c r="U1009" i="1"/>
  <c r="T1121" i="1"/>
  <c r="U1144" i="1"/>
  <c r="V102" i="5"/>
  <c r="T392" i="1"/>
  <c r="U666" i="1"/>
  <c r="U1090" i="1"/>
  <c r="U386" i="1"/>
  <c r="T558" i="1"/>
  <c r="T728" i="1"/>
  <c r="V1260" i="1"/>
  <c r="U389" i="1"/>
  <c r="V559" i="1"/>
  <c r="V730" i="1"/>
  <c r="U1226" i="1"/>
  <c r="T1122" i="1"/>
  <c r="V283" i="1"/>
  <c r="V779" i="1"/>
  <c r="T425" i="1"/>
  <c r="U785" i="1"/>
  <c r="V1251" i="1"/>
  <c r="V849" i="1"/>
  <c r="V786" i="1"/>
  <c r="U1257" i="1"/>
  <c r="U1036" i="1"/>
  <c r="V1158" i="1"/>
  <c r="V986" i="1"/>
  <c r="T1208" i="1"/>
  <c r="U1008" i="1"/>
  <c r="T1243" i="1"/>
  <c r="T1012" i="1"/>
  <c r="U1247" i="1"/>
  <c r="W107" i="5"/>
  <c r="U1290" i="1"/>
  <c r="V1121" i="1"/>
  <c r="U1293" i="1"/>
  <c r="T1145" i="1"/>
  <c r="U45" i="5"/>
  <c r="U1147" i="1"/>
  <c r="U48" i="5"/>
  <c r="V93" i="5"/>
  <c r="U1059" i="1"/>
  <c r="V104" i="5"/>
  <c r="T1174" i="1"/>
  <c r="V74" i="5"/>
  <c r="U894" i="1"/>
  <c r="W126" i="5"/>
  <c r="V1218" i="1"/>
  <c r="V340" i="1"/>
  <c r="V1152" i="1"/>
  <c r="T555" i="1"/>
  <c r="T1205" i="1"/>
  <c r="U1121" i="1"/>
  <c r="T994" i="1"/>
  <c r="T895" i="1"/>
  <c r="V823" i="1"/>
  <c r="U46" i="5"/>
  <c r="W48" i="5"/>
  <c r="V1052" i="1"/>
  <c r="U83" i="5"/>
  <c r="T1078" i="1"/>
  <c r="U907" i="1"/>
  <c r="T1082" i="1"/>
  <c r="V120" i="5"/>
  <c r="W54" i="5"/>
  <c r="U87" i="5"/>
  <c r="T1190" i="1"/>
  <c r="U90" i="5"/>
  <c r="V1210" i="1"/>
  <c r="W111" i="5"/>
  <c r="T1215" i="1"/>
  <c r="T1187" i="1"/>
  <c r="V1040" i="1"/>
  <c r="W113" i="5"/>
  <c r="T1302" i="1"/>
  <c r="T938" i="1"/>
  <c r="V1300" i="1"/>
  <c r="V115" i="1"/>
  <c r="V532" i="1"/>
  <c r="V257" i="1"/>
  <c r="V599" i="1"/>
  <c r="U1079" i="1"/>
  <c r="T790" i="1"/>
  <c r="T860" i="1"/>
  <c r="V855" i="1"/>
  <c r="V1293" i="1"/>
  <c r="V1080" i="1"/>
  <c r="T1057" i="1"/>
  <c r="V952" i="1"/>
  <c r="U123" i="5"/>
  <c r="V121" i="5"/>
  <c r="T1214" i="1"/>
  <c r="T1193" i="1"/>
  <c r="U1088" i="1"/>
  <c r="V117" i="5"/>
  <c r="U955" i="1"/>
  <c r="V1257" i="1"/>
  <c r="V914" i="1"/>
  <c r="T1134" i="1"/>
  <c r="T550" i="1"/>
  <c r="V399" i="1"/>
  <c r="U1279" i="1"/>
  <c r="V1000" i="1"/>
  <c r="T1067" i="1"/>
  <c r="T1203" i="1"/>
  <c r="W76" i="5"/>
  <c r="U883" i="1"/>
  <c r="T752" i="1"/>
  <c r="U1069" i="1"/>
  <c r="V804" i="1"/>
  <c r="T833" i="1"/>
  <c r="T1229" i="1"/>
  <c r="V1189" i="1"/>
  <c r="V1155" i="1"/>
  <c r="T966" i="1"/>
  <c r="U1004" i="1"/>
  <c r="U823" i="1"/>
  <c r="U805" i="1"/>
  <c r="V836" i="1"/>
  <c r="T1181" i="1"/>
  <c r="V1020" i="1"/>
  <c r="T1044" i="1"/>
  <c r="T1047" i="1"/>
  <c r="U298" i="1"/>
  <c r="U849" i="1"/>
  <c r="V812" i="1"/>
  <c r="V1004" i="1"/>
  <c r="T1031" i="1"/>
  <c r="T1142" i="1"/>
  <c r="V1165" i="1"/>
  <c r="V1138" i="1"/>
  <c r="T760" i="1"/>
  <c r="U240" i="1"/>
  <c r="V409" i="1"/>
  <c r="T582" i="1"/>
  <c r="U764" i="1"/>
  <c r="U67" i="5"/>
  <c r="V1195" i="1"/>
  <c r="U559" i="1"/>
  <c r="T850" i="1"/>
  <c r="U466" i="1"/>
  <c r="T855" i="1"/>
  <c r="V991" i="1"/>
  <c r="U888" i="1"/>
  <c r="U816" i="1"/>
  <c r="U747" i="1"/>
  <c r="T1109" i="1"/>
  <c r="U1202" i="1"/>
  <c r="T1009" i="1"/>
  <c r="U1241" i="1"/>
  <c r="V1029" i="1"/>
  <c r="T1279" i="1"/>
  <c r="V1032" i="1"/>
  <c r="T1285" i="1"/>
  <c r="U129" i="5"/>
  <c r="W41" i="5"/>
  <c r="V1143" i="1"/>
  <c r="W44" i="5"/>
  <c r="V1164" i="1"/>
  <c r="V66" i="5"/>
  <c r="T1169" i="1"/>
  <c r="V69" i="5"/>
  <c r="T1224" i="1"/>
  <c r="U1186" i="1"/>
  <c r="W51" i="5"/>
  <c r="T1238" i="1"/>
  <c r="V1069" i="1"/>
  <c r="V978" i="1"/>
  <c r="W73" i="5"/>
  <c r="T468" i="1"/>
  <c r="V510" i="1"/>
  <c r="V255" i="1"/>
  <c r="U597" i="1"/>
  <c r="U1073" i="1"/>
  <c r="U1265" i="1"/>
  <c r="V1051" i="1"/>
  <c r="T939" i="1"/>
  <c r="U854" i="1"/>
  <c r="V1192" i="1"/>
  <c r="T902" i="1"/>
  <c r="V1076" i="1"/>
  <c r="U926" i="1"/>
  <c r="U1110" i="1"/>
  <c r="T930" i="1"/>
  <c r="U1114" i="1"/>
  <c r="U118" i="5"/>
  <c r="U76" i="5"/>
  <c r="V108" i="5"/>
  <c r="T1211" i="1"/>
  <c r="V111" i="5"/>
  <c r="U1232" i="1"/>
  <c r="U133" i="5"/>
  <c r="U1235" i="1"/>
  <c r="U1297" i="1"/>
  <c r="V1156" i="1"/>
  <c r="V1129" i="1"/>
  <c r="U117" i="5"/>
  <c r="T1023" i="1"/>
  <c r="V116" i="5"/>
  <c r="U945" i="1"/>
  <c r="U618" i="1"/>
  <c r="U301" i="1"/>
  <c r="V641" i="1"/>
  <c r="V1217" i="1"/>
  <c r="U856" i="1"/>
  <c r="U898" i="1"/>
  <c r="V894" i="1"/>
  <c r="T1263" i="1"/>
  <c r="V1112" i="1"/>
  <c r="U1081" i="1"/>
  <c r="U974" i="1"/>
  <c r="W120" i="5"/>
  <c r="V68" i="5"/>
  <c r="V1233" i="1"/>
  <c r="U1213" i="1"/>
  <c r="V1109" i="1"/>
  <c r="T1309" i="1"/>
  <c r="U1305" i="1"/>
  <c r="U74" i="5"/>
  <c r="T1002" i="1"/>
  <c r="U1197" i="1"/>
  <c r="T635" i="1"/>
  <c r="U570" i="1"/>
  <c r="T1053" i="1"/>
  <c r="V1060" i="1"/>
  <c r="V1166" i="1"/>
  <c r="U1244" i="1"/>
  <c r="U873" i="1"/>
  <c r="U994" i="1"/>
  <c r="V819" i="1"/>
  <c r="T1176" i="1"/>
  <c r="V834" i="1"/>
  <c r="T1021" i="1"/>
  <c r="T1272" i="1"/>
  <c r="V1224" i="1"/>
  <c r="U1191" i="1"/>
  <c r="T456" i="1"/>
  <c r="V361" i="1"/>
  <c r="V891" i="1"/>
  <c r="T835" i="1"/>
  <c r="T1077" i="1"/>
  <c r="U59" i="5"/>
  <c r="V1160" i="1"/>
  <c r="V1194" i="1"/>
  <c r="U1199" i="1"/>
  <c r="T778" i="1"/>
  <c r="T931" i="1"/>
  <c r="V1212" i="1"/>
  <c r="V1202" i="1"/>
  <c r="U1242" i="1"/>
  <c r="T1291" i="1"/>
  <c r="V45" i="5"/>
  <c r="T1292" i="1"/>
  <c r="T259" i="1"/>
  <c r="T430" i="1"/>
  <c r="T600" i="1"/>
  <c r="V792" i="1"/>
  <c r="U261" i="1"/>
  <c r="T433" i="1"/>
  <c r="U602" i="1"/>
  <c r="T799" i="1"/>
  <c r="V1084" i="1"/>
  <c r="V1306" i="1"/>
  <c r="T845" i="1"/>
  <c r="V927" i="1"/>
  <c r="U509" i="1"/>
  <c r="V935" i="1"/>
  <c r="T1040" i="1"/>
  <c r="U929" i="1"/>
  <c r="V852" i="1"/>
  <c r="T785" i="1"/>
  <c r="V1246" i="1"/>
  <c r="V1248" i="1"/>
  <c r="T1030" i="1"/>
  <c r="U1278" i="1"/>
  <c r="U1051" i="1"/>
  <c r="W72" i="5"/>
  <c r="U1054" i="1"/>
  <c r="W85" i="5"/>
  <c r="V1299" i="1"/>
  <c r="U63" i="5"/>
  <c r="T1166" i="1"/>
  <c r="U66" i="5"/>
  <c r="U1187" i="1"/>
  <c r="W87" i="5"/>
  <c r="T1191" i="1"/>
  <c r="W90" i="5"/>
  <c r="T996" i="1"/>
  <c r="T1298" i="1"/>
  <c r="W115" i="5"/>
  <c r="U1301" i="1"/>
  <c r="U1134" i="1"/>
  <c r="U1043" i="1"/>
  <c r="V1089" i="1"/>
  <c r="V858" i="1"/>
  <c r="V612" i="1"/>
  <c r="V297" i="1"/>
  <c r="U640" i="1"/>
  <c r="T1207" i="1"/>
  <c r="T750" i="1"/>
  <c r="T1116" i="1"/>
  <c r="T998" i="1"/>
  <c r="V890" i="1"/>
  <c r="T1237" i="1"/>
  <c r="V924" i="1"/>
  <c r="V1108" i="1"/>
  <c r="T948" i="1"/>
  <c r="T1144" i="1"/>
  <c r="T951" i="1"/>
  <c r="U1148" i="1"/>
  <c r="V46" i="5"/>
  <c r="V97" i="5"/>
  <c r="W129" i="5"/>
  <c r="V1231" i="1"/>
  <c r="W132" i="5"/>
  <c r="T1254" i="1"/>
  <c r="V1085" i="1"/>
  <c r="V1277" i="1"/>
  <c r="T975" i="1"/>
  <c r="U1260" i="1"/>
  <c r="T1217" i="1"/>
  <c r="V1111" i="1"/>
  <c r="T1128" i="1"/>
  <c r="T1113" i="1"/>
  <c r="T695" i="1"/>
  <c r="U682" i="1"/>
  <c r="T345" i="1"/>
  <c r="U685" i="1"/>
  <c r="U1030" i="1"/>
  <c r="U950" i="1"/>
  <c r="V953" i="1"/>
  <c r="T952" i="1"/>
  <c r="V59" i="5"/>
  <c r="V1147" i="1"/>
  <c r="V1113" i="1"/>
  <c r="V1058" i="1"/>
  <c r="U49" i="5"/>
  <c r="W89" i="5"/>
  <c r="V1255" i="1"/>
  <c r="T1236" i="1"/>
  <c r="U1195" i="1"/>
  <c r="V972" i="1"/>
  <c r="V123" i="5"/>
  <c r="T1089" i="1"/>
  <c r="V1064" i="1"/>
  <c r="T1241" i="1"/>
  <c r="U695" i="1"/>
  <c r="U613" i="1"/>
  <c r="T1155" i="1"/>
  <c r="U1158" i="1"/>
  <c r="V829" i="1"/>
  <c r="T1131" i="1"/>
  <c r="T419" i="1"/>
  <c r="T233" i="1"/>
  <c r="U887" i="1"/>
  <c r="V831" i="1"/>
  <c r="T873" i="1"/>
  <c r="U1066" i="1"/>
  <c r="V91" i="5"/>
  <c r="U1258" i="1"/>
  <c r="T959" i="1"/>
  <c r="V715" i="1"/>
  <c r="T406" i="1"/>
  <c r="U1017" i="1"/>
  <c r="U872" i="1"/>
  <c r="T1189" i="1"/>
  <c r="T1139" i="1"/>
  <c r="T1195" i="1"/>
  <c r="V1228" i="1"/>
  <c r="T1235" i="1"/>
  <c r="V843" i="1"/>
  <c r="V1242" i="1"/>
  <c r="T745" i="1"/>
  <c r="V1236" i="1"/>
  <c r="V1278" i="1"/>
  <c r="U42" i="5"/>
  <c r="W66" i="5"/>
  <c r="U101" i="5"/>
  <c r="U1031" i="1"/>
  <c r="U1289" i="1"/>
  <c r="V660" i="1"/>
  <c r="T1267" i="1"/>
  <c r="U121" i="5"/>
  <c r="U1157" i="1"/>
  <c r="V1237" i="1"/>
  <c r="T1246" i="1"/>
  <c r="V58" i="5"/>
  <c r="V125" i="5"/>
  <c r="T1103" i="1"/>
  <c r="U1204" i="1"/>
  <c r="U1309" i="1"/>
  <c r="V1199" i="1"/>
  <c r="U1094" i="1"/>
  <c r="U771" i="1"/>
  <c r="T968" i="1"/>
  <c r="T1240" i="1"/>
  <c r="T1029" i="1"/>
  <c r="V1159" i="1"/>
  <c r="T829" i="1"/>
  <c r="T1234" i="1"/>
  <c r="U1093" i="1"/>
  <c r="U493" i="1"/>
  <c r="T1101" i="1"/>
  <c r="U1300" i="1"/>
  <c r="V917" i="1"/>
  <c r="W97" i="5"/>
  <c r="U77" i="5"/>
  <c r="U68" i="5"/>
  <c r="U1224" i="1"/>
  <c r="W82" i="5"/>
  <c r="T1204" i="1"/>
  <c r="U1046" i="1"/>
  <c r="U899" i="1"/>
  <c r="V321" i="1"/>
  <c r="U939" i="1"/>
  <c r="W86" i="5"/>
  <c r="U1243" i="1"/>
  <c r="U108" i="5"/>
  <c r="U1096" i="1"/>
  <c r="T1271" i="1"/>
  <c r="V981" i="1"/>
  <c r="V967" i="1"/>
  <c r="V131" i="5"/>
  <c r="W124" i="5"/>
  <c r="U1248" i="1"/>
  <c r="V1263" i="1"/>
  <c r="V1266" i="1"/>
  <c r="T809" i="1"/>
  <c r="V754" i="1"/>
  <c r="T1148" i="1"/>
  <c r="T1017" i="1"/>
  <c r="U967" i="1"/>
  <c r="V1023" i="1"/>
  <c r="U1222" i="1"/>
  <c r="V897" i="1"/>
  <c r="T1295" i="1"/>
  <c r="V1196" i="1"/>
  <c r="U1097" i="1"/>
  <c r="T1115" i="1"/>
  <c r="U125" i="5"/>
  <c r="V923" i="1"/>
  <c r="V850" i="1"/>
  <c r="T783" i="1"/>
  <c r="V1200" i="1"/>
  <c r="T1242" i="1"/>
  <c r="T1028" i="1"/>
  <c r="V1272" i="1"/>
  <c r="U1048" i="1"/>
  <c r="U62" i="5"/>
  <c r="V1050" i="1"/>
  <c r="U75" i="5"/>
  <c r="V1297" i="1"/>
  <c r="V60" i="5"/>
  <c r="T1163" i="1"/>
  <c r="V63" i="5"/>
  <c r="T1185" i="1"/>
  <c r="U85" i="5"/>
  <c r="T1188" i="1"/>
  <c r="U88" i="5"/>
  <c r="T622" i="1"/>
  <c r="T1098" i="1"/>
  <c r="T1286" i="1"/>
  <c r="T1289" i="1"/>
  <c r="U1307" i="1"/>
  <c r="U104" i="5"/>
  <c r="V78" i="5"/>
  <c r="W46" i="5"/>
  <c r="V663" i="1"/>
  <c r="U1130" i="1"/>
  <c r="T1304" i="1"/>
  <c r="U1304" i="1"/>
  <c r="V1071" i="1"/>
  <c r="W103" i="5"/>
  <c r="T537" i="1"/>
  <c r="U703" i="1"/>
  <c r="W69" i="5"/>
  <c r="W123" i="5"/>
  <c r="T1161" i="1"/>
  <c r="V1309" i="1"/>
  <c r="T1296" i="1"/>
  <c r="V64" i="5"/>
  <c r="U1067" i="1"/>
  <c r="U408" i="1"/>
  <c r="V980" i="1"/>
  <c r="V876" i="1"/>
  <c r="V873" i="1"/>
  <c r="U1268" i="1"/>
  <c r="V276" i="1"/>
  <c r="T849" i="1"/>
  <c r="U1071" i="1"/>
  <c r="U1026" i="1"/>
  <c r="V920" i="1"/>
  <c r="T1201" i="1"/>
  <c r="V1117" i="1"/>
  <c r="T1091" i="1"/>
  <c r="U549" i="1"/>
  <c r="U1125" i="1"/>
  <c r="V1106" i="1"/>
  <c r="U984" i="1"/>
  <c r="T881" i="1"/>
  <c r="T812" i="1"/>
  <c r="T1301" i="1"/>
  <c r="T1303" i="1"/>
  <c r="T1049" i="1"/>
  <c r="W61" i="5"/>
  <c r="U1070" i="1"/>
  <c r="T903" i="1"/>
  <c r="T1075" i="1"/>
  <c r="U115" i="5"/>
  <c r="V49" i="5"/>
  <c r="W81" i="5"/>
  <c r="V1183" i="1"/>
  <c r="W84" i="5"/>
  <c r="T1206" i="1"/>
  <c r="V106" i="5"/>
  <c r="T1209" i="1"/>
  <c r="V109" i="5"/>
  <c r="U1137" i="1"/>
  <c r="T940" i="1"/>
  <c r="V100" i="5"/>
  <c r="W79" i="5"/>
  <c r="V85" i="5"/>
  <c r="W57" i="5"/>
  <c r="V76" i="5"/>
  <c r="V1265" i="1"/>
  <c r="T997" i="1"/>
  <c r="U960" i="1"/>
  <c r="U119" i="5"/>
  <c r="V82" i="5"/>
  <c r="V1092" i="1"/>
  <c r="U1267" i="1"/>
  <c r="U51" i="5"/>
  <c r="T366" i="1"/>
  <c r="T961" i="1"/>
  <c r="V89" i="5"/>
  <c r="V1244" i="1"/>
  <c r="V101" i="5"/>
  <c r="W60" i="5"/>
  <c r="V129" i="5"/>
  <c r="V112" i="5"/>
  <c r="V758" i="1"/>
  <c r="V1198" i="1"/>
  <c r="U132" i="5"/>
  <c r="U811" i="1"/>
  <c r="V1026" i="1"/>
  <c r="V1044" i="1"/>
  <c r="V1190" i="1"/>
  <c r="U82" i="5"/>
  <c r="T926" i="1"/>
  <c r="U1102" i="1"/>
  <c r="U1285" i="1"/>
  <c r="U1179" i="1"/>
  <c r="U875" i="1"/>
  <c r="T807" i="1"/>
  <c r="V1285" i="1"/>
  <c r="V1275" i="1"/>
  <c r="V1042" i="1"/>
  <c r="V1310" i="1"/>
  <c r="T1065" i="1"/>
  <c r="V896" i="1"/>
  <c r="V1066" i="1"/>
  <c r="W109" i="5"/>
  <c r="U469" i="1"/>
  <c r="T251" i="1"/>
  <c r="T593" i="1"/>
  <c r="V1062" i="1"/>
  <c r="T1210" i="1"/>
  <c r="T1032" i="1"/>
  <c r="V928" i="1"/>
  <c r="V847" i="1"/>
  <c r="T1178" i="1"/>
  <c r="T897" i="1"/>
  <c r="T1071" i="1"/>
  <c r="V919" i="1"/>
  <c r="U1101" i="1"/>
  <c r="U923" i="1"/>
  <c r="T1107" i="1"/>
  <c r="W112" i="5"/>
  <c r="W70" i="5"/>
  <c r="U103" i="5"/>
  <c r="U1205" i="1"/>
  <c r="U106" i="5"/>
  <c r="T1228" i="1"/>
  <c r="W127" i="5"/>
  <c r="U1230" i="1"/>
  <c r="W130" i="5"/>
  <c r="T742" i="1"/>
  <c r="V1130" i="1"/>
  <c r="U1117" i="1"/>
  <c r="U1072" i="1"/>
  <c r="U57" i="5"/>
  <c r="U1160" i="1"/>
  <c r="U1200" i="1"/>
  <c r="U1283" i="1"/>
  <c r="U770" i="1"/>
  <c r="U1165" i="1"/>
  <c r="V1135" i="1"/>
  <c r="T1076" i="1"/>
  <c r="T1310" i="1"/>
  <c r="U920" i="1"/>
  <c r="U81" i="5"/>
  <c r="T707" i="1"/>
  <c r="V1163" i="1"/>
  <c r="T1307" i="1"/>
  <c r="T1308" i="1"/>
  <c r="U1233" i="1"/>
  <c r="T1265" i="1"/>
  <c r="V1114" i="1"/>
  <c r="U79" i="5"/>
  <c r="T1186" i="1"/>
  <c r="T1004" i="1"/>
  <c r="V122" i="5"/>
  <c r="T743" i="1"/>
  <c r="U1273" i="1"/>
  <c r="U1181" i="1"/>
  <c r="V1235" i="1"/>
  <c r="U64" i="5"/>
  <c r="V845" i="1"/>
  <c r="U131" i="5"/>
  <c r="W100" i="5"/>
  <c r="U1227" i="1"/>
  <c r="U1113" i="1"/>
  <c r="V825" i="1"/>
  <c r="V762" i="1"/>
  <c r="V1131" i="1"/>
  <c r="V997" i="1"/>
  <c r="U1126" i="1"/>
  <c r="U971" i="1"/>
  <c r="T1183" i="1"/>
  <c r="T993" i="1"/>
  <c r="U1217" i="1"/>
  <c r="V994" i="1"/>
  <c r="V1220" i="1"/>
  <c r="W91" i="5"/>
  <c r="U1274" i="1"/>
  <c r="V1105" i="1"/>
  <c r="U1277" i="1"/>
  <c r="U1128" i="1"/>
  <c r="V1298" i="1"/>
  <c r="U1131" i="1"/>
  <c r="V1301" i="1"/>
  <c r="T1221" i="1"/>
  <c r="V1018" i="1"/>
  <c r="V1276" i="1"/>
  <c r="T1132" i="1"/>
  <c r="T1284" i="1"/>
  <c r="U126" i="5"/>
  <c r="V1281" i="1"/>
  <c r="V387" i="1"/>
  <c r="T811" i="1"/>
  <c r="T443" i="1"/>
  <c r="T816" i="1"/>
  <c r="U954" i="1"/>
  <c r="U866" i="1"/>
  <c r="V794" i="1"/>
  <c r="U54" i="5"/>
  <c r="V1061" i="1"/>
  <c r="U70" i="5"/>
  <c r="U69" i="1"/>
  <c r="U554" i="1"/>
  <c r="V273" i="1"/>
  <c r="V615" i="1"/>
  <c r="U1119" i="1"/>
  <c r="U86" i="5"/>
  <c r="U1065" i="1"/>
  <c r="V963" i="1"/>
  <c r="V869" i="1"/>
  <c r="U1206" i="1"/>
  <c r="U912" i="1"/>
  <c r="T1088" i="1"/>
  <c r="T999" i="1"/>
  <c r="T1226" i="1"/>
  <c r="U1112" i="1"/>
  <c r="U426" i="1"/>
  <c r="T235" i="1"/>
  <c r="V575" i="1"/>
  <c r="W64" i="5"/>
  <c r="V1187" i="1"/>
  <c r="T1024" i="1"/>
  <c r="U921" i="1"/>
  <c r="U835" i="1"/>
  <c r="T1168" i="1"/>
  <c r="T892" i="1"/>
  <c r="U1064" i="1"/>
  <c r="U915" i="1"/>
  <c r="U1092" i="1"/>
  <c r="U918" i="1"/>
  <c r="V1096" i="1"/>
  <c r="V725" i="1"/>
  <c r="U591" i="1"/>
  <c r="T294" i="1"/>
  <c r="U634" i="1"/>
  <c r="T1184" i="1"/>
  <c r="V743" i="1"/>
  <c r="U1100" i="1"/>
  <c r="T990" i="1"/>
  <c r="V877" i="1"/>
  <c r="U1228" i="1"/>
  <c r="T921" i="1"/>
  <c r="V1099" i="1"/>
  <c r="T943" i="1"/>
  <c r="U1135" i="1"/>
  <c r="T946" i="1"/>
  <c r="T1141" i="1"/>
  <c r="U134" i="5"/>
  <c r="U92" i="5"/>
  <c r="V124" i="5"/>
  <c r="V1225" i="1"/>
  <c r="V127" i="5"/>
  <c r="T1249" i="1"/>
  <c r="V1079" i="1"/>
  <c r="T1252" i="1"/>
  <c r="T1280" i="1"/>
  <c r="V1093" i="1"/>
  <c r="U942" i="1"/>
  <c r="V1201" i="1"/>
  <c r="V1119" i="1"/>
  <c r="U55" i="5"/>
  <c r="V1180" i="1"/>
  <c r="W119" i="5"/>
  <c r="T1164" i="1"/>
  <c r="U1188" i="1"/>
  <c r="V962" i="1"/>
  <c r="T1222" i="1"/>
  <c r="U1136" i="1"/>
  <c r="U1142" i="1"/>
  <c r="V51" i="5"/>
  <c r="T1097" i="1"/>
  <c r="V1063" i="1"/>
  <c r="U982" i="1"/>
  <c r="W121" i="5"/>
  <c r="V98" i="5"/>
  <c r="V1291" i="1"/>
  <c r="W55" i="5"/>
  <c r="T1268" i="1"/>
  <c r="T1118" i="1"/>
  <c r="U845" i="1"/>
  <c r="T1007" i="1"/>
  <c r="U492" i="1"/>
  <c r="T1096" i="1"/>
  <c r="W59" i="5"/>
  <c r="T1287" i="1"/>
  <c r="U1024" i="1"/>
  <c r="V446" i="1"/>
  <c r="T1173" i="1"/>
  <c r="W99" i="5"/>
  <c r="T1137" i="1"/>
  <c r="U1288" i="1"/>
  <c r="V1168" i="1"/>
  <c r="U992" i="1"/>
  <c r="V1214" i="1"/>
  <c r="T1015" i="1"/>
  <c r="U1250" i="1"/>
  <c r="T1018" i="1"/>
  <c r="T1256" i="1"/>
  <c r="U113" i="5"/>
  <c r="U1295" i="1"/>
  <c r="T1129" i="1"/>
  <c r="T1299" i="1"/>
  <c r="V1148" i="1"/>
  <c r="V50" i="5"/>
  <c r="V1151" i="1"/>
  <c r="V53" i="5"/>
  <c r="W104" i="5"/>
  <c r="U1089" i="1"/>
  <c r="U71" i="5"/>
  <c r="T1196" i="1"/>
  <c r="V77" i="5"/>
  <c r="U97" i="5"/>
  <c r="V119" i="5"/>
  <c r="T664" i="1"/>
  <c r="V878" i="1"/>
  <c r="T486" i="1"/>
  <c r="T885" i="1"/>
  <c r="U1005" i="1"/>
  <c r="U897" i="1"/>
  <c r="U832" i="1"/>
  <c r="U763" i="1"/>
  <c r="T1160" i="1"/>
  <c r="V906" i="1"/>
  <c r="U662" i="1"/>
  <c r="V638" i="1"/>
  <c r="T318" i="1"/>
  <c r="V657" i="1"/>
  <c r="T1306" i="1"/>
  <c r="T766" i="1"/>
  <c r="T1167" i="1"/>
  <c r="U1023" i="1"/>
  <c r="V901" i="1"/>
  <c r="V1252" i="1"/>
  <c r="U933" i="1"/>
  <c r="U1122" i="1"/>
  <c r="U1019" i="1"/>
  <c r="V1258" i="1"/>
  <c r="T417" i="1"/>
  <c r="T571" i="1"/>
  <c r="T278" i="1"/>
  <c r="T619" i="1"/>
  <c r="T1130" i="1"/>
  <c r="V737" i="1"/>
  <c r="V1068" i="1"/>
  <c r="V966" i="1"/>
  <c r="V871" i="1"/>
  <c r="U1210" i="1"/>
  <c r="T916" i="1"/>
  <c r="T1093" i="1"/>
  <c r="U936" i="1"/>
  <c r="V1126" i="1"/>
  <c r="V938" i="1"/>
  <c r="U1132" i="1"/>
  <c r="V824" i="1"/>
  <c r="T675" i="1"/>
  <c r="V335" i="1"/>
  <c r="T678" i="1"/>
  <c r="V1016" i="1"/>
  <c r="T782" i="1"/>
  <c r="T1202" i="1"/>
  <c r="T1037" i="1"/>
  <c r="U925" i="1"/>
  <c r="U1271" i="1"/>
  <c r="V940" i="1"/>
  <c r="V1134" i="1"/>
  <c r="T964" i="1"/>
  <c r="U1169" i="1"/>
  <c r="T967" i="1"/>
  <c r="T1175" i="1"/>
  <c r="V62" i="5"/>
  <c r="V113" i="5"/>
  <c r="U1077" i="1"/>
  <c r="V1247" i="1"/>
  <c r="V1098" i="1"/>
  <c r="U1269" i="1"/>
  <c r="V1101" i="1"/>
  <c r="T1273" i="1"/>
  <c r="U1176" i="1"/>
  <c r="T973" i="1"/>
  <c r="T1136" i="1"/>
  <c r="V1287" i="1"/>
  <c r="U1182" i="1"/>
  <c r="V1241" i="1"/>
  <c r="V1095" i="1"/>
  <c r="V61" i="5"/>
  <c r="U128" i="5"/>
  <c r="V1030" i="1"/>
  <c r="U1170" i="1"/>
  <c r="U1306" i="1"/>
  <c r="U1184" i="1"/>
  <c r="W42" i="5"/>
  <c r="U44" i="5"/>
  <c r="U1203" i="1"/>
  <c r="V807" i="1"/>
  <c r="T1200" i="1"/>
  <c r="V1137" i="1"/>
  <c r="V1077" i="1"/>
  <c r="U58" i="5"/>
  <c r="V1205" i="1"/>
  <c r="T1100" i="1"/>
  <c r="U61" i="5"/>
  <c r="V772" i="1"/>
  <c r="T1158" i="1"/>
  <c r="T824" i="1"/>
  <c r="V1193" i="1"/>
  <c r="V1073" i="1"/>
  <c r="U759" i="1"/>
  <c r="T1050" i="1"/>
  <c r="T238" i="1"/>
  <c r="T894" i="1"/>
  <c r="V65" i="5"/>
  <c r="U1221" i="1"/>
  <c r="U80" i="5"/>
  <c r="U1001" i="1"/>
  <c r="V893" i="1"/>
  <c r="T830" i="1"/>
  <c r="U760" i="1"/>
  <c r="U1124" i="1"/>
  <c r="U1215" i="1"/>
  <c r="V1012" i="1"/>
  <c r="V1249" i="1"/>
  <c r="U1035" i="1"/>
  <c r="V1288" i="1"/>
  <c r="T1039" i="1"/>
  <c r="V1296" i="1"/>
  <c r="W134" i="5"/>
  <c r="U47" i="5"/>
  <c r="T1150" i="1"/>
  <c r="U50" i="5"/>
  <c r="V1170" i="1"/>
  <c r="W71" i="5"/>
  <c r="V1173" i="1"/>
  <c r="W74" i="5"/>
  <c r="T953" i="1"/>
  <c r="T1192" i="1"/>
  <c r="V1087" i="1"/>
  <c r="T1260" i="1"/>
  <c r="V1302" i="1"/>
  <c r="V41" i="5"/>
  <c r="T1156" i="1"/>
  <c r="V1065" i="1"/>
  <c r="U986" i="1"/>
  <c r="U528" i="1"/>
  <c r="V993" i="1"/>
  <c r="T1066" i="1"/>
  <c r="T955" i="1"/>
  <c r="V868" i="1"/>
  <c r="V791" i="1"/>
  <c r="U1292" i="1"/>
  <c r="V930" i="1"/>
  <c r="U809" i="1"/>
  <c r="U698" i="1"/>
  <c r="T361" i="1"/>
  <c r="U701" i="1"/>
  <c r="T1056" i="1"/>
  <c r="V801" i="1"/>
  <c r="W45" i="5"/>
  <c r="T1072" i="1"/>
  <c r="T960" i="1"/>
  <c r="V48" i="5"/>
  <c r="V954" i="1"/>
  <c r="T1157" i="1"/>
  <c r="V1039" i="1"/>
  <c r="V1304" i="1"/>
  <c r="V704" i="1"/>
  <c r="U655" i="1"/>
  <c r="T321" i="1"/>
  <c r="T662" i="1"/>
  <c r="V75" i="5"/>
  <c r="V767" i="1"/>
  <c r="U1175" i="1"/>
  <c r="U1028" i="1"/>
  <c r="U917" i="1"/>
  <c r="U1262" i="1"/>
  <c r="T937" i="1"/>
  <c r="T1127" i="1"/>
  <c r="U958" i="1"/>
  <c r="U1161" i="1"/>
  <c r="U961" i="1"/>
  <c r="U1166" i="1"/>
  <c r="V606" i="1"/>
  <c r="U717" i="1"/>
  <c r="T379" i="1"/>
  <c r="T721" i="1"/>
  <c r="V1091" i="1"/>
  <c r="U810" i="1"/>
  <c r="T748" i="1"/>
  <c r="U1108" i="1"/>
  <c r="U985" i="1"/>
  <c r="V80" i="5"/>
  <c r="U963" i="1"/>
  <c r="T1170" i="1"/>
  <c r="V983" i="1"/>
  <c r="V1203" i="1"/>
  <c r="U987" i="1"/>
  <c r="V1208" i="1"/>
  <c r="W83" i="5"/>
  <c r="V134" i="5"/>
  <c r="V1097" i="1"/>
  <c r="T1270" i="1"/>
  <c r="U1120" i="1"/>
  <c r="V1290" i="1"/>
  <c r="U1123" i="1"/>
  <c r="U1294" i="1"/>
  <c r="U879" i="1"/>
  <c r="T876" i="1"/>
  <c r="W133" i="5"/>
  <c r="V103" i="5"/>
  <c r="T1244" i="1"/>
  <c r="T1180" i="1"/>
  <c r="W58" i="5"/>
  <c r="V1028" i="1"/>
  <c r="U757" i="1"/>
  <c r="T922" i="1"/>
  <c r="W128" i="5"/>
  <c r="U122" i="5"/>
  <c r="V1245" i="1"/>
  <c r="W110" i="5"/>
  <c r="U1264" i="1"/>
  <c r="U1115" i="1"/>
  <c r="U744" i="1"/>
  <c r="V984" i="1"/>
  <c r="V1223" i="1"/>
  <c r="T1140" i="1"/>
  <c r="T1262" i="1"/>
  <c r="W106" i="5"/>
  <c r="W122" i="5"/>
  <c r="T1225" i="1"/>
  <c r="U1201" i="1"/>
  <c r="V1177" i="1"/>
  <c r="U450" i="1"/>
  <c r="V1002" i="1"/>
  <c r="T1159" i="1"/>
  <c r="T893" i="1"/>
  <c r="V79" i="5"/>
  <c r="U578" i="1"/>
  <c r="T1068" i="1"/>
  <c r="U1282" i="1"/>
  <c r="V1284" i="1"/>
  <c r="W1282" i="1" l="1"/>
  <c r="X1282" i="1" s="1"/>
  <c r="W578" i="1"/>
  <c r="X578" i="1" s="1"/>
  <c r="X79" i="5"/>
  <c r="Y79" i="5" s="1"/>
  <c r="W450" i="1"/>
  <c r="Y450" i="1" s="1"/>
  <c r="W1201" i="1"/>
  <c r="X1201" i="1" s="1"/>
  <c r="W744" i="1"/>
  <c r="Y744" i="1" s="1"/>
  <c r="W1115" i="1"/>
  <c r="X1115" i="1" s="1"/>
  <c r="W1264" i="1"/>
  <c r="Y1264" i="1" s="1"/>
  <c r="W757" i="1"/>
  <c r="X757" i="1" s="1"/>
  <c r="X103" i="5"/>
  <c r="Y103" i="5" s="1"/>
  <c r="W879" i="1"/>
  <c r="Y879" i="1" s="1"/>
  <c r="W1294" i="1"/>
  <c r="X1294" i="1" s="1"/>
  <c r="W1123" i="1"/>
  <c r="X1123" i="1" s="1"/>
  <c r="W1120" i="1"/>
  <c r="X1120" i="1" s="1"/>
  <c r="X134" i="5"/>
  <c r="Y134" i="5" s="1"/>
  <c r="W987" i="1"/>
  <c r="X987" i="1" s="1"/>
  <c r="W963" i="1"/>
  <c r="Y963" i="1" s="1"/>
  <c r="X80" i="5"/>
  <c r="Y80" i="5" s="1"/>
  <c r="W985" i="1"/>
  <c r="X985" i="1" s="1"/>
  <c r="W1108" i="1"/>
  <c r="Y1108" i="1" s="1"/>
  <c r="W810" i="1"/>
  <c r="X810" i="1" s="1"/>
  <c r="W717" i="1"/>
  <c r="X717" i="1" s="1"/>
  <c r="W1166" i="1"/>
  <c r="Y1166" i="1" s="1"/>
  <c r="W961" i="1"/>
  <c r="Y961" i="1" s="1"/>
  <c r="W1161" i="1"/>
  <c r="X1161" i="1" s="1"/>
  <c r="W958" i="1"/>
  <c r="X958" i="1" s="1"/>
  <c r="W1262" i="1"/>
  <c r="Y1262" i="1" s="1"/>
  <c r="W917" i="1"/>
  <c r="Y917" i="1" s="1"/>
  <c r="W1028" i="1"/>
  <c r="Y1028" i="1" s="1"/>
  <c r="W1175" i="1"/>
  <c r="Y1175" i="1" s="1"/>
  <c r="X75" i="5"/>
  <c r="Y75" i="5" s="1"/>
  <c r="W655" i="1"/>
  <c r="Y655" i="1" s="1"/>
  <c r="X48" i="5"/>
  <c r="Y48" i="5" s="1"/>
  <c r="W701" i="1"/>
  <c r="X701" i="1" s="1"/>
  <c r="W698" i="1"/>
  <c r="X698" i="1" s="1"/>
  <c r="W809" i="1"/>
  <c r="X809" i="1" s="1"/>
  <c r="W1292" i="1"/>
  <c r="X1292" i="1" s="1"/>
  <c r="W528" i="1"/>
  <c r="Y528" i="1" s="1"/>
  <c r="W986" i="1"/>
  <c r="Y986" i="1" s="1"/>
  <c r="X41" i="5"/>
  <c r="Y41" i="5" s="1"/>
  <c r="W1035" i="1"/>
  <c r="X1035" i="1" s="1"/>
  <c r="W1215" i="1"/>
  <c r="X1215" i="1" s="1"/>
  <c r="W1124" i="1"/>
  <c r="Y1124" i="1" s="1"/>
  <c r="W760" i="1"/>
  <c r="Y760" i="1" s="1"/>
  <c r="W1001" i="1"/>
  <c r="Y1001" i="1" s="1"/>
  <c r="W1221" i="1"/>
  <c r="Y1221" i="1" s="1"/>
  <c r="X65" i="5"/>
  <c r="Y65" i="5" s="1"/>
  <c r="W759" i="1"/>
  <c r="Y759" i="1" s="1"/>
  <c r="W1203" i="1"/>
  <c r="X1203" i="1" s="1"/>
  <c r="W1184" i="1"/>
  <c r="X1184" i="1" s="1"/>
  <c r="W1306" i="1"/>
  <c r="X1306" i="1" s="1"/>
  <c r="W1170" i="1"/>
  <c r="Y1170" i="1" s="1"/>
  <c r="X61" i="5"/>
  <c r="Y61" i="5" s="1"/>
  <c r="W1182" i="1"/>
  <c r="Y1182" i="1" s="1"/>
  <c r="W1176" i="1"/>
  <c r="Y1176" i="1" s="1"/>
  <c r="W1269" i="1"/>
  <c r="X1269" i="1" s="1"/>
  <c r="W1077" i="1"/>
  <c r="Y1077" i="1" s="1"/>
  <c r="X113" i="5"/>
  <c r="Y113" i="5" s="1"/>
  <c r="X62" i="5"/>
  <c r="Y62" i="5" s="1"/>
  <c r="W1169" i="1"/>
  <c r="Y1169" i="1" s="1"/>
  <c r="W1271" i="1"/>
  <c r="Y1271" i="1" s="1"/>
  <c r="W925" i="1"/>
  <c r="Y925" i="1" s="1"/>
  <c r="W1132" i="1"/>
  <c r="Y1132" i="1" s="1"/>
  <c r="W936" i="1"/>
  <c r="X936" i="1" s="1"/>
  <c r="W1210" i="1"/>
  <c r="X1210" i="1" s="1"/>
  <c r="W1019" i="1"/>
  <c r="X1019" i="1" s="1"/>
  <c r="W1122" i="1"/>
  <c r="X1122" i="1" s="1"/>
  <c r="W933" i="1"/>
  <c r="X933" i="1" s="1"/>
  <c r="W1023" i="1"/>
  <c r="X1023" i="1" s="1"/>
  <c r="W662" i="1"/>
  <c r="Y662" i="1" s="1"/>
  <c r="W763" i="1"/>
  <c r="X763" i="1" s="1"/>
  <c r="W832" i="1"/>
  <c r="Y832" i="1" s="1"/>
  <c r="W897" i="1"/>
  <c r="Y897" i="1" s="1"/>
  <c r="W1005" i="1"/>
  <c r="Y1005" i="1" s="1"/>
  <c r="X119" i="5"/>
  <c r="Y119" i="5" s="1"/>
  <c r="X77" i="5"/>
  <c r="Y77" i="5" s="1"/>
  <c r="W1089" i="1"/>
  <c r="X1089" i="1" s="1"/>
  <c r="X53" i="5"/>
  <c r="Y53" i="5" s="1"/>
  <c r="X50" i="5"/>
  <c r="Y50" i="5" s="1"/>
  <c r="W1295" i="1"/>
  <c r="X1295" i="1" s="1"/>
  <c r="W1250" i="1"/>
  <c r="X1250" i="1" s="1"/>
  <c r="W992" i="1"/>
  <c r="X992" i="1" s="1"/>
  <c r="W1288" i="1"/>
  <c r="Y1288" i="1" s="1"/>
  <c r="W1024" i="1"/>
  <c r="Y1024" i="1" s="1"/>
  <c r="W492" i="1"/>
  <c r="Y492" i="1" s="1"/>
  <c r="W845" i="1"/>
  <c r="X845" i="1" s="1"/>
  <c r="X98" i="5"/>
  <c r="Y98" i="5" s="1"/>
  <c r="W982" i="1"/>
  <c r="Y982" i="1" s="1"/>
  <c r="X51" i="5"/>
  <c r="Y51" i="5" s="1"/>
  <c r="W1142" i="1"/>
  <c r="Y1142" i="1" s="1"/>
  <c r="W1136" i="1"/>
  <c r="Y1136" i="1" s="1"/>
  <c r="W1188" i="1"/>
  <c r="X1188" i="1" s="1"/>
  <c r="W942" i="1"/>
  <c r="X942" i="1" s="1"/>
  <c r="X127" i="5"/>
  <c r="Y127" i="5" s="1"/>
  <c r="X124" i="5"/>
  <c r="Y124" i="5" s="1"/>
  <c r="W1135" i="1"/>
  <c r="Y1135" i="1" s="1"/>
  <c r="W1228" i="1"/>
  <c r="X1228" i="1" s="1"/>
  <c r="W1100" i="1"/>
  <c r="Y1100" i="1" s="1"/>
  <c r="W634" i="1"/>
  <c r="Y634" i="1" s="1"/>
  <c r="W591" i="1"/>
  <c r="Y591" i="1" s="1"/>
  <c r="W918" i="1"/>
  <c r="X918" i="1" s="1"/>
  <c r="W1092" i="1"/>
  <c r="X1092" i="1" s="1"/>
  <c r="W915" i="1"/>
  <c r="Y915" i="1" s="1"/>
  <c r="W1064" i="1"/>
  <c r="X1064" i="1" s="1"/>
  <c r="W835" i="1"/>
  <c r="X835" i="1" s="1"/>
  <c r="W921" i="1"/>
  <c r="X921" i="1" s="1"/>
  <c r="W426" i="1"/>
  <c r="Y426" i="1" s="1"/>
  <c r="W1112" i="1"/>
  <c r="Y1112" i="1" s="1"/>
  <c r="W912" i="1"/>
  <c r="X912" i="1" s="1"/>
  <c r="W1206" i="1"/>
  <c r="X1206" i="1" s="1"/>
  <c r="W1065" i="1"/>
  <c r="X1065" i="1" s="1"/>
  <c r="W1119" i="1"/>
  <c r="Y1119" i="1" s="1"/>
  <c r="W554" i="1"/>
  <c r="X554" i="1" s="1"/>
  <c r="W69" i="1"/>
  <c r="Y69" i="1" s="1"/>
  <c r="W866" i="1"/>
  <c r="Y866" i="1" s="1"/>
  <c r="W954" i="1"/>
  <c r="Y954" i="1" s="1"/>
  <c r="W1131" i="1"/>
  <c r="X1131" i="1" s="1"/>
  <c r="W1128" i="1"/>
  <c r="Y1128" i="1" s="1"/>
  <c r="W1277" i="1"/>
  <c r="Y1277" i="1" s="1"/>
  <c r="W1274" i="1"/>
  <c r="X1274" i="1" s="1"/>
  <c r="W1217" i="1"/>
  <c r="Y1217" i="1" s="1"/>
  <c r="W971" i="1"/>
  <c r="X971" i="1" s="1"/>
  <c r="W1126" i="1"/>
  <c r="X1126" i="1" s="1"/>
  <c r="W1113" i="1"/>
  <c r="Y1113" i="1" s="1"/>
  <c r="W1227" i="1"/>
  <c r="X1227" i="1" s="1"/>
  <c r="W1181" i="1"/>
  <c r="Y1181" i="1" s="1"/>
  <c r="W1273" i="1"/>
  <c r="Y1273" i="1" s="1"/>
  <c r="X122" i="5"/>
  <c r="Y122" i="5" s="1"/>
  <c r="W1233" i="1"/>
  <c r="X1233" i="1" s="1"/>
  <c r="W920" i="1"/>
  <c r="X920" i="1" s="1"/>
  <c r="W1165" i="1"/>
  <c r="X1165" i="1" s="1"/>
  <c r="W770" i="1"/>
  <c r="X770" i="1" s="1"/>
  <c r="W1283" i="1"/>
  <c r="Y1283" i="1" s="1"/>
  <c r="W1200" i="1"/>
  <c r="Y1200" i="1" s="1"/>
  <c r="W1160" i="1"/>
  <c r="Y1160" i="1" s="1"/>
  <c r="W1072" i="1"/>
  <c r="Y1072" i="1" s="1"/>
  <c r="W1117" i="1"/>
  <c r="Y1117" i="1" s="1"/>
  <c r="W1230" i="1"/>
  <c r="Y1230" i="1" s="1"/>
  <c r="W1205" i="1"/>
  <c r="X1205" i="1" s="1"/>
  <c r="W923" i="1"/>
  <c r="X923" i="1" s="1"/>
  <c r="W1101" i="1"/>
  <c r="X1101" i="1" s="1"/>
  <c r="W469" i="1"/>
  <c r="Y469" i="1" s="1"/>
  <c r="W875" i="1"/>
  <c r="X875" i="1" s="1"/>
  <c r="W1179" i="1"/>
  <c r="X1179" i="1" s="1"/>
  <c r="W1285" i="1"/>
  <c r="X1285" i="1" s="1"/>
  <c r="W1102" i="1"/>
  <c r="Y1102" i="1" s="1"/>
  <c r="W811" i="1"/>
  <c r="X811" i="1" s="1"/>
  <c r="X112" i="5"/>
  <c r="Y112" i="5" s="1"/>
  <c r="X129" i="5"/>
  <c r="Y129" i="5" s="1"/>
  <c r="X101" i="5"/>
  <c r="Y101" i="5" s="1"/>
  <c r="X89" i="5"/>
  <c r="Y89" i="5" s="1"/>
  <c r="W1267" i="1"/>
  <c r="X1267" i="1" s="1"/>
  <c r="X82" i="5"/>
  <c r="Y82" i="5" s="1"/>
  <c r="W960" i="1"/>
  <c r="Y960" i="1" s="1"/>
  <c r="X76" i="5"/>
  <c r="Y76" i="5" s="1"/>
  <c r="X85" i="5"/>
  <c r="Y85" i="5" s="1"/>
  <c r="X100" i="5"/>
  <c r="Y100" i="5" s="1"/>
  <c r="W1137" i="1"/>
  <c r="X1137" i="1" s="1"/>
  <c r="X109" i="5"/>
  <c r="Y109" i="5" s="1"/>
  <c r="X106" i="5"/>
  <c r="Y106" i="5" s="1"/>
  <c r="X49" i="5"/>
  <c r="Y49" i="5" s="1"/>
  <c r="W1070" i="1"/>
  <c r="X1070" i="1" s="1"/>
  <c r="W984" i="1"/>
  <c r="X984" i="1" s="1"/>
  <c r="W1125" i="1"/>
  <c r="X1125" i="1" s="1"/>
  <c r="W549" i="1"/>
  <c r="Y549" i="1" s="1"/>
  <c r="W1026" i="1"/>
  <c r="Y1026" i="1" s="1"/>
  <c r="W1071" i="1"/>
  <c r="X1071" i="1" s="1"/>
  <c r="W1268" i="1"/>
  <c r="X1268" i="1" s="1"/>
  <c r="W408" i="1"/>
  <c r="Y408" i="1" s="1"/>
  <c r="W1067" i="1"/>
  <c r="X1067" i="1" s="1"/>
  <c r="X64" i="5"/>
  <c r="Y64" i="5" s="1"/>
  <c r="Y1161" i="1"/>
  <c r="W703" i="1"/>
  <c r="X703" i="1" s="1"/>
  <c r="W1304" i="1"/>
  <c r="X1304" i="1" s="1"/>
  <c r="W1130" i="1"/>
  <c r="X1130" i="1" s="1"/>
  <c r="X78" i="5"/>
  <c r="Y78" i="5" s="1"/>
  <c r="W1307" i="1"/>
  <c r="Y1307" i="1" s="1"/>
  <c r="X63" i="5"/>
  <c r="Y63" i="5" s="1"/>
  <c r="X60" i="5"/>
  <c r="Y60" i="5" s="1"/>
  <c r="W1048" i="1"/>
  <c r="Y1048" i="1" s="1"/>
  <c r="W1097" i="1"/>
  <c r="X1097" i="1" s="1"/>
  <c r="W1222" i="1"/>
  <c r="Y1222" i="1" s="1"/>
  <c r="W967" i="1"/>
  <c r="Y967" i="1" s="1"/>
  <c r="W1248" i="1"/>
  <c r="X1248" i="1" s="1"/>
  <c r="X131" i="5"/>
  <c r="Y131" i="5" s="1"/>
  <c r="W1096" i="1"/>
  <c r="Y1096" i="1" s="1"/>
  <c r="W1243" i="1"/>
  <c r="Y1243" i="1" s="1"/>
  <c r="W939" i="1"/>
  <c r="Y939" i="1" s="1"/>
  <c r="W899" i="1"/>
  <c r="X899" i="1" s="1"/>
  <c r="W1046" i="1"/>
  <c r="Y1046" i="1" s="1"/>
  <c r="W1224" i="1"/>
  <c r="Y1224" i="1" s="1"/>
  <c r="W1300" i="1"/>
  <c r="X1300" i="1" s="1"/>
  <c r="W493" i="1"/>
  <c r="X493" i="1" s="1"/>
  <c r="W1093" i="1"/>
  <c r="X1093" i="1" s="1"/>
  <c r="W771" i="1"/>
  <c r="Y771" i="1" s="1"/>
  <c r="W1094" i="1"/>
  <c r="Y1094" i="1" s="1"/>
  <c r="W1309" i="1"/>
  <c r="Y1309" i="1" s="1"/>
  <c r="W1204" i="1"/>
  <c r="Y1204" i="1" s="1"/>
  <c r="X125" i="5"/>
  <c r="Y125" i="5" s="1"/>
  <c r="X58" i="5"/>
  <c r="Y58" i="5" s="1"/>
  <c r="W1157" i="1"/>
  <c r="Y1157" i="1" s="1"/>
  <c r="W1289" i="1"/>
  <c r="Y1289" i="1" s="1"/>
  <c r="W1031" i="1"/>
  <c r="X1031" i="1" s="1"/>
  <c r="W872" i="1"/>
  <c r="X872" i="1" s="1"/>
  <c r="W1017" i="1"/>
  <c r="X1017" i="1" s="1"/>
  <c r="W1258" i="1"/>
  <c r="X1258" i="1" s="1"/>
  <c r="X91" i="5"/>
  <c r="Y91" i="5" s="1"/>
  <c r="W1066" i="1"/>
  <c r="X1066" i="1" s="1"/>
  <c r="W887" i="1"/>
  <c r="X887" i="1" s="1"/>
  <c r="W1158" i="1"/>
  <c r="X1158" i="1" s="1"/>
  <c r="W613" i="1"/>
  <c r="Y613" i="1" s="1"/>
  <c r="W695" i="1"/>
  <c r="Y695" i="1" s="1"/>
  <c r="X123" i="5"/>
  <c r="Y123" i="5" s="1"/>
  <c r="W1195" i="1"/>
  <c r="X1195" i="1" s="1"/>
  <c r="X59" i="5"/>
  <c r="Y59" i="5" s="1"/>
  <c r="W950" i="1"/>
  <c r="X950" i="1" s="1"/>
  <c r="W1030" i="1"/>
  <c r="Y1030" i="1" s="1"/>
  <c r="W685" i="1"/>
  <c r="Y685" i="1" s="1"/>
  <c r="W682" i="1"/>
  <c r="Y682" i="1" s="1"/>
  <c r="W1260" i="1"/>
  <c r="X1260" i="1" s="1"/>
  <c r="X97" i="5"/>
  <c r="Y97" i="5" s="1"/>
  <c r="X46" i="5"/>
  <c r="Y46" i="5" s="1"/>
  <c r="W1148" i="1"/>
  <c r="X1148" i="1" s="1"/>
  <c r="W640" i="1"/>
  <c r="Y640" i="1" s="1"/>
  <c r="W1043" i="1"/>
  <c r="X1043" i="1" s="1"/>
  <c r="W1134" i="1"/>
  <c r="X1134" i="1" s="1"/>
  <c r="W1301" i="1"/>
  <c r="X1301" i="1" s="1"/>
  <c r="W1187" i="1"/>
  <c r="X1187" i="1" s="1"/>
  <c r="W1054" i="1"/>
  <c r="X1054" i="1" s="1"/>
  <c r="W1051" i="1"/>
  <c r="Y1051" i="1" s="1"/>
  <c r="W1278" i="1"/>
  <c r="X1278" i="1" s="1"/>
  <c r="W929" i="1"/>
  <c r="X929" i="1" s="1"/>
  <c r="W509" i="1"/>
  <c r="X509" i="1" s="1"/>
  <c r="W602" i="1"/>
  <c r="Y602" i="1" s="1"/>
  <c r="W261" i="1"/>
  <c r="Y261" i="1" s="1"/>
  <c r="X45" i="5"/>
  <c r="Y45" i="5" s="1"/>
  <c r="W1242" i="1"/>
  <c r="Y1242" i="1" s="1"/>
  <c r="W1199" i="1"/>
  <c r="Y1199" i="1" s="1"/>
  <c r="X1077" i="1"/>
  <c r="W1191" i="1"/>
  <c r="Y1191" i="1" s="1"/>
  <c r="W994" i="1"/>
  <c r="Y994" i="1" s="1"/>
  <c r="W873" i="1"/>
  <c r="Y873" i="1" s="1"/>
  <c r="W1244" i="1"/>
  <c r="X1244" i="1" s="1"/>
  <c r="W570" i="1"/>
  <c r="Y570" i="1" s="1"/>
  <c r="W1197" i="1"/>
  <c r="Y1197" i="1" s="1"/>
  <c r="W1305" i="1"/>
  <c r="Y1305" i="1" s="1"/>
  <c r="W1213" i="1"/>
  <c r="X1213" i="1" s="1"/>
  <c r="X68" i="5"/>
  <c r="Y68" i="5" s="1"/>
  <c r="W974" i="1"/>
  <c r="X974" i="1" s="1"/>
  <c r="W1081" i="1"/>
  <c r="Y1081" i="1" s="1"/>
  <c r="W898" i="1"/>
  <c r="Y898" i="1" s="1"/>
  <c r="W856" i="1"/>
  <c r="Y856" i="1" s="1"/>
  <c r="W301" i="1"/>
  <c r="X301" i="1" s="1"/>
  <c r="W618" i="1"/>
  <c r="X618" i="1" s="1"/>
  <c r="W945" i="1"/>
  <c r="Y945" i="1" s="1"/>
  <c r="X116" i="5"/>
  <c r="Y116" i="5" s="1"/>
  <c r="W1297" i="1"/>
  <c r="Y1297" i="1" s="1"/>
  <c r="W1235" i="1"/>
  <c r="X1235" i="1" s="1"/>
  <c r="W1232" i="1"/>
  <c r="Y1232" i="1" s="1"/>
  <c r="X111" i="5"/>
  <c r="Y111" i="5" s="1"/>
  <c r="X108" i="5"/>
  <c r="Y108" i="5" s="1"/>
  <c r="W1114" i="1"/>
  <c r="Y1114" i="1" s="1"/>
  <c r="W1110" i="1"/>
  <c r="Y1110" i="1" s="1"/>
  <c r="W926" i="1"/>
  <c r="X926" i="1" s="1"/>
  <c r="W854" i="1"/>
  <c r="Y854" i="1" s="1"/>
  <c r="W1265" i="1"/>
  <c r="Y1265" i="1" s="1"/>
  <c r="W1073" i="1"/>
  <c r="Y1073" i="1" s="1"/>
  <c r="W597" i="1"/>
  <c r="X597" i="1" s="1"/>
  <c r="W1186" i="1"/>
  <c r="Y1186" i="1" s="1"/>
  <c r="X69" i="5"/>
  <c r="Y69" i="5" s="1"/>
  <c r="X66" i="5"/>
  <c r="Y66" i="5" s="1"/>
  <c r="W1241" i="1"/>
  <c r="Y1241" i="1" s="1"/>
  <c r="W1202" i="1"/>
  <c r="Y1202" i="1" s="1"/>
  <c r="W747" i="1"/>
  <c r="Y747" i="1" s="1"/>
  <c r="W816" i="1"/>
  <c r="Y816" i="1" s="1"/>
  <c r="W888" i="1"/>
  <c r="Y888" i="1" s="1"/>
  <c r="W466" i="1"/>
  <c r="Y466" i="1" s="1"/>
  <c r="W559" i="1"/>
  <c r="Y559" i="1" s="1"/>
  <c r="W764" i="1"/>
  <c r="Y764" i="1" s="1"/>
  <c r="W240" i="1"/>
  <c r="X240" i="1" s="1"/>
  <c r="W849" i="1"/>
  <c r="Y849" i="1" s="1"/>
  <c r="W298" i="1"/>
  <c r="X298" i="1" s="1"/>
  <c r="W805" i="1"/>
  <c r="X805" i="1" s="1"/>
  <c r="W823" i="1"/>
  <c r="X823" i="1" s="1"/>
  <c r="W1004" i="1"/>
  <c r="Y1004" i="1" s="1"/>
  <c r="W1069" i="1"/>
  <c r="Y1069" i="1" s="1"/>
  <c r="W883" i="1"/>
  <c r="Y883" i="1" s="1"/>
  <c r="Y1203" i="1"/>
  <c r="W1279" i="1"/>
  <c r="X1279" i="1" s="1"/>
  <c r="W955" i="1"/>
  <c r="Y955" i="1" s="1"/>
  <c r="X117" i="5"/>
  <c r="Y117" i="5" s="1"/>
  <c r="W1088" i="1"/>
  <c r="Y1088" i="1" s="1"/>
  <c r="X121" i="5"/>
  <c r="Y121" i="5" s="1"/>
  <c r="W1079" i="1"/>
  <c r="Y1079" i="1" s="1"/>
  <c r="X120" i="5"/>
  <c r="Y120" i="5" s="1"/>
  <c r="W907" i="1"/>
  <c r="Y907" i="1" s="1"/>
  <c r="W1121" i="1"/>
  <c r="Y1121" i="1" s="1"/>
  <c r="W894" i="1"/>
  <c r="Y894" i="1" s="1"/>
  <c r="X74" i="5"/>
  <c r="Y74" i="5" s="1"/>
  <c r="X104" i="5"/>
  <c r="Y104" i="5" s="1"/>
  <c r="W1059" i="1"/>
  <c r="Y1059" i="1" s="1"/>
  <c r="X93" i="5"/>
  <c r="Y93" i="5" s="1"/>
  <c r="W1147" i="1"/>
  <c r="Y1147" i="1" s="1"/>
  <c r="W1293" i="1"/>
  <c r="Y1293" i="1" s="1"/>
  <c r="W1290" i="1"/>
  <c r="X1290" i="1" s="1"/>
  <c r="W1247" i="1"/>
  <c r="Y1247" i="1" s="1"/>
  <c r="W1008" i="1"/>
  <c r="X1008" i="1" s="1"/>
  <c r="W1036" i="1"/>
  <c r="X1036" i="1" s="1"/>
  <c r="W1257" i="1"/>
  <c r="Y1257" i="1" s="1"/>
  <c r="W785" i="1"/>
  <c r="Y785" i="1" s="1"/>
  <c r="W1226" i="1"/>
  <c r="X1226" i="1" s="1"/>
  <c r="W389" i="1"/>
  <c r="X389" i="1" s="1"/>
  <c r="W386" i="1"/>
  <c r="X386" i="1" s="1"/>
  <c r="W1090" i="1"/>
  <c r="X1090" i="1" s="1"/>
  <c r="W666" i="1"/>
  <c r="Y666" i="1" s="1"/>
  <c r="X102" i="5"/>
  <c r="Y102" i="5" s="1"/>
  <c r="W1144" i="1"/>
  <c r="Y1144" i="1" s="1"/>
  <c r="W1009" i="1"/>
  <c r="Y1009" i="1" s="1"/>
  <c r="W784" i="1"/>
  <c r="X784" i="1" s="1"/>
  <c r="W801" i="1"/>
  <c r="Y801" i="1" s="1"/>
  <c r="W1025" i="1"/>
  <c r="Y1025" i="1" s="1"/>
  <c r="W1000" i="1"/>
  <c r="Y1000" i="1" s="1"/>
  <c r="W808" i="1"/>
  <c r="Y808" i="1" s="1"/>
  <c r="W1075" i="1"/>
  <c r="X1075" i="1" s="1"/>
  <c r="Y757" i="1"/>
  <c r="W877" i="1"/>
  <c r="X877" i="1" s="1"/>
  <c r="W1061" i="1"/>
  <c r="Y1061" i="1" s="1"/>
  <c r="W803" i="1"/>
  <c r="Y803" i="1" s="1"/>
  <c r="W768" i="1"/>
  <c r="Y768" i="1" s="1"/>
  <c r="W1022" i="1"/>
  <c r="Y1022" i="1" s="1"/>
  <c r="W573" i="1"/>
  <c r="Y573" i="1" s="1"/>
  <c r="W1006" i="1"/>
  <c r="Y1006" i="1" s="1"/>
  <c r="W829" i="1"/>
  <c r="Y829" i="1" s="1"/>
  <c r="W1111" i="1"/>
  <c r="X1111" i="1" s="1"/>
  <c r="W357" i="1"/>
  <c r="X357" i="1" s="1"/>
  <c r="W1194" i="1"/>
  <c r="Y1194" i="1" s="1"/>
  <c r="X107" i="5"/>
  <c r="Y107" i="5" s="1"/>
  <c r="W1107" i="1"/>
  <c r="X1107" i="1" s="1"/>
  <c r="W931" i="1"/>
  <c r="Y931" i="1" s="1"/>
  <c r="W1056" i="1"/>
  <c r="Y1056" i="1" s="1"/>
  <c r="W792" i="1"/>
  <c r="Y792" i="1" s="1"/>
  <c r="W557" i="1"/>
  <c r="X557" i="1" s="1"/>
  <c r="W1237" i="1"/>
  <c r="Y1237" i="1" s="1"/>
  <c r="W1192" i="1"/>
  <c r="Y1192" i="1" s="1"/>
  <c r="X90" i="5"/>
  <c r="Y90" i="5" s="1"/>
  <c r="W1189" i="1"/>
  <c r="Y1189" i="1" s="1"/>
  <c r="W1003" i="1"/>
  <c r="Y1003" i="1" s="1"/>
  <c r="W704" i="1"/>
  <c r="X704" i="1" s="1"/>
  <c r="W766" i="1"/>
  <c r="Y766" i="1" s="1"/>
  <c r="W1018" i="1"/>
  <c r="Y1018" i="1" s="1"/>
  <c r="W1153" i="1"/>
  <c r="Y1153" i="1" s="1"/>
  <c r="W959" i="1"/>
  <c r="X959" i="1" s="1"/>
  <c r="W314" i="1"/>
  <c r="Y314" i="1" s="1"/>
  <c r="X52" i="5"/>
  <c r="Y52" i="5" s="1"/>
  <c r="W1155" i="1"/>
  <c r="X1155" i="1" s="1"/>
  <c r="W1280" i="1"/>
  <c r="Y1280" i="1" s="1"/>
  <c r="X114" i="5"/>
  <c r="Y114" i="5" s="1"/>
  <c r="X135" i="5"/>
  <c r="Y135" i="5" s="1"/>
  <c r="W910" i="1"/>
  <c r="X910" i="1" s="1"/>
  <c r="W1198" i="1"/>
  <c r="X1198" i="1" s="1"/>
  <c r="W790" i="1"/>
  <c r="Y790" i="1" s="1"/>
  <c r="W1284" i="1"/>
  <c r="X1284" i="1" s="1"/>
  <c r="W943" i="1"/>
  <c r="X943" i="1" s="1"/>
  <c r="W966" i="1"/>
  <c r="X966" i="1" s="1"/>
  <c r="X81" i="5"/>
  <c r="Y81" i="5" s="1"/>
  <c r="W1219" i="1"/>
  <c r="Y1219" i="1" s="1"/>
  <c r="X42" i="5"/>
  <c r="Y42" i="5" s="1"/>
  <c r="W1156" i="1"/>
  <c r="X1156" i="1" s="1"/>
  <c r="W848" i="1"/>
  <c r="X848" i="1" s="1"/>
  <c r="W247" i="1"/>
  <c r="X247" i="1" s="1"/>
  <c r="W979" i="1"/>
  <c r="X979" i="1" s="1"/>
  <c r="W741" i="1"/>
  <c r="Y741" i="1" s="1"/>
  <c r="X963" i="1"/>
  <c r="X99" i="5"/>
  <c r="Y99" i="5" s="1"/>
  <c r="W1163" i="1"/>
  <c r="Y1163" i="1" s="1"/>
  <c r="W405" i="1"/>
  <c r="Y405" i="1" s="1"/>
  <c r="W901" i="1"/>
  <c r="Y901" i="1" s="1"/>
  <c r="X105" i="5"/>
  <c r="Y105" i="5" s="1"/>
  <c r="W1091" i="1"/>
  <c r="Y1091" i="1" s="1"/>
  <c r="W1084" i="1"/>
  <c r="X1084" i="1" s="1"/>
  <c r="W1259" i="1"/>
  <c r="Y1259" i="1" s="1"/>
  <c r="X57" i="5"/>
  <c r="Y57" i="5" s="1"/>
  <c r="W928" i="1"/>
  <c r="Y928" i="1" s="1"/>
  <c r="X67" i="5"/>
  <c r="Y67" i="5" s="1"/>
  <c r="X126" i="5"/>
  <c r="Y126" i="5" s="1"/>
  <c r="W1027" i="1"/>
  <c r="X1027" i="1" s="1"/>
  <c r="W421" i="1"/>
  <c r="Y421" i="1" s="1"/>
  <c r="W962" i="1"/>
  <c r="X962" i="1" s="1"/>
  <c r="W997" i="1"/>
  <c r="Y997" i="1" s="1"/>
  <c r="W1299" i="1"/>
  <c r="X1299" i="1" s="1"/>
  <c r="W1141" i="1"/>
  <c r="Y1141" i="1" s="1"/>
  <c r="W988" i="1"/>
  <c r="Y988" i="1" s="1"/>
  <c r="W922" i="1"/>
  <c r="Y922" i="1" s="1"/>
  <c r="W1190" i="1"/>
  <c r="X1190" i="1" s="1"/>
  <c r="W916" i="1"/>
  <c r="Y916" i="1" s="1"/>
  <c r="W976" i="1"/>
  <c r="X976" i="1" s="1"/>
  <c r="W1167" i="1"/>
  <c r="X1167" i="1" s="1"/>
  <c r="W905" i="1"/>
  <c r="Y905" i="1" s="1"/>
  <c r="W765" i="1"/>
  <c r="Y765" i="1" s="1"/>
  <c r="X132" i="5"/>
  <c r="Y132" i="5" s="1"/>
  <c r="W1057" i="1"/>
  <c r="X1057" i="1" s="1"/>
  <c r="W472" i="1"/>
  <c r="Y472" i="1" s="1"/>
  <c r="W1171" i="1"/>
  <c r="Y1171" i="1" s="1"/>
  <c r="W1168" i="1"/>
  <c r="Y1168" i="1" s="1"/>
  <c r="W1291" i="1"/>
  <c r="Y1291" i="1" s="1"/>
  <c r="W1011" i="1"/>
  <c r="X1011" i="1" s="1"/>
  <c r="W1032" i="1"/>
  <c r="Y1032" i="1" s="1"/>
  <c r="W1152" i="1"/>
  <c r="X1152" i="1" s="1"/>
  <c r="W1225" i="1"/>
  <c r="X1225" i="1" s="1"/>
  <c r="W1275" i="1"/>
  <c r="X1275" i="1" s="1"/>
  <c r="X73" i="5"/>
  <c r="Y73" i="5" s="1"/>
  <c r="W1178" i="1"/>
  <c r="X1178" i="1" s="1"/>
  <c r="W1185" i="1"/>
  <c r="Y1185" i="1" s="1"/>
  <c r="W1040" i="1"/>
  <c r="X1040" i="1" s="1"/>
  <c r="W490" i="1"/>
  <c r="Y490" i="1" s="1"/>
  <c r="Y1035" i="1"/>
  <c r="W642" i="1"/>
  <c r="Y642" i="1" s="1"/>
  <c r="W903" i="1"/>
  <c r="X903" i="1" s="1"/>
  <c r="W258" i="1"/>
  <c r="X258" i="1" s="1"/>
  <c r="W842" i="1"/>
  <c r="Y842" i="1" s="1"/>
  <c r="W317" i="1"/>
  <c r="X317" i="1" s="1"/>
  <c r="W839" i="1"/>
  <c r="Y839" i="1" s="1"/>
  <c r="W282" i="1"/>
  <c r="Y282" i="1" s="1"/>
  <c r="W73" i="1"/>
  <c r="Y73" i="1" s="1"/>
  <c r="W378" i="1"/>
  <c r="Y378" i="1" s="1"/>
  <c r="W1037" i="1"/>
  <c r="Y1037" i="1" s="1"/>
  <c r="W650" i="1"/>
  <c r="X650" i="1" s="1"/>
  <c r="W375" i="1"/>
  <c r="X375" i="1" s="1"/>
  <c r="W729" i="1"/>
  <c r="X729" i="1" s="1"/>
  <c r="W411" i="1"/>
  <c r="X411" i="1" s="1"/>
  <c r="W397" i="1"/>
  <c r="Y397" i="1" s="1"/>
  <c r="W1252" i="1"/>
  <c r="X1252" i="1" s="1"/>
  <c r="W410" i="1"/>
  <c r="Y410" i="1" s="1"/>
  <c r="W791" i="1"/>
  <c r="Y791" i="1" s="1"/>
  <c r="W779" i="1"/>
  <c r="Y779" i="1" s="1"/>
  <c r="W781" i="1"/>
  <c r="X781" i="1" s="1"/>
  <c r="W980" i="1"/>
  <c r="Y980" i="1" s="1"/>
  <c r="W983" i="1"/>
  <c r="X983" i="1" s="1"/>
  <c r="W1276" i="1"/>
  <c r="Y1276" i="1" s="1"/>
  <c r="W736" i="1"/>
  <c r="Y736" i="1" s="1"/>
  <c r="W908" i="1"/>
  <c r="X908" i="1" s="1"/>
  <c r="W733" i="1"/>
  <c r="Y733" i="1" s="1"/>
  <c r="W1218" i="1"/>
  <c r="Y1218" i="1" s="1"/>
  <c r="W1055" i="1"/>
  <c r="Y1055" i="1" s="1"/>
  <c r="W242" i="1"/>
  <c r="Y242" i="1" s="1"/>
  <c r="W902" i="1"/>
  <c r="Y902" i="1" s="1"/>
  <c r="W834" i="1"/>
  <c r="Y834" i="1" s="1"/>
  <c r="W1245" i="1"/>
  <c r="X1245" i="1" s="1"/>
  <c r="W972" i="1"/>
  <c r="Y972" i="1" s="1"/>
  <c r="W1286" i="1"/>
  <c r="Y1286" i="1" s="1"/>
  <c r="W1118" i="1"/>
  <c r="Y1118" i="1" s="1"/>
  <c r="W429" i="1"/>
  <c r="X429" i="1" s="1"/>
  <c r="X55" i="5"/>
  <c r="Y55" i="5" s="1"/>
  <c r="W1255" i="1"/>
  <c r="Y1255" i="1" s="1"/>
  <c r="W1251" i="1"/>
  <c r="X1251" i="1" s="1"/>
  <c r="X83" i="5"/>
  <c r="Y83" i="5" s="1"/>
  <c r="W990" i="1"/>
  <c r="Y990" i="1" s="1"/>
  <c r="W1270" i="1"/>
  <c r="X1270" i="1" s="1"/>
  <c r="W1106" i="1"/>
  <c r="X1106" i="1" s="1"/>
  <c r="W679" i="1"/>
  <c r="Y679" i="1" s="1"/>
  <c r="W1080" i="1"/>
  <c r="X1080" i="1" s="1"/>
  <c r="W1145" i="1"/>
  <c r="Y1145" i="1" s="1"/>
  <c r="W944" i="1"/>
  <c r="Y944" i="1" s="1"/>
  <c r="W1308" i="1"/>
  <c r="Y1308" i="1" s="1"/>
  <c r="W993" i="1"/>
  <c r="Y993" i="1" s="1"/>
  <c r="W1068" i="1"/>
  <c r="X1068" i="1" s="1"/>
  <c r="W709" i="1"/>
  <c r="Y709" i="1" s="1"/>
  <c r="W621" i="1"/>
  <c r="Y621" i="1" s="1"/>
  <c r="W797" i="1"/>
  <c r="Y797" i="1" s="1"/>
  <c r="W519" i="1"/>
  <c r="X519" i="1" s="1"/>
  <c r="W244" i="1"/>
  <c r="Y244" i="1" s="1"/>
  <c r="W817" i="1"/>
  <c r="Y817" i="1" s="1"/>
  <c r="W949" i="1"/>
  <c r="Y949" i="1" s="1"/>
  <c r="W924" i="1"/>
  <c r="X924" i="1" s="1"/>
  <c r="W31" i="1"/>
  <c r="Y31" i="1" s="1"/>
  <c r="W1078" i="1"/>
  <c r="Y1078" i="1" s="1"/>
  <c r="W364" i="1"/>
  <c r="Y364" i="1" s="1"/>
  <c r="W1220" i="1"/>
  <c r="Y1220" i="1" s="1"/>
  <c r="W951" i="1"/>
  <c r="Y951" i="1" s="1"/>
  <c r="W440" i="1"/>
  <c r="X440" i="1" s="1"/>
  <c r="W269" i="1"/>
  <c r="Y269" i="1" s="1"/>
  <c r="W607" i="1"/>
  <c r="Y607" i="1" s="1"/>
  <c r="W726" i="1"/>
  <c r="Y726" i="1" s="1"/>
  <c r="W1231" i="1"/>
  <c r="X1231" i="1" s="1"/>
  <c r="W1249" i="1"/>
  <c r="X1249" i="1" s="1"/>
  <c r="W738" i="1"/>
  <c r="Y738" i="1" s="1"/>
  <c r="W224" i="1"/>
  <c r="Y224" i="1" s="1"/>
  <c r="W562" i="1"/>
  <c r="Y562" i="1" s="1"/>
  <c r="W234" i="1"/>
  <c r="Y234" i="1" s="1"/>
  <c r="W1238" i="1"/>
  <c r="Y1238" i="1" s="1"/>
  <c r="W1261" i="1"/>
  <c r="Y1261" i="1" s="1"/>
  <c r="W1303" i="1"/>
  <c r="Y1303" i="1" s="1"/>
  <c r="W1240" i="1"/>
  <c r="Y1240" i="1" s="1"/>
  <c r="W1062" i="1"/>
  <c r="Y1062" i="1" s="1"/>
  <c r="Y1233" i="1"/>
  <c r="W1272" i="1"/>
  <c r="Y1272" i="1" s="1"/>
  <c r="X87" i="5"/>
  <c r="Y87" i="5" s="1"/>
  <c r="X86" i="5"/>
  <c r="Y86" i="5" s="1"/>
  <c r="W1174" i="1"/>
  <c r="Y1174" i="1" s="1"/>
  <c r="X72" i="5"/>
  <c r="Y72" i="5" s="1"/>
  <c r="W989" i="1"/>
  <c r="Y989" i="1" s="1"/>
  <c r="W1159" i="1"/>
  <c r="Y1159" i="1" s="1"/>
  <c r="W649" i="1"/>
  <c r="X649" i="1" s="1"/>
  <c r="W453" i="1"/>
  <c r="Y453" i="1" s="1"/>
  <c r="W806" i="1"/>
  <c r="X806" i="1" s="1"/>
  <c r="W895" i="1"/>
  <c r="Y895" i="1" s="1"/>
  <c r="W445" i="1"/>
  <c r="Y445" i="1" s="1"/>
  <c r="W1183" i="1"/>
  <c r="X1183" i="1" s="1"/>
  <c r="W965" i="1"/>
  <c r="Y965" i="1" s="1"/>
  <c r="W506" i="1"/>
  <c r="Y506" i="1" s="1"/>
  <c r="W583" i="1"/>
  <c r="X583" i="1" s="1"/>
  <c r="W308" i="1"/>
  <c r="X308" i="1" s="1"/>
  <c r="W354" i="1"/>
  <c r="Y354" i="1" s="1"/>
  <c r="W610" i="1"/>
  <c r="Y610" i="1" s="1"/>
  <c r="W343" i="1"/>
  <c r="Y343" i="1" s="1"/>
  <c r="W1281" i="1"/>
  <c r="Y1281" i="1" s="1"/>
  <c r="W913" i="1"/>
  <c r="Y913" i="1" s="1"/>
  <c r="W739" i="1"/>
  <c r="X739" i="1" s="1"/>
  <c r="W1060" i="1"/>
  <c r="Y1060" i="1" s="1"/>
  <c r="W777" i="1"/>
  <c r="Y777" i="1" s="1"/>
  <c r="W772" i="1"/>
  <c r="Y772" i="1" s="1"/>
  <c r="W586" i="1"/>
  <c r="Y586" i="1" s="1"/>
  <c r="W245" i="1"/>
  <c r="Y245" i="1" s="1"/>
  <c r="W436" i="1"/>
  <c r="X436" i="1" s="1"/>
  <c r="W843" i="1"/>
  <c r="X843" i="1" s="1"/>
  <c r="W210" i="1"/>
  <c r="Y210" i="1" s="1"/>
  <c r="W864" i="1"/>
  <c r="Y864" i="1" s="1"/>
  <c r="W861" i="1"/>
  <c r="Y861" i="1" s="1"/>
  <c r="W1146" i="1"/>
  <c r="X1146" i="1" s="1"/>
  <c r="W544" i="1"/>
  <c r="Y544" i="1" s="1"/>
  <c r="W373" i="1"/>
  <c r="Y373" i="1" s="1"/>
  <c r="W1050" i="1"/>
  <c r="Y1050" i="1" s="1"/>
  <c r="W367" i="1"/>
  <c r="Y367" i="1" s="1"/>
  <c r="W762" i="1"/>
  <c r="Y762" i="1" s="1"/>
  <c r="W710" i="1"/>
  <c r="X710" i="1" s="1"/>
  <c r="W257" i="1"/>
  <c r="X257" i="1" s="1"/>
  <c r="W1177" i="1"/>
  <c r="Y1177" i="1" s="1"/>
  <c r="W731" i="1"/>
  <c r="Y731" i="1" s="1"/>
  <c r="W1196" i="1"/>
  <c r="X1196" i="1" s="1"/>
  <c r="X70" i="5"/>
  <c r="Y70" i="5" s="1"/>
  <c r="W857" i="1"/>
  <c r="Y857" i="1" s="1"/>
  <c r="X95" i="5"/>
  <c r="Y95" i="5" s="1"/>
  <c r="W1038" i="1"/>
  <c r="X1038" i="1" s="1"/>
  <c r="W1104" i="1"/>
  <c r="Y1104" i="1" s="1"/>
  <c r="W1246" i="1"/>
  <c r="Y1246" i="1" s="1"/>
  <c r="W968" i="1"/>
  <c r="X968" i="1" s="1"/>
  <c r="W1116" i="1"/>
  <c r="Y1116" i="1" s="1"/>
  <c r="W853" i="1"/>
  <c r="Y853" i="1" s="1"/>
  <c r="W588" i="1"/>
  <c r="Y588" i="1" s="1"/>
  <c r="W1154" i="1"/>
  <c r="Y1154" i="1" s="1"/>
  <c r="W1109" i="1"/>
  <c r="Y1109" i="1" s="1"/>
  <c r="W998" i="1"/>
  <c r="Y998" i="1" s="1"/>
  <c r="W1211" i="1"/>
  <c r="Y1211" i="1" s="1"/>
  <c r="W1140" i="1"/>
  <c r="X1140" i="1" s="1"/>
  <c r="W1173" i="1"/>
  <c r="Y1173" i="1" s="1"/>
  <c r="W930" i="1"/>
  <c r="X930" i="1" s="1"/>
  <c r="W891" i="1"/>
  <c r="X891" i="1" s="1"/>
  <c r="W746" i="1"/>
  <c r="X746" i="1" s="1"/>
  <c r="W722" i="1"/>
  <c r="X722" i="1" s="1"/>
  <c r="W253" i="1"/>
  <c r="Y253" i="1" s="1"/>
  <c r="W862" i="1"/>
  <c r="X862" i="1" s="1"/>
  <c r="W890" i="1"/>
  <c r="Y890" i="1" s="1"/>
  <c r="W826" i="1"/>
  <c r="Y826" i="1" s="1"/>
  <c r="W106" i="1"/>
  <c r="Y106" i="1" s="1"/>
  <c r="Y958" i="1"/>
  <c r="W699" i="1"/>
  <c r="X699" i="1" s="1"/>
  <c r="W369" i="1"/>
  <c r="Y369" i="1" s="1"/>
  <c r="W952" i="1"/>
  <c r="Y952" i="1" s="1"/>
  <c r="Y1282" i="1"/>
  <c r="X54" i="5"/>
  <c r="Y54" i="5" s="1"/>
  <c r="W1016" i="1"/>
  <c r="X1016" i="1" s="1"/>
  <c r="X47" i="5"/>
  <c r="Y47" i="5" s="1"/>
  <c r="W1082" i="1"/>
  <c r="Y1082" i="1" s="1"/>
  <c r="X110" i="5"/>
  <c r="Y110" i="5" s="1"/>
  <c r="W1212" i="1"/>
  <c r="Y1212" i="1" s="1"/>
  <c r="W947" i="1"/>
  <c r="X947" i="1" s="1"/>
  <c r="W341" i="1"/>
  <c r="Y341" i="1" s="1"/>
  <c r="W322" i="1"/>
  <c r="Y322" i="1" s="1"/>
  <c r="X92" i="5"/>
  <c r="Y92" i="5" s="1"/>
  <c r="W934" i="1"/>
  <c r="X934" i="1" s="1"/>
  <c r="W1256" i="1"/>
  <c r="X1256" i="1" s="1"/>
  <c r="W1229" i="1"/>
  <c r="Y1229" i="1" s="1"/>
  <c r="X84" i="5"/>
  <c r="Y84" i="5" s="1"/>
  <c r="X43" i="5"/>
  <c r="Y43" i="5" s="1"/>
  <c r="W1139" i="1"/>
  <c r="X1139" i="1" s="1"/>
  <c r="W1310" i="1"/>
  <c r="Y1310" i="1" s="1"/>
  <c r="W645" i="1"/>
  <c r="X645" i="1" s="1"/>
  <c r="W828" i="1"/>
  <c r="Y828" i="1" s="1"/>
  <c r="W514" i="1"/>
  <c r="Y514" i="1" s="1"/>
  <c r="W630" i="1"/>
  <c r="Y630" i="1" s="1"/>
  <c r="W402" i="1"/>
  <c r="X402" i="1" s="1"/>
  <c r="W231" i="1"/>
  <c r="Y231" i="1" s="1"/>
  <c r="W415" i="1"/>
  <c r="Y415" i="1" s="1"/>
  <c r="W865" i="1"/>
  <c r="X865" i="1" s="1"/>
  <c r="W1172" i="1"/>
  <c r="X1172" i="1" s="1"/>
  <c r="W656" i="1"/>
  <c r="X656" i="1" s="1"/>
  <c r="W1085" i="1"/>
  <c r="X1085" i="1" s="1"/>
  <c r="W1266" i="1"/>
  <c r="Y1266" i="1" s="1"/>
  <c r="X1297" i="1"/>
  <c r="W692" i="1"/>
  <c r="Y692" i="1" s="1"/>
  <c r="X118" i="5"/>
  <c r="Y118" i="5" s="1"/>
  <c r="W1298" i="1"/>
  <c r="X1298" i="1" s="1"/>
  <c r="W995" i="1"/>
  <c r="X995" i="1" s="1"/>
  <c r="X133" i="5"/>
  <c r="Y133" i="5" s="1"/>
  <c r="W1208" i="1"/>
  <c r="X1208" i="1" s="1"/>
  <c r="X115" i="5"/>
  <c r="Y115" i="5" s="1"/>
  <c r="W1074" i="1"/>
  <c r="X1074" i="1" s="1"/>
  <c r="W1105" i="1"/>
  <c r="Y1105" i="1" s="1"/>
  <c r="W719" i="1"/>
  <c r="X719" i="1" s="1"/>
  <c r="W624" i="1"/>
  <c r="X624" i="1" s="1"/>
  <c r="W325" i="1"/>
  <c r="Y325" i="1" s="1"/>
  <c r="W706" i="1"/>
  <c r="Y706" i="1" s="1"/>
  <c r="W794" i="1"/>
  <c r="X794" i="1" s="1"/>
  <c r="W1296" i="1"/>
  <c r="X1296" i="1" s="1"/>
  <c r="X44" i="5"/>
  <c r="Y44" i="5" s="1"/>
  <c r="W1014" i="1"/>
  <c r="Y1014" i="1" s="1"/>
  <c r="W1207" i="1"/>
  <c r="X1207" i="1" s="1"/>
  <c r="W789" i="1"/>
  <c r="Y789" i="1" s="1"/>
  <c r="W725" i="1"/>
  <c r="X725" i="1" s="1"/>
  <c r="W1021" i="1"/>
  <c r="X1021" i="1" s="1"/>
  <c r="X128" i="5"/>
  <c r="Y128" i="5" s="1"/>
  <c r="W867" i="1"/>
  <c r="Y867" i="1" s="1"/>
  <c r="X71" i="5"/>
  <c r="Y71" i="5" s="1"/>
  <c r="W1002" i="1"/>
  <c r="X1002" i="1" s="1"/>
  <c r="W1253" i="1"/>
  <c r="Y1253" i="1" s="1"/>
  <c r="X96" i="5"/>
  <c r="Y96" i="5" s="1"/>
  <c r="W1143" i="1"/>
  <c r="X1143" i="1" s="1"/>
  <c r="W1164" i="1"/>
  <c r="X1164" i="1" s="1"/>
  <c r="W970" i="1"/>
  <c r="X970" i="1" s="1"/>
  <c r="W705" i="1"/>
  <c r="Y705" i="1" s="1"/>
  <c r="W957" i="1"/>
  <c r="Y957" i="1" s="1"/>
  <c r="W932" i="1"/>
  <c r="Y932" i="1" s="1"/>
  <c r="W793" i="1"/>
  <c r="X793" i="1" s="1"/>
  <c r="W311" i="1"/>
  <c r="Y311" i="1" s="1"/>
  <c r="W981" i="1"/>
  <c r="Y981" i="1" s="1"/>
  <c r="W1015" i="1"/>
  <c r="X1015" i="1" s="1"/>
  <c r="W1234" i="1"/>
  <c r="X1234" i="1" s="1"/>
  <c r="W1086" i="1"/>
  <c r="Y1086" i="1" s="1"/>
  <c r="W525" i="1"/>
  <c r="X525" i="1" s="1"/>
  <c r="W226" i="1"/>
  <c r="Y226" i="1" s="1"/>
  <c r="W671" i="1"/>
  <c r="Y671" i="1" s="1"/>
  <c r="W827" i="1"/>
  <c r="X827" i="1" s="1"/>
  <c r="W775" i="1"/>
  <c r="X775" i="1" s="1"/>
  <c r="W825" i="1"/>
  <c r="Y825" i="1" s="1"/>
  <c r="W755" i="1"/>
  <c r="Y755" i="1" s="1"/>
  <c r="W800" i="1"/>
  <c r="Y800" i="1" s="1"/>
  <c r="W840" i="1"/>
  <c r="Y840" i="1" s="1"/>
  <c r="W309" i="1"/>
  <c r="X309" i="1" s="1"/>
  <c r="W690" i="1"/>
  <c r="X690" i="1" s="1"/>
  <c r="W455" i="1"/>
  <c r="X455" i="1" s="1"/>
  <c r="W665" i="1"/>
  <c r="X665" i="1" s="1"/>
  <c r="W783" i="1"/>
  <c r="Y783" i="1" s="1"/>
  <c r="W17" i="1"/>
  <c r="X17" i="1" s="1"/>
  <c r="W1041" i="1"/>
  <c r="X1041" i="1" s="1"/>
  <c r="W1076" i="1"/>
  <c r="Y1076" i="1" s="1"/>
  <c r="W837" i="1"/>
  <c r="X837" i="1" s="1"/>
  <c r="W520" i="1"/>
  <c r="Y520" i="1" s="1"/>
  <c r="W349" i="1"/>
  <c r="X349" i="1" s="1"/>
  <c r="W346" i="1"/>
  <c r="Y346" i="1" s="1"/>
  <c r="W1103" i="1"/>
  <c r="X1103" i="1" s="1"/>
  <c r="W846" i="1"/>
  <c r="Y846" i="1" s="1"/>
  <c r="W480" i="1"/>
  <c r="Y480" i="1" s="1"/>
  <c r="W79" i="1"/>
  <c r="X79" i="1" s="1"/>
  <c r="W406" i="1"/>
  <c r="Y406" i="1" s="1"/>
  <c r="W625" i="1"/>
  <c r="X625" i="1" s="1"/>
  <c r="W638" i="1"/>
  <c r="Y638" i="1" s="1"/>
  <c r="W428" i="1"/>
  <c r="Y428" i="1" s="1"/>
  <c r="W334" i="1"/>
  <c r="Y334" i="1" s="1"/>
  <c r="W412" i="1"/>
  <c r="Y412" i="1" s="1"/>
  <c r="X35" i="5"/>
  <c r="Y35" i="5" s="1"/>
  <c r="W465" i="1"/>
  <c r="Y465" i="1" s="1"/>
  <c r="W1180" i="1"/>
  <c r="X1180" i="1" s="1"/>
  <c r="W724" i="1"/>
  <c r="Y724" i="1" s="1"/>
  <c r="W712" i="1"/>
  <c r="X712" i="1" s="1"/>
  <c r="W237" i="1"/>
  <c r="Y237" i="1" s="1"/>
  <c r="W232" i="1"/>
  <c r="Y232" i="1" s="1"/>
  <c r="W572" i="1"/>
  <c r="Y572" i="1" s="1"/>
  <c r="W700" i="1"/>
  <c r="X700" i="1" s="1"/>
  <c r="W191" i="1"/>
  <c r="X191" i="1" s="1"/>
  <c r="W76" i="1"/>
  <c r="X76" i="1" s="1"/>
  <c r="W275" i="1"/>
  <c r="Y275" i="1" s="1"/>
  <c r="W328" i="1"/>
  <c r="Y328" i="1" s="1"/>
  <c r="W953" i="1"/>
  <c r="Y953" i="1" s="1"/>
  <c r="W124" i="1"/>
  <c r="X124" i="1" s="1"/>
  <c r="W212" i="1"/>
  <c r="Y212" i="1" s="1"/>
  <c r="W368" i="1"/>
  <c r="Y368" i="1" s="1"/>
  <c r="W291" i="1"/>
  <c r="X291" i="1" s="1"/>
  <c r="W256" i="1"/>
  <c r="X256" i="1" s="1"/>
  <c r="W593" i="1"/>
  <c r="Y593" i="1" s="1"/>
  <c r="X19" i="5"/>
  <c r="Y19" i="5" s="1"/>
  <c r="W660" i="1"/>
  <c r="X660" i="1" s="1"/>
  <c r="W168" i="1"/>
  <c r="Y168" i="1" s="1"/>
  <c r="W470" i="1"/>
  <c r="Y470" i="1" s="1"/>
  <c r="W393" i="1"/>
  <c r="X393" i="1" s="1"/>
  <c r="W358" i="1"/>
  <c r="X358" i="1" s="1"/>
  <c r="W353" i="1"/>
  <c r="Y353" i="1" s="1"/>
  <c r="W531" i="1"/>
  <c r="Y531" i="1" s="1"/>
  <c r="W74" i="1"/>
  <c r="Y74" i="1" s="1"/>
  <c r="W175" i="1"/>
  <c r="Y175" i="1" s="1"/>
  <c r="W65" i="1"/>
  <c r="Y65" i="1" s="1"/>
  <c r="W534" i="1"/>
  <c r="Y534" i="1" s="1"/>
  <c r="W457" i="1"/>
  <c r="X457" i="1" s="1"/>
  <c r="W422" i="1"/>
  <c r="Y422" i="1" s="1"/>
  <c r="W850" i="1"/>
  <c r="X850" i="1" s="1"/>
  <c r="W254" i="1"/>
  <c r="X254" i="1" s="1"/>
  <c r="W71" i="1"/>
  <c r="Y71" i="1" s="1"/>
  <c r="W416" i="1"/>
  <c r="Y416" i="1" s="1"/>
  <c r="W172" i="1"/>
  <c r="Y172" i="1" s="1"/>
  <c r="X38" i="5"/>
  <c r="Y38" i="5" s="1"/>
  <c r="W60" i="1"/>
  <c r="Y60" i="1" s="1"/>
  <c r="W401" i="1"/>
  <c r="Y401" i="1" s="1"/>
  <c r="W542" i="1"/>
  <c r="Y542" i="1" s="1"/>
  <c r="W507" i="1"/>
  <c r="Y507" i="1" s="1"/>
  <c r="W1254" i="1"/>
  <c r="X1254" i="1" s="1"/>
  <c r="W599" i="1"/>
  <c r="Y599" i="1" s="1"/>
  <c r="W742" i="1"/>
  <c r="X742" i="1" s="1"/>
  <c r="W589" i="1"/>
  <c r="Y589" i="1" s="1"/>
  <c r="W290" i="1"/>
  <c r="X290" i="1" s="1"/>
  <c r="W580" i="1"/>
  <c r="X580" i="1" s="1"/>
  <c r="W876" i="1"/>
  <c r="Y876" i="1" s="1"/>
  <c r="W1302" i="1"/>
  <c r="X1302" i="1" s="1"/>
  <c r="W886" i="1"/>
  <c r="Y886" i="1" s="1"/>
  <c r="W1053" i="1"/>
  <c r="Y1053" i="1" s="1"/>
  <c r="W1149" i="1"/>
  <c r="X1149" i="1" s="1"/>
  <c r="W1047" i="1"/>
  <c r="Y1047" i="1" s="1"/>
  <c r="W743" i="1"/>
  <c r="Y743" i="1" s="1"/>
  <c r="W1087" i="1"/>
  <c r="Y1087" i="1" s="1"/>
  <c r="W522" i="1"/>
  <c r="X522" i="1" s="1"/>
  <c r="W669" i="1"/>
  <c r="X669" i="1" s="1"/>
  <c r="W434" i="1"/>
  <c r="Y434" i="1" s="1"/>
  <c r="W818" i="1"/>
  <c r="X818" i="1" s="1"/>
  <c r="W330" i="1"/>
  <c r="Y330" i="1" s="1"/>
  <c r="W721" i="1"/>
  <c r="Y721" i="1" s="1"/>
  <c r="W1287" i="1"/>
  <c r="X1287" i="1" s="1"/>
  <c r="W1007" i="1"/>
  <c r="X1007" i="1" s="1"/>
  <c r="W1039" i="1"/>
  <c r="X1039" i="1" s="1"/>
  <c r="W498" i="1"/>
  <c r="Y498" i="1" s="1"/>
  <c r="W663" i="1"/>
  <c r="Y663" i="1" s="1"/>
  <c r="W36" i="1"/>
  <c r="Y36" i="1" s="1"/>
  <c r="W339" i="1"/>
  <c r="Y339" i="1" s="1"/>
  <c r="W821" i="1"/>
  <c r="X821" i="1" s="1"/>
  <c r="W723" i="1"/>
  <c r="X723" i="1" s="1"/>
  <c r="X6" i="5"/>
  <c r="Y6" i="5" s="1"/>
  <c r="W265" i="1"/>
  <c r="X265" i="1" s="1"/>
  <c r="W833" i="1"/>
  <c r="Y833" i="1" s="1"/>
  <c r="W352" i="1"/>
  <c r="X352" i="1" s="1"/>
  <c r="W467" i="1"/>
  <c r="X467" i="1" s="1"/>
  <c r="W381" i="1"/>
  <c r="Y381" i="1" s="1"/>
  <c r="W167" i="1"/>
  <c r="Y167" i="1" s="1"/>
  <c r="W135" i="1"/>
  <c r="Y135" i="1" s="1"/>
  <c r="W575" i="1"/>
  <c r="X575" i="1" s="1"/>
  <c r="W404" i="1"/>
  <c r="X404" i="1" s="1"/>
  <c r="W750" i="1"/>
  <c r="X750" i="1" s="1"/>
  <c r="W691" i="1"/>
  <c r="Y691" i="1" s="1"/>
  <c r="W194" i="1"/>
  <c r="X194" i="1" s="1"/>
  <c r="W396" i="1"/>
  <c r="Y396" i="1" s="1"/>
  <c r="W551" i="1"/>
  <c r="Y551" i="1" s="1"/>
  <c r="W732" i="1"/>
  <c r="Y732" i="1" s="1"/>
  <c r="W906" i="1"/>
  <c r="X906" i="1" s="1"/>
  <c r="W154" i="1"/>
  <c r="Y154" i="1" s="1"/>
  <c r="X17" i="5"/>
  <c r="Y17" i="5" s="1"/>
  <c r="W129" i="1"/>
  <c r="Y129" i="1" s="1"/>
  <c r="W548" i="1"/>
  <c r="Y548" i="1" s="1"/>
  <c r="W716" i="1"/>
  <c r="X716" i="1" s="1"/>
  <c r="W900" i="1"/>
  <c r="X900" i="1" s="1"/>
  <c r="W627" i="1"/>
  <c r="X627" i="1" s="1"/>
  <c r="W571" i="1"/>
  <c r="X571" i="1" s="1"/>
  <c r="W102" i="1"/>
  <c r="Y102" i="1" s="1"/>
  <c r="W614" i="1"/>
  <c r="Y614" i="1" s="1"/>
  <c r="W524" i="1"/>
  <c r="Y524" i="1" s="1"/>
  <c r="W141" i="1"/>
  <c r="X141" i="1" s="1"/>
  <c r="W34" i="1"/>
  <c r="Y34" i="1" s="1"/>
  <c r="W356" i="1"/>
  <c r="X356" i="1" s="1"/>
  <c r="W496" i="1"/>
  <c r="X496" i="1" s="1"/>
  <c r="W601" i="1"/>
  <c r="X601" i="1" s="1"/>
  <c r="W128" i="1"/>
  <c r="X128" i="1" s="1"/>
  <c r="W53" i="1"/>
  <c r="Y53" i="1" s="1"/>
  <c r="X4" i="5"/>
  <c r="Y4" i="5" s="1"/>
  <c r="W526" i="1"/>
  <c r="Y526" i="1" s="1"/>
  <c r="W200" i="1"/>
  <c r="Y200" i="1" s="1"/>
  <c r="W815" i="1"/>
  <c r="X815" i="1" s="1"/>
  <c r="W50" i="1"/>
  <c r="X50" i="1" s="1"/>
  <c r="W382" i="1"/>
  <c r="Y382" i="1" s="1"/>
  <c r="W249" i="1"/>
  <c r="Y249" i="1" s="1"/>
  <c r="W1133" i="1"/>
  <c r="Y1133" i="1" s="1"/>
  <c r="W1099" i="1"/>
  <c r="W471" i="1"/>
  <c r="Y471" i="1" s="1"/>
  <c r="W687" i="1"/>
  <c r="X687" i="1" s="1"/>
  <c r="W39" i="1"/>
  <c r="X39" i="1" s="1"/>
  <c r="W796" i="1"/>
  <c r="X796" i="1" s="1"/>
  <c r="W503" i="1"/>
  <c r="Y503" i="1" s="1"/>
  <c r="W543" i="1"/>
  <c r="Y543" i="1" s="1"/>
  <c r="W940" i="1"/>
  <c r="X940" i="1" s="1"/>
  <c r="W977" i="1"/>
  <c r="Y977" i="1" s="1"/>
  <c r="W266" i="1"/>
  <c r="Y266" i="1" s="1"/>
  <c r="W1049" i="1"/>
  <c r="Y1049" i="1" s="1"/>
  <c r="W841" i="1"/>
  <c r="Y841" i="1" s="1"/>
  <c r="W300" i="1"/>
  <c r="W156" i="1"/>
  <c r="X156" i="1" s="1"/>
  <c r="W938" i="1"/>
  <c r="Y938" i="1" s="1"/>
  <c r="W819" i="1"/>
  <c r="Y819" i="1" s="1"/>
  <c r="W1239" i="1"/>
  <c r="Y1239" i="1" s="1"/>
  <c r="W477" i="1"/>
  <c r="W306" i="1"/>
  <c r="X306" i="1" s="1"/>
  <c r="W474" i="1"/>
  <c r="Y474" i="1" s="1"/>
  <c r="W535" i="1"/>
  <c r="Y535" i="1" s="1"/>
  <c r="W620" i="1"/>
  <c r="Y620" i="1" s="1"/>
  <c r="W761" i="1"/>
  <c r="X761" i="1" s="1"/>
  <c r="W271" i="1"/>
  <c r="Y271" i="1" s="1"/>
  <c r="X32" i="5"/>
  <c r="Y32" i="5" s="1"/>
  <c r="W270" i="1"/>
  <c r="Y270" i="1" s="1"/>
  <c r="W1063" i="1"/>
  <c r="X1063" i="1" s="1"/>
  <c r="W713" i="1"/>
  <c r="X713" i="1" s="1"/>
  <c r="W787" i="1"/>
  <c r="Y787" i="1" s="1"/>
  <c r="W673" i="1"/>
  <c r="Y673" i="1" s="1"/>
  <c r="W213" i="1"/>
  <c r="X213" i="1" s="1"/>
  <c r="W786" i="1"/>
  <c r="Y786" i="1" s="1"/>
  <c r="W313" i="1"/>
  <c r="X313" i="1" s="1"/>
  <c r="W1029" i="1"/>
  <c r="Y578" i="1"/>
  <c r="W383" i="1"/>
  <c r="X383" i="1" s="1"/>
  <c r="W681" i="1"/>
  <c r="W165" i="1"/>
  <c r="X165" i="1" s="1"/>
  <c r="X3" i="5"/>
  <c r="Y3" i="5" s="1"/>
  <c r="W228" i="1"/>
  <c r="Y228" i="1" s="1"/>
  <c r="W132" i="1"/>
  <c r="X132" i="1" s="1"/>
  <c r="W530" i="1"/>
  <c r="Y530" i="1" s="1"/>
  <c r="W991" i="1"/>
  <c r="X991" i="1" s="1"/>
  <c r="W1045" i="1"/>
  <c r="Y1045" i="1" s="1"/>
  <c r="W125" i="1"/>
  <c r="Y125" i="1" s="1"/>
  <c r="W569" i="1"/>
  <c r="W527" i="1"/>
  <c r="X527" i="1" s="1"/>
  <c r="W1033" i="1"/>
  <c r="Y1033" i="1" s="1"/>
  <c r="W707" i="1"/>
  <c r="X707" i="1" s="1"/>
  <c r="W978" i="1"/>
  <c r="Y978" i="1" s="1"/>
  <c r="W97" i="1"/>
  <c r="Y97" i="1" s="1"/>
  <c r="W348" i="1"/>
  <c r="W294" i="1"/>
  <c r="X294" i="1" s="1"/>
  <c r="W756" i="1"/>
  <c r="Y756" i="1" s="1"/>
  <c r="W433" i="1"/>
  <c r="W13" i="1"/>
  <c r="Y13" i="1" s="1"/>
  <c r="W595" i="1"/>
  <c r="Y595" i="1" s="1"/>
  <c r="W222" i="1"/>
  <c r="X222" i="1" s="1"/>
  <c r="W532" i="1"/>
  <c r="W220" i="1"/>
  <c r="X220" i="1" s="1"/>
  <c r="W782" i="1"/>
  <c r="W130" i="1"/>
  <c r="Y130" i="1" s="1"/>
  <c r="W488" i="1"/>
  <c r="X488" i="1" s="1"/>
  <c r="W217" i="1"/>
  <c r="X217" i="1" s="1"/>
  <c r="W267" i="1"/>
  <c r="W187" i="1"/>
  <c r="Y187" i="1" s="1"/>
  <c r="W435" i="1"/>
  <c r="Y435" i="1" s="1"/>
  <c r="W1263" i="1"/>
  <c r="Y1263" i="1" s="1"/>
  <c r="X94" i="5"/>
  <c r="Y94" i="5" s="1"/>
  <c r="W324" i="1"/>
  <c r="Y324" i="1" s="1"/>
  <c r="W684" i="1"/>
  <c r="W881" i="1"/>
  <c r="X881" i="1" s="1"/>
  <c r="W310" i="1"/>
  <c r="Y310" i="1" s="1"/>
  <c r="W482" i="1"/>
  <c r="X482" i="1" s="1"/>
  <c r="W740" i="1"/>
  <c r="X740" i="1" s="1"/>
  <c r="W654" i="1"/>
  <c r="X654" i="1" s="1"/>
  <c r="W1223" i="1"/>
  <c r="X1223" i="1" s="1"/>
  <c r="W305" i="1"/>
  <c r="Y305" i="1" s="1"/>
  <c r="W807" i="1"/>
  <c r="X807" i="1" s="1"/>
  <c r="W969" i="1"/>
  <c r="Y969" i="1" s="1"/>
  <c r="W626" i="1"/>
  <c r="X626" i="1" s="1"/>
  <c r="W730" i="1"/>
  <c r="X730" i="1" s="1"/>
  <c r="W596" i="1"/>
  <c r="Y596" i="1" s="1"/>
  <c r="W773" i="1"/>
  <c r="Y773" i="1" s="1"/>
  <c r="W836" i="1"/>
  <c r="Y836" i="1" s="1"/>
  <c r="W623" i="1"/>
  <c r="X623" i="1" s="1"/>
  <c r="W767" i="1"/>
  <c r="Y767" i="1" s="1"/>
  <c r="W223" i="1"/>
  <c r="Y223" i="1" s="1"/>
  <c r="W1034" i="1"/>
  <c r="Y1034" i="1" s="1"/>
  <c r="W778" i="1"/>
  <c r="Y778" i="1" s="1"/>
  <c r="W215" i="1"/>
  <c r="W326" i="1"/>
  <c r="X326" i="1" s="1"/>
  <c r="W169" i="1"/>
  <c r="Y169" i="1" s="1"/>
  <c r="W973" i="1"/>
  <c r="X973" i="1" s="1"/>
  <c r="W753" i="1"/>
  <c r="X753" i="1" s="1"/>
  <c r="X53" i="1"/>
  <c r="W262" i="1"/>
  <c r="X262" i="1" s="1"/>
  <c r="W735" i="1"/>
  <c r="Y735" i="1" s="1"/>
  <c r="X18" i="5"/>
  <c r="Y18" i="5" s="1"/>
  <c r="W101" i="1"/>
  <c r="Y101" i="1" s="1"/>
  <c r="W143" i="1"/>
  <c r="Y143" i="1" s="1"/>
  <c r="W362" i="1"/>
  <c r="Y362" i="1" s="1"/>
  <c r="Y701" i="1"/>
  <c r="W1058" i="1"/>
  <c r="Y1058" i="1" s="1"/>
  <c r="W616" i="1"/>
  <c r="W183" i="1"/>
  <c r="Y183" i="1" s="1"/>
  <c r="W594" i="1"/>
  <c r="Y594" i="1" s="1"/>
  <c r="W279" i="1"/>
  <c r="Y279" i="1" s="1"/>
  <c r="W287" i="1"/>
  <c r="W689" i="1"/>
  <c r="X689" i="1" s="1"/>
  <c r="W546" i="1"/>
  <c r="Y546" i="1" s="1"/>
  <c r="W948" i="1"/>
  <c r="X948" i="1" s="1"/>
  <c r="W812" i="1"/>
  <c r="Y812" i="1" s="1"/>
  <c r="W461" i="1"/>
  <c r="Y461" i="1" s="1"/>
  <c r="W694" i="1"/>
  <c r="Y694" i="1" s="1"/>
  <c r="W1236" i="1"/>
  <c r="Y1236" i="1" s="1"/>
  <c r="W674" i="1"/>
  <c r="X674" i="1" s="1"/>
  <c r="W874" i="1"/>
  <c r="Y874" i="1" s="1"/>
  <c r="W1193" i="1"/>
  <c r="X1193" i="1" s="1"/>
  <c r="W1044" i="1"/>
  <c r="Y1044" i="1" s="1"/>
  <c r="W754" i="1"/>
  <c r="X754" i="1" s="1"/>
  <c r="W693" i="1"/>
  <c r="W458" i="1"/>
  <c r="Y458" i="1" s="1"/>
  <c r="W909" i="1"/>
  <c r="Y909" i="1" s="1"/>
  <c r="W604" i="1"/>
  <c r="Y604" i="1" s="1"/>
  <c r="X56" i="5"/>
  <c r="Y56" i="5" s="1"/>
  <c r="W859" i="1"/>
  <c r="W752" i="1"/>
  <c r="Y752" i="1" s="1"/>
  <c r="W605" i="1"/>
  <c r="X605" i="1" s="1"/>
  <c r="W264" i="1"/>
  <c r="Y264" i="1" s="1"/>
  <c r="W798" i="1"/>
  <c r="Y798" i="1" s="1"/>
  <c r="W431" i="1"/>
  <c r="Y431" i="1" s="1"/>
  <c r="W727" i="1"/>
  <c r="Y727" i="1" s="1"/>
  <c r="W460" i="1"/>
  <c r="X460" i="1" s="1"/>
  <c r="W1012" i="1"/>
  <c r="Y1012" i="1" s="1"/>
  <c r="W718" i="1"/>
  <c r="Y718" i="1" s="1"/>
  <c r="W523" i="1"/>
  <c r="Y523" i="1" s="1"/>
  <c r="W186" i="1"/>
  <c r="W20" i="1"/>
  <c r="Y20" i="1" s="1"/>
  <c r="W711" i="1"/>
  <c r="X711" i="1" s="1"/>
  <c r="W146" i="1"/>
  <c r="Y146" i="1" s="1"/>
  <c r="W664" i="1"/>
  <c r="X664" i="1" s="1"/>
  <c r="W204" i="1"/>
  <c r="Y204" i="1" s="1"/>
  <c r="W609" i="1"/>
  <c r="Y609" i="1" s="1"/>
  <c r="W103" i="1"/>
  <c r="Y103" i="1" s="1"/>
  <c r="W361" i="1"/>
  <c r="X361" i="1" s="1"/>
  <c r="W207" i="1"/>
  <c r="Y207" i="1" s="1"/>
  <c r="W113" i="1"/>
  <c r="Y113" i="1" s="1"/>
  <c r="W193" i="1"/>
  <c r="X193" i="1" s="1"/>
  <c r="W533" i="1"/>
  <c r="X533" i="1" s="1"/>
  <c r="W871" i="1"/>
  <c r="X871" i="1" s="1"/>
  <c r="W1216" i="1"/>
  <c r="Y1216" i="1" s="1"/>
  <c r="X130" i="5"/>
  <c r="Y130" i="5" s="1"/>
  <c r="W552" i="1"/>
  <c r="X552" i="1" s="1"/>
  <c r="W517" i="1"/>
  <c r="X517" i="1" s="1"/>
  <c r="W359" i="1"/>
  <c r="X359" i="1" s="1"/>
  <c r="W999" i="1"/>
  <c r="W250" i="1"/>
  <c r="Y250" i="1" s="1"/>
  <c r="W547" i="1"/>
  <c r="Y547" i="1" s="1"/>
  <c r="W439" i="1"/>
  <c r="Y439" i="1" s="1"/>
  <c r="W1150" i="1"/>
  <c r="X1150" i="1" s="1"/>
  <c r="W885" i="1"/>
  <c r="Y885" i="1" s="1"/>
  <c r="W1052" i="1"/>
  <c r="Y1052" i="1" s="1"/>
  <c r="W1095" i="1"/>
  <c r="X1095" i="1" s="1"/>
  <c r="W501" i="1"/>
  <c r="Y501" i="1" s="1"/>
  <c r="W946" i="1"/>
  <c r="Y946" i="1" s="1"/>
  <c r="W1162" i="1"/>
  <c r="X1162" i="1" s="1"/>
  <c r="W672" i="1"/>
  <c r="Y672" i="1" s="1"/>
  <c r="W437" i="1"/>
  <c r="Y437" i="1" s="1"/>
  <c r="W870" i="1"/>
  <c r="X870" i="1" s="1"/>
  <c r="W285" i="1"/>
  <c r="W567" i="1"/>
  <c r="Y567" i="1" s="1"/>
  <c r="W748" i="1"/>
  <c r="Y748" i="1" s="1"/>
  <c r="W1214" i="1"/>
  <c r="X1214" i="1" s="1"/>
  <c r="W838" i="1"/>
  <c r="Y838" i="1" s="1"/>
  <c r="W1010" i="1"/>
  <c r="X88" i="5"/>
  <c r="Y88" i="5" s="1"/>
  <c r="W904" i="1"/>
  <c r="X904" i="1" s="1"/>
  <c r="W1209" i="1"/>
  <c r="X1209" i="1" s="1"/>
  <c r="W413" i="1"/>
  <c r="X413" i="1" s="1"/>
  <c r="W581" i="1"/>
  <c r="Y581" i="1" s="1"/>
  <c r="W239" i="1"/>
  <c r="X239" i="1" s="1"/>
  <c r="W896" i="1"/>
  <c r="Y896" i="1" s="1"/>
  <c r="W830" i="1"/>
  <c r="Y830" i="1" s="1"/>
  <c r="W1098" i="1"/>
  <c r="X1098" i="1" s="1"/>
  <c r="W702" i="1"/>
  <c r="Y702" i="1" s="1"/>
  <c r="W582" i="1"/>
  <c r="Y582" i="1" s="1"/>
  <c r="W47" i="1"/>
  <c r="Y47" i="1" s="1"/>
  <c r="W579" i="1"/>
  <c r="X579" i="1" s="1"/>
  <c r="W140" i="1"/>
  <c r="X140" i="1" s="1"/>
  <c r="W26" i="1"/>
  <c r="Y26" i="1" s="1"/>
  <c r="W462" i="1"/>
  <c r="W372" i="1"/>
  <c r="W892" i="1"/>
  <c r="Y892" i="1" s="1"/>
  <c r="W319" i="1"/>
  <c r="Y319" i="1" s="1"/>
  <c r="W657" i="1"/>
  <c r="Y657" i="1" s="1"/>
  <c r="W822" i="1"/>
  <c r="Y822" i="1" s="1"/>
  <c r="W911" i="1"/>
  <c r="X911" i="1" s="1"/>
  <c r="W670" i="1"/>
  <c r="W975" i="1"/>
  <c r="W159" i="1"/>
  <c r="X159" i="1" s="1"/>
  <c r="W338" i="1"/>
  <c r="Y338" i="1" s="1"/>
  <c r="W641" i="1"/>
  <c r="X641" i="1" s="1"/>
  <c r="W697" i="1"/>
  <c r="X697" i="1" s="1"/>
  <c r="W418" i="1"/>
  <c r="X418" i="1" s="1"/>
  <c r="W774" i="1"/>
  <c r="Y774" i="1" s="1"/>
  <c r="W824" i="1"/>
  <c r="X824" i="1" s="1"/>
  <c r="W714" i="1"/>
  <c r="Y714" i="1" s="1"/>
  <c r="W479" i="1"/>
  <c r="W407" i="1"/>
  <c r="W603" i="1"/>
  <c r="Y603" i="1" s="1"/>
  <c r="W263" i="1"/>
  <c r="X263" i="1" s="1"/>
  <c r="W831" i="1"/>
  <c r="W678" i="1"/>
  <c r="X678" i="1" s="1"/>
  <c r="W880" i="1"/>
  <c r="Y880" i="1" s="1"/>
  <c r="W1129" i="1"/>
  <c r="X1129" i="1" s="1"/>
  <c r="W734" i="1"/>
  <c r="Y734" i="1" s="1"/>
  <c r="W484" i="1"/>
  <c r="Y484" i="1" s="1"/>
  <c r="W164" i="1"/>
  <c r="W49" i="1"/>
  <c r="X49" i="1" s="1"/>
  <c r="W668" i="1"/>
  <c r="X668" i="1" s="1"/>
  <c r="X682" i="1"/>
  <c r="W820" i="1"/>
  <c r="X820" i="1" s="1"/>
  <c r="W420" i="1"/>
  <c r="X420" i="1" s="1"/>
  <c r="W133" i="1"/>
  <c r="Y133" i="1" s="1"/>
  <c r="W585" i="1"/>
  <c r="X585" i="1" s="1"/>
  <c r="W87" i="1"/>
  <c r="X87" i="1" s="1"/>
  <c r="W442" i="1"/>
  <c r="X442" i="1" s="1"/>
  <c r="W737" i="1"/>
  <c r="X737" i="1" s="1"/>
  <c r="W860" i="1"/>
  <c r="X860" i="1" s="1"/>
  <c r="W1151" i="1"/>
  <c r="X1151" i="1" s="1"/>
  <c r="W394" i="1"/>
  <c r="W370" i="1"/>
  <c r="X370" i="1" s="1"/>
  <c r="W628" i="1"/>
  <c r="X628" i="1" s="1"/>
  <c r="W893" i="1"/>
  <c r="Y893" i="1" s="1"/>
  <c r="W1083" i="1"/>
  <c r="X1083" i="1" s="1"/>
  <c r="W776" i="1"/>
  <c r="Y776" i="1" s="1"/>
  <c r="W941" i="1"/>
  <c r="W1013" i="1"/>
  <c r="W629" i="1"/>
  <c r="X629" i="1" s="1"/>
  <c r="W802" i="1"/>
  <c r="X802" i="1" s="1"/>
  <c r="W914" i="1"/>
  <c r="Y914" i="1" s="1"/>
  <c r="W851" i="1"/>
  <c r="Y851" i="1" s="1"/>
  <c r="W1138" i="1"/>
  <c r="Y1138" i="1" s="1"/>
  <c r="W541" i="1"/>
  <c r="Y541" i="1" s="1"/>
  <c r="W538" i="1"/>
  <c r="X538" i="1" s="1"/>
  <c r="W758" i="1"/>
  <c r="Y758" i="1" s="1"/>
  <c r="W708" i="1"/>
  <c r="X708" i="1" s="1"/>
  <c r="W804" i="1"/>
  <c r="Y804" i="1" s="1"/>
  <c r="W15" i="1"/>
  <c r="W639" i="1"/>
  <c r="X639" i="1" s="1"/>
  <c r="W935" i="1"/>
  <c r="X935" i="1" s="1"/>
  <c r="W344" i="1"/>
  <c r="X344" i="1" s="1"/>
  <c r="W658" i="1"/>
  <c r="Y658" i="1" s="1"/>
  <c r="W423" i="1"/>
  <c r="W847" i="1"/>
  <c r="W799" i="1"/>
  <c r="Y799" i="1" s="1"/>
  <c r="W296" i="1"/>
  <c r="X296" i="1" s="1"/>
  <c r="W882" i="1"/>
  <c r="Y882" i="1" s="1"/>
  <c r="W745" i="1"/>
  <c r="W335" i="1"/>
  <c r="X335" i="1" s="1"/>
  <c r="W651" i="1"/>
  <c r="W388" i="1"/>
  <c r="Y388" i="1" s="1"/>
  <c r="W464" i="1"/>
  <c r="X464" i="1" s="1"/>
  <c r="W184" i="1"/>
  <c r="Y184" i="1" s="1"/>
  <c r="W260" i="1"/>
  <c r="Y260" i="1" s="1"/>
  <c r="W1020" i="1"/>
  <c r="W536" i="1"/>
  <c r="Y536" i="1" s="1"/>
  <c r="W199" i="1"/>
  <c r="X199" i="1" s="1"/>
  <c r="W201" i="1"/>
  <c r="X201" i="1" s="1"/>
  <c r="W489" i="1"/>
  <c r="Y489" i="1" s="1"/>
  <c r="W292" i="1"/>
  <c r="Y292" i="1" s="1"/>
  <c r="W424" i="1"/>
  <c r="X39" i="5"/>
  <c r="Y39" i="5" s="1"/>
  <c r="W219" i="1"/>
  <c r="Y219" i="1" s="1"/>
  <c r="W720" i="1"/>
  <c r="Y720" i="1" s="1"/>
  <c r="W288" i="1"/>
  <c r="Y288" i="1" s="1"/>
  <c r="W44" i="1"/>
  <c r="W227" i="1"/>
  <c r="X227" i="1" s="1"/>
  <c r="W483" i="1"/>
  <c r="Y483" i="1" s="1"/>
  <c r="W235" i="1"/>
  <c r="Y235" i="1" s="1"/>
  <c r="W371" i="1"/>
  <c r="Y371" i="1" s="1"/>
  <c r="W510" i="1"/>
  <c r="W21" i="1"/>
  <c r="Y21" i="1" s="1"/>
  <c r="X7" i="5"/>
  <c r="Y7" i="5" s="1"/>
  <c r="W105" i="1"/>
  <c r="X105" i="1" s="1"/>
  <c r="W170" i="1"/>
  <c r="W302" i="1"/>
  <c r="Y302" i="1" s="1"/>
  <c r="W25" i="1"/>
  <c r="Y25" i="1" s="1"/>
  <c r="W117" i="1"/>
  <c r="Y117" i="1" s="1"/>
  <c r="W40" i="1"/>
  <c r="Y40" i="1" s="1"/>
  <c r="W56" i="1"/>
  <c r="Y56" i="1" s="1"/>
  <c r="W155" i="1"/>
  <c r="W115" i="1"/>
  <c r="Y115" i="1" s="1"/>
  <c r="W63" i="1"/>
  <c r="X63" i="1" s="1"/>
  <c r="X8" i="5"/>
  <c r="Y8" i="5" s="1"/>
  <c r="W281" i="1"/>
  <c r="Y281" i="1" s="1"/>
  <c r="W592" i="1"/>
  <c r="W205" i="1"/>
  <c r="X205" i="1" s="1"/>
  <c r="W3" i="1"/>
  <c r="Y3" i="1" s="1"/>
  <c r="W255" i="1"/>
  <c r="Y255" i="1" s="1"/>
  <c r="W516" i="1"/>
  <c r="Y516" i="1" s="1"/>
  <c r="X33" i="5"/>
  <c r="Y33" i="5" s="1"/>
  <c r="W142" i="1"/>
  <c r="W521" i="1"/>
  <c r="Y521" i="1" s="1"/>
  <c r="W182" i="1"/>
  <c r="X182" i="1" s="1"/>
  <c r="W446" i="1"/>
  <c r="W5" i="1"/>
  <c r="Y5" i="1" s="1"/>
  <c r="W78" i="1"/>
  <c r="X78" i="1" s="1"/>
  <c r="W109" i="1"/>
  <c r="Y109" i="1" s="1"/>
  <c r="W323" i="1"/>
  <c r="W268" i="1"/>
  <c r="W59" i="1"/>
  <c r="Y59" i="1" s="1"/>
  <c r="X24" i="5"/>
  <c r="Y24" i="5" s="1"/>
  <c r="W123" i="1"/>
  <c r="Y123" i="1" s="1"/>
  <c r="W195" i="1"/>
  <c r="Y195" i="1" s="1"/>
  <c r="W259" i="1"/>
  <c r="Y259" i="1" s="1"/>
  <c r="W419" i="1"/>
  <c r="X419" i="1" s="1"/>
  <c r="W174" i="1"/>
  <c r="Y174" i="1" s="1"/>
  <c r="W617" i="1"/>
  <c r="W42" i="1"/>
  <c r="Y42" i="1" s="1"/>
  <c r="W82" i="1"/>
  <c r="Y82" i="1" s="1"/>
  <c r="W889" i="1"/>
  <c r="Y889" i="1" s="1"/>
  <c r="W28" i="1"/>
  <c r="X28" i="1" s="1"/>
  <c r="W852" i="1"/>
  <c r="X852" i="1" s="1"/>
  <c r="Y974" i="1"/>
  <c r="W398" i="1"/>
  <c r="Y398" i="1" s="1"/>
  <c r="W814" i="1"/>
  <c r="Y814" i="1" s="1"/>
  <c r="W652" i="1"/>
  <c r="Y652" i="1" s="1"/>
  <c r="W497" i="1"/>
  <c r="Y497" i="1" s="1"/>
  <c r="W295" i="1"/>
  <c r="X295" i="1" s="1"/>
  <c r="W320" i="1"/>
  <c r="Y320" i="1" s="1"/>
  <c r="W229" i="1"/>
  <c r="Y229" i="1" s="1"/>
  <c r="W333" i="1"/>
  <c r="Y333" i="1" s="1"/>
  <c r="W494" i="1"/>
  <c r="Y494" i="1" s="1"/>
  <c r="W399" i="1"/>
  <c r="X399" i="1" s="1"/>
  <c r="W98" i="1"/>
  <c r="Y98" i="1" s="1"/>
  <c r="W178" i="1"/>
  <c r="X178" i="1" s="1"/>
  <c r="W180" i="1"/>
  <c r="W283" i="1"/>
  <c r="Y283" i="1" s="1"/>
  <c r="W176" i="1"/>
  <c r="Y176" i="1" s="1"/>
  <c r="W643" i="1"/>
  <c r="Y643" i="1" s="1"/>
  <c r="W385" i="1"/>
  <c r="X385" i="1" s="1"/>
  <c r="W661" i="1"/>
  <c r="Y661" i="1" s="1"/>
  <c r="W449" i="1"/>
  <c r="X449" i="1" s="1"/>
  <c r="W576" i="1"/>
  <c r="X576" i="1" s="1"/>
  <c r="W537" i="1"/>
  <c r="X537" i="1" s="1"/>
  <c r="W476" i="1"/>
  <c r="W336" i="1"/>
  <c r="X336" i="1" s="1"/>
  <c r="W327" i="1"/>
  <c r="X327" i="1" s="1"/>
  <c r="W48" i="1"/>
  <c r="Y48" i="1" s="1"/>
  <c r="W45" i="1"/>
  <c r="Y45" i="1" s="1"/>
  <c r="W131" i="1"/>
  <c r="Y131" i="1" s="1"/>
  <c r="W216" i="1"/>
  <c r="X216" i="1" s="1"/>
  <c r="W86" i="1"/>
  <c r="X86" i="1" s="1"/>
  <c r="W272" i="1"/>
  <c r="W648" i="1"/>
  <c r="Y648" i="1" s="1"/>
  <c r="W515" i="1"/>
  <c r="Y515" i="1" s="1"/>
  <c r="W558" i="1"/>
  <c r="X558" i="1" s="1"/>
  <c r="W38" i="1"/>
  <c r="W90" i="1"/>
  <c r="X90" i="1" s="1"/>
  <c r="X23" i="5"/>
  <c r="Y23" i="5" s="1"/>
  <c r="W560" i="1"/>
  <c r="X560" i="1" s="1"/>
  <c r="W214" i="1"/>
  <c r="X214" i="1" s="1"/>
  <c r="W485" i="1"/>
  <c r="X485" i="1" s="1"/>
  <c r="W243" i="1"/>
  <c r="X243" i="1" s="1"/>
  <c r="X5" i="5"/>
  <c r="Y5" i="5" s="1"/>
  <c r="W121" i="1"/>
  <c r="Y121" i="1" s="1"/>
  <c r="W487" i="1"/>
  <c r="Y487" i="1" s="1"/>
  <c r="W409" i="1"/>
  <c r="W680" i="1"/>
  <c r="Y680" i="1" s="1"/>
  <c r="W241" i="1"/>
  <c r="Y241" i="1" s="1"/>
  <c r="W149" i="1"/>
  <c r="Y149" i="1" s="1"/>
  <c r="W400" i="1"/>
  <c r="X400" i="1" s="1"/>
  <c r="W139" i="1"/>
  <c r="X139" i="1" s="1"/>
  <c r="W9" i="1"/>
  <c r="Y9" i="1" s="1"/>
  <c r="W99" i="1"/>
  <c r="Y99" i="1" s="1"/>
  <c r="X36" i="5"/>
  <c r="Y36" i="5" s="1"/>
  <c r="W452" i="1"/>
  <c r="W14" i="1"/>
  <c r="X14" i="1" s="1"/>
  <c r="W414" i="1"/>
  <c r="Y414" i="1" s="1"/>
  <c r="W677" i="1"/>
  <c r="Y677" i="1" s="1"/>
  <c r="W417" i="1"/>
  <c r="W64" i="1"/>
  <c r="Y64" i="1" s="1"/>
  <c r="W110" i="1"/>
  <c r="Y110" i="1" s="1"/>
  <c r="W340" i="1"/>
  <c r="X340" i="1" s="1"/>
  <c r="W246" i="1"/>
  <c r="Y246" i="1" s="1"/>
  <c r="W545" i="1"/>
  <c r="Y545" i="1" s="1"/>
  <c r="W539" i="1"/>
  <c r="W659" i="1"/>
  <c r="W81" i="1"/>
  <c r="Y81" i="1" s="1"/>
  <c r="W715" i="1"/>
  <c r="Y715" i="1" s="1"/>
  <c r="W304" i="1"/>
  <c r="Y304" i="1" s="1"/>
  <c r="Y918" i="1"/>
  <c r="X74" i="1"/>
  <c r="W615" i="1"/>
  <c r="X615" i="1" s="1"/>
  <c r="W780" i="1"/>
  <c r="X780" i="1" s="1"/>
  <c r="W185" i="1"/>
  <c r="X185" i="1" s="1"/>
  <c r="W12" i="1"/>
  <c r="Y12" i="1" s="1"/>
  <c r="W631" i="1"/>
  <c r="Y631" i="1" s="1"/>
  <c r="W956" i="1"/>
  <c r="W622" i="1"/>
  <c r="X622" i="1" s="1"/>
  <c r="W218" i="1"/>
  <c r="Y218" i="1" s="1"/>
  <c r="W513" i="1"/>
  <c r="Y513" i="1" s="1"/>
  <c r="W646" i="1"/>
  <c r="W392" i="1"/>
  <c r="W203" i="1"/>
  <c r="Y203" i="1" s="1"/>
  <c r="W251" i="1"/>
  <c r="Y251" i="1" s="1"/>
  <c r="W653" i="1"/>
  <c r="X653" i="1" s="1"/>
  <c r="W365" i="1"/>
  <c r="Y365" i="1" s="1"/>
  <c r="Y493" i="1"/>
  <c r="W92" i="1"/>
  <c r="W563" i="1"/>
  <c r="Y563" i="1" s="1"/>
  <c r="W600" i="1"/>
  <c r="Y600" i="1" s="1"/>
  <c r="W134" i="1"/>
  <c r="Y134" i="1" s="1"/>
  <c r="W351" i="1"/>
  <c r="W137" i="1"/>
  <c r="W332" i="1"/>
  <c r="Y332" i="1" s="1"/>
  <c r="W508" i="1"/>
  <c r="X508" i="1" s="1"/>
  <c r="W468" i="1"/>
  <c r="Y468" i="1" s="1"/>
  <c r="X37" i="5"/>
  <c r="Y37" i="5" s="1"/>
  <c r="W16" i="1"/>
  <c r="W46" i="1"/>
  <c r="W208" i="1"/>
  <c r="Y208" i="1" s="1"/>
  <c r="W93" i="1"/>
  <c r="X93" i="1" s="1"/>
  <c r="W202" i="1"/>
  <c r="X202" i="1" s="1"/>
  <c r="W32" i="1"/>
  <c r="W289" i="1"/>
  <c r="W51" i="1"/>
  <c r="Y51" i="1" s="1"/>
  <c r="W248" i="1"/>
  <c r="W486" i="1"/>
  <c r="X34" i="5"/>
  <c r="Y34" i="5" s="1"/>
  <c r="W160" i="1"/>
  <c r="X28" i="5"/>
  <c r="Y28" i="5" s="1"/>
  <c r="W448" i="1"/>
  <c r="Y448" i="1" s="1"/>
  <c r="W451" i="1"/>
  <c r="Y451" i="1" s="1"/>
  <c r="W8" i="1"/>
  <c r="X8" i="1" s="1"/>
  <c r="W100" i="1"/>
  <c r="Y100" i="1" s="1"/>
  <c r="W683" i="1"/>
  <c r="Y683" i="1" s="1"/>
  <c r="W376" i="1"/>
  <c r="Y376" i="1" s="1"/>
  <c r="W612" i="1"/>
  <c r="W696" i="1"/>
  <c r="Y696" i="1" s="1"/>
  <c r="X14" i="5"/>
  <c r="Y14" i="5" s="1"/>
  <c r="W157" i="1"/>
  <c r="Y157" i="1" s="1"/>
  <c r="W380" i="1"/>
  <c r="X380" i="1" s="1"/>
  <c r="W144" i="1"/>
  <c r="W173" i="1"/>
  <c r="W6" i="1"/>
  <c r="W189" i="1"/>
  <c r="X189" i="1" s="1"/>
  <c r="W447" i="1"/>
  <c r="X447" i="1" s="1"/>
  <c r="W374" i="1"/>
  <c r="Y374" i="1" s="1"/>
  <c r="W41" i="1"/>
  <c r="Y41" i="1" s="1"/>
  <c r="X11" i="5"/>
  <c r="Y11" i="5" s="1"/>
  <c r="W345" i="1"/>
  <c r="W122" i="1"/>
  <c r="X122" i="1" s="1"/>
  <c r="W937" i="1"/>
  <c r="Y937" i="1" s="1"/>
  <c r="W676" i="1"/>
  <c r="X676" i="1" s="1"/>
  <c r="W749" i="1"/>
  <c r="X749" i="1" s="1"/>
  <c r="W667" i="1"/>
  <c r="W161" i="1"/>
  <c r="Y161" i="1" s="1"/>
  <c r="W463" i="1"/>
  <c r="X463" i="1" s="1"/>
  <c r="W919" i="1"/>
  <c r="X919" i="1" s="1"/>
  <c r="W377" i="1"/>
  <c r="Y377" i="1" s="1"/>
  <c r="W52" i="1"/>
  <c r="Y52" i="1" s="1"/>
  <c r="W611" i="1"/>
  <c r="W430" i="1"/>
  <c r="Y430" i="1" s="1"/>
  <c r="W858" i="1"/>
  <c r="Y858" i="1" s="1"/>
  <c r="W331" i="1"/>
  <c r="Y331" i="1" s="1"/>
  <c r="X12" i="5"/>
  <c r="Y12" i="5" s="1"/>
  <c r="W459" i="1"/>
  <c r="X459" i="1" s="1"/>
  <c r="W564" i="1"/>
  <c r="W252" i="1"/>
  <c r="Y252" i="1" s="1"/>
  <c r="W120" i="1"/>
  <c r="X120" i="1" s="1"/>
  <c r="W566" i="1"/>
  <c r="Y566" i="1" s="1"/>
  <c r="W138" i="1"/>
  <c r="Y138" i="1" s="1"/>
  <c r="W321" i="1"/>
  <c r="W1127" i="1"/>
  <c r="Y1127" i="1" s="1"/>
  <c r="W561" i="1"/>
  <c r="X561" i="1" s="1"/>
  <c r="W587" i="1"/>
  <c r="X587" i="1" s="1"/>
  <c r="W504" i="1"/>
  <c r="W206" i="1"/>
  <c r="X206" i="1" s="1"/>
  <c r="W77" i="1"/>
  <c r="Y77" i="1" s="1"/>
  <c r="W96" i="1"/>
  <c r="Y96" i="1" s="1"/>
  <c r="W225" i="1"/>
  <c r="W7" i="1"/>
  <c r="X7" i="1" s="1"/>
  <c r="X13" i="5"/>
  <c r="Y13" i="5" s="1"/>
  <c r="W284" i="1"/>
  <c r="X284" i="1" s="1"/>
  <c r="W475" i="1"/>
  <c r="X475" i="1" s="1"/>
  <c r="W636" i="1"/>
  <c r="X636" i="1" s="1"/>
  <c r="W23" i="1"/>
  <c r="X23" i="1" s="1"/>
  <c r="W55" i="1"/>
  <c r="Y55" i="1" s="1"/>
  <c r="W196" i="1"/>
  <c r="W274" i="1"/>
  <c r="Y274" i="1" s="1"/>
  <c r="W280" i="1"/>
  <c r="Y280" i="1" s="1"/>
  <c r="W878" i="1"/>
  <c r="W347" i="1"/>
  <c r="W236" i="1"/>
  <c r="X236" i="1" s="1"/>
  <c r="W342" i="1"/>
  <c r="Y342" i="1" s="1"/>
  <c r="W495" i="1"/>
  <c r="X495" i="1" s="1"/>
  <c r="X30" i="5"/>
  <c r="Y30" i="5" s="1"/>
  <c r="W197" i="1"/>
  <c r="Y197" i="1" s="1"/>
  <c r="W540" i="1"/>
  <c r="X540" i="1" s="1"/>
  <c r="W499" i="1"/>
  <c r="Y499" i="1" s="1"/>
  <c r="W95" i="1"/>
  <c r="W33" i="1"/>
  <c r="Y33" i="1" s="1"/>
  <c r="W80" i="1"/>
  <c r="X80" i="1" s="1"/>
  <c r="W556" i="1"/>
  <c r="Y556" i="1" s="1"/>
  <c r="W198" i="1"/>
  <c r="W996" i="1"/>
  <c r="Y996" i="1" s="1"/>
  <c r="W425" i="1"/>
  <c r="Y425" i="1" s="1"/>
  <c r="W114" i="1"/>
  <c r="Y114" i="1" s="1"/>
  <c r="X21" i="5"/>
  <c r="Y21" i="5" s="1"/>
  <c r="W163" i="1"/>
  <c r="W366" i="1"/>
  <c r="Y366" i="1" s="1"/>
  <c r="W61" i="1"/>
  <c r="Y61" i="1" s="1"/>
  <c r="W150" i="1"/>
  <c r="W147" i="1"/>
  <c r="W192" i="1"/>
  <c r="W58" i="1"/>
  <c r="X58" i="1" s="1"/>
  <c r="W307" i="1"/>
  <c r="Y307" i="1" s="1"/>
  <c r="W88" i="1"/>
  <c r="X88" i="1" s="1"/>
  <c r="W67" i="1"/>
  <c r="W276" i="1"/>
  <c r="X276" i="1" s="1"/>
  <c r="W148" i="1"/>
  <c r="W529" i="1"/>
  <c r="W72" i="1"/>
  <c r="Y72" i="1" s="1"/>
  <c r="X9" i="5"/>
  <c r="Y9" i="5" s="1"/>
  <c r="W209" i="1"/>
  <c r="Y209" i="1" s="1"/>
  <c r="X634" i="1"/>
  <c r="W964" i="1"/>
  <c r="X964" i="1" s="1"/>
  <c r="W863" i="1"/>
  <c r="Y863" i="1" s="1"/>
  <c r="W233" i="1"/>
  <c r="X233" i="1" s="1"/>
  <c r="W441" i="1"/>
  <c r="Y441" i="1" s="1"/>
  <c r="W500" i="1"/>
  <c r="Y500" i="1" s="1"/>
  <c r="W844" i="1"/>
  <c r="Y844" i="1" s="1"/>
  <c r="W795" i="1"/>
  <c r="Y795" i="1" s="1"/>
  <c r="W18" i="1"/>
  <c r="Y18" i="1" s="1"/>
  <c r="W127" i="1"/>
  <c r="Y127" i="1" s="1"/>
  <c r="W286" i="1"/>
  <c r="Y286" i="1" s="1"/>
  <c r="W438" i="1"/>
  <c r="W598" i="1"/>
  <c r="W179" i="1"/>
  <c r="W111" i="1"/>
  <c r="X111" i="1" s="1"/>
  <c r="W390" i="1"/>
  <c r="W518" i="1"/>
  <c r="W635" i="1"/>
  <c r="Y635" i="1" s="1"/>
  <c r="W577" i="1"/>
  <c r="X577" i="1" s="1"/>
  <c r="W91" i="1"/>
  <c r="X91" i="1" s="1"/>
  <c r="W675" i="1"/>
  <c r="W107" i="1"/>
  <c r="X107" i="1" s="1"/>
  <c r="X15" i="5"/>
  <c r="Y15" i="5" s="1"/>
  <c r="W158" i="1"/>
  <c r="Y158" i="1" s="1"/>
  <c r="W30" i="1"/>
  <c r="Y30" i="1" s="1"/>
  <c r="W54" i="1"/>
  <c r="Y54" i="1" s="1"/>
  <c r="W85" i="1"/>
  <c r="X85" i="1" s="1"/>
  <c r="W19" i="1"/>
  <c r="Y19" i="1" s="1"/>
  <c r="W188" i="1"/>
  <c r="W384" i="1"/>
  <c r="Y384" i="1" s="1"/>
  <c r="W379" i="1"/>
  <c r="W35" i="1"/>
  <c r="Y35" i="1" s="1"/>
  <c r="W869" i="1"/>
  <c r="X869" i="1" s="1"/>
  <c r="W574" i="1"/>
  <c r="W403" i="1"/>
  <c r="W855" i="1"/>
  <c r="Y855" i="1" s="1"/>
  <c r="W565" i="1"/>
  <c r="Y565" i="1" s="1"/>
  <c r="W505" i="1"/>
  <c r="Y505" i="1" s="1"/>
  <c r="W927" i="1"/>
  <c r="X927" i="1" s="1"/>
  <c r="W1042" i="1"/>
  <c r="Y1042" i="1" s="1"/>
  <c r="W363" i="1"/>
  <c r="Y363" i="1" s="1"/>
  <c r="Y810" i="1"/>
  <c r="W813" i="1"/>
  <c r="Y813" i="1" s="1"/>
  <c r="X29" i="5"/>
  <c r="Y29" i="5" s="1"/>
  <c r="W84" i="1"/>
  <c r="Y84" i="1" s="1"/>
  <c r="W688" i="1"/>
  <c r="Y688" i="1" s="1"/>
  <c r="W619" i="1"/>
  <c r="Y619" i="1" s="1"/>
  <c r="W456" i="1"/>
  <c r="W644" i="1"/>
  <c r="W299" i="1"/>
  <c r="X299" i="1" s="1"/>
  <c r="W606" i="1"/>
  <c r="Y606" i="1" s="1"/>
  <c r="W162" i="1"/>
  <c r="Y162" i="1" s="1"/>
  <c r="W108" i="1"/>
  <c r="X40" i="5"/>
  <c r="Y40" i="5" s="1"/>
  <c r="W360" i="1"/>
  <c r="X360" i="1" s="1"/>
  <c r="W153" i="1"/>
  <c r="Y153" i="1" s="1"/>
  <c r="W10" i="1"/>
  <c r="W151" i="1"/>
  <c r="Y151" i="1" s="1"/>
  <c r="W329" i="1"/>
  <c r="X329" i="1" s="1"/>
  <c r="W395" i="1"/>
  <c r="Y395" i="1" s="1"/>
  <c r="W884" i="1"/>
  <c r="Y884" i="1" s="1"/>
  <c r="W590" i="1"/>
  <c r="W145" i="1"/>
  <c r="Y145" i="1" s="1"/>
  <c r="W444" i="1"/>
  <c r="X444" i="1" s="1"/>
  <c r="W337" i="1"/>
  <c r="W473" i="1"/>
  <c r="Y473" i="1" s="1"/>
  <c r="W230" i="1"/>
  <c r="Y230" i="1" s="1"/>
  <c r="W43" i="1"/>
  <c r="W11" i="1"/>
  <c r="W24" i="1"/>
  <c r="X24" i="1" s="1"/>
  <c r="W104" i="1"/>
  <c r="Y104" i="1" s="1"/>
  <c r="W647" i="1"/>
  <c r="Y647" i="1" s="1"/>
  <c r="W788" i="1"/>
  <c r="X31" i="5"/>
  <c r="Y31" i="5" s="1"/>
  <c r="W868" i="1"/>
  <c r="Y868" i="1" s="1"/>
  <c r="W769" i="1"/>
  <c r="W686" i="1"/>
  <c r="X686" i="1" s="1"/>
  <c r="W728" i="1"/>
  <c r="Y728" i="1" s="1"/>
  <c r="W177" i="1"/>
  <c r="Y177" i="1" s="1"/>
  <c r="W568" i="1"/>
  <c r="Y568" i="1" s="1"/>
  <c r="W387" i="1"/>
  <c r="Y387" i="1" s="1"/>
  <c r="W432" i="1"/>
  <c r="X432" i="1" s="1"/>
  <c r="W166" i="1"/>
  <c r="X166" i="1" s="1"/>
  <c r="W94" i="1"/>
  <c r="Y94" i="1" s="1"/>
  <c r="W221" i="1"/>
  <c r="Y221" i="1" s="1"/>
  <c r="W62" i="1"/>
  <c r="Y62" i="1" s="1"/>
  <c r="W751" i="1"/>
  <c r="W454" i="1"/>
  <c r="Y454" i="1" s="1"/>
  <c r="W68" i="1"/>
  <c r="X68" i="1" s="1"/>
  <c r="W119" i="1"/>
  <c r="X119" i="1" s="1"/>
  <c r="W491" i="1"/>
  <c r="X491" i="1" s="1"/>
  <c r="W66" i="1"/>
  <c r="Y66" i="1" s="1"/>
  <c r="W116" i="1"/>
  <c r="W502" i="1"/>
  <c r="Y502" i="1" s="1"/>
  <c r="X426" i="1"/>
  <c r="W632" i="1"/>
  <c r="Y632" i="1" s="1"/>
  <c r="W550" i="1"/>
  <c r="X27" i="5"/>
  <c r="Y27" i="5" s="1"/>
  <c r="W126" i="1"/>
  <c r="X126" i="1" s="1"/>
  <c r="W277" i="1"/>
  <c r="X277" i="1" s="1"/>
  <c r="W633" i="1"/>
  <c r="Y633" i="1" s="1"/>
  <c r="W112" i="1"/>
  <c r="Y112" i="1" s="1"/>
  <c r="W89" i="1"/>
  <c r="Y89" i="1" s="1"/>
  <c r="W303" i="1"/>
  <c r="X303" i="1" s="1"/>
  <c r="W278" i="1"/>
  <c r="W315" i="1"/>
  <c r="W637" i="1"/>
  <c r="X637" i="1" s="1"/>
  <c r="W391" i="1"/>
  <c r="X391" i="1" s="1"/>
  <c r="W355" i="1"/>
  <c r="Y355" i="1" s="1"/>
  <c r="W29" i="1"/>
  <c r="Y29" i="1" s="1"/>
  <c r="W443" i="1"/>
  <c r="Y443" i="1" s="1"/>
  <c r="W273" i="1"/>
  <c r="W190" i="1"/>
  <c r="Y190" i="1" s="1"/>
  <c r="W584" i="1"/>
  <c r="Y584" i="1" s="1"/>
  <c r="W136" i="1"/>
  <c r="X136" i="1" s="1"/>
  <c r="W57" i="1"/>
  <c r="X57" i="1" s="1"/>
  <c r="X25" i="5"/>
  <c r="Y25" i="5" s="1"/>
  <c r="W70" i="1"/>
  <c r="W181" i="1"/>
  <c r="Y181" i="1" s="1"/>
  <c r="X10" i="5"/>
  <c r="Y10" i="5" s="1"/>
  <c r="W316" i="1"/>
  <c r="X316" i="1" s="1"/>
  <c r="W37" i="1"/>
  <c r="X37" i="1" s="1"/>
  <c r="W608" i="1"/>
  <c r="X16" i="5"/>
  <c r="Y16" i="5" s="1"/>
  <c r="W83" i="1"/>
  <c r="W553" i="1"/>
  <c r="X553" i="1" s="1"/>
  <c r="X26" i="5"/>
  <c r="Y26" i="5" s="1"/>
  <c r="W481" i="1"/>
  <c r="W297" i="1"/>
  <c r="X297" i="1" s="1"/>
  <c r="W478" i="1"/>
  <c r="Y478" i="1" s="1"/>
  <c r="W211" i="1"/>
  <c r="Y211" i="1" s="1"/>
  <c r="W118" i="1"/>
  <c r="W22" i="1"/>
  <c r="Y22" i="1" s="1"/>
  <c r="W312" i="1"/>
  <c r="Y312" i="1" s="1"/>
  <c r="W555" i="1"/>
  <c r="Y555" i="1" s="1"/>
  <c r="X22" i="5"/>
  <c r="Y22" i="5" s="1"/>
  <c r="W350" i="1"/>
  <c r="W27" i="1"/>
  <c r="W238" i="1"/>
  <c r="X238" i="1" s="1"/>
  <c r="W427" i="1"/>
  <c r="Y427" i="1" s="1"/>
  <c r="W318" i="1"/>
  <c r="Y318" i="1" s="1"/>
  <c r="W293" i="1"/>
  <c r="W512" i="1"/>
  <c r="W4" i="1"/>
  <c r="X4" i="1" s="1"/>
  <c r="X20" i="5"/>
  <c r="Y20" i="5" s="1"/>
  <c r="W171" i="1"/>
  <c r="Y171" i="1" s="1"/>
  <c r="W152" i="1"/>
  <c r="X152" i="1" s="1"/>
  <c r="W75" i="1"/>
  <c r="X75" i="1" s="1"/>
  <c r="W511" i="1"/>
  <c r="X511" i="1" s="1"/>
  <c r="Y429" i="1" l="1"/>
  <c r="X842" i="1"/>
  <c r="X311" i="1"/>
  <c r="X69" i="1"/>
  <c r="Y1019" i="1"/>
  <c r="X1046" i="1"/>
  <c r="X458" i="1"/>
  <c r="Y933" i="1"/>
  <c r="X487" i="1"/>
  <c r="Y449" i="1"/>
  <c r="Y389" i="1"/>
  <c r="X1051" i="1"/>
  <c r="X55" i="1"/>
  <c r="X453" i="1"/>
  <c r="Y877" i="1"/>
  <c r="X474" i="1"/>
  <c r="X1135" i="1"/>
  <c r="X591" i="1"/>
  <c r="X25" i="1"/>
  <c r="Y843" i="1"/>
  <c r="Y49" i="1"/>
  <c r="Y383" i="1"/>
  <c r="X175" i="1"/>
  <c r="X428" i="1"/>
  <c r="X405" i="1"/>
  <c r="Y912" i="1"/>
  <c r="Y440" i="1"/>
  <c r="X492" i="1"/>
  <c r="X1305" i="1"/>
  <c r="X997" i="1"/>
  <c r="Y1137" i="1"/>
  <c r="Y987" i="1"/>
  <c r="X846" i="1"/>
  <c r="Y984" i="1"/>
  <c r="Y923" i="1"/>
  <c r="X1253" i="1"/>
  <c r="Y875" i="1"/>
  <c r="X570" i="1"/>
  <c r="X944" i="1"/>
  <c r="X866" i="1"/>
  <c r="X630" i="1"/>
  <c r="X51" i="1"/>
  <c r="Y375" i="1"/>
  <c r="Y660" i="1"/>
  <c r="X543" i="1"/>
  <c r="Y976" i="1"/>
  <c r="X691" i="1"/>
  <c r="X382" i="1"/>
  <c r="X334" i="1"/>
  <c r="X89" i="1"/>
  <c r="X410" i="1"/>
  <c r="Y650" i="1"/>
  <c r="Y509" i="1"/>
  <c r="X978" i="1"/>
  <c r="X549" i="1"/>
  <c r="Y717" i="1"/>
  <c r="X1110" i="1"/>
  <c r="Y1304" i="1"/>
  <c r="X96" i="1"/>
  <c r="X114" i="1"/>
  <c r="X1132" i="1"/>
  <c r="X685" i="1"/>
  <c r="X544" i="1"/>
  <c r="X1081" i="1"/>
  <c r="X21" i="1"/>
  <c r="X101" i="1"/>
  <c r="X338" i="1"/>
  <c r="X536" i="1"/>
  <c r="X861" i="1"/>
  <c r="X925" i="1"/>
  <c r="X1121" i="1"/>
  <c r="X445" i="1"/>
  <c r="X633" i="1"/>
  <c r="X928" i="1"/>
  <c r="X362" i="1"/>
  <c r="X269" i="1"/>
  <c r="Y508" i="1"/>
  <c r="X226" i="1"/>
  <c r="X501" i="1"/>
  <c r="Y336" i="1"/>
  <c r="X732" i="1"/>
  <c r="X702" i="1"/>
  <c r="Y80" i="1"/>
  <c r="X135" i="1"/>
  <c r="X949" i="1"/>
  <c r="Y349" i="1"/>
  <c r="X801" i="1"/>
  <c r="X603" i="1"/>
  <c r="X840" i="1"/>
  <c r="X854" i="1"/>
  <c r="X905" i="1"/>
  <c r="X1061" i="1"/>
  <c r="X756" i="1"/>
  <c r="Y865" i="1"/>
  <c r="X513" i="1"/>
  <c r="X158" i="1"/>
  <c r="X890" i="1"/>
  <c r="X767" i="1"/>
  <c r="X858" i="1"/>
  <c r="Y625" i="1"/>
  <c r="Y17" i="1"/>
  <c r="Y357" i="1"/>
  <c r="X901" i="1"/>
  <c r="X666" i="1"/>
  <c r="X1087" i="1"/>
  <c r="X867" i="1"/>
  <c r="Y862" i="1"/>
  <c r="X917" i="1"/>
  <c r="Y924" i="1"/>
  <c r="Y910" i="1"/>
  <c r="X1028" i="1"/>
  <c r="X121" i="1"/>
  <c r="Y881" i="1"/>
  <c r="X694" i="1"/>
  <c r="X181" i="1"/>
  <c r="X588" i="1"/>
  <c r="Y624" i="1"/>
  <c r="Y335" i="1"/>
  <c r="Y291" i="1"/>
  <c r="X791" i="1"/>
  <c r="Y763" i="1"/>
  <c r="Y1206" i="1"/>
  <c r="X470" i="1"/>
  <c r="X153" i="1"/>
  <c r="X218" i="1"/>
  <c r="X819" i="1"/>
  <c r="X724" i="1"/>
  <c r="Y265" i="1"/>
  <c r="X692" i="1"/>
  <c r="Y818" i="1"/>
  <c r="Y1080" i="1"/>
  <c r="X98" i="1"/>
  <c r="Y436" i="1"/>
  <c r="X65" i="1"/>
  <c r="Y668" i="1"/>
  <c r="X113" i="1"/>
  <c r="Y191" i="1"/>
  <c r="Y213" i="1"/>
  <c r="X364" i="1"/>
  <c r="X853" i="1"/>
  <c r="Y519" i="1"/>
  <c r="X480" i="1"/>
  <c r="Y942" i="1"/>
  <c r="X773" i="1"/>
  <c r="X1171" i="1"/>
  <c r="X416" i="1"/>
  <c r="Y934" i="1"/>
  <c r="Y344" i="1"/>
  <c r="X97" i="1"/>
  <c r="X559" i="1"/>
  <c r="X621" i="1"/>
  <c r="X677" i="1"/>
  <c r="X448" i="1"/>
  <c r="X125" i="1"/>
  <c r="X207" i="1"/>
  <c r="Y202" i="1"/>
  <c r="Y447" i="1"/>
  <c r="X572" i="1"/>
  <c r="X655" i="1"/>
  <c r="X64" i="1"/>
  <c r="X1288" i="1"/>
  <c r="X1247" i="1"/>
  <c r="X758" i="1"/>
  <c r="Y1067" i="1"/>
  <c r="Y1267" i="1"/>
  <c r="X774" i="1"/>
  <c r="Y193" i="1"/>
  <c r="Y23" i="1"/>
  <c r="Y485" i="1"/>
  <c r="X551" i="1"/>
  <c r="X223" i="1"/>
  <c r="X589" i="1"/>
  <c r="X59" i="1"/>
  <c r="X168" i="1"/>
  <c r="X834" i="1"/>
  <c r="X234" i="1"/>
  <c r="Y8" i="1"/>
  <c r="Y356" i="1"/>
  <c r="X242" i="1"/>
  <c r="X115" i="1"/>
  <c r="X20" i="1"/>
  <c r="X31" i="1"/>
  <c r="Y308" i="1"/>
  <c r="X800" i="1"/>
  <c r="X138" i="1"/>
  <c r="X1117" i="1"/>
  <c r="Y1248" i="1"/>
  <c r="Y1092" i="1"/>
  <c r="X13" i="1"/>
  <c r="X149" i="1"/>
  <c r="Y457" i="1"/>
  <c r="Y971" i="1"/>
  <c r="X610" i="1"/>
  <c r="Y729" i="1"/>
  <c r="X1276" i="1"/>
  <c r="Y823" i="1"/>
  <c r="Y936" i="1"/>
  <c r="Y1125" i="1"/>
  <c r="Y1256" i="1"/>
  <c r="Y370" i="1"/>
  <c r="X324" i="1"/>
  <c r="X1047" i="1"/>
  <c r="Y233" i="1"/>
  <c r="Y194" i="1"/>
  <c r="Y601" i="1"/>
  <c r="Y962" i="1"/>
  <c r="X825" i="1"/>
  <c r="X595" i="1"/>
  <c r="Y1057" i="1"/>
  <c r="X1238" i="1"/>
  <c r="X829" i="1"/>
  <c r="X849" i="1"/>
  <c r="X1055" i="1"/>
  <c r="X1177" i="1"/>
  <c r="Y1038" i="1"/>
  <c r="Y1031" i="1"/>
  <c r="X672" i="1"/>
  <c r="Y1008" i="1"/>
  <c r="Y1089" i="1"/>
  <c r="Y1228" i="1"/>
  <c r="X500" i="1"/>
  <c r="Y649" i="1"/>
  <c r="X1052" i="1"/>
  <c r="Y126" i="1"/>
  <c r="X388" i="1"/>
  <c r="X726" i="1"/>
  <c r="Y815" i="1"/>
  <c r="Y411" i="1"/>
  <c r="X541" i="1"/>
  <c r="Y128" i="1"/>
  <c r="X302" i="1"/>
  <c r="Y1278" i="1"/>
  <c r="X145" i="1"/>
  <c r="Y442" i="1"/>
  <c r="X167" i="1"/>
  <c r="X368" i="1"/>
  <c r="X414" i="1"/>
  <c r="X82" i="1"/>
  <c r="X61" i="1"/>
  <c r="X252" i="1"/>
  <c r="X520" i="1"/>
  <c r="Y358" i="1"/>
  <c r="X48" i="1"/>
  <c r="Y583" i="1"/>
  <c r="Y329" i="1"/>
  <c r="X731" i="1"/>
  <c r="X1283" i="1"/>
  <c r="X1232" i="1"/>
  <c r="Y1095" i="1"/>
  <c r="Y1064" i="1"/>
  <c r="Y553" i="1"/>
  <c r="X1006" i="1"/>
  <c r="Y76" i="1"/>
  <c r="X909" i="1"/>
  <c r="Y699" i="1"/>
  <c r="Y959" i="1"/>
  <c r="Y1101" i="1"/>
  <c r="X1271" i="1"/>
  <c r="Y107" i="1"/>
  <c r="X535" i="1"/>
  <c r="Y7" i="1"/>
  <c r="Y380" i="1"/>
  <c r="Y326" i="1"/>
  <c r="X231" i="1"/>
  <c r="X663" i="1"/>
  <c r="X705" i="1"/>
  <c r="X270" i="1"/>
  <c r="X1033" i="1"/>
  <c r="X839" i="1"/>
  <c r="Y247" i="1"/>
  <c r="X151" i="1"/>
  <c r="Y88" i="1"/>
  <c r="X797" i="1"/>
  <c r="Y527" i="1"/>
  <c r="X490" i="1"/>
  <c r="X282" i="1"/>
  <c r="X41" i="1"/>
  <c r="Y24" i="1"/>
  <c r="X478" i="1"/>
  <c r="Y317" i="1"/>
  <c r="X3" i="1"/>
  <c r="X365" i="1"/>
  <c r="X109" i="1"/>
  <c r="Y1172" i="1"/>
  <c r="Y262" i="1"/>
  <c r="X264" i="1"/>
  <c r="X844" i="1"/>
  <c r="X123" i="1"/>
  <c r="X133" i="1"/>
  <c r="Y746" i="1"/>
  <c r="X771" i="1"/>
  <c r="Y899" i="1"/>
  <c r="Y992" i="1"/>
  <c r="Y1126" i="1"/>
  <c r="X1001" i="1"/>
  <c r="X1060" i="1"/>
  <c r="Y1285" i="1"/>
  <c r="Y845" i="1"/>
  <c r="X1200" i="1"/>
  <c r="Y156" i="1"/>
  <c r="X134" i="1"/>
  <c r="X9" i="1"/>
  <c r="X176" i="1"/>
  <c r="X489" i="1"/>
  <c r="X143" i="1"/>
  <c r="X548" i="1"/>
  <c r="X661" i="1"/>
  <c r="X245" i="1"/>
  <c r="X986" i="1"/>
  <c r="Y165" i="1"/>
  <c r="Y580" i="1"/>
  <c r="X54" i="1"/>
  <c r="Y716" i="1"/>
  <c r="X200" i="1"/>
  <c r="X343" i="1"/>
  <c r="Y848" i="1"/>
  <c r="X274" i="1"/>
  <c r="X1034" i="1"/>
  <c r="Y296" i="1"/>
  <c r="X102" i="1"/>
  <c r="X146" i="1"/>
  <c r="Y298" i="1"/>
  <c r="Y444" i="1"/>
  <c r="Y79" i="1"/>
  <c r="Y276" i="1"/>
  <c r="X314" i="1"/>
  <c r="X632" i="1"/>
  <c r="X709" i="1"/>
  <c r="X673" i="1"/>
  <c r="X733" i="1"/>
  <c r="X607" i="1"/>
  <c r="X261" i="1"/>
  <c r="Y243" i="1"/>
  <c r="Y713" i="1"/>
  <c r="X498" i="1"/>
  <c r="X521" i="1"/>
  <c r="X434" i="1"/>
  <c r="Y1011" i="1"/>
  <c r="Y698" i="1"/>
  <c r="Y256" i="1"/>
  <c r="X1230" i="1"/>
  <c r="Y995" i="1"/>
  <c r="Y1300" i="1"/>
  <c r="X915" i="1"/>
  <c r="X1119" i="1"/>
  <c r="Y1106" i="1"/>
  <c r="X1124" i="1"/>
  <c r="X1102" i="1"/>
  <c r="X1082" i="1"/>
  <c r="X1181" i="1"/>
  <c r="Y850" i="1"/>
  <c r="Y1065" i="1"/>
  <c r="X1186" i="1"/>
  <c r="Y1184" i="1"/>
  <c r="X1173" i="1"/>
  <c r="X1136" i="1"/>
  <c r="X1100" i="1"/>
  <c r="X286" i="1"/>
  <c r="X889" i="1"/>
  <c r="X84" i="1"/>
  <c r="X131" i="1"/>
  <c r="X280" i="1"/>
  <c r="Y689" i="1"/>
  <c r="Y860" i="1"/>
  <c r="X799" i="1"/>
  <c r="X951" i="1"/>
  <c r="Y807" i="1"/>
  <c r="X1096" i="1"/>
  <c r="X1018" i="1"/>
  <c r="Y678" i="1"/>
  <c r="X565" i="1"/>
  <c r="Y1151" i="1"/>
  <c r="X946" i="1"/>
  <c r="Y1287" i="1"/>
  <c r="X72" i="1"/>
  <c r="Y460" i="1"/>
  <c r="X130" i="1"/>
  <c r="Y189" i="1"/>
  <c r="Y1251" i="1"/>
  <c r="X863" i="1"/>
  <c r="X568" i="1"/>
  <c r="X752" i="1"/>
  <c r="X1076" i="1"/>
  <c r="Y294" i="1"/>
  <c r="Y1097" i="1"/>
  <c r="Y488" i="1"/>
  <c r="Y216" i="1"/>
  <c r="X60" i="1"/>
  <c r="Y297" i="1"/>
  <c r="Y753" i="1"/>
  <c r="X1220" i="1"/>
  <c r="Y1195" i="1"/>
  <c r="X1032" i="1"/>
  <c r="X1310" i="1"/>
  <c r="Y1158" i="1"/>
  <c r="X332" i="1"/>
  <c r="Y185" i="1"/>
  <c r="X907" i="1"/>
  <c r="Y656" i="1"/>
  <c r="X473" i="1"/>
  <c r="Y105" i="1"/>
  <c r="Y781" i="1"/>
  <c r="X342" i="1"/>
  <c r="X100" i="1"/>
  <c r="X367" i="1"/>
  <c r="Y628" i="1"/>
  <c r="Y222" i="1"/>
  <c r="X499" i="1"/>
  <c r="X1005" i="1"/>
  <c r="Y704" i="1"/>
  <c r="Y597" i="1"/>
  <c r="Y360" i="1"/>
  <c r="X408" i="1"/>
  <c r="X755" i="1"/>
  <c r="X304" i="1"/>
  <c r="X232" i="1"/>
  <c r="X1059" i="1"/>
  <c r="Y90" i="1"/>
  <c r="Y240" i="1"/>
  <c r="X688" i="1"/>
  <c r="X727" i="1"/>
  <c r="X982" i="1"/>
  <c r="X1104" i="1"/>
  <c r="Y576" i="1"/>
  <c r="Y1027" i="1"/>
  <c r="Y1070" i="1"/>
  <c r="Y1208" i="1"/>
  <c r="Y1190" i="1"/>
  <c r="X833" i="1"/>
  <c r="X1169" i="1"/>
  <c r="Y1292" i="1"/>
  <c r="X873" i="1"/>
  <c r="X1204" i="1"/>
  <c r="Y1178" i="1"/>
  <c r="X892" i="1"/>
  <c r="X1280" i="1"/>
  <c r="Y1130" i="1"/>
  <c r="X1175" i="1"/>
  <c r="X1072" i="1"/>
  <c r="X1159" i="1"/>
  <c r="X99" i="1"/>
  <c r="Y820" i="1"/>
  <c r="Y1016" i="1"/>
  <c r="Y75" i="1"/>
  <c r="X562" i="1"/>
  <c r="Y533" i="1"/>
  <c r="Y309" i="1"/>
  <c r="Y78" i="1"/>
  <c r="X546" i="1"/>
  <c r="Y28" i="1"/>
  <c r="Y58" i="1"/>
  <c r="X762" i="1"/>
  <c r="X613" i="1"/>
  <c r="X94" i="1"/>
  <c r="X81" i="1"/>
  <c r="X211" i="1"/>
  <c r="X341" i="1"/>
  <c r="X787" i="1"/>
  <c r="X250" i="1"/>
  <c r="Y303" i="1"/>
  <c r="X42" i="1"/>
  <c r="X431" i="1"/>
  <c r="X736" i="1"/>
  <c r="Y57" i="1"/>
  <c r="Y413" i="1"/>
  <c r="Y236" i="1"/>
  <c r="Y290" i="1"/>
  <c r="X439" i="1"/>
  <c r="Y837" i="1"/>
  <c r="Y540" i="1"/>
  <c r="Y301" i="1"/>
  <c r="X161" i="1"/>
  <c r="X228" i="1"/>
  <c r="X279" i="1"/>
  <c r="X184" i="1"/>
  <c r="Y552" i="1"/>
  <c r="Y1146" i="1"/>
  <c r="X331" i="1"/>
  <c r="Y136" i="1"/>
  <c r="X224" i="1"/>
  <c r="Y911" i="1"/>
  <c r="X1069" i="1"/>
  <c r="X421" i="1"/>
  <c r="Y258" i="1"/>
  <c r="Y805" i="1"/>
  <c r="X981" i="1"/>
  <c r="X1042" i="1"/>
  <c r="X764" i="1"/>
  <c r="X526" i="1"/>
  <c r="X883" i="1"/>
  <c r="Y950" i="1"/>
  <c r="X648" i="1"/>
  <c r="X1025" i="1"/>
  <c r="X584" i="1"/>
  <c r="X652" i="1"/>
  <c r="X1094" i="1"/>
  <c r="X1154" i="1"/>
  <c r="X980" i="1"/>
  <c r="Y1215" i="1"/>
  <c r="X1229" i="1"/>
  <c r="X902" i="1"/>
  <c r="X259" i="1"/>
  <c r="Y1207" i="1"/>
  <c r="X1217" i="1"/>
  <c r="Y1098" i="1"/>
  <c r="X1091" i="1"/>
  <c r="Y1268" i="1"/>
  <c r="X1160" i="1"/>
  <c r="X960" i="1"/>
  <c r="Y199" i="1"/>
  <c r="Y86" i="1"/>
  <c r="X573" i="1"/>
  <c r="X1000" i="1"/>
  <c r="Y737" i="1"/>
  <c r="X777" i="1"/>
  <c r="X768" i="1"/>
  <c r="X1197" i="1"/>
  <c r="Y966" i="1"/>
  <c r="X1224" i="1"/>
  <c r="X1176" i="1"/>
  <c r="X1237" i="1"/>
  <c r="X1241" i="1"/>
  <c r="X1286" i="1"/>
  <c r="X1088" i="1"/>
  <c r="Y1196" i="1"/>
  <c r="Y119" i="1"/>
  <c r="X208" i="1"/>
  <c r="X103" i="1"/>
  <c r="X219" i="1"/>
  <c r="Y140" i="1"/>
  <c r="Y639" i="1"/>
  <c r="Y68" i="1"/>
  <c r="Y327" i="1"/>
  <c r="Y295" i="1"/>
  <c r="Y227" i="1"/>
  <c r="Y201" i="1"/>
  <c r="X586" i="1"/>
  <c r="Y674" i="1"/>
  <c r="Y313" i="1"/>
  <c r="Y432" i="1"/>
  <c r="Y122" i="1"/>
  <c r="X353" i="1"/>
  <c r="X221" i="1"/>
  <c r="Y393" i="1"/>
  <c r="Y141" i="1"/>
  <c r="X374" i="1"/>
  <c r="Y522" i="1"/>
  <c r="X1045" i="1"/>
  <c r="X157" i="1"/>
  <c r="X346" i="1"/>
  <c r="X516" i="1"/>
  <c r="X190" i="1"/>
  <c r="X110" i="1"/>
  <c r="Y277" i="1"/>
  <c r="X255" i="1"/>
  <c r="Y359" i="1"/>
  <c r="Y4" i="1"/>
  <c r="X33" i="1"/>
  <c r="X642" i="1"/>
  <c r="X765" i="1"/>
  <c r="Y821" i="1"/>
  <c r="Y554" i="1"/>
  <c r="X808" i="1"/>
  <c r="X169" i="1"/>
  <c r="X454" i="1"/>
  <c r="X599" i="1"/>
  <c r="Y91" i="1"/>
  <c r="X620" i="1"/>
  <c r="X292" i="1"/>
  <c r="Y39" i="1"/>
  <c r="Y495" i="1"/>
  <c r="X469" i="1"/>
  <c r="Y63" i="1"/>
  <c r="Y770" i="1"/>
  <c r="Y796" i="1"/>
  <c r="X312" i="1"/>
  <c r="Y120" i="1"/>
  <c r="Y399" i="1"/>
  <c r="X683" i="1"/>
  <c r="Y1074" i="1"/>
  <c r="X377" i="1"/>
  <c r="X310" i="1"/>
  <c r="Y217" i="1"/>
  <c r="Y872" i="1"/>
  <c r="X502" i="1"/>
  <c r="X1014" i="1"/>
  <c r="Y712" i="1"/>
  <c r="Y386" i="1"/>
  <c r="X657" i="1"/>
  <c r="X744" i="1"/>
  <c r="X817" i="1"/>
  <c r="X397" i="1"/>
  <c r="X466" i="1"/>
  <c r="Y340" i="1"/>
  <c r="Y970" i="1"/>
  <c r="X472" i="1"/>
  <c r="Y1231" i="1"/>
  <c r="X638" i="1"/>
  <c r="X896" i="1"/>
  <c r="X1079" i="1"/>
  <c r="X1058" i="1"/>
  <c r="X898" i="1"/>
  <c r="Y1111" i="1"/>
  <c r="Y1152" i="1"/>
  <c r="Y920" i="1"/>
  <c r="Y947" i="1"/>
  <c r="Y775" i="1"/>
  <c r="Y618" i="1"/>
  <c r="Y1162" i="1"/>
  <c r="X1086" i="1"/>
  <c r="X1003" i="1"/>
  <c r="Y1274" i="1"/>
  <c r="X888" i="1"/>
  <c r="Y985" i="1"/>
  <c r="Y1205" i="1"/>
  <c r="X790" i="1"/>
  <c r="X1142" i="1"/>
  <c r="X1166" i="1"/>
  <c r="X1144" i="1"/>
  <c r="Y1295" i="1"/>
  <c r="Y1107" i="1"/>
  <c r="X1004" i="1"/>
  <c r="X993" i="1"/>
  <c r="Y1226" i="1"/>
  <c r="Y943" i="1"/>
  <c r="Y1167" i="1"/>
  <c r="Y1066" i="1"/>
  <c r="X95" i="1"/>
  <c r="Y95" i="1"/>
  <c r="Y345" i="1"/>
  <c r="X345" i="1"/>
  <c r="AD28" i="5"/>
  <c r="AA28" i="5"/>
  <c r="Y272" i="1"/>
  <c r="X272" i="1"/>
  <c r="Y180" i="1"/>
  <c r="X180" i="1"/>
  <c r="Y155" i="1"/>
  <c r="X155" i="1"/>
  <c r="X1013" i="1"/>
  <c r="Y1013" i="1"/>
  <c r="X563" i="1"/>
  <c r="Y676" i="1"/>
  <c r="X999" i="1"/>
  <c r="Y999" i="1"/>
  <c r="Y693" i="1"/>
  <c r="X693" i="1"/>
  <c r="Y532" i="1"/>
  <c r="X532" i="1"/>
  <c r="Y142" i="1"/>
  <c r="X142" i="1"/>
  <c r="Y1029" i="1"/>
  <c r="X1029" i="1"/>
  <c r="X66" i="1"/>
  <c r="Y11" i="1"/>
  <c r="X11" i="1"/>
  <c r="Y504" i="1"/>
  <c r="X504" i="1"/>
  <c r="Y446" i="1"/>
  <c r="X446" i="1"/>
  <c r="X164" i="1"/>
  <c r="Y164" i="1"/>
  <c r="Y372" i="1"/>
  <c r="X372" i="1"/>
  <c r="X859" i="1"/>
  <c r="Y859" i="1"/>
  <c r="X116" i="1"/>
  <c r="Y116" i="1"/>
  <c r="Y6" i="1"/>
  <c r="X6" i="1"/>
  <c r="X285" i="1"/>
  <c r="Y285" i="1"/>
  <c r="Y205" i="1"/>
  <c r="X782" i="1"/>
  <c r="Y782" i="1"/>
  <c r="Y348" i="1"/>
  <c r="X348" i="1"/>
  <c r="Y1099" i="1"/>
  <c r="X1099" i="1"/>
  <c r="Y350" i="1"/>
  <c r="X350" i="1"/>
  <c r="X751" i="1"/>
  <c r="Y751" i="1"/>
  <c r="X403" i="1"/>
  <c r="Y403" i="1"/>
  <c r="Y481" i="1"/>
  <c r="X481" i="1"/>
  <c r="Y878" i="1"/>
  <c r="X878" i="1"/>
  <c r="Y611" i="1"/>
  <c r="X611" i="1"/>
  <c r="Y160" i="1"/>
  <c r="X160" i="1"/>
  <c r="X215" i="1"/>
  <c r="Y215" i="1"/>
  <c r="Y749" i="1"/>
  <c r="Y163" i="1"/>
  <c r="X163" i="1"/>
  <c r="Y564" i="1"/>
  <c r="X564" i="1"/>
  <c r="Y137" i="1"/>
  <c r="X137" i="1"/>
  <c r="Y550" i="1"/>
  <c r="X550" i="1"/>
  <c r="Y43" i="1"/>
  <c r="X43" i="1"/>
  <c r="Y456" i="1"/>
  <c r="X456" i="1"/>
  <c r="X22" i="1"/>
  <c r="Y173" i="1"/>
  <c r="X173" i="1"/>
  <c r="Y476" i="1"/>
  <c r="X476" i="1"/>
  <c r="Y590" i="1"/>
  <c r="X590" i="1"/>
  <c r="Y675" i="1"/>
  <c r="X675" i="1"/>
  <c r="Y144" i="1"/>
  <c r="X144" i="1"/>
  <c r="X289" i="1"/>
  <c r="Y289" i="1"/>
  <c r="X417" i="1"/>
  <c r="Y417" i="1"/>
  <c r="Y323" i="1"/>
  <c r="X323" i="1"/>
  <c r="Y1020" i="1"/>
  <c r="X1020" i="1"/>
  <c r="X847" i="1"/>
  <c r="Y847" i="1"/>
  <c r="X696" i="1"/>
  <c r="X1010" i="1"/>
  <c r="Y1010" i="1"/>
  <c r="X300" i="1"/>
  <c r="Y300" i="1"/>
  <c r="X644" i="1"/>
  <c r="Y644" i="1"/>
  <c r="Y529" i="1"/>
  <c r="X529" i="1"/>
  <c r="Y321" i="1"/>
  <c r="X321" i="1"/>
  <c r="X592" i="1"/>
  <c r="Y592" i="1"/>
  <c r="X631" i="1"/>
  <c r="X518" i="1"/>
  <c r="Y518" i="1"/>
  <c r="Y198" i="1"/>
  <c r="X198" i="1"/>
  <c r="Y92" i="1"/>
  <c r="X92" i="1"/>
  <c r="AA40" i="5"/>
  <c r="AD40" i="5"/>
  <c r="Y46" i="1"/>
  <c r="X46" i="1"/>
  <c r="Y975" i="1"/>
  <c r="X975" i="1"/>
  <c r="X35" i="1"/>
  <c r="Y118" i="1"/>
  <c r="X118" i="1"/>
  <c r="X192" i="1"/>
  <c r="Y192" i="1"/>
  <c r="X424" i="1"/>
  <c r="Y424" i="1"/>
  <c r="Y651" i="1"/>
  <c r="X651" i="1"/>
  <c r="Y927" i="1"/>
  <c r="Y186" i="1"/>
  <c r="X186" i="1"/>
  <c r="Y681" i="1"/>
  <c r="X681" i="1"/>
  <c r="Y273" i="1"/>
  <c r="X273" i="1"/>
  <c r="Y385" i="1"/>
  <c r="Y108" i="1"/>
  <c r="X108" i="1"/>
  <c r="X67" i="1"/>
  <c r="Y67" i="1"/>
  <c r="AA37" i="5"/>
  <c r="AD37" i="5"/>
  <c r="X225" i="1"/>
  <c r="Y225" i="1"/>
  <c r="X486" i="1"/>
  <c r="Y486" i="1"/>
  <c r="Y32" i="1"/>
  <c r="X32" i="1"/>
  <c r="Y659" i="1"/>
  <c r="X659" i="1"/>
  <c r="Y139" i="1"/>
  <c r="X617" i="1"/>
  <c r="Y617" i="1"/>
  <c r="Y510" i="1"/>
  <c r="X510" i="1"/>
  <c r="X423" i="1"/>
  <c r="Y423" i="1"/>
  <c r="Y831" i="1"/>
  <c r="X831" i="1"/>
  <c r="Y615" i="1"/>
  <c r="X267" i="1"/>
  <c r="Y267" i="1"/>
  <c r="Y433" i="1"/>
  <c r="X433" i="1"/>
  <c r="X477" i="1"/>
  <c r="Y477" i="1"/>
  <c r="AD16" i="5"/>
  <c r="AA16" i="5"/>
  <c r="Y179" i="1"/>
  <c r="X179" i="1"/>
  <c r="X608" i="1"/>
  <c r="Y608" i="1"/>
  <c r="X574" i="1"/>
  <c r="Y574" i="1"/>
  <c r="X177" i="1"/>
  <c r="Y598" i="1"/>
  <c r="X598" i="1"/>
  <c r="X392" i="1"/>
  <c r="Y392" i="1"/>
  <c r="Y38" i="1"/>
  <c r="X38" i="1"/>
  <c r="Y941" i="1"/>
  <c r="X941" i="1"/>
  <c r="Y684" i="1"/>
  <c r="X684" i="1"/>
  <c r="Y27" i="1"/>
  <c r="X27" i="1"/>
  <c r="Y148" i="1"/>
  <c r="X148" i="1"/>
  <c r="X646" i="1"/>
  <c r="Y646" i="1"/>
  <c r="AA33" i="5"/>
  <c r="AD33" i="5"/>
  <c r="X315" i="1"/>
  <c r="Y315" i="1"/>
  <c r="Y788" i="1"/>
  <c r="X788" i="1"/>
  <c r="X351" i="1"/>
  <c r="Y351" i="1"/>
  <c r="Y409" i="1"/>
  <c r="X409" i="1"/>
  <c r="Y407" i="1"/>
  <c r="X407" i="1"/>
  <c r="Y462" i="1"/>
  <c r="X462" i="1"/>
  <c r="Y287" i="1"/>
  <c r="X287" i="1"/>
  <c r="Y512" i="1"/>
  <c r="X512" i="1"/>
  <c r="Y278" i="1"/>
  <c r="X278" i="1"/>
  <c r="Y390" i="1"/>
  <c r="X390" i="1"/>
  <c r="X197" i="1"/>
  <c r="X612" i="1"/>
  <c r="Y612" i="1"/>
  <c r="Y16" i="1"/>
  <c r="X16" i="1"/>
  <c r="Y268" i="1"/>
  <c r="X268" i="1"/>
  <c r="Y15" i="1"/>
  <c r="X15" i="1"/>
  <c r="Y479" i="1"/>
  <c r="X479" i="1"/>
  <c r="X670" i="1"/>
  <c r="Y670" i="1"/>
  <c r="Y10" i="1"/>
  <c r="X10" i="1"/>
  <c r="Y379" i="1"/>
  <c r="X379" i="1"/>
  <c r="Y147" i="1"/>
  <c r="X147" i="1"/>
  <c r="X196" i="1"/>
  <c r="Y196" i="1"/>
  <c r="Y44" i="1"/>
  <c r="X44" i="1"/>
  <c r="X293" i="1"/>
  <c r="Y293" i="1"/>
  <c r="Y70" i="1"/>
  <c r="X70" i="1"/>
  <c r="Y769" i="1"/>
  <c r="X769" i="1"/>
  <c r="Y438" i="1"/>
  <c r="X438" i="1"/>
  <c r="X150" i="1"/>
  <c r="Y150" i="1"/>
  <c r="X83" i="1"/>
  <c r="Y83" i="1"/>
  <c r="AD25" i="5"/>
  <c r="AA25" i="5"/>
  <c r="X337" i="1"/>
  <c r="Y337" i="1"/>
  <c r="Y188" i="1"/>
  <c r="X188" i="1"/>
  <c r="Y14" i="1"/>
  <c r="X347" i="1"/>
  <c r="Y347" i="1"/>
  <c r="Y667" i="1"/>
  <c r="X667" i="1"/>
  <c r="Y248" i="1"/>
  <c r="X248" i="1"/>
  <c r="Y956" i="1"/>
  <c r="X956" i="1"/>
  <c r="X539" i="1"/>
  <c r="Y539" i="1"/>
  <c r="X452" i="1"/>
  <c r="Y452" i="1"/>
  <c r="Y170" i="1"/>
  <c r="X170" i="1"/>
  <c r="X745" i="1"/>
  <c r="Y745" i="1"/>
  <c r="X394" i="1"/>
  <c r="Y394" i="1"/>
  <c r="X616" i="1"/>
  <c r="Y616" i="1"/>
  <c r="AA94" i="5"/>
  <c r="AD94" i="5"/>
  <c r="Y569" i="1"/>
  <c r="X569" i="1"/>
  <c r="AA88" i="5"/>
  <c r="AD88" i="5"/>
  <c r="AD32" i="5"/>
  <c r="AA32" i="5"/>
  <c r="AA38" i="5"/>
  <c r="AD38" i="5"/>
  <c r="Y418" i="1"/>
  <c r="X514" i="1"/>
  <c r="X333" i="1"/>
  <c r="X422" i="1"/>
  <c r="X932" i="1"/>
  <c r="AD128" i="5"/>
  <c r="AA128" i="5"/>
  <c r="Y852" i="1"/>
  <c r="AD92" i="5"/>
  <c r="AA92" i="5"/>
  <c r="AD95" i="5"/>
  <c r="AA95" i="5"/>
  <c r="X371" i="1"/>
  <c r="X435" i="1"/>
  <c r="X288" i="1"/>
  <c r="AA132" i="5"/>
  <c r="AD132" i="5"/>
  <c r="X534" i="1"/>
  <c r="X515" i="1"/>
  <c r="X1153" i="1"/>
  <c r="X1194" i="1"/>
  <c r="AA107" i="5"/>
  <c r="AD107" i="5"/>
  <c r="AD74" i="5"/>
  <c r="AA74" i="5"/>
  <c r="AD117" i="5"/>
  <c r="AA117" i="5"/>
  <c r="AD66" i="5"/>
  <c r="AA66" i="5"/>
  <c r="AA116" i="5"/>
  <c r="AD116" i="5"/>
  <c r="X1291" i="1"/>
  <c r="Y1017" i="1"/>
  <c r="Y537" i="1"/>
  <c r="AA49" i="5"/>
  <c r="AD49" i="5"/>
  <c r="AD85" i="5"/>
  <c r="AA85" i="5"/>
  <c r="AA89" i="5"/>
  <c r="AD89" i="5"/>
  <c r="X816" i="1"/>
  <c r="X619" i="1"/>
  <c r="X967" i="1"/>
  <c r="Y973" i="1"/>
  <c r="AD65" i="5"/>
  <c r="AA65" i="5"/>
  <c r="Y1039" i="1"/>
  <c r="X1056" i="1"/>
  <c r="AA75" i="5"/>
  <c r="AD75" i="5"/>
  <c r="AD118" i="5"/>
  <c r="AA118" i="5"/>
  <c r="Y991" i="1"/>
  <c r="X542" i="1"/>
  <c r="X838" i="1"/>
  <c r="Y496" i="1"/>
  <c r="AA55" i="5"/>
  <c r="AD55" i="5"/>
  <c r="Y459" i="1"/>
  <c r="AD57" i="5"/>
  <c r="AA57" i="5"/>
  <c r="X1044" i="1"/>
  <c r="X582" i="1"/>
  <c r="AA108" i="5"/>
  <c r="AD108" i="5"/>
  <c r="AA68" i="5"/>
  <c r="AD68" i="5"/>
  <c r="X1053" i="1"/>
  <c r="AA45" i="5"/>
  <c r="AD45" i="5"/>
  <c r="Y948" i="1"/>
  <c r="X812" i="1"/>
  <c r="AA76" i="5"/>
  <c r="AD76" i="5"/>
  <c r="AA101" i="5"/>
  <c r="AD101" i="5"/>
  <c r="X1265" i="1"/>
  <c r="Y1150" i="1"/>
  <c r="X922" i="1"/>
  <c r="AA56" i="5"/>
  <c r="AD56" i="5"/>
  <c r="AA18" i="5"/>
  <c r="AD18" i="5"/>
  <c r="AA17" i="5"/>
  <c r="AD17" i="5"/>
  <c r="X851" i="1"/>
  <c r="Y391" i="1"/>
  <c r="AA19" i="5"/>
  <c r="AD19" i="5"/>
  <c r="Y400" i="1"/>
  <c r="X836" i="1"/>
  <c r="X706" i="1"/>
  <c r="Y627" i="1"/>
  <c r="AA43" i="5"/>
  <c r="AD43" i="5"/>
  <c r="AA110" i="5"/>
  <c r="AD110" i="5"/>
  <c r="AD72" i="5"/>
  <c r="AA72" i="5"/>
  <c r="X734" i="1"/>
  <c r="X789" i="1"/>
  <c r="Y475" i="1"/>
  <c r="X913" i="1"/>
  <c r="X1255" i="1"/>
  <c r="X957" i="1"/>
  <c r="X1239" i="1"/>
  <c r="AD52" i="5"/>
  <c r="AA52" i="5"/>
  <c r="X747" i="1"/>
  <c r="X772" i="1"/>
  <c r="AA90" i="5"/>
  <c r="AD90" i="5"/>
  <c r="Y558" i="1"/>
  <c r="X1145" i="1"/>
  <c r="X555" i="1"/>
  <c r="AA120" i="5"/>
  <c r="AD120" i="5"/>
  <c r="Y1134" i="1"/>
  <c r="X1109" i="1"/>
  <c r="AD69" i="5"/>
  <c r="AA69" i="5"/>
  <c r="X939" i="1"/>
  <c r="X1211" i="1"/>
  <c r="Y835" i="1"/>
  <c r="X1189" i="1"/>
  <c r="AA60" i="5"/>
  <c r="AD60" i="5"/>
  <c r="X1289" i="1"/>
  <c r="Y1301" i="1"/>
  <c r="AD106" i="5"/>
  <c r="AA106" i="5"/>
  <c r="AD129" i="5"/>
  <c r="AA129" i="5"/>
  <c r="X897" i="1"/>
  <c r="Y742" i="1"/>
  <c r="X1168" i="1"/>
  <c r="Y1164" i="1"/>
  <c r="AA98" i="5"/>
  <c r="AD98" i="5"/>
  <c r="AD77" i="5"/>
  <c r="AA77" i="5"/>
  <c r="X1202" i="1"/>
  <c r="AD62" i="5"/>
  <c r="AA62" i="5"/>
  <c r="X953" i="1"/>
  <c r="X955" i="1"/>
  <c r="AD80" i="5"/>
  <c r="AA80" i="5"/>
  <c r="Y87" i="1"/>
  <c r="Y182" i="1"/>
  <c r="X26" i="1"/>
  <c r="X56" i="1"/>
  <c r="X183" i="1"/>
  <c r="X328" i="1"/>
  <c r="X45" i="1"/>
  <c r="Y352" i="1"/>
  <c r="AD115" i="5"/>
  <c r="AA115" i="5"/>
  <c r="AA84" i="5"/>
  <c r="AD84" i="5"/>
  <c r="Y1143" i="1"/>
  <c r="Y579" i="1"/>
  <c r="X427" i="1"/>
  <c r="X373" i="1"/>
  <c r="Y1290" i="1"/>
  <c r="X886" i="1"/>
  <c r="AA126" i="5"/>
  <c r="AD126" i="5"/>
  <c r="X965" i="1"/>
  <c r="AA42" i="5"/>
  <c r="AD42" i="5"/>
  <c r="Y806" i="1"/>
  <c r="X828" i="1"/>
  <c r="X728" i="1"/>
  <c r="AA111" i="5"/>
  <c r="AD111" i="5"/>
  <c r="X1309" i="1"/>
  <c r="X1128" i="1"/>
  <c r="X952" i="1"/>
  <c r="Y1139" i="1"/>
  <c r="X1246" i="1"/>
  <c r="Y968" i="1"/>
  <c r="X1163" i="1"/>
  <c r="Y1296" i="1"/>
  <c r="Y1201" i="1"/>
  <c r="X1303" i="1"/>
  <c r="Y1209" i="1"/>
  <c r="AD112" i="5"/>
  <c r="AA112" i="5"/>
  <c r="Y1071" i="1"/>
  <c r="X1221" i="1"/>
  <c r="X1141" i="1"/>
  <c r="AA119" i="5"/>
  <c r="AD119" i="5"/>
  <c r="X916" i="1"/>
  <c r="X1037" i="1"/>
  <c r="AA113" i="5"/>
  <c r="AD113" i="5"/>
  <c r="AA61" i="5"/>
  <c r="AD61" i="5"/>
  <c r="Y824" i="1"/>
  <c r="X830" i="1"/>
  <c r="X1192" i="1"/>
  <c r="AD48" i="5"/>
  <c r="AA48" i="5"/>
  <c r="X893" i="1"/>
  <c r="X1257" i="1"/>
  <c r="AD47" i="5"/>
  <c r="AA47" i="5"/>
  <c r="X1105" i="1"/>
  <c r="AA70" i="5"/>
  <c r="AD70" i="5"/>
  <c r="X249" i="1"/>
  <c r="X735" i="1"/>
  <c r="X884" i="1"/>
  <c r="Y761" i="1"/>
  <c r="X174" i="1"/>
  <c r="X246" i="1"/>
  <c r="Y645" i="1"/>
  <c r="Y906" i="1"/>
  <c r="Y723" i="1"/>
  <c r="X914" i="1"/>
  <c r="Y870" i="1"/>
  <c r="Y740" i="1"/>
  <c r="X281" i="1"/>
  <c r="Y1085" i="1"/>
  <c r="X384" i="1"/>
  <c r="AA93" i="5"/>
  <c r="AD93" i="5"/>
  <c r="AA121" i="5"/>
  <c r="AD121" i="5"/>
  <c r="X1009" i="1"/>
  <c r="X430" i="1"/>
  <c r="Y1040" i="1"/>
  <c r="X1113" i="1"/>
  <c r="AA59" i="5"/>
  <c r="AD59" i="5"/>
  <c r="Y1155" i="1"/>
  <c r="AD91" i="5"/>
  <c r="AA91" i="5"/>
  <c r="AD58" i="5"/>
  <c r="AA58" i="5"/>
  <c r="X1240" i="1"/>
  <c r="AD131" i="5"/>
  <c r="AA131" i="5"/>
  <c r="AA63" i="5"/>
  <c r="AD63" i="5"/>
  <c r="AA78" i="5"/>
  <c r="AD78" i="5"/>
  <c r="AA64" i="5"/>
  <c r="AD64" i="5"/>
  <c r="X1049" i="1"/>
  <c r="AA109" i="5"/>
  <c r="AD109" i="5"/>
  <c r="AD82" i="5"/>
  <c r="AA82" i="5"/>
  <c r="AA122" i="5"/>
  <c r="AD122" i="5"/>
  <c r="Y1183" i="1"/>
  <c r="AA124" i="5"/>
  <c r="AD124" i="5"/>
  <c r="X1222" i="1"/>
  <c r="X1118" i="1"/>
  <c r="Y1129" i="1"/>
  <c r="Y664" i="1"/>
  <c r="Y1093" i="1"/>
  <c r="Y1260" i="1"/>
  <c r="X1157" i="1"/>
  <c r="X1170" i="1"/>
  <c r="X876" i="1"/>
  <c r="AD79" i="5"/>
  <c r="AA79" i="5"/>
  <c r="AD22" i="5"/>
  <c r="AA22" i="5"/>
  <c r="Y511" i="1"/>
  <c r="Y257" i="1"/>
  <c r="X195" i="1"/>
  <c r="X614" i="1"/>
  <c r="AA12" i="5"/>
  <c r="AD12" i="5"/>
  <c r="X18" i="1"/>
  <c r="X339" i="1"/>
  <c r="Y220" i="1"/>
  <c r="X864" i="1"/>
  <c r="Y869" i="1"/>
  <c r="Y730" i="1"/>
  <c r="Y641" i="1"/>
  <c r="X71" i="1"/>
  <c r="X154" i="1"/>
  <c r="AA27" i="5"/>
  <c r="AD27" i="5"/>
  <c r="X437" i="1"/>
  <c r="X212" i="1"/>
  <c r="X530" i="1"/>
  <c r="AA15" i="5"/>
  <c r="AD15" i="5"/>
  <c r="X602" i="1"/>
  <c r="X647" i="1"/>
  <c r="X441" i="1"/>
  <c r="X260" i="1"/>
  <c r="X484" i="1"/>
  <c r="AA36" i="5"/>
  <c r="AD36" i="5"/>
  <c r="AA5" i="5"/>
  <c r="AD5" i="5"/>
  <c r="X594" i="1"/>
  <c r="Y719" i="1"/>
  <c r="Y637" i="1"/>
  <c r="Y623" i="1"/>
  <c r="X47" i="1"/>
  <c r="X322" i="1"/>
  <c r="AD7" i="5"/>
  <c r="AA7" i="5"/>
  <c r="Y402" i="1"/>
  <c r="X545" i="1"/>
  <c r="Y754" i="1"/>
  <c r="X989" i="1"/>
  <c r="Y700" i="1"/>
  <c r="Y710" i="1"/>
  <c r="Y654" i="1"/>
  <c r="X832" i="1"/>
  <c r="X803" i="1"/>
  <c r="X307" i="1"/>
  <c r="X1277" i="1"/>
  <c r="X451" i="1"/>
  <c r="Y636" i="1"/>
  <c r="Y463" i="1"/>
  <c r="Y711" i="1"/>
  <c r="X77" i="1"/>
  <c r="Y306" i="1"/>
  <c r="Y653" i="1"/>
  <c r="X34" i="1"/>
  <c r="Y206" i="1"/>
  <c r="Y703" i="1"/>
  <c r="X319" i="1"/>
  <c r="X841" i="1"/>
  <c r="X505" i="1"/>
  <c r="Y561" i="1"/>
  <c r="X826" i="1"/>
  <c r="X320" i="1"/>
  <c r="X117" i="1"/>
  <c r="X880" i="1"/>
  <c r="Y686" i="1"/>
  <c r="Y1149" i="1"/>
  <c r="X230" i="1"/>
  <c r="X1259" i="1"/>
  <c r="Y1120" i="1"/>
  <c r="X857" i="1"/>
  <c r="X1073" i="1"/>
  <c r="Y725" i="1"/>
  <c r="X275" i="1"/>
  <c r="AD86" i="5"/>
  <c r="AA86" i="5"/>
  <c r="X1261" i="1"/>
  <c r="X387" i="1"/>
  <c r="Y1227" i="1"/>
  <c r="X547" i="1"/>
  <c r="AD83" i="5"/>
  <c r="AA83" i="5"/>
  <c r="X679" i="1"/>
  <c r="X792" i="1"/>
  <c r="Y794" i="1"/>
  <c r="X1266" i="1"/>
  <c r="X738" i="1"/>
  <c r="X1293" i="1"/>
  <c r="AA99" i="5"/>
  <c r="AD99" i="5"/>
  <c r="Y983" i="1"/>
  <c r="AD81" i="5"/>
  <c r="AA81" i="5"/>
  <c r="AD135" i="5"/>
  <c r="AA135" i="5"/>
  <c r="Y1275" i="1"/>
  <c r="Y1041" i="1"/>
  <c r="X507" i="1"/>
  <c r="X972" i="1"/>
  <c r="X1182" i="1"/>
  <c r="AA102" i="5"/>
  <c r="AD102" i="5"/>
  <c r="X1243" i="1"/>
  <c r="X994" i="1"/>
  <c r="Y1187" i="1"/>
  <c r="Y1214" i="1"/>
  <c r="Y1002" i="1"/>
  <c r="X778" i="1"/>
  <c r="X600" i="1"/>
  <c r="X1191" i="1"/>
  <c r="Y750" i="1"/>
  <c r="AA46" i="5"/>
  <c r="AD46" i="5"/>
  <c r="X695" i="1"/>
  <c r="X1236" i="1"/>
  <c r="Y1235" i="1"/>
  <c r="AD125" i="5"/>
  <c r="AA125" i="5"/>
  <c r="Y1115" i="1"/>
  <c r="X1185" i="1"/>
  <c r="Y926" i="1"/>
  <c r="X251" i="1"/>
  <c r="Y707" i="1"/>
  <c r="X743" i="1"/>
  <c r="Y1284" i="1"/>
  <c r="X990" i="1"/>
  <c r="AA127" i="5"/>
  <c r="AD127" i="5"/>
  <c r="Y1299" i="1"/>
  <c r="X318" i="1"/>
  <c r="X1050" i="1"/>
  <c r="AD41" i="5"/>
  <c r="AA41" i="5"/>
  <c r="X937" i="1"/>
  <c r="X721" i="1"/>
  <c r="AA103" i="5"/>
  <c r="AD103" i="5"/>
  <c r="Y1140" i="1"/>
  <c r="AD34" i="5"/>
  <c r="AA34" i="5"/>
  <c r="X127" i="1"/>
  <c r="Y900" i="1"/>
  <c r="Y1223" i="1"/>
  <c r="X271" i="1"/>
  <c r="X1062" i="1"/>
  <c r="Y919" i="1"/>
  <c r="X73" i="1"/>
  <c r="X604" i="1"/>
  <c r="Y626" i="1"/>
  <c r="AD20" i="5"/>
  <c r="AA20" i="5"/>
  <c r="Y124" i="1"/>
  <c r="Y669" i="1"/>
  <c r="Y517" i="1"/>
  <c r="Y37" i="1"/>
  <c r="X776" i="1"/>
  <c r="X506" i="1"/>
  <c r="Y111" i="1"/>
  <c r="Y214" i="1"/>
  <c r="X524" i="1"/>
  <c r="Y263" i="1"/>
  <c r="Y525" i="1"/>
  <c r="X581" i="1"/>
  <c r="X62" i="1"/>
  <c r="Y577" i="1"/>
  <c r="X266" i="1"/>
  <c r="Y722" i="1"/>
  <c r="AA13" i="5"/>
  <c r="AD13" i="5"/>
  <c r="X209" i="1"/>
  <c r="X106" i="1"/>
  <c r="X401" i="1"/>
  <c r="X415" i="1"/>
  <c r="Y784" i="1"/>
  <c r="X376" i="1"/>
  <c r="AA23" i="5"/>
  <c r="AD23" i="5"/>
  <c r="X556" i="1"/>
  <c r="X945" i="1"/>
  <c r="X461" i="1"/>
  <c r="AA24" i="5"/>
  <c r="AD24" i="5"/>
  <c r="AD8" i="5"/>
  <c r="AA8" i="5"/>
  <c r="Y538" i="1"/>
  <c r="AA39" i="5"/>
  <c r="AD39" i="5"/>
  <c r="Y908" i="1"/>
  <c r="Y560" i="1"/>
  <c r="X1212" i="1"/>
  <c r="X1048" i="1"/>
  <c r="Y491" i="1"/>
  <c r="X874" i="1"/>
  <c r="X1138" i="1"/>
  <c r="Y1213" i="1"/>
  <c r="X204" i="1"/>
  <c r="X606" i="1"/>
  <c r="Y1084" i="1"/>
  <c r="Y891" i="1"/>
  <c r="Y455" i="1"/>
  <c r="Y1083" i="1"/>
  <c r="X398" i="1"/>
  <c r="X210" i="1"/>
  <c r="Y629" i="1"/>
  <c r="X203" i="1"/>
  <c r="X330" i="1"/>
  <c r="X412" i="1"/>
  <c r="AA3" i="5"/>
  <c r="AD3" i="5"/>
  <c r="X305" i="1"/>
  <c r="Y1043" i="1"/>
  <c r="X483" i="1"/>
  <c r="X795" i="1"/>
  <c r="X531" i="1"/>
  <c r="Y152" i="1"/>
  <c r="X325" i="1"/>
  <c r="X104" i="1"/>
  <c r="X1112" i="1"/>
  <c r="Y575" i="1"/>
  <c r="Y605" i="1"/>
  <c r="X804" i="1"/>
  <c r="Y904" i="1"/>
  <c r="Y780" i="1"/>
  <c r="X786" i="1"/>
  <c r="Y284" i="1"/>
  <c r="X528" i="1"/>
  <c r="X567" i="1"/>
  <c r="AA35" i="5"/>
  <c r="AD35" i="5"/>
  <c r="X779" i="1"/>
  <c r="AA96" i="5"/>
  <c r="AD96" i="5"/>
  <c r="AD71" i="5"/>
  <c r="AA71" i="5"/>
  <c r="X1114" i="1"/>
  <c r="AA133" i="5"/>
  <c r="AD133" i="5"/>
  <c r="Y1179" i="1"/>
  <c r="X759" i="1"/>
  <c r="Y1054" i="1"/>
  <c r="AA54" i="5"/>
  <c r="AD54" i="5"/>
  <c r="X715" i="1"/>
  <c r="X1108" i="1"/>
  <c r="Y1165" i="1"/>
  <c r="X643" i="1"/>
  <c r="AD87" i="5"/>
  <c r="AA87" i="5"/>
  <c r="X969" i="1"/>
  <c r="Y929" i="1"/>
  <c r="X395" i="1"/>
  <c r="Y665" i="1"/>
  <c r="Y467" i="1"/>
  <c r="X814" i="1"/>
  <c r="X237" i="1"/>
  <c r="X680" i="1"/>
  <c r="AA73" i="5"/>
  <c r="AD73" i="5"/>
  <c r="Y1258" i="1"/>
  <c r="X1264" i="1"/>
  <c r="X977" i="1"/>
  <c r="AD67" i="5"/>
  <c r="AA67" i="5"/>
  <c r="AA105" i="5"/>
  <c r="AD105" i="5"/>
  <c r="AA114" i="5"/>
  <c r="AD114" i="5"/>
  <c r="Y793" i="1"/>
  <c r="Y1090" i="1"/>
  <c r="Y1198" i="1"/>
  <c r="Y1122" i="1"/>
  <c r="X1012" i="1"/>
  <c r="AA104" i="5"/>
  <c r="AD104" i="5"/>
  <c r="X895" i="1"/>
  <c r="Y1302" i="1"/>
  <c r="Y1193" i="1"/>
  <c r="X855" i="1"/>
  <c r="Y1279" i="1"/>
  <c r="X468" i="1"/>
  <c r="X1263" i="1"/>
  <c r="Y1021" i="1"/>
  <c r="X931" i="1"/>
  <c r="X785" i="1"/>
  <c r="X996" i="1"/>
  <c r="X1116" i="1"/>
  <c r="AA97" i="5"/>
  <c r="AD97" i="5"/>
  <c r="Y1131" i="1"/>
  <c r="Y1103" i="1"/>
  <c r="Y809" i="1"/>
  <c r="X783" i="1"/>
  <c r="Y1188" i="1"/>
  <c r="Y903" i="1"/>
  <c r="Y940" i="1"/>
  <c r="X366" i="1"/>
  <c r="X593" i="1"/>
  <c r="X1307" i="1"/>
  <c r="Y811" i="1"/>
  <c r="X235" i="1"/>
  <c r="Y1249" i="1"/>
  <c r="Y1007" i="1"/>
  <c r="AA50" i="5"/>
  <c r="AD50" i="5"/>
  <c r="X885" i="1"/>
  <c r="Y1306" i="1"/>
  <c r="Y571" i="1"/>
  <c r="Y964" i="1"/>
  <c r="X1273" i="1"/>
  <c r="Y238" i="1"/>
  <c r="Y1156" i="1"/>
  <c r="Y361" i="1"/>
  <c r="X1127" i="1"/>
  <c r="AD134" i="5"/>
  <c r="AA134" i="5"/>
  <c r="Y1244" i="1"/>
  <c r="X1262" i="1"/>
  <c r="Y1068" i="1"/>
  <c r="AD26" i="5"/>
  <c r="AA26" i="5"/>
  <c r="AD21" i="5"/>
  <c r="AA21" i="5"/>
  <c r="AD31" i="5"/>
  <c r="AA31" i="5"/>
  <c r="X36" i="1"/>
  <c r="AA30" i="5"/>
  <c r="AD30" i="5"/>
  <c r="X172" i="1"/>
  <c r="X40" i="1"/>
  <c r="Y827" i="1"/>
  <c r="Y739" i="1"/>
  <c r="X868" i="1"/>
  <c r="X714" i="1"/>
  <c r="X671" i="1"/>
  <c r="X229" i="1"/>
  <c r="AA10" i="5"/>
  <c r="AD10" i="5"/>
  <c r="Y420" i="1"/>
  <c r="AA9" i="5"/>
  <c r="AD9" i="5"/>
  <c r="Y585" i="1"/>
  <c r="Y316" i="1"/>
  <c r="Y85" i="1"/>
  <c r="X244" i="1"/>
  <c r="Y132" i="1"/>
  <c r="Y239" i="1"/>
  <c r="Y404" i="1"/>
  <c r="Y178" i="1"/>
  <c r="X596" i="1"/>
  <c r="AA29" i="5"/>
  <c r="AD29" i="5"/>
  <c r="Y299" i="1"/>
  <c r="Y50" i="1"/>
  <c r="X497" i="1"/>
  <c r="X19" i="1"/>
  <c r="X396" i="1"/>
  <c r="X658" i="1"/>
  <c r="X129" i="1"/>
  <c r="X253" i="1"/>
  <c r="X378" i="1"/>
  <c r="AA11" i="5"/>
  <c r="AD11" i="5"/>
  <c r="AA14" i="5"/>
  <c r="AD14" i="5"/>
  <c r="X241" i="1"/>
  <c r="Y482" i="1"/>
  <c r="X52" i="1"/>
  <c r="X12" i="1"/>
  <c r="X112" i="1"/>
  <c r="Y166" i="1"/>
  <c r="X5" i="1"/>
  <c r="X354" i="1"/>
  <c r="Y93" i="1"/>
  <c r="Y708" i="1"/>
  <c r="X1133" i="1"/>
  <c r="Y979" i="1"/>
  <c r="Y871" i="1"/>
  <c r="X471" i="1"/>
  <c r="X171" i="1"/>
  <c r="Y690" i="1"/>
  <c r="X1026" i="1"/>
  <c r="AA130" i="5"/>
  <c r="AD130" i="5"/>
  <c r="X162" i="1"/>
  <c r="X523" i="1"/>
  <c r="X640" i="1"/>
  <c r="Y587" i="1"/>
  <c r="X1281" i="1"/>
  <c r="X283" i="1"/>
  <c r="X1216" i="1"/>
  <c r="Y697" i="1"/>
  <c r="X1022" i="1"/>
  <c r="X30" i="1"/>
  <c r="Y464" i="1"/>
  <c r="X29" i="1"/>
  <c r="X882" i="1"/>
  <c r="Y887" i="1"/>
  <c r="X187" i="1"/>
  <c r="Y159" i="1"/>
  <c r="Y1250" i="1"/>
  <c r="X798" i="1"/>
  <c r="X718" i="1"/>
  <c r="X355" i="1"/>
  <c r="AA4" i="5"/>
  <c r="AD4" i="5"/>
  <c r="X720" i="1"/>
  <c r="X381" i="1"/>
  <c r="AD6" i="5"/>
  <c r="AA6" i="5"/>
  <c r="Y802" i="1"/>
  <c r="X813" i="1"/>
  <c r="X503" i="1"/>
  <c r="Y557" i="1"/>
  <c r="Y687" i="1"/>
  <c r="X450" i="1"/>
  <c r="X856" i="1"/>
  <c r="X609" i="1"/>
  <c r="X822" i="1"/>
  <c r="X988" i="1"/>
  <c r="Y1294" i="1"/>
  <c r="AA44" i="5"/>
  <c r="AD44" i="5"/>
  <c r="X494" i="1"/>
  <c r="Y1245" i="1"/>
  <c r="Y1036" i="1"/>
  <c r="Y254" i="1"/>
  <c r="X369" i="1"/>
  <c r="X879" i="1"/>
  <c r="X1218" i="1"/>
  <c r="X566" i="1"/>
  <c r="X954" i="1"/>
  <c r="Y935" i="1"/>
  <c r="X1147" i="1"/>
  <c r="Y1269" i="1"/>
  <c r="X741" i="1"/>
  <c r="Y1063" i="1"/>
  <c r="X465" i="1"/>
  <c r="X1219" i="1"/>
  <c r="X1199" i="1"/>
  <c r="X363" i="1"/>
  <c r="Y1123" i="1"/>
  <c r="X425" i="1"/>
  <c r="X1174" i="1"/>
  <c r="X1078" i="1"/>
  <c r="X938" i="1"/>
  <c r="X760" i="1"/>
  <c r="Y930" i="1"/>
  <c r="Y1023" i="1"/>
  <c r="X635" i="1"/>
  <c r="X1272" i="1"/>
  <c r="X1030" i="1"/>
  <c r="Y1298" i="1"/>
  <c r="X998" i="1"/>
  <c r="Y1254" i="1"/>
  <c r="AA123" i="5"/>
  <c r="AD123" i="5"/>
  <c r="Y419" i="1"/>
  <c r="X406" i="1"/>
  <c r="Y1234" i="1"/>
  <c r="Y1148" i="1"/>
  <c r="X1242" i="1"/>
  <c r="Y622" i="1"/>
  <c r="Y1075" i="1"/>
  <c r="AA100" i="5"/>
  <c r="AD100" i="5"/>
  <c r="X961" i="1"/>
  <c r="Y1210" i="1"/>
  <c r="X1308" i="1"/>
  <c r="X443" i="1"/>
  <c r="X1024" i="1"/>
  <c r="Y921" i="1"/>
  <c r="Y1252" i="1"/>
  <c r="AD51" i="5"/>
  <c r="AA51" i="5"/>
  <c r="Y1015" i="1"/>
  <c r="AD53" i="5"/>
  <c r="AA53" i="5"/>
  <c r="X766" i="1"/>
  <c r="X894" i="1"/>
  <c r="X662" i="1"/>
  <c r="X748" i="1"/>
  <c r="Y1270" i="1"/>
  <c r="Y1180" i="1"/>
  <c r="Y1225" i="1"/>
  <c r="M30" i="5" l="1"/>
  <c r="M12" i="5"/>
  <c r="I16" i="1" l="1"/>
  <c r="F16" i="1"/>
  <c r="J3" i="5"/>
  <c r="I3" i="5"/>
  <c r="G3" i="5"/>
  <c r="F3" i="5"/>
  <c r="J6" i="5"/>
  <c r="I6" i="5"/>
  <c r="H3" i="5" l="1"/>
  <c r="G6" i="5"/>
  <c r="F6" i="5"/>
  <c r="H6" i="5" s="1"/>
  <c r="J16" i="1"/>
  <c r="G16" i="1"/>
  <c r="H16" i="1" s="1"/>
  <c r="I5" i="5"/>
  <c r="F5" i="5"/>
  <c r="J9" i="5"/>
  <c r="I9" i="5"/>
  <c r="G9" i="5"/>
  <c r="F9" i="5"/>
  <c r="I9" i="1"/>
  <c r="H9" i="5" l="1"/>
  <c r="F9" i="1"/>
  <c r="J5" i="5"/>
  <c r="G5" i="5"/>
  <c r="H5" i="5" s="1"/>
  <c r="I8" i="5"/>
  <c r="F8" i="5"/>
  <c r="I4" i="5"/>
  <c r="F4" i="5"/>
  <c r="J8" i="5"/>
  <c r="G8" i="5"/>
  <c r="H8" i="5" s="1"/>
  <c r="J7" i="5"/>
  <c r="I7" i="5"/>
  <c r="G7" i="5"/>
  <c r="F7" i="5"/>
  <c r="J9" i="1"/>
  <c r="H7" i="5" l="1"/>
  <c r="G9" i="1"/>
  <c r="H9" i="1" s="1"/>
  <c r="J4" i="5"/>
  <c r="G4" i="5"/>
  <c r="H4" i="5" s="1"/>
  <c r="I5" i="1"/>
  <c r="F5" i="1"/>
  <c r="J5" i="1"/>
  <c r="G5" i="1"/>
  <c r="H5" i="1" s="1"/>
  <c r="I12" i="5"/>
  <c r="F12" i="5"/>
  <c r="I11" i="1"/>
  <c r="F11" i="1"/>
  <c r="J6" i="1"/>
  <c r="I6" i="1"/>
  <c r="G6" i="1"/>
  <c r="F6" i="1"/>
  <c r="J7" i="1"/>
  <c r="I7" i="1"/>
  <c r="H6" i="1" l="1"/>
  <c r="G7" i="1"/>
  <c r="F7" i="1"/>
  <c r="H7" i="1"/>
  <c r="J14" i="1"/>
  <c r="I14" i="1"/>
  <c r="G14" i="1"/>
  <c r="F14" i="1"/>
  <c r="H14" i="1" s="1"/>
  <c r="J13" i="1"/>
  <c r="I13" i="1"/>
  <c r="G13" i="1"/>
  <c r="F13" i="1"/>
  <c r="J12" i="5"/>
  <c r="H13" i="1" l="1"/>
  <c r="G12" i="5"/>
  <c r="H12" i="5" s="1"/>
  <c r="J11" i="5"/>
  <c r="I11" i="5"/>
  <c r="G11" i="5"/>
  <c r="F11" i="5"/>
  <c r="I12" i="1"/>
  <c r="H11" i="5" l="1"/>
  <c r="F12" i="1"/>
  <c r="J12" i="1"/>
  <c r="G12" i="1"/>
  <c r="H12" i="1" s="1"/>
  <c r="I4" i="1"/>
  <c r="F4" i="1"/>
  <c r="I16" i="5"/>
  <c r="F16" i="5"/>
  <c r="J16" i="5"/>
  <c r="G16" i="5"/>
  <c r="H16" i="5" s="1"/>
  <c r="J11" i="1"/>
  <c r="G11" i="1"/>
  <c r="H11" i="1" s="1"/>
  <c r="I10" i="5"/>
  <c r="F10" i="5"/>
  <c r="J14" i="5"/>
  <c r="I14" i="5"/>
  <c r="G14" i="5"/>
  <c r="F14" i="5"/>
  <c r="I3" i="1"/>
  <c r="H14" i="5" l="1"/>
  <c r="F3" i="1"/>
  <c r="J10" i="5"/>
  <c r="G10" i="5"/>
  <c r="H10" i="5" s="1"/>
  <c r="J3" i="1"/>
  <c r="G3" i="1"/>
  <c r="H3" i="1" s="1"/>
  <c r="J15" i="5"/>
  <c r="I15" i="5"/>
  <c r="G15" i="5"/>
  <c r="F15" i="5"/>
  <c r="J15" i="1"/>
  <c r="I15" i="1"/>
  <c r="H15" i="5" l="1"/>
  <c r="G15" i="1"/>
  <c r="F15" i="1"/>
  <c r="J4" i="1"/>
  <c r="H15" i="1" l="1"/>
  <c r="G4" i="1"/>
  <c r="H4" i="1" s="1"/>
  <c r="J8" i="1"/>
  <c r="I8" i="1"/>
  <c r="G8" i="1"/>
  <c r="F8" i="1"/>
  <c r="I13" i="5"/>
  <c r="H8" i="1" l="1"/>
  <c r="F13" i="5"/>
  <c r="J13" i="5"/>
  <c r="G13" i="5"/>
  <c r="H13" i="5" s="1"/>
  <c r="J10" i="1"/>
  <c r="I10" i="1"/>
  <c r="G10" i="1"/>
  <c r="F10" i="1"/>
  <c r="H10" i="1" s="1"/>
  <c r="M47" i="5"/>
  <c r="M50" i="5"/>
  <c r="M51" i="5"/>
  <c r="M52" i="5"/>
  <c r="M53" i="5"/>
  <c r="AE18" i="5"/>
  <c r="AE96" i="5"/>
  <c r="AE32" i="5"/>
  <c r="AE103" i="5"/>
  <c r="AE39" i="5"/>
  <c r="AE110" i="5"/>
  <c r="AE46" i="5"/>
  <c r="AE117" i="5"/>
  <c r="AE53" i="5"/>
  <c r="AE124" i="5"/>
  <c r="AE60" i="5"/>
  <c r="AE131" i="5"/>
  <c r="AE33" i="5"/>
  <c r="AE95" i="5"/>
  <c r="AE31" i="5"/>
  <c r="AE102" i="5"/>
  <c r="AE38" i="5"/>
  <c r="AE109" i="5"/>
  <c r="AE45" i="5"/>
  <c r="AE116" i="5"/>
  <c r="AE52" i="5"/>
  <c r="AE57" i="5"/>
  <c r="AE87" i="5"/>
  <c r="AE23" i="5"/>
  <c r="AE94" i="5"/>
  <c r="AE30" i="5"/>
  <c r="AE101" i="5"/>
  <c r="AE37" i="5"/>
  <c r="AE108" i="5"/>
  <c r="AE44" i="5"/>
  <c r="AE90" i="5"/>
  <c r="AE86" i="5"/>
  <c r="AE22" i="5"/>
  <c r="AE93" i="5"/>
  <c r="AE29" i="5"/>
  <c r="AE100" i="5"/>
  <c r="AE36" i="5"/>
  <c r="AE14" i="5"/>
  <c r="AE85" i="5"/>
  <c r="AE21" i="5"/>
  <c r="AE92" i="5"/>
  <c r="AE28" i="5"/>
  <c r="AE27" i="5"/>
  <c r="AE98" i="5"/>
  <c r="AE89" i="5"/>
  <c r="AE75" i="5"/>
  <c r="AE99" i="5"/>
  <c r="AE16" i="5"/>
  <c r="AE123" i="5"/>
  <c r="AE9" i="5"/>
  <c r="AE8" i="5"/>
  <c r="AE7" i="5"/>
  <c r="AE49" i="5"/>
  <c r="AE129" i="5"/>
  <c r="AE82" i="5"/>
  <c r="AE35" i="5"/>
  <c r="AE115" i="5"/>
  <c r="AE120" i="5"/>
  <c r="AE56" i="5"/>
  <c r="AE127" i="5"/>
  <c r="AE63" i="5"/>
  <c r="AE134" i="5"/>
  <c r="AE70" i="5"/>
  <c r="AE6" i="5"/>
  <c r="AE77" i="5"/>
  <c r="AE13" i="5"/>
  <c r="AE84" i="5"/>
  <c r="AE20" i="5"/>
  <c r="AE107" i="5"/>
  <c r="AE42" i="5"/>
  <c r="AE24" i="5"/>
  <c r="AE19" i="5"/>
  <c r="AE80" i="5"/>
  <c r="AE43" i="5"/>
  <c r="AE34" i="5"/>
  <c r="AE79" i="5"/>
  <c r="AE114" i="5"/>
  <c r="AE105" i="5"/>
  <c r="AE11" i="5"/>
  <c r="AE64" i="5"/>
  <c r="AE71" i="5"/>
  <c r="AE73" i="5"/>
  <c r="AE106" i="5"/>
  <c r="AE59" i="5"/>
  <c r="AE17" i="5"/>
  <c r="AE97" i="5"/>
  <c r="AE112" i="5"/>
  <c r="AE48" i="5"/>
  <c r="AE119" i="5"/>
  <c r="AE55" i="5"/>
  <c r="AE126" i="5"/>
  <c r="AE62" i="5"/>
  <c r="AE133" i="5"/>
  <c r="AE69" i="5"/>
  <c r="AE5" i="5"/>
  <c r="AE76" i="5"/>
  <c r="AE12" i="5"/>
  <c r="AE65" i="5"/>
  <c r="AE51" i="5"/>
  <c r="AE122" i="5"/>
  <c r="AE88" i="5"/>
  <c r="AE113" i="5"/>
  <c r="AE66" i="5"/>
  <c r="AE10" i="5"/>
  <c r="AE3" i="5"/>
  <c r="AE81" i="5"/>
  <c r="AE72" i="5"/>
  <c r="AE15" i="5"/>
  <c r="AE67" i="5"/>
  <c r="AE25" i="5"/>
  <c r="AE58" i="5"/>
  <c r="AE128" i="5"/>
  <c r="AE135" i="5"/>
  <c r="AE78" i="5"/>
  <c r="AE91" i="5"/>
  <c r="AE26" i="5"/>
  <c r="AE50" i="5"/>
  <c r="AE130" i="5"/>
  <c r="AE83" i="5"/>
  <c r="AE41" i="5"/>
  <c r="AE121" i="5"/>
  <c r="AE74" i="5"/>
  <c r="AE104" i="5"/>
  <c r="AE40" i="5"/>
  <c r="AE111" i="5"/>
  <c r="AE47" i="5"/>
  <c r="AE118" i="5"/>
  <c r="AE54" i="5"/>
  <c r="AE125" i="5"/>
  <c r="AE61" i="5"/>
  <c r="AE132" i="5"/>
  <c r="AE68" i="5"/>
  <c r="AE4" i="5"/>
  <c r="M48" i="5"/>
</calcChain>
</file>

<file path=xl/sharedStrings.xml><?xml version="1.0" encoding="utf-8"?>
<sst xmlns="http://schemas.openxmlformats.org/spreadsheetml/2006/main" count="1448" uniqueCount="78">
  <si>
    <t>3M</t>
  </si>
  <si>
    <t>EUR</t>
  </si>
  <si>
    <t>IborType</t>
  </si>
  <si>
    <t>General Settings</t>
  </si>
  <si>
    <t>Currency</t>
  </si>
  <si>
    <t>Calendar</t>
  </si>
  <si>
    <t>TARGET</t>
  </si>
  <si>
    <t>OvenightIndex</t>
  </si>
  <si>
    <t>Eonia</t>
  </si>
  <si>
    <t>Discounting</t>
  </si>
  <si>
    <t>EURON</t>
  </si>
  <si>
    <t>Daycounter</t>
  </si>
  <si>
    <t>Actual/360</t>
  </si>
  <si>
    <t>Triggers</t>
  </si>
  <si>
    <t>SettlementDate</t>
  </si>
  <si>
    <t>Trigger</t>
  </si>
  <si>
    <t>Evaluation Date</t>
  </si>
  <si>
    <t>Interest Rates Trigger</t>
  </si>
  <si>
    <t>LastFixingsTrigger</t>
  </si>
  <si>
    <t>1M</t>
  </si>
  <si>
    <t>Index</t>
  </si>
  <si>
    <t>Tenor</t>
  </si>
  <si>
    <t>fixing date</t>
  </si>
  <si>
    <t>value date</t>
  </si>
  <si>
    <t>maturity date</t>
  </si>
  <si>
    <t>3M quote</t>
  </si>
  <si>
    <t>P(d)</t>
  </si>
  <si>
    <t>F ON</t>
  </si>
  <si>
    <t>tau</t>
  </si>
  <si>
    <t>Delta</t>
  </si>
  <si>
    <t>1D</t>
  </si>
  <si>
    <t>1W</t>
  </si>
  <si>
    <t>Time Axis</t>
  </si>
  <si>
    <t>Rate Axis</t>
  </si>
  <si>
    <t>Years</t>
  </si>
  <si>
    <t>Min</t>
  </si>
  <si>
    <t>Months</t>
  </si>
  <si>
    <t>Max</t>
  </si>
  <si>
    <t>Major unit</t>
  </si>
  <si>
    <t>Min value</t>
  </si>
  <si>
    <t>Max value</t>
  </si>
  <si>
    <t>6M</t>
  </si>
  <si>
    <t>6M quote</t>
  </si>
  <si>
    <t>Basis</t>
  </si>
  <si>
    <t>a</t>
  </si>
  <si>
    <t>b</t>
  </si>
  <si>
    <t>c</t>
  </si>
  <si>
    <t>d</t>
  </si>
  <si>
    <t>error</t>
  </si>
  <si>
    <t>Market Basis</t>
  </si>
  <si>
    <t>Error</t>
  </si>
  <si>
    <t>simple basis</t>
  </si>
  <si>
    <t>cont. basis</t>
  </si>
  <si>
    <t>cont</t>
  </si>
  <si>
    <t>Time</t>
  </si>
  <si>
    <t>simple</t>
  </si>
  <si>
    <t>max Location</t>
  </si>
  <si>
    <t>abcd calibration</t>
  </si>
  <si>
    <t>compute</t>
  </si>
  <si>
    <t>a guess</t>
  </si>
  <si>
    <t>b guess</t>
  </si>
  <si>
    <t>c guess</t>
  </si>
  <si>
    <t>d guess</t>
  </si>
  <si>
    <t>Abcd Calibration</t>
  </si>
  <si>
    <t>Calibrated Continuous Basis</t>
  </si>
  <si>
    <t>Calibrated Simple Basis</t>
  </si>
  <si>
    <t>abcd</t>
  </si>
  <si>
    <t>Simple Basis</t>
  </si>
  <si>
    <t>integral</t>
  </si>
  <si>
    <t>coef</t>
  </si>
  <si>
    <t>manual</t>
  </si>
  <si>
    <t>dt</t>
  </si>
  <si>
    <t>a/c</t>
  </si>
  <si>
    <t>b/c^2</t>
  </si>
  <si>
    <t>b/c</t>
  </si>
  <si>
    <t>definite derivative</t>
  </si>
  <si>
    <t>definite integral</t>
  </si>
  <si>
    <t>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</si>
</sst>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\,\ dd\-mmm\-yyyy\ h:mm:ss"/>
    <numFmt numFmtId="165" formatCode="ddd\,\ d\-mmm\-yyyy"/>
    <numFmt numFmtId="166" formatCode="0.0000%"/>
    <numFmt numFmtId="167" formatCode="0.0000"/>
    <numFmt numFmtId="168" formatCode="ddd\,\ dd\-mmm\-yyyy"/>
    <numFmt numFmtId="169" formatCode="0.000000000"/>
    <numFmt numFmtId="170" formatCode="dd\-mmm\-yy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theme="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4" fillId="0" borderId="0"/>
    <xf numFmtId="0" fontId="2" fillId="0" borderId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3" fillId="2" borderId="0" xfId="1" applyFont="1" applyFill="1"/>
    <xf numFmtId="0" fontId="5" fillId="3" borderId="1" xfId="2" applyFont="1" applyFill="1" applyBorder="1" applyAlignment="1">
      <alignment horizontal="centerContinuous" vertical="center"/>
    </xf>
    <xf numFmtId="0" fontId="5" fillId="3" borderId="2" xfId="2" applyFont="1" applyFill="1" applyBorder="1" applyAlignment="1">
      <alignment horizontal="centerContinuous" vertical="center"/>
    </xf>
    <xf numFmtId="0" fontId="3" fillId="4" borderId="3" xfId="1" applyFont="1" applyFill="1" applyBorder="1"/>
    <xf numFmtId="0" fontId="3" fillId="4" borderId="0" xfId="1" applyFont="1" applyFill="1" applyBorder="1"/>
    <xf numFmtId="0" fontId="3" fillId="4" borderId="4" xfId="1" applyFont="1" applyFill="1" applyBorder="1"/>
    <xf numFmtId="0" fontId="3" fillId="5" borderId="5" xfId="1" applyFont="1" applyFill="1" applyBorder="1" applyAlignment="1">
      <alignment horizontal="right"/>
    </xf>
    <xf numFmtId="0" fontId="3" fillId="4" borderId="5" xfId="1" applyFont="1" applyFill="1" applyBorder="1" applyAlignment="1">
      <alignment horizontal="center"/>
    </xf>
    <xf numFmtId="164" fontId="3" fillId="4" borderId="5" xfId="1" applyNumberFormat="1" applyFont="1" applyFill="1" applyBorder="1" applyAlignment="1">
      <alignment horizontal="center"/>
    </xf>
    <xf numFmtId="0" fontId="3" fillId="2" borderId="0" xfId="2" applyFont="1" applyFill="1"/>
    <xf numFmtId="165" fontId="3" fillId="4" borderId="5" xfId="4" applyNumberFormat="1" applyFont="1" applyFill="1" applyBorder="1" applyAlignment="1">
      <alignment horizontal="center"/>
    </xf>
    <xf numFmtId="165" fontId="3" fillId="4" borderId="6" xfId="4" applyNumberFormat="1" applyFont="1" applyFill="1" applyBorder="1" applyAlignment="1">
      <alignment horizontal="center"/>
    </xf>
    <xf numFmtId="0" fontId="3" fillId="4" borderId="9" xfId="1" applyFont="1" applyFill="1" applyBorder="1"/>
    <xf numFmtId="0" fontId="3" fillId="2" borderId="0" xfId="1" applyFont="1" applyFill="1" applyBorder="1"/>
    <xf numFmtId="0" fontId="3" fillId="4" borderId="3" xfId="0" applyFont="1" applyFill="1" applyBorder="1"/>
    <xf numFmtId="0" fontId="3" fillId="4" borderId="4" xfId="0" applyFont="1" applyFill="1" applyBorder="1"/>
    <xf numFmtId="0" fontId="3" fillId="5" borderId="5" xfId="1" applyFont="1" applyFill="1" applyBorder="1" applyAlignment="1">
      <alignment horizontal="right" vertical="center"/>
    </xf>
    <xf numFmtId="168" fontId="3" fillId="4" borderId="6" xfId="4" applyNumberFormat="1" applyFont="1" applyFill="1" applyBorder="1" applyAlignment="1">
      <alignment horizontal="center"/>
    </xf>
    <xf numFmtId="168" fontId="3" fillId="4" borderId="5" xfId="1" applyNumberFormat="1" applyFont="1" applyFill="1" applyBorder="1" applyAlignment="1">
      <alignment horizontal="center"/>
    </xf>
    <xf numFmtId="1" fontId="3" fillId="4" borderId="5" xfId="4" applyNumberFormat="1" applyFont="1" applyFill="1" applyBorder="1" applyAlignment="1">
      <alignment horizontal="center"/>
    </xf>
    <xf numFmtId="1" fontId="3" fillId="4" borderId="6" xfId="4" applyNumberFormat="1" applyFont="1" applyFill="1" applyBorder="1" applyAlignment="1">
      <alignment horizontal="center"/>
    </xf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168" fontId="3" fillId="4" borderId="7" xfId="4" applyNumberFormat="1" applyFont="1" applyFill="1" applyBorder="1" applyAlignment="1">
      <alignment horizontal="center"/>
    </xf>
    <xf numFmtId="168" fontId="3" fillId="4" borderId="8" xfId="4" applyNumberFormat="1" applyFont="1" applyFill="1" applyBorder="1" applyAlignment="1">
      <alignment horizontal="center"/>
    </xf>
    <xf numFmtId="168" fontId="3" fillId="4" borderId="9" xfId="4" applyNumberFormat="1" applyFont="1" applyFill="1" applyBorder="1" applyAlignment="1">
      <alignment horizontal="center"/>
    </xf>
    <xf numFmtId="0" fontId="1" fillId="7" borderId="5" xfId="0" applyFont="1" applyFill="1" applyBorder="1"/>
    <xf numFmtId="0" fontId="0" fillId="0" borderId="5" xfId="0" applyBorder="1"/>
    <xf numFmtId="0" fontId="1" fillId="7" borderId="5" xfId="0" applyFont="1" applyFill="1" applyBorder="1" applyAlignment="1">
      <alignment horizontal="center" vertical="center" wrapText="1"/>
    </xf>
    <xf numFmtId="168" fontId="0" fillId="0" borderId="15" xfId="0" applyNumberFormat="1" applyBorder="1"/>
    <xf numFmtId="167" fontId="0" fillId="0" borderId="15" xfId="0" applyNumberFormat="1" applyBorder="1"/>
    <xf numFmtId="166" fontId="0" fillId="0" borderId="15" xfId="0" applyNumberFormat="1" applyBorder="1"/>
    <xf numFmtId="169" fontId="0" fillId="0" borderId="15" xfId="0" applyNumberFormat="1" applyBorder="1"/>
    <xf numFmtId="0" fontId="0" fillId="0" borderId="15" xfId="0" applyBorder="1"/>
    <xf numFmtId="0" fontId="0" fillId="0" borderId="10" xfId="0" applyBorder="1"/>
    <xf numFmtId="0" fontId="0" fillId="0" borderId="15" xfId="0" applyFill="1" applyBorder="1"/>
    <xf numFmtId="168" fontId="3" fillId="8" borderId="15" xfId="3" applyNumberFormat="1" applyFont="1" applyFill="1" applyBorder="1"/>
    <xf numFmtId="0" fontId="3" fillId="6" borderId="15" xfId="3" applyFont="1" applyFill="1" applyBorder="1"/>
    <xf numFmtId="0" fontId="3" fillId="8" borderId="17" xfId="3" applyNumberFormat="1" applyFont="1" applyFill="1" applyBorder="1"/>
    <xf numFmtId="0" fontId="7" fillId="8" borderId="17" xfId="0" applyFont="1" applyFill="1" applyBorder="1"/>
    <xf numFmtId="0" fontId="8" fillId="7" borderId="5" xfId="3" applyFont="1" applyFill="1" applyBorder="1" applyAlignment="1">
      <alignment horizontal="centerContinuous"/>
    </xf>
    <xf numFmtId="0" fontId="8" fillId="7" borderId="5" xfId="3" applyFont="1" applyFill="1" applyBorder="1" applyAlignment="1">
      <alignment horizontal="center" vertical="center" wrapText="1"/>
    </xf>
    <xf numFmtId="0" fontId="3" fillId="8" borderId="16" xfId="3" applyNumberFormat="1" applyFont="1" applyFill="1" applyBorder="1"/>
    <xf numFmtId="0" fontId="3" fillId="8" borderId="15" xfId="3" applyNumberFormat="1" applyFont="1" applyFill="1" applyBorder="1"/>
    <xf numFmtId="0" fontId="3" fillId="8" borderId="15" xfId="3" applyFont="1" applyFill="1" applyBorder="1"/>
    <xf numFmtId="0" fontId="3" fillId="8" borderId="11" xfId="3" applyFont="1" applyFill="1" applyBorder="1"/>
    <xf numFmtId="168" fontId="3" fillId="8" borderId="11" xfId="3" applyNumberFormat="1" applyFont="1" applyFill="1" applyBorder="1"/>
    <xf numFmtId="0" fontId="3" fillId="6" borderId="11" xfId="3" applyFont="1" applyFill="1" applyBorder="1"/>
    <xf numFmtId="0" fontId="7" fillId="8" borderId="18" xfId="0" applyFont="1" applyFill="1" applyBorder="1"/>
    <xf numFmtId="0" fontId="3" fillId="8" borderId="19" xfId="3" applyNumberFormat="1" applyFont="1" applyFill="1" applyBorder="1"/>
    <xf numFmtId="0" fontId="3" fillId="8" borderId="11" xfId="3" applyNumberFormat="1" applyFont="1" applyFill="1" applyBorder="1"/>
    <xf numFmtId="0" fontId="3" fillId="8" borderId="18" xfId="3" applyNumberFormat="1" applyFont="1" applyFill="1" applyBorder="1"/>
    <xf numFmtId="0" fontId="0" fillId="0" borderId="0" xfId="0" applyBorder="1"/>
    <xf numFmtId="0" fontId="7" fillId="0" borderId="10" xfId="0" applyFont="1" applyBorder="1"/>
    <xf numFmtId="0" fontId="7" fillId="0" borderId="15" xfId="0" applyFont="1" applyBorder="1"/>
    <xf numFmtId="168" fontId="7" fillId="0" borderId="15" xfId="0" applyNumberFormat="1" applyFont="1" applyBorder="1"/>
    <xf numFmtId="167" fontId="7" fillId="0" borderId="15" xfId="0" applyNumberFormat="1" applyFont="1" applyBorder="1"/>
    <xf numFmtId="166" fontId="7" fillId="0" borderId="15" xfId="0" applyNumberFormat="1" applyFont="1" applyBorder="1"/>
    <xf numFmtId="169" fontId="7" fillId="0" borderId="15" xfId="0" applyNumberFormat="1" applyFont="1" applyBorder="1"/>
    <xf numFmtId="168" fontId="7" fillId="0" borderId="11" xfId="0" applyNumberFormat="1" applyFont="1" applyBorder="1"/>
    <xf numFmtId="167" fontId="7" fillId="0" borderId="11" xfId="0" applyNumberFormat="1" applyFont="1" applyBorder="1"/>
    <xf numFmtId="166" fontId="7" fillId="0" borderId="11" xfId="0" applyNumberFormat="1" applyFont="1" applyBorder="1"/>
    <xf numFmtId="169" fontId="7" fillId="0" borderId="11" xfId="0" applyNumberFormat="1" applyFont="1" applyBorder="1"/>
    <xf numFmtId="0" fontId="7" fillId="9" borderId="0" xfId="0" applyFont="1" applyFill="1"/>
    <xf numFmtId="166" fontId="7" fillId="9" borderId="0" xfId="0" applyNumberFormat="1" applyFont="1" applyFill="1"/>
    <xf numFmtId="0" fontId="7" fillId="0" borderId="5" xfId="0" applyFont="1" applyBorder="1"/>
    <xf numFmtId="0" fontId="7" fillId="9" borderId="0" xfId="0" applyFont="1" applyFill="1" applyBorder="1"/>
    <xf numFmtId="0" fontId="7" fillId="9" borderId="20" xfId="0" applyFont="1" applyFill="1" applyBorder="1"/>
    <xf numFmtId="168" fontId="7" fillId="9" borderId="20" xfId="0" applyNumberFormat="1" applyFont="1" applyFill="1" applyBorder="1"/>
    <xf numFmtId="167" fontId="7" fillId="9" borderId="20" xfId="0" applyNumberFormat="1" applyFont="1" applyFill="1" applyBorder="1"/>
    <xf numFmtId="166" fontId="7" fillId="9" borderId="20" xfId="0" applyNumberFormat="1" applyFont="1" applyFill="1" applyBorder="1"/>
    <xf numFmtId="169" fontId="7" fillId="9" borderId="20" xfId="0" applyNumberFormat="1" applyFont="1" applyFill="1" applyBorder="1"/>
    <xf numFmtId="168" fontId="7" fillId="9" borderId="0" xfId="0" applyNumberFormat="1" applyFont="1" applyFill="1" applyBorder="1"/>
    <xf numFmtId="167" fontId="7" fillId="9" borderId="0" xfId="0" applyNumberFormat="1" applyFont="1" applyFill="1" applyBorder="1"/>
    <xf numFmtId="166" fontId="7" fillId="9" borderId="0" xfId="0" applyNumberFormat="1" applyFont="1" applyFill="1" applyBorder="1"/>
    <xf numFmtId="169" fontId="7" fillId="9" borderId="0" xfId="0" applyNumberFormat="1" applyFont="1" applyFill="1" applyBorder="1"/>
    <xf numFmtId="167" fontId="7" fillId="9" borderId="0" xfId="0" applyNumberFormat="1" applyFont="1" applyFill="1"/>
    <xf numFmtId="166" fontId="7" fillId="0" borderId="5" xfId="0" applyNumberFormat="1" applyFont="1" applyBorder="1"/>
    <xf numFmtId="167" fontId="7" fillId="0" borderId="5" xfId="0" applyNumberFormat="1" applyFont="1" applyBorder="1"/>
    <xf numFmtId="170" fontId="7" fillId="0" borderId="5" xfId="0" applyNumberFormat="1" applyFont="1" applyBorder="1"/>
    <xf numFmtId="0" fontId="3" fillId="6" borderId="7" xfId="1" applyFont="1" applyFill="1" applyBorder="1"/>
    <xf numFmtId="0" fontId="3" fillId="6" borderId="8" xfId="1" applyFont="1" applyFill="1" applyBorder="1"/>
    <xf numFmtId="0" fontId="3" fillId="10" borderId="5" xfId="0" applyFont="1" applyFill="1" applyBorder="1" applyAlignment="1">
      <alignment horizontal="center" vertical="center" wrapText="1"/>
    </xf>
    <xf numFmtId="0" fontId="3" fillId="10" borderId="5" xfId="0" applyFont="1" applyFill="1" applyBorder="1"/>
    <xf numFmtId="11" fontId="7" fillId="9" borderId="0" xfId="0" applyNumberFormat="1" applyFont="1" applyFill="1"/>
  </cellXfs>
  <cellStyles count="6">
    <cellStyle name="Normal" xfId="0" builtinId="0"/>
    <cellStyle name="Normal 2 2" xfId="3"/>
    <cellStyle name="Normal_InterestRateQuotesFeed" xfId="1"/>
    <cellStyle name="Normal_SwaptionATMVols" xfId="2"/>
    <cellStyle name="Percent 2" xfId="5"/>
    <cellStyle name="Percent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Delta'!$X$2</c:f>
              <c:strCache>
                <c:ptCount val="1"/>
                <c:pt idx="0">
                  <c:v>Delta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42138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42149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42247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42366</c:v>
                </c:pt>
                <c:pt idx="166">
                  <c:v>42367</c:v>
                </c:pt>
                <c:pt idx="167">
                  <c:v>42368</c:v>
                </c:pt>
                <c:pt idx="168">
                  <c:v>42369</c:v>
                </c:pt>
                <c:pt idx="169">
                  <c:v>42373</c:v>
                </c:pt>
                <c:pt idx="170">
                  <c:v>42374</c:v>
                </c:pt>
                <c:pt idx="171">
                  <c:v>42375</c:v>
                </c:pt>
                <c:pt idx="172">
                  <c:v>42376</c:v>
                </c:pt>
                <c:pt idx="173">
                  <c:v>42377</c:v>
                </c:pt>
                <c:pt idx="174">
                  <c:v>42380</c:v>
                </c:pt>
                <c:pt idx="175">
                  <c:v>42381</c:v>
                </c:pt>
                <c:pt idx="176">
                  <c:v>42382</c:v>
                </c:pt>
                <c:pt idx="177">
                  <c:v>42383</c:v>
                </c:pt>
                <c:pt idx="178">
                  <c:v>42384</c:v>
                </c:pt>
                <c:pt idx="179">
                  <c:v>42387</c:v>
                </c:pt>
                <c:pt idx="180">
                  <c:v>42388</c:v>
                </c:pt>
                <c:pt idx="181">
                  <c:v>42389</c:v>
                </c:pt>
                <c:pt idx="182">
                  <c:v>42390</c:v>
                </c:pt>
                <c:pt idx="183">
                  <c:v>42391</c:v>
                </c:pt>
                <c:pt idx="184">
                  <c:v>42394</c:v>
                </c:pt>
                <c:pt idx="185">
                  <c:v>42395</c:v>
                </c:pt>
                <c:pt idx="186">
                  <c:v>42396</c:v>
                </c:pt>
                <c:pt idx="187">
                  <c:v>42397</c:v>
                </c:pt>
                <c:pt idx="188">
                  <c:v>42398</c:v>
                </c:pt>
                <c:pt idx="189">
                  <c:v>42401</c:v>
                </c:pt>
                <c:pt idx="190">
                  <c:v>42402</c:v>
                </c:pt>
                <c:pt idx="191">
                  <c:v>42403</c:v>
                </c:pt>
                <c:pt idx="192">
                  <c:v>42404</c:v>
                </c:pt>
                <c:pt idx="193">
                  <c:v>42405</c:v>
                </c:pt>
                <c:pt idx="194">
                  <c:v>42408</c:v>
                </c:pt>
                <c:pt idx="195">
                  <c:v>42409</c:v>
                </c:pt>
                <c:pt idx="196">
                  <c:v>42410</c:v>
                </c:pt>
                <c:pt idx="197">
                  <c:v>42411</c:v>
                </c:pt>
                <c:pt idx="198">
                  <c:v>42412</c:v>
                </c:pt>
                <c:pt idx="199">
                  <c:v>42415</c:v>
                </c:pt>
                <c:pt idx="200">
                  <c:v>42416</c:v>
                </c:pt>
                <c:pt idx="201">
                  <c:v>42417</c:v>
                </c:pt>
                <c:pt idx="202">
                  <c:v>42418</c:v>
                </c:pt>
                <c:pt idx="203">
                  <c:v>42419</c:v>
                </c:pt>
                <c:pt idx="204">
                  <c:v>42422</c:v>
                </c:pt>
                <c:pt idx="205">
                  <c:v>42423</c:v>
                </c:pt>
                <c:pt idx="206">
                  <c:v>42424</c:v>
                </c:pt>
                <c:pt idx="207">
                  <c:v>42425</c:v>
                </c:pt>
                <c:pt idx="208">
                  <c:v>42426</c:v>
                </c:pt>
                <c:pt idx="209">
                  <c:v>42429</c:v>
                </c:pt>
                <c:pt idx="210">
                  <c:v>42430</c:v>
                </c:pt>
                <c:pt idx="211">
                  <c:v>42431</c:v>
                </c:pt>
                <c:pt idx="212">
                  <c:v>42432</c:v>
                </c:pt>
                <c:pt idx="213">
                  <c:v>42433</c:v>
                </c:pt>
                <c:pt idx="214">
                  <c:v>42436</c:v>
                </c:pt>
                <c:pt idx="215">
                  <c:v>42437</c:v>
                </c:pt>
                <c:pt idx="216">
                  <c:v>42438</c:v>
                </c:pt>
                <c:pt idx="217">
                  <c:v>42439</c:v>
                </c:pt>
                <c:pt idx="218">
                  <c:v>42440</c:v>
                </c:pt>
                <c:pt idx="219">
                  <c:v>42443</c:v>
                </c:pt>
                <c:pt idx="220">
                  <c:v>42444</c:v>
                </c:pt>
                <c:pt idx="221">
                  <c:v>42445</c:v>
                </c:pt>
                <c:pt idx="222">
                  <c:v>42446</c:v>
                </c:pt>
                <c:pt idx="223">
                  <c:v>42447</c:v>
                </c:pt>
                <c:pt idx="224">
                  <c:v>42450</c:v>
                </c:pt>
                <c:pt idx="225">
                  <c:v>42451</c:v>
                </c:pt>
                <c:pt idx="226">
                  <c:v>42452</c:v>
                </c:pt>
                <c:pt idx="227">
                  <c:v>42453</c:v>
                </c:pt>
                <c:pt idx="228">
                  <c:v>42458</c:v>
                </c:pt>
                <c:pt idx="229">
                  <c:v>42459</c:v>
                </c:pt>
                <c:pt idx="230">
                  <c:v>42460</c:v>
                </c:pt>
                <c:pt idx="231">
                  <c:v>42461</c:v>
                </c:pt>
                <c:pt idx="232">
                  <c:v>42464</c:v>
                </c:pt>
                <c:pt idx="233">
                  <c:v>42465</c:v>
                </c:pt>
                <c:pt idx="234">
                  <c:v>42466</c:v>
                </c:pt>
                <c:pt idx="235">
                  <c:v>42467</c:v>
                </c:pt>
                <c:pt idx="236">
                  <c:v>42468</c:v>
                </c:pt>
                <c:pt idx="237">
                  <c:v>42471</c:v>
                </c:pt>
                <c:pt idx="238">
                  <c:v>42472</c:v>
                </c:pt>
                <c:pt idx="239">
                  <c:v>42473</c:v>
                </c:pt>
                <c:pt idx="240">
                  <c:v>42474</c:v>
                </c:pt>
                <c:pt idx="241">
                  <c:v>42475</c:v>
                </c:pt>
                <c:pt idx="242">
                  <c:v>42478</c:v>
                </c:pt>
                <c:pt idx="243">
                  <c:v>42479</c:v>
                </c:pt>
                <c:pt idx="244">
                  <c:v>42480</c:v>
                </c:pt>
                <c:pt idx="245">
                  <c:v>42481</c:v>
                </c:pt>
                <c:pt idx="246">
                  <c:v>42482</c:v>
                </c:pt>
                <c:pt idx="247">
                  <c:v>42485</c:v>
                </c:pt>
                <c:pt idx="248">
                  <c:v>42486</c:v>
                </c:pt>
                <c:pt idx="249">
                  <c:v>42487</c:v>
                </c:pt>
                <c:pt idx="250">
                  <c:v>42488</c:v>
                </c:pt>
                <c:pt idx="251">
                  <c:v>42489</c:v>
                </c:pt>
                <c:pt idx="252">
                  <c:v>42492</c:v>
                </c:pt>
                <c:pt idx="253">
                  <c:v>42493</c:v>
                </c:pt>
                <c:pt idx="254">
                  <c:v>42494</c:v>
                </c:pt>
                <c:pt idx="255">
                  <c:v>42495</c:v>
                </c:pt>
                <c:pt idx="256">
                  <c:v>42496</c:v>
                </c:pt>
                <c:pt idx="257">
                  <c:v>42503</c:v>
                </c:pt>
                <c:pt idx="258">
                  <c:v>42510</c:v>
                </c:pt>
                <c:pt idx="259">
                  <c:v>42517</c:v>
                </c:pt>
                <c:pt idx="260">
                  <c:v>42524</c:v>
                </c:pt>
                <c:pt idx="261">
                  <c:v>42531</c:v>
                </c:pt>
                <c:pt idx="262">
                  <c:v>42538</c:v>
                </c:pt>
                <c:pt idx="263">
                  <c:v>42545</c:v>
                </c:pt>
                <c:pt idx="264">
                  <c:v>42552</c:v>
                </c:pt>
                <c:pt idx="265">
                  <c:v>42559</c:v>
                </c:pt>
                <c:pt idx="266">
                  <c:v>42566</c:v>
                </c:pt>
                <c:pt idx="267">
                  <c:v>42573</c:v>
                </c:pt>
                <c:pt idx="268">
                  <c:v>42580</c:v>
                </c:pt>
                <c:pt idx="269">
                  <c:v>42587</c:v>
                </c:pt>
                <c:pt idx="270">
                  <c:v>42594</c:v>
                </c:pt>
                <c:pt idx="271">
                  <c:v>42601</c:v>
                </c:pt>
                <c:pt idx="272">
                  <c:v>42608</c:v>
                </c:pt>
                <c:pt idx="273">
                  <c:v>42615</c:v>
                </c:pt>
                <c:pt idx="274">
                  <c:v>42622</c:v>
                </c:pt>
                <c:pt idx="275">
                  <c:v>42629</c:v>
                </c:pt>
                <c:pt idx="276">
                  <c:v>42636</c:v>
                </c:pt>
                <c:pt idx="277">
                  <c:v>42643</c:v>
                </c:pt>
                <c:pt idx="278">
                  <c:v>42650</c:v>
                </c:pt>
                <c:pt idx="279">
                  <c:v>42657</c:v>
                </c:pt>
                <c:pt idx="280">
                  <c:v>42664</c:v>
                </c:pt>
                <c:pt idx="281">
                  <c:v>42671</c:v>
                </c:pt>
                <c:pt idx="282">
                  <c:v>42678</c:v>
                </c:pt>
                <c:pt idx="283">
                  <c:v>42685</c:v>
                </c:pt>
                <c:pt idx="284">
                  <c:v>42692</c:v>
                </c:pt>
                <c:pt idx="285">
                  <c:v>42699</c:v>
                </c:pt>
                <c:pt idx="286">
                  <c:v>42706</c:v>
                </c:pt>
                <c:pt idx="287">
                  <c:v>42713</c:v>
                </c:pt>
                <c:pt idx="288">
                  <c:v>42720</c:v>
                </c:pt>
                <c:pt idx="289">
                  <c:v>42727</c:v>
                </c:pt>
                <c:pt idx="290">
                  <c:v>42734</c:v>
                </c:pt>
                <c:pt idx="291">
                  <c:v>42741</c:v>
                </c:pt>
                <c:pt idx="292">
                  <c:v>42748</c:v>
                </c:pt>
                <c:pt idx="293">
                  <c:v>42755</c:v>
                </c:pt>
                <c:pt idx="294">
                  <c:v>42762</c:v>
                </c:pt>
                <c:pt idx="295">
                  <c:v>42769</c:v>
                </c:pt>
                <c:pt idx="296">
                  <c:v>42776</c:v>
                </c:pt>
                <c:pt idx="297">
                  <c:v>42783</c:v>
                </c:pt>
                <c:pt idx="298">
                  <c:v>42790</c:v>
                </c:pt>
                <c:pt idx="299">
                  <c:v>42797</c:v>
                </c:pt>
                <c:pt idx="300">
                  <c:v>42804</c:v>
                </c:pt>
                <c:pt idx="301">
                  <c:v>42811</c:v>
                </c:pt>
                <c:pt idx="302">
                  <c:v>42818</c:v>
                </c:pt>
                <c:pt idx="303">
                  <c:v>42825</c:v>
                </c:pt>
                <c:pt idx="304">
                  <c:v>42832</c:v>
                </c:pt>
                <c:pt idx="305">
                  <c:v>42843</c:v>
                </c:pt>
                <c:pt idx="306">
                  <c:v>42846</c:v>
                </c:pt>
                <c:pt idx="307">
                  <c:v>42853</c:v>
                </c:pt>
                <c:pt idx="308">
                  <c:v>42860</c:v>
                </c:pt>
                <c:pt idx="309">
                  <c:v>42867</c:v>
                </c:pt>
                <c:pt idx="310">
                  <c:v>42874</c:v>
                </c:pt>
                <c:pt idx="311">
                  <c:v>42881</c:v>
                </c:pt>
                <c:pt idx="312">
                  <c:v>42888</c:v>
                </c:pt>
                <c:pt idx="313">
                  <c:v>42895</c:v>
                </c:pt>
                <c:pt idx="314">
                  <c:v>42902</c:v>
                </c:pt>
                <c:pt idx="315">
                  <c:v>42909</c:v>
                </c:pt>
                <c:pt idx="316">
                  <c:v>42916</c:v>
                </c:pt>
                <c:pt idx="317">
                  <c:v>42923</c:v>
                </c:pt>
                <c:pt idx="318">
                  <c:v>42930</c:v>
                </c:pt>
                <c:pt idx="319">
                  <c:v>42937</c:v>
                </c:pt>
                <c:pt idx="320">
                  <c:v>42944</c:v>
                </c:pt>
                <c:pt idx="321">
                  <c:v>42951</c:v>
                </c:pt>
                <c:pt idx="322">
                  <c:v>42958</c:v>
                </c:pt>
                <c:pt idx="323">
                  <c:v>42965</c:v>
                </c:pt>
                <c:pt idx="324">
                  <c:v>42972</c:v>
                </c:pt>
                <c:pt idx="325">
                  <c:v>42979</c:v>
                </c:pt>
                <c:pt idx="326">
                  <c:v>42986</c:v>
                </c:pt>
                <c:pt idx="327">
                  <c:v>42993</c:v>
                </c:pt>
                <c:pt idx="328">
                  <c:v>43000</c:v>
                </c:pt>
                <c:pt idx="329">
                  <c:v>43007</c:v>
                </c:pt>
                <c:pt idx="330">
                  <c:v>43014</c:v>
                </c:pt>
                <c:pt idx="331">
                  <c:v>43021</c:v>
                </c:pt>
                <c:pt idx="332">
                  <c:v>43028</c:v>
                </c:pt>
                <c:pt idx="333">
                  <c:v>43035</c:v>
                </c:pt>
                <c:pt idx="334">
                  <c:v>43042</c:v>
                </c:pt>
                <c:pt idx="335">
                  <c:v>43049</c:v>
                </c:pt>
                <c:pt idx="336">
                  <c:v>43056</c:v>
                </c:pt>
                <c:pt idx="337">
                  <c:v>43063</c:v>
                </c:pt>
                <c:pt idx="338">
                  <c:v>43070</c:v>
                </c:pt>
                <c:pt idx="339">
                  <c:v>43077</c:v>
                </c:pt>
                <c:pt idx="340">
                  <c:v>43084</c:v>
                </c:pt>
                <c:pt idx="341">
                  <c:v>43091</c:v>
                </c:pt>
                <c:pt idx="342">
                  <c:v>43098</c:v>
                </c:pt>
                <c:pt idx="343">
                  <c:v>43105</c:v>
                </c:pt>
                <c:pt idx="344">
                  <c:v>43112</c:v>
                </c:pt>
                <c:pt idx="345">
                  <c:v>43119</c:v>
                </c:pt>
                <c:pt idx="346">
                  <c:v>43126</c:v>
                </c:pt>
                <c:pt idx="347">
                  <c:v>43133</c:v>
                </c:pt>
                <c:pt idx="348">
                  <c:v>43140</c:v>
                </c:pt>
                <c:pt idx="349">
                  <c:v>43147</c:v>
                </c:pt>
                <c:pt idx="350">
                  <c:v>43154</c:v>
                </c:pt>
                <c:pt idx="351">
                  <c:v>43161</c:v>
                </c:pt>
                <c:pt idx="352">
                  <c:v>43168</c:v>
                </c:pt>
                <c:pt idx="353">
                  <c:v>43175</c:v>
                </c:pt>
                <c:pt idx="354">
                  <c:v>43182</c:v>
                </c:pt>
                <c:pt idx="355">
                  <c:v>43193</c:v>
                </c:pt>
                <c:pt idx="356">
                  <c:v>43196</c:v>
                </c:pt>
                <c:pt idx="357">
                  <c:v>43203</c:v>
                </c:pt>
                <c:pt idx="358">
                  <c:v>43210</c:v>
                </c:pt>
                <c:pt idx="359">
                  <c:v>43217</c:v>
                </c:pt>
                <c:pt idx="360">
                  <c:v>43224</c:v>
                </c:pt>
                <c:pt idx="361">
                  <c:v>43231</c:v>
                </c:pt>
                <c:pt idx="362">
                  <c:v>43238</c:v>
                </c:pt>
                <c:pt idx="363">
                  <c:v>43245</c:v>
                </c:pt>
                <c:pt idx="364">
                  <c:v>43252</c:v>
                </c:pt>
                <c:pt idx="365">
                  <c:v>43259</c:v>
                </c:pt>
                <c:pt idx="366">
                  <c:v>43266</c:v>
                </c:pt>
                <c:pt idx="367">
                  <c:v>43273</c:v>
                </c:pt>
                <c:pt idx="368">
                  <c:v>43280</c:v>
                </c:pt>
                <c:pt idx="369">
                  <c:v>43287</c:v>
                </c:pt>
                <c:pt idx="370">
                  <c:v>43294</c:v>
                </c:pt>
                <c:pt idx="371">
                  <c:v>43301</c:v>
                </c:pt>
                <c:pt idx="372">
                  <c:v>43308</c:v>
                </c:pt>
                <c:pt idx="373">
                  <c:v>43315</c:v>
                </c:pt>
                <c:pt idx="374">
                  <c:v>43322</c:v>
                </c:pt>
                <c:pt idx="375">
                  <c:v>43329</c:v>
                </c:pt>
                <c:pt idx="376">
                  <c:v>43336</c:v>
                </c:pt>
                <c:pt idx="377">
                  <c:v>43343</c:v>
                </c:pt>
                <c:pt idx="378">
                  <c:v>43350</c:v>
                </c:pt>
                <c:pt idx="379">
                  <c:v>43357</c:v>
                </c:pt>
                <c:pt idx="380">
                  <c:v>43364</c:v>
                </c:pt>
                <c:pt idx="381">
                  <c:v>43371</c:v>
                </c:pt>
                <c:pt idx="382">
                  <c:v>43378</c:v>
                </c:pt>
                <c:pt idx="383">
                  <c:v>43385</c:v>
                </c:pt>
                <c:pt idx="384">
                  <c:v>43392</c:v>
                </c:pt>
                <c:pt idx="385">
                  <c:v>43399</c:v>
                </c:pt>
                <c:pt idx="386">
                  <c:v>43406</c:v>
                </c:pt>
                <c:pt idx="387">
                  <c:v>43413</c:v>
                </c:pt>
                <c:pt idx="388">
                  <c:v>43420</c:v>
                </c:pt>
                <c:pt idx="389">
                  <c:v>43427</c:v>
                </c:pt>
                <c:pt idx="390">
                  <c:v>43434</c:v>
                </c:pt>
                <c:pt idx="391">
                  <c:v>43441</c:v>
                </c:pt>
                <c:pt idx="392">
                  <c:v>43448</c:v>
                </c:pt>
                <c:pt idx="393">
                  <c:v>43455</c:v>
                </c:pt>
                <c:pt idx="394">
                  <c:v>43465</c:v>
                </c:pt>
                <c:pt idx="395">
                  <c:v>43472</c:v>
                </c:pt>
                <c:pt idx="396">
                  <c:v>43479</c:v>
                </c:pt>
                <c:pt idx="397">
                  <c:v>43486</c:v>
                </c:pt>
                <c:pt idx="398">
                  <c:v>43493</c:v>
                </c:pt>
                <c:pt idx="399">
                  <c:v>43500</c:v>
                </c:pt>
                <c:pt idx="400">
                  <c:v>43507</c:v>
                </c:pt>
                <c:pt idx="401">
                  <c:v>43514</c:v>
                </c:pt>
                <c:pt idx="402">
                  <c:v>43521</c:v>
                </c:pt>
                <c:pt idx="403">
                  <c:v>43528</c:v>
                </c:pt>
                <c:pt idx="404">
                  <c:v>43535</c:v>
                </c:pt>
                <c:pt idx="405">
                  <c:v>43542</c:v>
                </c:pt>
                <c:pt idx="406">
                  <c:v>43549</c:v>
                </c:pt>
                <c:pt idx="407">
                  <c:v>43556</c:v>
                </c:pt>
                <c:pt idx="408">
                  <c:v>43563</c:v>
                </c:pt>
                <c:pt idx="409">
                  <c:v>43570</c:v>
                </c:pt>
                <c:pt idx="410">
                  <c:v>43579</c:v>
                </c:pt>
                <c:pt idx="411">
                  <c:v>43584</c:v>
                </c:pt>
                <c:pt idx="412">
                  <c:v>43591</c:v>
                </c:pt>
                <c:pt idx="413">
                  <c:v>43598</c:v>
                </c:pt>
                <c:pt idx="414">
                  <c:v>43605</c:v>
                </c:pt>
                <c:pt idx="415">
                  <c:v>43612</c:v>
                </c:pt>
                <c:pt idx="416">
                  <c:v>43619</c:v>
                </c:pt>
                <c:pt idx="417">
                  <c:v>43626</c:v>
                </c:pt>
                <c:pt idx="418">
                  <c:v>43633</c:v>
                </c:pt>
                <c:pt idx="419">
                  <c:v>43640</c:v>
                </c:pt>
                <c:pt idx="420">
                  <c:v>43647</c:v>
                </c:pt>
                <c:pt idx="421">
                  <c:v>43654</c:v>
                </c:pt>
                <c:pt idx="422">
                  <c:v>43661</c:v>
                </c:pt>
                <c:pt idx="423">
                  <c:v>43668</c:v>
                </c:pt>
                <c:pt idx="424">
                  <c:v>43675</c:v>
                </c:pt>
                <c:pt idx="425">
                  <c:v>43682</c:v>
                </c:pt>
                <c:pt idx="426">
                  <c:v>43689</c:v>
                </c:pt>
                <c:pt idx="427">
                  <c:v>43696</c:v>
                </c:pt>
                <c:pt idx="428">
                  <c:v>43703</c:v>
                </c:pt>
                <c:pt idx="429">
                  <c:v>43710</c:v>
                </c:pt>
                <c:pt idx="430">
                  <c:v>43717</c:v>
                </c:pt>
                <c:pt idx="431">
                  <c:v>43724</c:v>
                </c:pt>
                <c:pt idx="432">
                  <c:v>43731</c:v>
                </c:pt>
                <c:pt idx="433">
                  <c:v>43738</c:v>
                </c:pt>
                <c:pt idx="434">
                  <c:v>43745</c:v>
                </c:pt>
                <c:pt idx="435">
                  <c:v>43752</c:v>
                </c:pt>
                <c:pt idx="436">
                  <c:v>43759</c:v>
                </c:pt>
                <c:pt idx="437">
                  <c:v>43766</c:v>
                </c:pt>
                <c:pt idx="438">
                  <c:v>43773</c:v>
                </c:pt>
                <c:pt idx="439">
                  <c:v>43780</c:v>
                </c:pt>
                <c:pt idx="440">
                  <c:v>43787</c:v>
                </c:pt>
                <c:pt idx="441">
                  <c:v>43794</c:v>
                </c:pt>
                <c:pt idx="442">
                  <c:v>43801</c:v>
                </c:pt>
                <c:pt idx="443">
                  <c:v>43808</c:v>
                </c:pt>
                <c:pt idx="444">
                  <c:v>43815</c:v>
                </c:pt>
                <c:pt idx="445">
                  <c:v>43822</c:v>
                </c:pt>
                <c:pt idx="446">
                  <c:v>43830</c:v>
                </c:pt>
                <c:pt idx="447">
                  <c:v>43837</c:v>
                </c:pt>
                <c:pt idx="448">
                  <c:v>43844</c:v>
                </c:pt>
                <c:pt idx="449">
                  <c:v>43851</c:v>
                </c:pt>
                <c:pt idx="450">
                  <c:v>43858</c:v>
                </c:pt>
                <c:pt idx="451">
                  <c:v>43865</c:v>
                </c:pt>
                <c:pt idx="452">
                  <c:v>43872</c:v>
                </c:pt>
                <c:pt idx="453">
                  <c:v>43879</c:v>
                </c:pt>
                <c:pt idx="454">
                  <c:v>43886</c:v>
                </c:pt>
                <c:pt idx="455">
                  <c:v>43893</c:v>
                </c:pt>
                <c:pt idx="456">
                  <c:v>43900</c:v>
                </c:pt>
                <c:pt idx="457">
                  <c:v>43907</c:v>
                </c:pt>
                <c:pt idx="458">
                  <c:v>43914</c:v>
                </c:pt>
                <c:pt idx="459">
                  <c:v>43921</c:v>
                </c:pt>
                <c:pt idx="460">
                  <c:v>43928</c:v>
                </c:pt>
                <c:pt idx="461">
                  <c:v>43937</c:v>
                </c:pt>
                <c:pt idx="462">
                  <c:v>43944</c:v>
                </c:pt>
                <c:pt idx="463">
                  <c:v>43951</c:v>
                </c:pt>
                <c:pt idx="464">
                  <c:v>43958</c:v>
                </c:pt>
                <c:pt idx="465">
                  <c:v>43965</c:v>
                </c:pt>
                <c:pt idx="466">
                  <c:v>43972</c:v>
                </c:pt>
                <c:pt idx="467">
                  <c:v>43979</c:v>
                </c:pt>
                <c:pt idx="468">
                  <c:v>43986</c:v>
                </c:pt>
                <c:pt idx="469">
                  <c:v>43993</c:v>
                </c:pt>
                <c:pt idx="470">
                  <c:v>44000</c:v>
                </c:pt>
                <c:pt idx="471">
                  <c:v>44007</c:v>
                </c:pt>
                <c:pt idx="472">
                  <c:v>44014</c:v>
                </c:pt>
                <c:pt idx="473">
                  <c:v>44021</c:v>
                </c:pt>
                <c:pt idx="474">
                  <c:v>44028</c:v>
                </c:pt>
                <c:pt idx="475">
                  <c:v>44035</c:v>
                </c:pt>
                <c:pt idx="476">
                  <c:v>44042</c:v>
                </c:pt>
                <c:pt idx="477">
                  <c:v>44049</c:v>
                </c:pt>
                <c:pt idx="478">
                  <c:v>44056</c:v>
                </c:pt>
                <c:pt idx="479">
                  <c:v>44063</c:v>
                </c:pt>
                <c:pt idx="480">
                  <c:v>44070</c:v>
                </c:pt>
                <c:pt idx="481">
                  <c:v>44077</c:v>
                </c:pt>
                <c:pt idx="482">
                  <c:v>44084</c:v>
                </c:pt>
                <c:pt idx="483">
                  <c:v>44091</c:v>
                </c:pt>
                <c:pt idx="484">
                  <c:v>44098</c:v>
                </c:pt>
                <c:pt idx="485">
                  <c:v>44105</c:v>
                </c:pt>
                <c:pt idx="486">
                  <c:v>44112</c:v>
                </c:pt>
                <c:pt idx="487">
                  <c:v>44119</c:v>
                </c:pt>
                <c:pt idx="488">
                  <c:v>44126</c:v>
                </c:pt>
                <c:pt idx="489">
                  <c:v>44133</c:v>
                </c:pt>
                <c:pt idx="490">
                  <c:v>44140</c:v>
                </c:pt>
                <c:pt idx="491">
                  <c:v>44147</c:v>
                </c:pt>
                <c:pt idx="492">
                  <c:v>44154</c:v>
                </c:pt>
                <c:pt idx="493">
                  <c:v>44161</c:v>
                </c:pt>
                <c:pt idx="494">
                  <c:v>44168</c:v>
                </c:pt>
                <c:pt idx="495">
                  <c:v>44175</c:v>
                </c:pt>
                <c:pt idx="496">
                  <c:v>44182</c:v>
                </c:pt>
                <c:pt idx="497">
                  <c:v>44189</c:v>
                </c:pt>
                <c:pt idx="498">
                  <c:v>44196</c:v>
                </c:pt>
                <c:pt idx="499">
                  <c:v>44203</c:v>
                </c:pt>
                <c:pt idx="500">
                  <c:v>44210</c:v>
                </c:pt>
                <c:pt idx="501">
                  <c:v>44217</c:v>
                </c:pt>
                <c:pt idx="502">
                  <c:v>44224</c:v>
                </c:pt>
                <c:pt idx="503">
                  <c:v>44231</c:v>
                </c:pt>
                <c:pt idx="504">
                  <c:v>44238</c:v>
                </c:pt>
                <c:pt idx="505">
                  <c:v>44245</c:v>
                </c:pt>
                <c:pt idx="506">
                  <c:v>44252</c:v>
                </c:pt>
                <c:pt idx="507">
                  <c:v>44259</c:v>
                </c:pt>
                <c:pt idx="508">
                  <c:v>44266</c:v>
                </c:pt>
                <c:pt idx="509">
                  <c:v>44273</c:v>
                </c:pt>
                <c:pt idx="510">
                  <c:v>44280</c:v>
                </c:pt>
                <c:pt idx="511">
                  <c:v>44287</c:v>
                </c:pt>
                <c:pt idx="512">
                  <c:v>44294</c:v>
                </c:pt>
                <c:pt idx="513">
                  <c:v>44301</c:v>
                </c:pt>
                <c:pt idx="514">
                  <c:v>44308</c:v>
                </c:pt>
                <c:pt idx="515">
                  <c:v>44315</c:v>
                </c:pt>
                <c:pt idx="516">
                  <c:v>44322</c:v>
                </c:pt>
                <c:pt idx="517">
                  <c:v>44329</c:v>
                </c:pt>
                <c:pt idx="518">
                  <c:v>44336</c:v>
                </c:pt>
                <c:pt idx="519">
                  <c:v>44343</c:v>
                </c:pt>
                <c:pt idx="520">
                  <c:v>44350</c:v>
                </c:pt>
                <c:pt idx="521">
                  <c:v>44357</c:v>
                </c:pt>
                <c:pt idx="522">
                  <c:v>44364</c:v>
                </c:pt>
                <c:pt idx="523">
                  <c:v>44371</c:v>
                </c:pt>
                <c:pt idx="524">
                  <c:v>44378</c:v>
                </c:pt>
                <c:pt idx="525">
                  <c:v>44385</c:v>
                </c:pt>
                <c:pt idx="526">
                  <c:v>44392</c:v>
                </c:pt>
                <c:pt idx="527">
                  <c:v>44399</c:v>
                </c:pt>
                <c:pt idx="528">
                  <c:v>44406</c:v>
                </c:pt>
                <c:pt idx="529">
                  <c:v>44413</c:v>
                </c:pt>
                <c:pt idx="530">
                  <c:v>44420</c:v>
                </c:pt>
                <c:pt idx="531">
                  <c:v>44427</c:v>
                </c:pt>
                <c:pt idx="532">
                  <c:v>44434</c:v>
                </c:pt>
                <c:pt idx="533">
                  <c:v>44441</c:v>
                </c:pt>
                <c:pt idx="534">
                  <c:v>44448</c:v>
                </c:pt>
                <c:pt idx="535">
                  <c:v>44455</c:v>
                </c:pt>
                <c:pt idx="536">
                  <c:v>44462</c:v>
                </c:pt>
                <c:pt idx="537">
                  <c:v>44469</c:v>
                </c:pt>
                <c:pt idx="538">
                  <c:v>44476</c:v>
                </c:pt>
                <c:pt idx="539">
                  <c:v>44483</c:v>
                </c:pt>
                <c:pt idx="540">
                  <c:v>44490</c:v>
                </c:pt>
                <c:pt idx="541">
                  <c:v>44497</c:v>
                </c:pt>
                <c:pt idx="542">
                  <c:v>44504</c:v>
                </c:pt>
                <c:pt idx="543">
                  <c:v>44511</c:v>
                </c:pt>
                <c:pt idx="544">
                  <c:v>44518</c:v>
                </c:pt>
                <c:pt idx="545">
                  <c:v>44525</c:v>
                </c:pt>
                <c:pt idx="546">
                  <c:v>44532</c:v>
                </c:pt>
                <c:pt idx="547">
                  <c:v>44539</c:v>
                </c:pt>
                <c:pt idx="548">
                  <c:v>44546</c:v>
                </c:pt>
                <c:pt idx="549">
                  <c:v>44553</c:v>
                </c:pt>
                <c:pt idx="550">
                  <c:v>44560</c:v>
                </c:pt>
                <c:pt idx="551">
                  <c:v>44567</c:v>
                </c:pt>
                <c:pt idx="552">
                  <c:v>44574</c:v>
                </c:pt>
                <c:pt idx="553">
                  <c:v>44581</c:v>
                </c:pt>
                <c:pt idx="554">
                  <c:v>44588</c:v>
                </c:pt>
                <c:pt idx="555">
                  <c:v>44595</c:v>
                </c:pt>
                <c:pt idx="556">
                  <c:v>44602</c:v>
                </c:pt>
                <c:pt idx="557">
                  <c:v>44609</c:v>
                </c:pt>
                <c:pt idx="558">
                  <c:v>44616</c:v>
                </c:pt>
                <c:pt idx="559">
                  <c:v>44623</c:v>
                </c:pt>
                <c:pt idx="560">
                  <c:v>44630</c:v>
                </c:pt>
                <c:pt idx="561">
                  <c:v>44637</c:v>
                </c:pt>
                <c:pt idx="562">
                  <c:v>44644</c:v>
                </c:pt>
                <c:pt idx="563">
                  <c:v>44651</c:v>
                </c:pt>
                <c:pt idx="564">
                  <c:v>44658</c:v>
                </c:pt>
                <c:pt idx="565">
                  <c:v>44665</c:v>
                </c:pt>
                <c:pt idx="566">
                  <c:v>44672</c:v>
                </c:pt>
                <c:pt idx="567">
                  <c:v>44679</c:v>
                </c:pt>
                <c:pt idx="568">
                  <c:v>44686</c:v>
                </c:pt>
                <c:pt idx="569">
                  <c:v>44693</c:v>
                </c:pt>
                <c:pt idx="570">
                  <c:v>44700</c:v>
                </c:pt>
                <c:pt idx="571">
                  <c:v>44707</c:v>
                </c:pt>
                <c:pt idx="572">
                  <c:v>44714</c:v>
                </c:pt>
                <c:pt idx="573">
                  <c:v>44721</c:v>
                </c:pt>
                <c:pt idx="574">
                  <c:v>44728</c:v>
                </c:pt>
                <c:pt idx="575">
                  <c:v>44735</c:v>
                </c:pt>
                <c:pt idx="576">
                  <c:v>44742</c:v>
                </c:pt>
                <c:pt idx="577">
                  <c:v>44749</c:v>
                </c:pt>
                <c:pt idx="578">
                  <c:v>44756</c:v>
                </c:pt>
                <c:pt idx="579">
                  <c:v>44763</c:v>
                </c:pt>
                <c:pt idx="580">
                  <c:v>44770</c:v>
                </c:pt>
                <c:pt idx="581">
                  <c:v>44777</c:v>
                </c:pt>
                <c:pt idx="582">
                  <c:v>44784</c:v>
                </c:pt>
                <c:pt idx="583">
                  <c:v>44791</c:v>
                </c:pt>
                <c:pt idx="584">
                  <c:v>44798</c:v>
                </c:pt>
                <c:pt idx="585">
                  <c:v>44805</c:v>
                </c:pt>
                <c:pt idx="586">
                  <c:v>44812</c:v>
                </c:pt>
                <c:pt idx="587">
                  <c:v>44819</c:v>
                </c:pt>
                <c:pt idx="588">
                  <c:v>44826</c:v>
                </c:pt>
                <c:pt idx="589">
                  <c:v>44833</c:v>
                </c:pt>
                <c:pt idx="590">
                  <c:v>44840</c:v>
                </c:pt>
                <c:pt idx="591">
                  <c:v>44847</c:v>
                </c:pt>
                <c:pt idx="592">
                  <c:v>44854</c:v>
                </c:pt>
                <c:pt idx="593">
                  <c:v>44861</c:v>
                </c:pt>
                <c:pt idx="594">
                  <c:v>44868</c:v>
                </c:pt>
                <c:pt idx="595">
                  <c:v>44875</c:v>
                </c:pt>
                <c:pt idx="596">
                  <c:v>44882</c:v>
                </c:pt>
                <c:pt idx="597">
                  <c:v>44889</c:v>
                </c:pt>
                <c:pt idx="598">
                  <c:v>44896</c:v>
                </c:pt>
                <c:pt idx="599">
                  <c:v>44903</c:v>
                </c:pt>
                <c:pt idx="600">
                  <c:v>44910</c:v>
                </c:pt>
                <c:pt idx="601">
                  <c:v>44917</c:v>
                </c:pt>
                <c:pt idx="602">
                  <c:v>44924</c:v>
                </c:pt>
                <c:pt idx="603">
                  <c:v>44931</c:v>
                </c:pt>
                <c:pt idx="604">
                  <c:v>44938</c:v>
                </c:pt>
                <c:pt idx="605">
                  <c:v>44945</c:v>
                </c:pt>
                <c:pt idx="606">
                  <c:v>44952</c:v>
                </c:pt>
                <c:pt idx="607">
                  <c:v>44959</c:v>
                </c:pt>
                <c:pt idx="608">
                  <c:v>44966</c:v>
                </c:pt>
                <c:pt idx="609">
                  <c:v>44973</c:v>
                </c:pt>
                <c:pt idx="610">
                  <c:v>44980</c:v>
                </c:pt>
                <c:pt idx="611">
                  <c:v>44987</c:v>
                </c:pt>
                <c:pt idx="612">
                  <c:v>44994</c:v>
                </c:pt>
                <c:pt idx="613">
                  <c:v>45001</c:v>
                </c:pt>
                <c:pt idx="614">
                  <c:v>45008</c:v>
                </c:pt>
                <c:pt idx="615">
                  <c:v>45015</c:v>
                </c:pt>
                <c:pt idx="616">
                  <c:v>45022</c:v>
                </c:pt>
                <c:pt idx="617">
                  <c:v>45029</c:v>
                </c:pt>
                <c:pt idx="618">
                  <c:v>45036</c:v>
                </c:pt>
                <c:pt idx="619">
                  <c:v>45043</c:v>
                </c:pt>
                <c:pt idx="620">
                  <c:v>45050</c:v>
                </c:pt>
                <c:pt idx="621">
                  <c:v>45057</c:v>
                </c:pt>
                <c:pt idx="622">
                  <c:v>45064</c:v>
                </c:pt>
                <c:pt idx="623">
                  <c:v>45071</c:v>
                </c:pt>
                <c:pt idx="624">
                  <c:v>45078</c:v>
                </c:pt>
                <c:pt idx="625">
                  <c:v>45085</c:v>
                </c:pt>
                <c:pt idx="626">
                  <c:v>45092</c:v>
                </c:pt>
                <c:pt idx="627">
                  <c:v>45099</c:v>
                </c:pt>
                <c:pt idx="628">
                  <c:v>45106</c:v>
                </c:pt>
                <c:pt idx="629">
                  <c:v>45113</c:v>
                </c:pt>
                <c:pt idx="630">
                  <c:v>45120</c:v>
                </c:pt>
                <c:pt idx="631">
                  <c:v>45127</c:v>
                </c:pt>
                <c:pt idx="632">
                  <c:v>45134</c:v>
                </c:pt>
                <c:pt idx="633">
                  <c:v>45141</c:v>
                </c:pt>
                <c:pt idx="634">
                  <c:v>45148</c:v>
                </c:pt>
                <c:pt idx="635">
                  <c:v>45155</c:v>
                </c:pt>
                <c:pt idx="636">
                  <c:v>45162</c:v>
                </c:pt>
                <c:pt idx="637">
                  <c:v>45169</c:v>
                </c:pt>
                <c:pt idx="638">
                  <c:v>45176</c:v>
                </c:pt>
                <c:pt idx="639">
                  <c:v>45183</c:v>
                </c:pt>
                <c:pt idx="640">
                  <c:v>45190</c:v>
                </c:pt>
                <c:pt idx="641">
                  <c:v>45197</c:v>
                </c:pt>
                <c:pt idx="642">
                  <c:v>45204</c:v>
                </c:pt>
                <c:pt idx="643">
                  <c:v>45211</c:v>
                </c:pt>
                <c:pt idx="644">
                  <c:v>45218</c:v>
                </c:pt>
                <c:pt idx="645">
                  <c:v>45225</c:v>
                </c:pt>
                <c:pt idx="646">
                  <c:v>45232</c:v>
                </c:pt>
                <c:pt idx="647">
                  <c:v>45239</c:v>
                </c:pt>
                <c:pt idx="648">
                  <c:v>45246</c:v>
                </c:pt>
                <c:pt idx="649">
                  <c:v>45253</c:v>
                </c:pt>
                <c:pt idx="650">
                  <c:v>45260</c:v>
                </c:pt>
                <c:pt idx="651">
                  <c:v>45267</c:v>
                </c:pt>
                <c:pt idx="652">
                  <c:v>45274</c:v>
                </c:pt>
                <c:pt idx="653">
                  <c:v>45281</c:v>
                </c:pt>
                <c:pt idx="654">
                  <c:v>45289</c:v>
                </c:pt>
                <c:pt idx="655">
                  <c:v>45296</c:v>
                </c:pt>
                <c:pt idx="656">
                  <c:v>45303</c:v>
                </c:pt>
                <c:pt idx="657">
                  <c:v>45310</c:v>
                </c:pt>
                <c:pt idx="658">
                  <c:v>45317</c:v>
                </c:pt>
                <c:pt idx="659">
                  <c:v>45324</c:v>
                </c:pt>
                <c:pt idx="660">
                  <c:v>45331</c:v>
                </c:pt>
                <c:pt idx="661">
                  <c:v>45338</c:v>
                </c:pt>
                <c:pt idx="662">
                  <c:v>45345</c:v>
                </c:pt>
                <c:pt idx="663">
                  <c:v>45352</c:v>
                </c:pt>
                <c:pt idx="664">
                  <c:v>45359</c:v>
                </c:pt>
                <c:pt idx="665">
                  <c:v>45366</c:v>
                </c:pt>
                <c:pt idx="666">
                  <c:v>45373</c:v>
                </c:pt>
                <c:pt idx="667">
                  <c:v>45384</c:v>
                </c:pt>
                <c:pt idx="668">
                  <c:v>45387</c:v>
                </c:pt>
                <c:pt idx="669">
                  <c:v>45394</c:v>
                </c:pt>
                <c:pt idx="670">
                  <c:v>45401</c:v>
                </c:pt>
                <c:pt idx="671">
                  <c:v>45408</c:v>
                </c:pt>
                <c:pt idx="672">
                  <c:v>45418</c:v>
                </c:pt>
                <c:pt idx="673">
                  <c:v>45425</c:v>
                </c:pt>
                <c:pt idx="674">
                  <c:v>45432</c:v>
                </c:pt>
                <c:pt idx="675">
                  <c:v>45439</c:v>
                </c:pt>
                <c:pt idx="676">
                  <c:v>45446</c:v>
                </c:pt>
                <c:pt idx="677">
                  <c:v>45453</c:v>
                </c:pt>
                <c:pt idx="678">
                  <c:v>45460</c:v>
                </c:pt>
                <c:pt idx="679">
                  <c:v>45467</c:v>
                </c:pt>
                <c:pt idx="680">
                  <c:v>45474</c:v>
                </c:pt>
                <c:pt idx="681">
                  <c:v>45481</c:v>
                </c:pt>
                <c:pt idx="682">
                  <c:v>45488</c:v>
                </c:pt>
                <c:pt idx="683">
                  <c:v>45495</c:v>
                </c:pt>
                <c:pt idx="684">
                  <c:v>45502</c:v>
                </c:pt>
                <c:pt idx="685">
                  <c:v>45509</c:v>
                </c:pt>
                <c:pt idx="686">
                  <c:v>45516</c:v>
                </c:pt>
                <c:pt idx="687">
                  <c:v>45523</c:v>
                </c:pt>
                <c:pt idx="688">
                  <c:v>45530</c:v>
                </c:pt>
                <c:pt idx="689">
                  <c:v>45537</c:v>
                </c:pt>
                <c:pt idx="690">
                  <c:v>45544</c:v>
                </c:pt>
                <c:pt idx="691">
                  <c:v>45551</c:v>
                </c:pt>
                <c:pt idx="692">
                  <c:v>45558</c:v>
                </c:pt>
                <c:pt idx="693">
                  <c:v>45565</c:v>
                </c:pt>
                <c:pt idx="694">
                  <c:v>45572</c:v>
                </c:pt>
                <c:pt idx="695">
                  <c:v>45579</c:v>
                </c:pt>
                <c:pt idx="696">
                  <c:v>45586</c:v>
                </c:pt>
                <c:pt idx="697">
                  <c:v>45593</c:v>
                </c:pt>
                <c:pt idx="698">
                  <c:v>45600</c:v>
                </c:pt>
                <c:pt idx="699">
                  <c:v>45607</c:v>
                </c:pt>
                <c:pt idx="700">
                  <c:v>45614</c:v>
                </c:pt>
                <c:pt idx="701">
                  <c:v>45621</c:v>
                </c:pt>
                <c:pt idx="702">
                  <c:v>45628</c:v>
                </c:pt>
                <c:pt idx="703">
                  <c:v>45635</c:v>
                </c:pt>
                <c:pt idx="704">
                  <c:v>45642</c:v>
                </c:pt>
                <c:pt idx="705">
                  <c:v>45649</c:v>
                </c:pt>
                <c:pt idx="706">
                  <c:v>45657</c:v>
                </c:pt>
                <c:pt idx="707">
                  <c:v>45664</c:v>
                </c:pt>
                <c:pt idx="708">
                  <c:v>45671</c:v>
                </c:pt>
                <c:pt idx="709">
                  <c:v>45678</c:v>
                </c:pt>
                <c:pt idx="710">
                  <c:v>45685</c:v>
                </c:pt>
                <c:pt idx="711">
                  <c:v>45692</c:v>
                </c:pt>
                <c:pt idx="712">
                  <c:v>45699</c:v>
                </c:pt>
                <c:pt idx="713">
                  <c:v>45706</c:v>
                </c:pt>
                <c:pt idx="714">
                  <c:v>45713</c:v>
                </c:pt>
                <c:pt idx="715">
                  <c:v>45720</c:v>
                </c:pt>
                <c:pt idx="716">
                  <c:v>45727</c:v>
                </c:pt>
                <c:pt idx="717">
                  <c:v>45734</c:v>
                </c:pt>
                <c:pt idx="718">
                  <c:v>45741</c:v>
                </c:pt>
                <c:pt idx="719">
                  <c:v>45748</c:v>
                </c:pt>
                <c:pt idx="720">
                  <c:v>45755</c:v>
                </c:pt>
                <c:pt idx="721">
                  <c:v>45762</c:v>
                </c:pt>
                <c:pt idx="722">
                  <c:v>45771</c:v>
                </c:pt>
                <c:pt idx="723">
                  <c:v>45779</c:v>
                </c:pt>
                <c:pt idx="724">
                  <c:v>45785</c:v>
                </c:pt>
                <c:pt idx="725">
                  <c:v>45792</c:v>
                </c:pt>
                <c:pt idx="726">
                  <c:v>45825</c:v>
                </c:pt>
                <c:pt idx="727">
                  <c:v>45854</c:v>
                </c:pt>
                <c:pt idx="728">
                  <c:v>45887</c:v>
                </c:pt>
                <c:pt idx="729">
                  <c:v>45917</c:v>
                </c:pt>
                <c:pt idx="730">
                  <c:v>45947</c:v>
                </c:pt>
                <c:pt idx="731">
                  <c:v>45980</c:v>
                </c:pt>
                <c:pt idx="732">
                  <c:v>46010</c:v>
                </c:pt>
                <c:pt idx="733">
                  <c:v>46043</c:v>
                </c:pt>
                <c:pt idx="734">
                  <c:v>46076</c:v>
                </c:pt>
                <c:pt idx="735">
                  <c:v>46104</c:v>
                </c:pt>
                <c:pt idx="736">
                  <c:v>46134</c:v>
                </c:pt>
                <c:pt idx="737">
                  <c:v>46164</c:v>
                </c:pt>
                <c:pt idx="738">
                  <c:v>46197</c:v>
                </c:pt>
                <c:pt idx="739">
                  <c:v>46227</c:v>
                </c:pt>
                <c:pt idx="740">
                  <c:v>46260</c:v>
                </c:pt>
                <c:pt idx="741">
                  <c:v>46293</c:v>
                </c:pt>
                <c:pt idx="742">
                  <c:v>46323</c:v>
                </c:pt>
                <c:pt idx="743">
                  <c:v>46356</c:v>
                </c:pt>
                <c:pt idx="744">
                  <c:v>46386</c:v>
                </c:pt>
                <c:pt idx="745">
                  <c:v>46419</c:v>
                </c:pt>
                <c:pt idx="746">
                  <c:v>46449</c:v>
                </c:pt>
                <c:pt idx="747">
                  <c:v>46482</c:v>
                </c:pt>
                <c:pt idx="748">
                  <c:v>46512</c:v>
                </c:pt>
                <c:pt idx="749">
                  <c:v>46545</c:v>
                </c:pt>
                <c:pt idx="750">
                  <c:v>46575</c:v>
                </c:pt>
                <c:pt idx="751">
                  <c:v>46608</c:v>
                </c:pt>
                <c:pt idx="752">
                  <c:v>46638</c:v>
                </c:pt>
                <c:pt idx="753">
                  <c:v>46668</c:v>
                </c:pt>
                <c:pt idx="754">
                  <c:v>46701</c:v>
                </c:pt>
                <c:pt idx="755">
                  <c:v>46731</c:v>
                </c:pt>
                <c:pt idx="756">
                  <c:v>46764</c:v>
                </c:pt>
                <c:pt idx="757">
                  <c:v>46797</c:v>
                </c:pt>
                <c:pt idx="758">
                  <c:v>46826</c:v>
                </c:pt>
                <c:pt idx="759">
                  <c:v>46855</c:v>
                </c:pt>
                <c:pt idx="760">
                  <c:v>46885</c:v>
                </c:pt>
                <c:pt idx="761">
                  <c:v>46918</c:v>
                </c:pt>
                <c:pt idx="762">
                  <c:v>46948</c:v>
                </c:pt>
                <c:pt idx="763">
                  <c:v>46981</c:v>
                </c:pt>
                <c:pt idx="764">
                  <c:v>47014</c:v>
                </c:pt>
                <c:pt idx="765">
                  <c:v>47044</c:v>
                </c:pt>
                <c:pt idx="766">
                  <c:v>47077</c:v>
                </c:pt>
                <c:pt idx="767">
                  <c:v>47107</c:v>
                </c:pt>
                <c:pt idx="768">
                  <c:v>47140</c:v>
                </c:pt>
                <c:pt idx="769">
                  <c:v>47170</c:v>
                </c:pt>
                <c:pt idx="770">
                  <c:v>47198</c:v>
                </c:pt>
                <c:pt idx="771">
                  <c:v>47231</c:v>
                </c:pt>
                <c:pt idx="772">
                  <c:v>47261</c:v>
                </c:pt>
                <c:pt idx="773">
                  <c:v>47294</c:v>
                </c:pt>
                <c:pt idx="774">
                  <c:v>47324</c:v>
                </c:pt>
                <c:pt idx="775">
                  <c:v>47357</c:v>
                </c:pt>
                <c:pt idx="776">
                  <c:v>47387</c:v>
                </c:pt>
                <c:pt idx="777">
                  <c:v>47417</c:v>
                </c:pt>
                <c:pt idx="778">
                  <c:v>47450</c:v>
                </c:pt>
                <c:pt idx="779">
                  <c:v>47483</c:v>
                </c:pt>
                <c:pt idx="780">
                  <c:v>47513</c:v>
                </c:pt>
                <c:pt idx="781">
                  <c:v>47546</c:v>
                </c:pt>
                <c:pt idx="782">
                  <c:v>47574</c:v>
                </c:pt>
                <c:pt idx="783">
                  <c:v>47605</c:v>
                </c:pt>
                <c:pt idx="784">
                  <c:v>47634</c:v>
                </c:pt>
                <c:pt idx="785">
                  <c:v>47667</c:v>
                </c:pt>
                <c:pt idx="786">
                  <c:v>47700</c:v>
                </c:pt>
                <c:pt idx="787">
                  <c:v>47730</c:v>
                </c:pt>
                <c:pt idx="788">
                  <c:v>47760</c:v>
                </c:pt>
                <c:pt idx="789">
                  <c:v>47793</c:v>
                </c:pt>
                <c:pt idx="790">
                  <c:v>47823</c:v>
                </c:pt>
                <c:pt idx="791">
                  <c:v>47856</c:v>
                </c:pt>
                <c:pt idx="792">
                  <c:v>47889</c:v>
                </c:pt>
                <c:pt idx="793">
                  <c:v>47917</c:v>
                </c:pt>
                <c:pt idx="794">
                  <c:v>47947</c:v>
                </c:pt>
                <c:pt idx="795">
                  <c:v>47977</c:v>
                </c:pt>
                <c:pt idx="796">
                  <c:v>48010</c:v>
                </c:pt>
                <c:pt idx="797">
                  <c:v>48040</c:v>
                </c:pt>
                <c:pt idx="798">
                  <c:v>48073</c:v>
                </c:pt>
                <c:pt idx="799">
                  <c:v>48106</c:v>
                </c:pt>
                <c:pt idx="800">
                  <c:v>48136</c:v>
                </c:pt>
                <c:pt idx="801">
                  <c:v>48169</c:v>
                </c:pt>
                <c:pt idx="802">
                  <c:v>48199</c:v>
                </c:pt>
                <c:pt idx="803">
                  <c:v>48232</c:v>
                </c:pt>
                <c:pt idx="804">
                  <c:v>48262</c:v>
                </c:pt>
                <c:pt idx="805">
                  <c:v>48291</c:v>
                </c:pt>
                <c:pt idx="806">
                  <c:v>48324</c:v>
                </c:pt>
                <c:pt idx="807">
                  <c:v>48353</c:v>
                </c:pt>
                <c:pt idx="808">
                  <c:v>48386</c:v>
                </c:pt>
                <c:pt idx="809">
                  <c:v>48416</c:v>
                </c:pt>
                <c:pt idx="810">
                  <c:v>48449</c:v>
                </c:pt>
                <c:pt idx="811">
                  <c:v>48479</c:v>
                </c:pt>
                <c:pt idx="812">
                  <c:v>48509</c:v>
                </c:pt>
                <c:pt idx="813">
                  <c:v>48542</c:v>
                </c:pt>
                <c:pt idx="814">
                  <c:v>48572</c:v>
                </c:pt>
                <c:pt idx="815">
                  <c:v>48605</c:v>
                </c:pt>
                <c:pt idx="816">
                  <c:v>48638</c:v>
                </c:pt>
                <c:pt idx="817">
                  <c:v>48666</c:v>
                </c:pt>
                <c:pt idx="818">
                  <c:v>48696</c:v>
                </c:pt>
                <c:pt idx="819">
                  <c:v>48726</c:v>
                </c:pt>
                <c:pt idx="820">
                  <c:v>48759</c:v>
                </c:pt>
                <c:pt idx="821">
                  <c:v>48789</c:v>
                </c:pt>
                <c:pt idx="822">
                  <c:v>48822</c:v>
                </c:pt>
                <c:pt idx="823">
                  <c:v>48855</c:v>
                </c:pt>
                <c:pt idx="824">
                  <c:v>48885</c:v>
                </c:pt>
                <c:pt idx="825">
                  <c:v>48915</c:v>
                </c:pt>
                <c:pt idx="826">
                  <c:v>48947</c:v>
                </c:pt>
                <c:pt idx="827">
                  <c:v>48976</c:v>
                </c:pt>
                <c:pt idx="828">
                  <c:v>49005</c:v>
                </c:pt>
                <c:pt idx="829">
                  <c:v>49033</c:v>
                </c:pt>
                <c:pt idx="830">
                  <c:v>49067</c:v>
                </c:pt>
                <c:pt idx="831">
                  <c:v>49095</c:v>
                </c:pt>
                <c:pt idx="832">
                  <c:v>49128</c:v>
                </c:pt>
                <c:pt idx="833">
                  <c:v>49158</c:v>
                </c:pt>
                <c:pt idx="834">
                  <c:v>49191</c:v>
                </c:pt>
                <c:pt idx="835">
                  <c:v>49221</c:v>
                </c:pt>
                <c:pt idx="836">
                  <c:v>49254</c:v>
                </c:pt>
                <c:pt idx="837">
                  <c:v>49284</c:v>
                </c:pt>
                <c:pt idx="838">
                  <c:v>49317</c:v>
                </c:pt>
                <c:pt idx="839">
                  <c:v>49347</c:v>
                </c:pt>
                <c:pt idx="840">
                  <c:v>49375</c:v>
                </c:pt>
                <c:pt idx="841">
                  <c:v>49408</c:v>
                </c:pt>
                <c:pt idx="842">
                  <c:v>49438</c:v>
                </c:pt>
                <c:pt idx="843">
                  <c:v>49471</c:v>
                </c:pt>
                <c:pt idx="844">
                  <c:v>49501</c:v>
                </c:pt>
                <c:pt idx="845">
                  <c:v>49534</c:v>
                </c:pt>
                <c:pt idx="846">
                  <c:v>49564</c:v>
                </c:pt>
                <c:pt idx="847">
                  <c:v>49594</c:v>
                </c:pt>
                <c:pt idx="848">
                  <c:v>49627</c:v>
                </c:pt>
                <c:pt idx="849">
                  <c:v>49657</c:v>
                </c:pt>
                <c:pt idx="850">
                  <c:v>49690</c:v>
                </c:pt>
                <c:pt idx="851">
                  <c:v>49723</c:v>
                </c:pt>
                <c:pt idx="852">
                  <c:v>49752</c:v>
                </c:pt>
                <c:pt idx="853">
                  <c:v>49782</c:v>
                </c:pt>
                <c:pt idx="854">
                  <c:v>49814</c:v>
                </c:pt>
                <c:pt idx="855">
                  <c:v>49844</c:v>
                </c:pt>
                <c:pt idx="856">
                  <c:v>49874</c:v>
                </c:pt>
                <c:pt idx="857">
                  <c:v>49907</c:v>
                </c:pt>
                <c:pt idx="858">
                  <c:v>49940</c:v>
                </c:pt>
                <c:pt idx="859">
                  <c:v>49970</c:v>
                </c:pt>
                <c:pt idx="860">
                  <c:v>50003</c:v>
                </c:pt>
                <c:pt idx="861">
                  <c:v>50033</c:v>
                </c:pt>
                <c:pt idx="862">
                  <c:v>50066</c:v>
                </c:pt>
                <c:pt idx="863">
                  <c:v>50096</c:v>
                </c:pt>
                <c:pt idx="864">
                  <c:v>50124</c:v>
                </c:pt>
                <c:pt idx="865">
                  <c:v>50157</c:v>
                </c:pt>
                <c:pt idx="866">
                  <c:v>50187</c:v>
                </c:pt>
                <c:pt idx="867">
                  <c:v>50220</c:v>
                </c:pt>
                <c:pt idx="868">
                  <c:v>50250</c:v>
                </c:pt>
                <c:pt idx="869">
                  <c:v>50283</c:v>
                </c:pt>
                <c:pt idx="870">
                  <c:v>50313</c:v>
                </c:pt>
                <c:pt idx="871">
                  <c:v>50343</c:v>
                </c:pt>
                <c:pt idx="872">
                  <c:v>50376</c:v>
                </c:pt>
                <c:pt idx="873">
                  <c:v>50409</c:v>
                </c:pt>
                <c:pt idx="874">
                  <c:v>50439</c:v>
                </c:pt>
                <c:pt idx="875">
                  <c:v>50467</c:v>
                </c:pt>
                <c:pt idx="876">
                  <c:v>50500</c:v>
                </c:pt>
                <c:pt idx="877">
                  <c:v>50530</c:v>
                </c:pt>
                <c:pt idx="878">
                  <c:v>50563</c:v>
                </c:pt>
                <c:pt idx="879">
                  <c:v>50593</c:v>
                </c:pt>
                <c:pt idx="880">
                  <c:v>50626</c:v>
                </c:pt>
                <c:pt idx="881">
                  <c:v>50656</c:v>
                </c:pt>
                <c:pt idx="882">
                  <c:v>50686</c:v>
                </c:pt>
                <c:pt idx="883">
                  <c:v>50719</c:v>
                </c:pt>
                <c:pt idx="884">
                  <c:v>50749</c:v>
                </c:pt>
                <c:pt idx="885">
                  <c:v>50782</c:v>
                </c:pt>
                <c:pt idx="886">
                  <c:v>50815</c:v>
                </c:pt>
                <c:pt idx="887">
                  <c:v>50843</c:v>
                </c:pt>
                <c:pt idx="888">
                  <c:v>50874</c:v>
                </c:pt>
                <c:pt idx="889">
                  <c:v>50906</c:v>
                </c:pt>
                <c:pt idx="890">
                  <c:v>50936</c:v>
                </c:pt>
                <c:pt idx="891">
                  <c:v>50966</c:v>
                </c:pt>
                <c:pt idx="892">
                  <c:v>50999</c:v>
                </c:pt>
                <c:pt idx="893">
                  <c:v>51032</c:v>
                </c:pt>
                <c:pt idx="894">
                  <c:v>51062</c:v>
                </c:pt>
                <c:pt idx="895">
                  <c:v>51095</c:v>
                </c:pt>
                <c:pt idx="896">
                  <c:v>51125</c:v>
                </c:pt>
                <c:pt idx="897">
                  <c:v>51158</c:v>
                </c:pt>
                <c:pt idx="898">
                  <c:v>51188</c:v>
                </c:pt>
                <c:pt idx="899">
                  <c:v>51217</c:v>
                </c:pt>
                <c:pt idx="900">
                  <c:v>51250</c:v>
                </c:pt>
                <c:pt idx="901">
                  <c:v>51279</c:v>
                </c:pt>
                <c:pt idx="902">
                  <c:v>51312</c:v>
                </c:pt>
                <c:pt idx="903">
                  <c:v>51342</c:v>
                </c:pt>
                <c:pt idx="904">
                  <c:v>51375</c:v>
                </c:pt>
                <c:pt idx="905">
                  <c:v>51405</c:v>
                </c:pt>
                <c:pt idx="906">
                  <c:v>51435</c:v>
                </c:pt>
                <c:pt idx="907">
                  <c:v>51468</c:v>
                </c:pt>
                <c:pt idx="908">
                  <c:v>51501</c:v>
                </c:pt>
                <c:pt idx="909">
                  <c:v>51531</c:v>
                </c:pt>
                <c:pt idx="910">
                  <c:v>51564</c:v>
                </c:pt>
                <c:pt idx="911">
                  <c:v>51592</c:v>
                </c:pt>
                <c:pt idx="912">
                  <c:v>51623</c:v>
                </c:pt>
                <c:pt idx="913">
                  <c:v>51652</c:v>
                </c:pt>
                <c:pt idx="914">
                  <c:v>51685</c:v>
                </c:pt>
                <c:pt idx="915">
                  <c:v>51718</c:v>
                </c:pt>
                <c:pt idx="916">
                  <c:v>51748</c:v>
                </c:pt>
                <c:pt idx="917">
                  <c:v>51778</c:v>
                </c:pt>
                <c:pt idx="918">
                  <c:v>51811</c:v>
                </c:pt>
                <c:pt idx="919">
                  <c:v>51841</c:v>
                </c:pt>
                <c:pt idx="920">
                  <c:v>51874</c:v>
                </c:pt>
                <c:pt idx="921">
                  <c:v>51907</c:v>
                </c:pt>
                <c:pt idx="922">
                  <c:v>51935</c:v>
                </c:pt>
                <c:pt idx="923">
                  <c:v>51966</c:v>
                </c:pt>
                <c:pt idx="924">
                  <c:v>51998</c:v>
                </c:pt>
                <c:pt idx="925">
                  <c:v>52028</c:v>
                </c:pt>
                <c:pt idx="926">
                  <c:v>52058</c:v>
                </c:pt>
                <c:pt idx="927">
                  <c:v>52091</c:v>
                </c:pt>
                <c:pt idx="928">
                  <c:v>52124</c:v>
                </c:pt>
                <c:pt idx="929">
                  <c:v>52154</c:v>
                </c:pt>
                <c:pt idx="930">
                  <c:v>52187</c:v>
                </c:pt>
                <c:pt idx="931">
                  <c:v>52217</c:v>
                </c:pt>
                <c:pt idx="932">
                  <c:v>52250</c:v>
                </c:pt>
                <c:pt idx="933">
                  <c:v>52280</c:v>
                </c:pt>
                <c:pt idx="934">
                  <c:v>52308</c:v>
                </c:pt>
                <c:pt idx="935">
                  <c:v>52341</c:v>
                </c:pt>
                <c:pt idx="936">
                  <c:v>52371</c:v>
                </c:pt>
                <c:pt idx="937">
                  <c:v>52404</c:v>
                </c:pt>
                <c:pt idx="938">
                  <c:v>52434</c:v>
                </c:pt>
                <c:pt idx="939">
                  <c:v>52467</c:v>
                </c:pt>
                <c:pt idx="940">
                  <c:v>52497</c:v>
                </c:pt>
                <c:pt idx="941">
                  <c:v>52527</c:v>
                </c:pt>
                <c:pt idx="942">
                  <c:v>52560</c:v>
                </c:pt>
                <c:pt idx="943">
                  <c:v>52593</c:v>
                </c:pt>
                <c:pt idx="944">
                  <c:v>52623</c:v>
                </c:pt>
                <c:pt idx="945">
                  <c:v>52656</c:v>
                </c:pt>
                <c:pt idx="946">
                  <c:v>52685</c:v>
                </c:pt>
                <c:pt idx="947">
                  <c:v>52714</c:v>
                </c:pt>
                <c:pt idx="948">
                  <c:v>52744</c:v>
                </c:pt>
                <c:pt idx="949">
                  <c:v>52777</c:v>
                </c:pt>
                <c:pt idx="950">
                  <c:v>52807</c:v>
                </c:pt>
                <c:pt idx="951">
                  <c:v>52840</c:v>
                </c:pt>
                <c:pt idx="952">
                  <c:v>52873</c:v>
                </c:pt>
                <c:pt idx="953">
                  <c:v>52903</c:v>
                </c:pt>
                <c:pt idx="954">
                  <c:v>52933</c:v>
                </c:pt>
                <c:pt idx="955">
                  <c:v>52965</c:v>
                </c:pt>
                <c:pt idx="956">
                  <c:v>52994</c:v>
                </c:pt>
                <c:pt idx="957">
                  <c:v>53023</c:v>
                </c:pt>
                <c:pt idx="958">
                  <c:v>53051</c:v>
                </c:pt>
                <c:pt idx="959">
                  <c:v>53085</c:v>
                </c:pt>
                <c:pt idx="960">
                  <c:v>53113</c:v>
                </c:pt>
                <c:pt idx="961">
                  <c:v>53146</c:v>
                </c:pt>
                <c:pt idx="962">
                  <c:v>53176</c:v>
                </c:pt>
                <c:pt idx="963">
                  <c:v>53209</c:v>
                </c:pt>
                <c:pt idx="964">
                  <c:v>53239</c:v>
                </c:pt>
                <c:pt idx="965">
                  <c:v>53272</c:v>
                </c:pt>
                <c:pt idx="966">
                  <c:v>53302</c:v>
                </c:pt>
                <c:pt idx="967">
                  <c:v>53335</c:v>
                </c:pt>
                <c:pt idx="968">
                  <c:v>53365</c:v>
                </c:pt>
                <c:pt idx="969">
                  <c:v>53393</c:v>
                </c:pt>
                <c:pt idx="970">
                  <c:v>53426</c:v>
                </c:pt>
                <c:pt idx="971">
                  <c:v>53456</c:v>
                </c:pt>
                <c:pt idx="972">
                  <c:v>53489</c:v>
                </c:pt>
                <c:pt idx="973">
                  <c:v>53519</c:v>
                </c:pt>
                <c:pt idx="974">
                  <c:v>53552</c:v>
                </c:pt>
                <c:pt idx="975">
                  <c:v>53582</c:v>
                </c:pt>
                <c:pt idx="976">
                  <c:v>53612</c:v>
                </c:pt>
                <c:pt idx="977">
                  <c:v>53645</c:v>
                </c:pt>
                <c:pt idx="978">
                  <c:v>53675</c:v>
                </c:pt>
                <c:pt idx="979">
                  <c:v>53708</c:v>
                </c:pt>
                <c:pt idx="980">
                  <c:v>53741</c:v>
                </c:pt>
                <c:pt idx="981">
                  <c:v>53769</c:v>
                </c:pt>
                <c:pt idx="982">
                  <c:v>53800</c:v>
                </c:pt>
                <c:pt idx="983">
                  <c:v>53832</c:v>
                </c:pt>
                <c:pt idx="984">
                  <c:v>53862</c:v>
                </c:pt>
                <c:pt idx="985">
                  <c:v>53892</c:v>
                </c:pt>
                <c:pt idx="986">
                  <c:v>53925</c:v>
                </c:pt>
                <c:pt idx="987">
                  <c:v>53958</c:v>
                </c:pt>
                <c:pt idx="988">
                  <c:v>53988</c:v>
                </c:pt>
                <c:pt idx="989">
                  <c:v>54021</c:v>
                </c:pt>
                <c:pt idx="990">
                  <c:v>54053</c:v>
                </c:pt>
                <c:pt idx="991">
                  <c:v>54084</c:v>
                </c:pt>
                <c:pt idx="992">
                  <c:v>54114</c:v>
                </c:pt>
                <c:pt idx="993">
                  <c:v>54143</c:v>
                </c:pt>
                <c:pt idx="994">
                  <c:v>54176</c:v>
                </c:pt>
                <c:pt idx="995">
                  <c:v>54205</c:v>
                </c:pt>
                <c:pt idx="996">
                  <c:v>54238</c:v>
                </c:pt>
                <c:pt idx="997">
                  <c:v>54268</c:v>
                </c:pt>
                <c:pt idx="998">
                  <c:v>54301</c:v>
                </c:pt>
                <c:pt idx="999">
                  <c:v>54331</c:v>
                </c:pt>
                <c:pt idx="1000">
                  <c:v>54361</c:v>
                </c:pt>
                <c:pt idx="1001">
                  <c:v>54394</c:v>
                </c:pt>
                <c:pt idx="1002">
                  <c:v>54427</c:v>
                </c:pt>
                <c:pt idx="1003">
                  <c:v>54457</c:v>
                </c:pt>
                <c:pt idx="1004">
                  <c:v>54485</c:v>
                </c:pt>
                <c:pt idx="1005">
                  <c:v>54518</c:v>
                </c:pt>
                <c:pt idx="1006">
                  <c:v>54548</c:v>
                </c:pt>
                <c:pt idx="1007">
                  <c:v>54581</c:v>
                </c:pt>
                <c:pt idx="1008">
                  <c:v>54611</c:v>
                </c:pt>
                <c:pt idx="1009">
                  <c:v>54644</c:v>
                </c:pt>
                <c:pt idx="1010">
                  <c:v>54674</c:v>
                </c:pt>
                <c:pt idx="1011">
                  <c:v>54704</c:v>
                </c:pt>
                <c:pt idx="1012">
                  <c:v>54737</c:v>
                </c:pt>
                <c:pt idx="1013">
                  <c:v>54767</c:v>
                </c:pt>
                <c:pt idx="1014">
                  <c:v>54800</c:v>
                </c:pt>
                <c:pt idx="1015">
                  <c:v>54833</c:v>
                </c:pt>
                <c:pt idx="1016">
                  <c:v>54861</c:v>
                </c:pt>
                <c:pt idx="1017">
                  <c:v>54892</c:v>
                </c:pt>
                <c:pt idx="1018">
                  <c:v>54924</c:v>
                </c:pt>
                <c:pt idx="1019">
                  <c:v>54954</c:v>
                </c:pt>
                <c:pt idx="1020">
                  <c:v>54984</c:v>
                </c:pt>
                <c:pt idx="1021">
                  <c:v>55017</c:v>
                </c:pt>
                <c:pt idx="1022">
                  <c:v>55050</c:v>
                </c:pt>
                <c:pt idx="1023">
                  <c:v>55080</c:v>
                </c:pt>
                <c:pt idx="1024">
                  <c:v>55113</c:v>
                </c:pt>
                <c:pt idx="1025">
                  <c:v>55143</c:v>
                </c:pt>
                <c:pt idx="1026">
                  <c:v>55176</c:v>
                </c:pt>
                <c:pt idx="1027">
                  <c:v>55206</c:v>
                </c:pt>
                <c:pt idx="1028">
                  <c:v>55234</c:v>
                </c:pt>
                <c:pt idx="1029">
                  <c:v>55267</c:v>
                </c:pt>
                <c:pt idx="1030">
                  <c:v>55297</c:v>
                </c:pt>
                <c:pt idx="1031">
                  <c:v>55330</c:v>
                </c:pt>
                <c:pt idx="1032">
                  <c:v>55360</c:v>
                </c:pt>
                <c:pt idx="1033">
                  <c:v>55393</c:v>
                </c:pt>
                <c:pt idx="1034">
                  <c:v>55423</c:v>
                </c:pt>
                <c:pt idx="1035">
                  <c:v>55453</c:v>
                </c:pt>
                <c:pt idx="1036">
                  <c:v>55486</c:v>
                </c:pt>
                <c:pt idx="1037">
                  <c:v>55516</c:v>
                </c:pt>
                <c:pt idx="1038">
                  <c:v>55549</c:v>
                </c:pt>
                <c:pt idx="1039">
                  <c:v>55582</c:v>
                </c:pt>
                <c:pt idx="1040">
                  <c:v>55611</c:v>
                </c:pt>
                <c:pt idx="1041">
                  <c:v>55641</c:v>
                </c:pt>
                <c:pt idx="1042">
                  <c:v>55670</c:v>
                </c:pt>
                <c:pt idx="1043">
                  <c:v>55703</c:v>
                </c:pt>
                <c:pt idx="1044">
                  <c:v>55736</c:v>
                </c:pt>
                <c:pt idx="1045">
                  <c:v>55766</c:v>
                </c:pt>
                <c:pt idx="1046">
                  <c:v>55796</c:v>
                </c:pt>
                <c:pt idx="1047">
                  <c:v>55829</c:v>
                </c:pt>
                <c:pt idx="1048">
                  <c:v>55859</c:v>
                </c:pt>
                <c:pt idx="1049">
                  <c:v>55892</c:v>
                </c:pt>
                <c:pt idx="1050">
                  <c:v>55925</c:v>
                </c:pt>
                <c:pt idx="1051">
                  <c:v>55953</c:v>
                </c:pt>
                <c:pt idx="1052">
                  <c:v>55984</c:v>
                </c:pt>
                <c:pt idx="1053">
                  <c:v>56016</c:v>
                </c:pt>
                <c:pt idx="1054">
                  <c:v>56046</c:v>
                </c:pt>
                <c:pt idx="1055">
                  <c:v>56076</c:v>
                </c:pt>
                <c:pt idx="1056">
                  <c:v>56109</c:v>
                </c:pt>
                <c:pt idx="1057">
                  <c:v>56142</c:v>
                </c:pt>
                <c:pt idx="1058">
                  <c:v>56172</c:v>
                </c:pt>
                <c:pt idx="1059">
                  <c:v>56205</c:v>
                </c:pt>
                <c:pt idx="1060">
                  <c:v>56235</c:v>
                </c:pt>
                <c:pt idx="1061">
                  <c:v>56268</c:v>
                </c:pt>
                <c:pt idx="1062">
                  <c:v>56298</c:v>
                </c:pt>
                <c:pt idx="1063">
                  <c:v>56326</c:v>
                </c:pt>
                <c:pt idx="1064">
                  <c:v>56359</c:v>
                </c:pt>
                <c:pt idx="1065">
                  <c:v>56389</c:v>
                </c:pt>
                <c:pt idx="1066">
                  <c:v>56422</c:v>
                </c:pt>
                <c:pt idx="1067">
                  <c:v>56452</c:v>
                </c:pt>
                <c:pt idx="1068">
                  <c:v>56485</c:v>
                </c:pt>
                <c:pt idx="1069">
                  <c:v>56515</c:v>
                </c:pt>
                <c:pt idx="1070">
                  <c:v>56545</c:v>
                </c:pt>
                <c:pt idx="1071">
                  <c:v>56578</c:v>
                </c:pt>
                <c:pt idx="1072">
                  <c:v>56611</c:v>
                </c:pt>
                <c:pt idx="1073">
                  <c:v>56641</c:v>
                </c:pt>
                <c:pt idx="1074">
                  <c:v>56674</c:v>
                </c:pt>
                <c:pt idx="1075">
                  <c:v>56702</c:v>
                </c:pt>
                <c:pt idx="1076">
                  <c:v>56732</c:v>
                </c:pt>
                <c:pt idx="1077">
                  <c:v>56762</c:v>
                </c:pt>
                <c:pt idx="1078">
                  <c:v>56795</c:v>
                </c:pt>
                <c:pt idx="1079">
                  <c:v>56825</c:v>
                </c:pt>
                <c:pt idx="1080">
                  <c:v>56858</c:v>
                </c:pt>
                <c:pt idx="1081">
                  <c:v>56891</c:v>
                </c:pt>
                <c:pt idx="1082">
                  <c:v>56921</c:v>
                </c:pt>
                <c:pt idx="1083">
                  <c:v>56951</c:v>
                </c:pt>
                <c:pt idx="1084">
                  <c:v>56984</c:v>
                </c:pt>
                <c:pt idx="1085">
                  <c:v>57017</c:v>
                </c:pt>
                <c:pt idx="1086">
                  <c:v>57046</c:v>
                </c:pt>
                <c:pt idx="1087">
                  <c:v>57076</c:v>
                </c:pt>
                <c:pt idx="1088">
                  <c:v>57108</c:v>
                </c:pt>
                <c:pt idx="1089">
                  <c:v>57138</c:v>
                </c:pt>
                <c:pt idx="1090">
                  <c:v>57168</c:v>
                </c:pt>
                <c:pt idx="1091">
                  <c:v>57201</c:v>
                </c:pt>
                <c:pt idx="1092">
                  <c:v>57234</c:v>
                </c:pt>
                <c:pt idx="1093">
                  <c:v>57264</c:v>
                </c:pt>
                <c:pt idx="1094">
                  <c:v>57297</c:v>
                </c:pt>
                <c:pt idx="1095">
                  <c:v>57327</c:v>
                </c:pt>
                <c:pt idx="1096">
                  <c:v>57360</c:v>
                </c:pt>
                <c:pt idx="1097">
                  <c:v>57390</c:v>
                </c:pt>
                <c:pt idx="1098">
                  <c:v>57418</c:v>
                </c:pt>
                <c:pt idx="1099">
                  <c:v>57451</c:v>
                </c:pt>
                <c:pt idx="1100">
                  <c:v>57481</c:v>
                </c:pt>
                <c:pt idx="1101">
                  <c:v>57514</c:v>
                </c:pt>
                <c:pt idx="1102">
                  <c:v>57544</c:v>
                </c:pt>
                <c:pt idx="1103">
                  <c:v>57577</c:v>
                </c:pt>
                <c:pt idx="1104">
                  <c:v>57607</c:v>
                </c:pt>
                <c:pt idx="1105">
                  <c:v>57637</c:v>
                </c:pt>
                <c:pt idx="1106">
                  <c:v>57670</c:v>
                </c:pt>
                <c:pt idx="1107">
                  <c:v>57700</c:v>
                </c:pt>
                <c:pt idx="1108">
                  <c:v>57733</c:v>
                </c:pt>
                <c:pt idx="1109">
                  <c:v>57766</c:v>
                </c:pt>
                <c:pt idx="1110">
                  <c:v>57794</c:v>
                </c:pt>
                <c:pt idx="1111">
                  <c:v>57824</c:v>
                </c:pt>
                <c:pt idx="1112">
                  <c:v>57854</c:v>
                </c:pt>
                <c:pt idx="1113">
                  <c:v>57887</c:v>
                </c:pt>
                <c:pt idx="1114">
                  <c:v>57917</c:v>
                </c:pt>
                <c:pt idx="1115">
                  <c:v>57950</c:v>
                </c:pt>
                <c:pt idx="1116">
                  <c:v>57983</c:v>
                </c:pt>
                <c:pt idx="1117">
                  <c:v>58013</c:v>
                </c:pt>
                <c:pt idx="1118">
                  <c:v>58046</c:v>
                </c:pt>
                <c:pt idx="1119">
                  <c:v>58077</c:v>
                </c:pt>
                <c:pt idx="1120">
                  <c:v>58109</c:v>
                </c:pt>
                <c:pt idx="1121">
                  <c:v>58138</c:v>
                </c:pt>
                <c:pt idx="1122">
                  <c:v>58168</c:v>
                </c:pt>
                <c:pt idx="1123">
                  <c:v>58201</c:v>
                </c:pt>
                <c:pt idx="1124">
                  <c:v>58230</c:v>
                </c:pt>
                <c:pt idx="1125">
                  <c:v>58260</c:v>
                </c:pt>
                <c:pt idx="1126">
                  <c:v>58293</c:v>
                </c:pt>
                <c:pt idx="1127">
                  <c:v>58326</c:v>
                </c:pt>
                <c:pt idx="1128">
                  <c:v>58356</c:v>
                </c:pt>
                <c:pt idx="1129">
                  <c:v>58389</c:v>
                </c:pt>
                <c:pt idx="1130">
                  <c:v>58419</c:v>
                </c:pt>
                <c:pt idx="1131">
                  <c:v>58452</c:v>
                </c:pt>
                <c:pt idx="1132">
                  <c:v>58482</c:v>
                </c:pt>
                <c:pt idx="1133">
                  <c:v>58511</c:v>
                </c:pt>
                <c:pt idx="1134">
                  <c:v>58544</c:v>
                </c:pt>
                <c:pt idx="1135">
                  <c:v>58573</c:v>
                </c:pt>
                <c:pt idx="1136">
                  <c:v>58606</c:v>
                </c:pt>
                <c:pt idx="1137">
                  <c:v>58636</c:v>
                </c:pt>
                <c:pt idx="1138">
                  <c:v>58669</c:v>
                </c:pt>
                <c:pt idx="1139">
                  <c:v>58699</c:v>
                </c:pt>
                <c:pt idx="1140">
                  <c:v>58729</c:v>
                </c:pt>
                <c:pt idx="1141">
                  <c:v>58762</c:v>
                </c:pt>
                <c:pt idx="1142">
                  <c:v>58792</c:v>
                </c:pt>
                <c:pt idx="1143">
                  <c:v>58825</c:v>
                </c:pt>
                <c:pt idx="1144">
                  <c:v>58858</c:v>
                </c:pt>
                <c:pt idx="1145">
                  <c:v>58886</c:v>
                </c:pt>
                <c:pt idx="1146">
                  <c:v>58916</c:v>
                </c:pt>
                <c:pt idx="1147">
                  <c:v>58946</c:v>
                </c:pt>
                <c:pt idx="1148">
                  <c:v>58979</c:v>
                </c:pt>
                <c:pt idx="1149">
                  <c:v>59009</c:v>
                </c:pt>
                <c:pt idx="1150">
                  <c:v>59042</c:v>
                </c:pt>
                <c:pt idx="1151">
                  <c:v>59075</c:v>
                </c:pt>
                <c:pt idx="1152">
                  <c:v>59105</c:v>
                </c:pt>
                <c:pt idx="1153">
                  <c:v>59138</c:v>
                </c:pt>
                <c:pt idx="1154">
                  <c:v>59169</c:v>
                </c:pt>
                <c:pt idx="1155">
                  <c:v>59202</c:v>
                </c:pt>
                <c:pt idx="1156">
                  <c:v>59231</c:v>
                </c:pt>
                <c:pt idx="1157">
                  <c:v>59260</c:v>
                </c:pt>
                <c:pt idx="1158">
                  <c:v>59294</c:v>
                </c:pt>
                <c:pt idx="1159">
                  <c:v>59322</c:v>
                </c:pt>
                <c:pt idx="1160">
                  <c:v>59355</c:v>
                </c:pt>
                <c:pt idx="1161">
                  <c:v>59385</c:v>
                </c:pt>
                <c:pt idx="1162">
                  <c:v>59418</c:v>
                </c:pt>
                <c:pt idx="1163">
                  <c:v>59448</c:v>
                </c:pt>
                <c:pt idx="1164">
                  <c:v>59481</c:v>
                </c:pt>
                <c:pt idx="1165">
                  <c:v>59511</c:v>
                </c:pt>
                <c:pt idx="1166">
                  <c:v>59544</c:v>
                </c:pt>
                <c:pt idx="1167">
                  <c:v>59574</c:v>
                </c:pt>
                <c:pt idx="1168">
                  <c:v>59602</c:v>
                </c:pt>
                <c:pt idx="1169">
                  <c:v>59635</c:v>
                </c:pt>
                <c:pt idx="1170">
                  <c:v>59665</c:v>
                </c:pt>
                <c:pt idx="1171">
                  <c:v>59698</c:v>
                </c:pt>
                <c:pt idx="1172">
                  <c:v>59728</c:v>
                </c:pt>
                <c:pt idx="1173">
                  <c:v>59761</c:v>
                </c:pt>
                <c:pt idx="1174">
                  <c:v>59791</c:v>
                </c:pt>
                <c:pt idx="1175">
                  <c:v>59821</c:v>
                </c:pt>
                <c:pt idx="1176">
                  <c:v>59854</c:v>
                </c:pt>
                <c:pt idx="1177">
                  <c:v>59884</c:v>
                </c:pt>
                <c:pt idx="1178">
                  <c:v>59917</c:v>
                </c:pt>
                <c:pt idx="1179">
                  <c:v>59950</c:v>
                </c:pt>
                <c:pt idx="1180">
                  <c:v>59979</c:v>
                </c:pt>
                <c:pt idx="1181">
                  <c:v>60008</c:v>
                </c:pt>
                <c:pt idx="1182">
                  <c:v>60038</c:v>
                </c:pt>
                <c:pt idx="1183">
                  <c:v>60071</c:v>
                </c:pt>
                <c:pt idx="1184">
                  <c:v>60101</c:v>
                </c:pt>
                <c:pt idx="1185">
                  <c:v>60134</c:v>
                </c:pt>
                <c:pt idx="1186">
                  <c:v>60167</c:v>
                </c:pt>
                <c:pt idx="1187">
                  <c:v>60197</c:v>
                </c:pt>
                <c:pt idx="1188">
                  <c:v>60230</c:v>
                </c:pt>
                <c:pt idx="1189">
                  <c:v>60260</c:v>
                </c:pt>
                <c:pt idx="1190">
                  <c:v>60293</c:v>
                </c:pt>
                <c:pt idx="1191">
                  <c:v>60323</c:v>
                </c:pt>
                <c:pt idx="1192">
                  <c:v>60351</c:v>
                </c:pt>
                <c:pt idx="1193">
                  <c:v>60384</c:v>
                </c:pt>
                <c:pt idx="1194">
                  <c:v>60414</c:v>
                </c:pt>
                <c:pt idx="1195">
                  <c:v>60447</c:v>
                </c:pt>
                <c:pt idx="1196">
                  <c:v>60477</c:v>
                </c:pt>
                <c:pt idx="1197">
                  <c:v>60510</c:v>
                </c:pt>
                <c:pt idx="1198">
                  <c:v>60540</c:v>
                </c:pt>
                <c:pt idx="1199">
                  <c:v>60570</c:v>
                </c:pt>
                <c:pt idx="1200">
                  <c:v>60603</c:v>
                </c:pt>
                <c:pt idx="1201">
                  <c:v>60636</c:v>
                </c:pt>
                <c:pt idx="1202">
                  <c:v>60666</c:v>
                </c:pt>
                <c:pt idx="1203">
                  <c:v>60694</c:v>
                </c:pt>
                <c:pt idx="1204">
                  <c:v>60727</c:v>
                </c:pt>
                <c:pt idx="1205">
                  <c:v>60757</c:v>
                </c:pt>
                <c:pt idx="1206">
                  <c:v>60790</c:v>
                </c:pt>
                <c:pt idx="1207">
                  <c:v>60820</c:v>
                </c:pt>
                <c:pt idx="1208">
                  <c:v>60853</c:v>
                </c:pt>
                <c:pt idx="1209">
                  <c:v>60883</c:v>
                </c:pt>
                <c:pt idx="1210">
                  <c:v>60913</c:v>
                </c:pt>
                <c:pt idx="1211">
                  <c:v>60946</c:v>
                </c:pt>
                <c:pt idx="1212">
                  <c:v>60976</c:v>
                </c:pt>
                <c:pt idx="1213">
                  <c:v>61009</c:v>
                </c:pt>
                <c:pt idx="1214">
                  <c:v>61042</c:v>
                </c:pt>
                <c:pt idx="1215">
                  <c:v>61070</c:v>
                </c:pt>
                <c:pt idx="1216">
                  <c:v>61100</c:v>
                </c:pt>
                <c:pt idx="1217">
                  <c:v>61130</c:v>
                </c:pt>
                <c:pt idx="1218">
                  <c:v>61163</c:v>
                </c:pt>
                <c:pt idx="1219">
                  <c:v>61193</c:v>
                </c:pt>
                <c:pt idx="1220">
                  <c:v>61226</c:v>
                </c:pt>
                <c:pt idx="1221">
                  <c:v>61259</c:v>
                </c:pt>
                <c:pt idx="1222">
                  <c:v>61289</c:v>
                </c:pt>
                <c:pt idx="1223">
                  <c:v>61322</c:v>
                </c:pt>
                <c:pt idx="1224">
                  <c:v>61352</c:v>
                </c:pt>
                <c:pt idx="1225">
                  <c:v>61385</c:v>
                </c:pt>
                <c:pt idx="1226">
                  <c:v>61415</c:v>
                </c:pt>
                <c:pt idx="1227">
                  <c:v>61444</c:v>
                </c:pt>
                <c:pt idx="1228">
                  <c:v>61479</c:v>
                </c:pt>
                <c:pt idx="1229">
                  <c:v>61511</c:v>
                </c:pt>
                <c:pt idx="1230">
                  <c:v>61541</c:v>
                </c:pt>
                <c:pt idx="1231">
                  <c:v>61571</c:v>
                </c:pt>
                <c:pt idx="1232">
                  <c:v>61604</c:v>
                </c:pt>
                <c:pt idx="1233">
                  <c:v>61637</c:v>
                </c:pt>
                <c:pt idx="1234">
                  <c:v>61667</c:v>
                </c:pt>
                <c:pt idx="1235">
                  <c:v>61700</c:v>
                </c:pt>
                <c:pt idx="1236">
                  <c:v>61731</c:v>
                </c:pt>
                <c:pt idx="1237">
                  <c:v>61763</c:v>
                </c:pt>
                <c:pt idx="1238">
                  <c:v>61791</c:v>
                </c:pt>
                <c:pt idx="1239">
                  <c:v>61819</c:v>
                </c:pt>
                <c:pt idx="1240">
                  <c:v>61850</c:v>
                </c:pt>
                <c:pt idx="1241">
                  <c:v>61879</c:v>
                </c:pt>
                <c:pt idx="1242">
                  <c:v>61912</c:v>
                </c:pt>
                <c:pt idx="1243">
                  <c:v>61945</c:v>
                </c:pt>
                <c:pt idx="1244">
                  <c:v>61975</c:v>
                </c:pt>
                <c:pt idx="1245">
                  <c:v>62005</c:v>
                </c:pt>
                <c:pt idx="1246">
                  <c:v>62038</c:v>
                </c:pt>
                <c:pt idx="1247">
                  <c:v>62068</c:v>
                </c:pt>
                <c:pt idx="1248">
                  <c:v>62101</c:v>
                </c:pt>
                <c:pt idx="1249">
                  <c:v>62134</c:v>
                </c:pt>
                <c:pt idx="1250">
                  <c:v>62162</c:v>
                </c:pt>
                <c:pt idx="1251">
                  <c:v>62192</c:v>
                </c:pt>
                <c:pt idx="1252">
                  <c:v>62222</c:v>
                </c:pt>
                <c:pt idx="1253">
                  <c:v>62255</c:v>
                </c:pt>
                <c:pt idx="1254">
                  <c:v>62285</c:v>
                </c:pt>
                <c:pt idx="1255">
                  <c:v>62318</c:v>
                </c:pt>
                <c:pt idx="1256">
                  <c:v>62351</c:v>
                </c:pt>
                <c:pt idx="1257">
                  <c:v>62381</c:v>
                </c:pt>
                <c:pt idx="1258">
                  <c:v>62414</c:v>
                </c:pt>
                <c:pt idx="1259">
                  <c:v>62444</c:v>
                </c:pt>
                <c:pt idx="1260">
                  <c:v>62477</c:v>
                </c:pt>
                <c:pt idx="1261">
                  <c:v>62507</c:v>
                </c:pt>
                <c:pt idx="1262">
                  <c:v>62535</c:v>
                </c:pt>
                <c:pt idx="1263">
                  <c:v>62570</c:v>
                </c:pt>
                <c:pt idx="1264">
                  <c:v>62598</c:v>
                </c:pt>
                <c:pt idx="1265">
                  <c:v>62631</c:v>
                </c:pt>
                <c:pt idx="1266">
                  <c:v>62661</c:v>
                </c:pt>
                <c:pt idx="1267">
                  <c:v>62694</c:v>
                </c:pt>
                <c:pt idx="1268">
                  <c:v>62724</c:v>
                </c:pt>
                <c:pt idx="1269">
                  <c:v>62754</c:v>
                </c:pt>
                <c:pt idx="1270">
                  <c:v>62787</c:v>
                </c:pt>
                <c:pt idx="1271">
                  <c:v>62820</c:v>
                </c:pt>
                <c:pt idx="1272">
                  <c:v>62850</c:v>
                </c:pt>
                <c:pt idx="1273">
                  <c:v>62883</c:v>
                </c:pt>
                <c:pt idx="1274">
                  <c:v>62912</c:v>
                </c:pt>
                <c:pt idx="1275">
                  <c:v>62941</c:v>
                </c:pt>
                <c:pt idx="1276">
                  <c:v>62971</c:v>
                </c:pt>
                <c:pt idx="1277">
                  <c:v>63004</c:v>
                </c:pt>
                <c:pt idx="1278">
                  <c:v>63034</c:v>
                </c:pt>
                <c:pt idx="1279">
                  <c:v>63067</c:v>
                </c:pt>
                <c:pt idx="1280">
                  <c:v>63100</c:v>
                </c:pt>
                <c:pt idx="1281">
                  <c:v>63130</c:v>
                </c:pt>
                <c:pt idx="1282">
                  <c:v>63160</c:v>
                </c:pt>
                <c:pt idx="1283">
                  <c:v>63192</c:v>
                </c:pt>
                <c:pt idx="1284">
                  <c:v>63221</c:v>
                </c:pt>
                <c:pt idx="1285">
                  <c:v>63250</c:v>
                </c:pt>
                <c:pt idx="1286">
                  <c:v>63278</c:v>
                </c:pt>
                <c:pt idx="1287">
                  <c:v>63312</c:v>
                </c:pt>
                <c:pt idx="1288">
                  <c:v>63340</c:v>
                </c:pt>
                <c:pt idx="1289">
                  <c:v>63373</c:v>
                </c:pt>
                <c:pt idx="1290">
                  <c:v>63403</c:v>
                </c:pt>
                <c:pt idx="1291">
                  <c:v>63436</c:v>
                </c:pt>
                <c:pt idx="1292">
                  <c:v>63466</c:v>
                </c:pt>
                <c:pt idx="1293">
                  <c:v>63499</c:v>
                </c:pt>
                <c:pt idx="1294">
                  <c:v>63529</c:v>
                </c:pt>
                <c:pt idx="1295">
                  <c:v>63562</c:v>
                </c:pt>
                <c:pt idx="1296">
                  <c:v>63592</c:v>
                </c:pt>
                <c:pt idx="1297">
                  <c:v>63620</c:v>
                </c:pt>
                <c:pt idx="1298">
                  <c:v>63653</c:v>
                </c:pt>
                <c:pt idx="1299">
                  <c:v>63683</c:v>
                </c:pt>
                <c:pt idx="1300">
                  <c:v>63716</c:v>
                </c:pt>
                <c:pt idx="1301">
                  <c:v>63746</c:v>
                </c:pt>
                <c:pt idx="1302">
                  <c:v>63779</c:v>
                </c:pt>
                <c:pt idx="1303">
                  <c:v>63809</c:v>
                </c:pt>
                <c:pt idx="1304">
                  <c:v>63839</c:v>
                </c:pt>
                <c:pt idx="1305">
                  <c:v>63872</c:v>
                </c:pt>
                <c:pt idx="1306">
                  <c:v>63902</c:v>
                </c:pt>
                <c:pt idx="1307">
                  <c:v>63935</c:v>
                </c:pt>
              </c:numCache>
            </c:numRef>
          </c:cat>
          <c:val>
            <c:numRef>
              <c:f>'3M Delta'!$X$3:$X$1310</c:f>
              <c:numCache>
                <c:formatCode>General</c:formatCode>
                <c:ptCount val="1308"/>
                <c:pt idx="0">
                  <c:v>2.6115066241214128E-4</c:v>
                </c:pt>
                <c:pt idx="1">
                  <c:v>2.7338333196664513E-4</c:v>
                </c:pt>
                <c:pt idx="2">
                  <c:v>2.7513456806649002E-4</c:v>
                </c:pt>
                <c:pt idx="3">
                  <c:v>2.767350651735384E-4</c:v>
                </c:pt>
                <c:pt idx="4">
                  <c:v>2.7818977480767649E-4</c:v>
                </c:pt>
                <c:pt idx="5">
                  <c:v>2.8791832830846501E-4</c:v>
                </c:pt>
                <c:pt idx="6">
                  <c:v>2.8268803738213408E-4</c:v>
                </c:pt>
                <c:pt idx="7">
                  <c:v>2.8354052428450864E-4</c:v>
                </c:pt>
                <c:pt idx="8">
                  <c:v>2.843109491575655E-4</c:v>
                </c:pt>
                <c:pt idx="9">
                  <c:v>2.8501276760127016E-4</c:v>
                </c:pt>
                <c:pt idx="10">
                  <c:v>2.9331750834724957E-4</c:v>
                </c:pt>
                <c:pt idx="11">
                  <c:v>2.8746432825407651E-4</c:v>
                </c:pt>
                <c:pt idx="12">
                  <c:v>2.8810886888702778E-4</c:v>
                </c:pt>
                <c:pt idx="13">
                  <c:v>2.8881997149965432E-4</c:v>
                </c:pt>
                <c:pt idx="14">
                  <c:v>2.8962470039396233E-4</c:v>
                </c:pt>
                <c:pt idx="15">
                  <c:v>2.9844438374289681E-4</c:v>
                </c:pt>
                <c:pt idx="16">
                  <c:v>2.8293995465636975E-4</c:v>
                </c:pt>
                <c:pt idx="17">
                  <c:v>2.8437057568727399E-4</c:v>
                </c:pt>
                <c:pt idx="18">
                  <c:v>2.8589621175092192E-4</c:v>
                </c:pt>
                <c:pt idx="19">
                  <c:v>2.875036778838988E-4</c:v>
                </c:pt>
                <c:pt idx="20">
                  <c:v>2.983030411597582E-4</c:v>
                </c:pt>
                <c:pt idx="21">
                  <c:v>2.9448814384533205E-4</c:v>
                </c:pt>
                <c:pt idx="22">
                  <c:v>2.9631230672192235E-4</c:v>
                </c:pt>
                <c:pt idx="23">
                  <c:v>2.9816707032625817E-4</c:v>
                </c:pt>
                <c:pt idx="24">
                  <c:v>3.0005095157453261E-4</c:v>
                </c:pt>
                <c:pt idx="25">
                  <c:v>3.1290708573330844E-4</c:v>
                </c:pt>
                <c:pt idx="26">
                  <c:v>3.0776709856469311E-4</c:v>
                </c:pt>
                <c:pt idx="27">
                  <c:v>3.0971365220167893E-4</c:v>
                </c:pt>
                <c:pt idx="28">
                  <c:v>3.1165615714968384E-4</c:v>
                </c:pt>
                <c:pt idx="29">
                  <c:v>3.135885655655729E-4</c:v>
                </c:pt>
                <c:pt idx="30">
                  <c:v>3.2712626686640063E-4</c:v>
                </c:pt>
                <c:pt idx="31">
                  <c:v>3.2112763533884717E-4</c:v>
                </c:pt>
                <c:pt idx="32">
                  <c:v>3.2294497032725412E-4</c:v>
                </c:pt>
                <c:pt idx="33">
                  <c:v>3.2472741574068637E-4</c:v>
                </c:pt>
                <c:pt idx="34">
                  <c:v>3.2647101328241233E-4</c:v>
                </c:pt>
                <c:pt idx="35">
                  <c:v>3.3919413587652549E-4</c:v>
                </c:pt>
                <c:pt idx="36">
                  <c:v>3.3297775880436546E-4</c:v>
                </c:pt>
                <c:pt idx="37">
                  <c:v>3.3446774254070993E-4</c:v>
                </c:pt>
                <c:pt idx="38">
                  <c:v>3.0959419099659306E-4</c:v>
                </c:pt>
                <c:pt idx="39">
                  <c:v>3.1095502113548607E-4</c:v>
                </c:pt>
                <c:pt idx="40">
                  <c:v>3.2143796178305575E-4</c:v>
                </c:pt>
                <c:pt idx="41">
                  <c:v>3.15653616290136E-4</c:v>
                </c:pt>
                <c:pt idx="42">
                  <c:v>3.1662229224582505E-4</c:v>
                </c:pt>
                <c:pt idx="43">
                  <c:v>3.1750066247560364E-4</c:v>
                </c:pt>
                <c:pt idx="44">
                  <c:v>3.1828541531250039E-4</c:v>
                </c:pt>
                <c:pt idx="45">
                  <c:v>3.2548453778390157E-4</c:v>
                </c:pt>
                <c:pt idx="46">
                  <c:v>3.2048021609142074E-4</c:v>
                </c:pt>
                <c:pt idx="47">
                  <c:v>3.2079247105841496E-4</c:v>
                </c:pt>
                <c:pt idx="48">
                  <c:v>3.210099909000116E-4</c:v>
                </c:pt>
                <c:pt idx="49">
                  <c:v>3.2113269709903503E-4</c:v>
                </c:pt>
                <c:pt idx="50">
                  <c:v>3.2705626928810385E-4</c:v>
                </c:pt>
                <c:pt idx="51">
                  <c:v>3.2067381512721957E-4</c:v>
                </c:pt>
                <c:pt idx="52">
                  <c:v>3.2032127535692242E-4</c:v>
                </c:pt>
                <c:pt idx="53">
                  <c:v>3.1987345084075099E-4</c:v>
                </c:pt>
                <c:pt idx="54">
                  <c:v>3.1933852596587471E-4</c:v>
                </c:pt>
                <c:pt idx="55">
                  <c:v>3.2677202046190221E-4</c:v>
                </c:pt>
                <c:pt idx="56">
                  <c:v>3.1723517185976456E-4</c:v>
                </c:pt>
                <c:pt idx="57">
                  <c:v>3.1696591418632045E-4</c:v>
                </c:pt>
                <c:pt idx="58">
                  <c:v>3.1688559735556089E-4</c:v>
                </c:pt>
                <c:pt idx="59">
                  <c:v>3.1698027376410678E-4</c:v>
                </c:pt>
                <c:pt idx="60">
                  <c:v>3.1167035919873272E-4</c:v>
                </c:pt>
                <c:pt idx="61">
                  <c:v>3.2307632965496332E-4</c:v>
                </c:pt>
                <c:pt idx="62">
                  <c:v>3.2364641870952075E-4</c:v>
                </c:pt>
                <c:pt idx="63">
                  <c:v>3.2423167958226667E-4</c:v>
                </c:pt>
                <c:pt idx="64">
                  <c:v>3.2480547537034335E-4</c:v>
                </c:pt>
                <c:pt idx="65">
                  <c:v>3.365491319533017E-4</c:v>
                </c:pt>
                <c:pt idx="66">
                  <c:v>3.2646323452805885E-4</c:v>
                </c:pt>
                <c:pt idx="67">
                  <c:v>3.2664461293612895E-4</c:v>
                </c:pt>
                <c:pt idx="68">
                  <c:v>3.2674252668440663E-4</c:v>
                </c:pt>
                <c:pt idx="69">
                  <c:v>3.2675837117017149E-4</c:v>
                </c:pt>
                <c:pt idx="70">
                  <c:v>3.3493125419723158E-4</c:v>
                </c:pt>
                <c:pt idx="71">
                  <c:v>3.2602896442423916E-4</c:v>
                </c:pt>
                <c:pt idx="72">
                  <c:v>3.2565539354948347E-4</c:v>
                </c:pt>
                <c:pt idx="73">
                  <c:v>3.2520812579303377E-4</c:v>
                </c:pt>
                <c:pt idx="74">
                  <c:v>3.2468855655129735E-4</c:v>
                </c:pt>
                <c:pt idx="75">
                  <c:v>3.3041537016845532E-4</c:v>
                </c:pt>
                <c:pt idx="76">
                  <c:v>3.2191517266946405E-4</c:v>
                </c:pt>
                <c:pt idx="77">
                  <c:v>3.2105502695408322E-4</c:v>
                </c:pt>
                <c:pt idx="78">
                  <c:v>3.2013095213428132E-4</c:v>
                </c:pt>
                <c:pt idx="79">
                  <c:v>3.1914434360689564E-4</c:v>
                </c:pt>
                <c:pt idx="80">
                  <c:v>3.2362300856776216E-4</c:v>
                </c:pt>
                <c:pt idx="81">
                  <c:v>3.1184997390338047E-4</c:v>
                </c:pt>
                <c:pt idx="82">
                  <c:v>3.2196481503024349E-4</c:v>
                </c:pt>
                <c:pt idx="83">
                  <c:v>3.2061387992650479E-4</c:v>
                </c:pt>
                <c:pt idx="84">
                  <c:v>3.1919865291000083E-4</c:v>
                </c:pt>
                <c:pt idx="85">
                  <c:v>3.1772052937727147E-4</c:v>
                </c:pt>
                <c:pt idx="86">
                  <c:v>3.129227336500097E-4</c:v>
                </c:pt>
                <c:pt idx="87">
                  <c:v>3.1120697802027681E-4</c:v>
                </c:pt>
                <c:pt idx="88">
                  <c:v>3.0943530285867981E-4</c:v>
                </c:pt>
                <c:pt idx="89">
                  <c:v>3.0761048216303545E-4</c:v>
                </c:pt>
                <c:pt idx="90">
                  <c:v>3.0574080433800715E-4</c:v>
                </c:pt>
                <c:pt idx="91">
                  <c:v>2.9995929815008067E-4</c:v>
                </c:pt>
                <c:pt idx="92">
                  <c:v>2.9800686187157727E-4</c:v>
                </c:pt>
                <c:pt idx="93">
                  <c:v>2.9605790349399491E-4</c:v>
                </c:pt>
                <c:pt idx="94">
                  <c:v>2.9411892672794667E-4</c:v>
                </c:pt>
                <c:pt idx="95">
                  <c:v>2.9219674057505657E-4</c:v>
                </c:pt>
                <c:pt idx="96">
                  <c:v>2.8661493876449689E-4</c:v>
                </c:pt>
                <c:pt idx="97">
                  <c:v>2.8484184150540641E-4</c:v>
                </c:pt>
                <c:pt idx="98">
                  <c:v>2.8312545481711074E-4</c:v>
                </c:pt>
                <c:pt idx="99">
                  <c:v>2.8147355403795806E-4</c:v>
                </c:pt>
                <c:pt idx="100">
                  <c:v>2.923173046966923E-4</c:v>
                </c:pt>
                <c:pt idx="101">
                  <c:v>2.756663167843895E-4</c:v>
                </c:pt>
                <c:pt idx="102">
                  <c:v>2.7445347563050929E-4</c:v>
                </c:pt>
                <c:pt idx="103">
                  <c:v>2.7750127037503897E-4</c:v>
                </c:pt>
                <c:pt idx="104">
                  <c:v>3.0591685164420166E-4</c:v>
                </c:pt>
                <c:pt idx="105">
                  <c:v>3.0092154098435399E-4</c:v>
                </c:pt>
                <c:pt idx="106">
                  <c:v>2.9093328067325845E-4</c:v>
                </c:pt>
                <c:pt idx="107">
                  <c:v>2.9062743618251026E-4</c:v>
                </c:pt>
                <c:pt idx="108">
                  <c:v>2.9048236451873567E-4</c:v>
                </c:pt>
                <c:pt idx="109">
                  <c:v>2.905058410205795E-4</c:v>
                </c:pt>
                <c:pt idx="110">
                  <c:v>2.9839231089999084E-4</c:v>
                </c:pt>
                <c:pt idx="111">
                  <c:v>2.9222205227203676E-4</c:v>
                </c:pt>
                <c:pt idx="112">
                  <c:v>2.9299646727049835E-4</c:v>
                </c:pt>
                <c:pt idx="113">
                  <c:v>2.9388357472182145E-4</c:v>
                </c:pt>
                <c:pt idx="114">
                  <c:v>2.9487064841723492E-4</c:v>
                </c:pt>
                <c:pt idx="115">
                  <c:v>3.0412049442876064E-4</c:v>
                </c:pt>
                <c:pt idx="116">
                  <c:v>2.9956408143232106E-4</c:v>
                </c:pt>
                <c:pt idx="117">
                  <c:v>3.0086009319370353E-4</c:v>
                </c:pt>
                <c:pt idx="118">
                  <c:v>3.0217971393791879E-4</c:v>
                </c:pt>
                <c:pt idx="119">
                  <c:v>3.0351021745560252E-4</c:v>
                </c:pt>
                <c:pt idx="120">
                  <c:v>3.1498416631706806E-4</c:v>
                </c:pt>
                <c:pt idx="121">
                  <c:v>3.0868653504847608E-4</c:v>
                </c:pt>
                <c:pt idx="122">
                  <c:v>3.098746498495776E-4</c:v>
                </c:pt>
                <c:pt idx="123">
                  <c:v>3.1096183359655382E-4</c:v>
                </c:pt>
                <c:pt idx="124">
                  <c:v>3.1191259281332362E-4</c:v>
                </c:pt>
                <c:pt idx="125">
                  <c:v>3.0659561119783475E-4</c:v>
                </c:pt>
                <c:pt idx="126">
                  <c:v>3.0908335100332637E-4</c:v>
                </c:pt>
                <c:pt idx="127">
                  <c:v>3.0970783648778859E-4</c:v>
                </c:pt>
                <c:pt idx="128">
                  <c:v>3.1035092630980201E-4</c:v>
                </c:pt>
                <c:pt idx="129">
                  <c:v>3.110405734977713E-4</c:v>
                </c:pt>
                <c:pt idx="130">
                  <c:v>3.2522490150952425E-4</c:v>
                </c:pt>
                <c:pt idx="131">
                  <c:v>3.1482666078439973E-4</c:v>
                </c:pt>
                <c:pt idx="132">
                  <c:v>3.1617847552190882E-4</c:v>
                </c:pt>
                <c:pt idx="133">
                  <c:v>3.1771914806017013E-4</c:v>
                </c:pt>
                <c:pt idx="134">
                  <c:v>3.1943402778841226E-4</c:v>
                </c:pt>
                <c:pt idx="135">
                  <c:v>3.3408167047645118E-4</c:v>
                </c:pt>
                <c:pt idx="136">
                  <c:v>3.2774260637232985E-4</c:v>
                </c:pt>
                <c:pt idx="137">
                  <c:v>3.3010876287872522E-4</c:v>
                </c:pt>
                <c:pt idx="138">
                  <c:v>3.3256122290610264E-4</c:v>
                </c:pt>
                <c:pt idx="139">
                  <c:v>3.3508533584321055E-4</c:v>
                </c:pt>
                <c:pt idx="140">
                  <c:v>3.4946356525886088E-4</c:v>
                </c:pt>
                <c:pt idx="141">
                  <c:v>3.4560530446208062E-4</c:v>
                </c:pt>
                <c:pt idx="142">
                  <c:v>3.4826792277702968E-4</c:v>
                </c:pt>
                <c:pt idx="143">
                  <c:v>3.5091429033321344E-4</c:v>
                </c:pt>
                <c:pt idx="144">
                  <c:v>3.5352975651920361E-4</c:v>
                </c:pt>
                <c:pt idx="145">
                  <c:v>3.666144790927869E-4</c:v>
                </c:pt>
                <c:pt idx="146">
                  <c:v>3.5828910998415663E-4</c:v>
                </c:pt>
                <c:pt idx="147">
                  <c:v>3.0453739739667667E-4</c:v>
                </c:pt>
                <c:pt idx="148">
                  <c:v>3.0677169587955782E-4</c:v>
                </c:pt>
                <c:pt idx="149">
                  <c:v>3.0887566334096653E-4</c:v>
                </c:pt>
                <c:pt idx="150">
                  <c:v>3.1083464916920533E-4</c:v>
                </c:pt>
                <c:pt idx="151">
                  <c:v>3.1569521074113809E-4</c:v>
                </c:pt>
                <c:pt idx="152">
                  <c:v>3.1692776392279004E-4</c:v>
                </c:pt>
                <c:pt idx="153">
                  <c:v>3.1795334531422301E-4</c:v>
                </c:pt>
                <c:pt idx="154">
                  <c:v>3.1881628484099831E-4</c:v>
                </c:pt>
                <c:pt idx="155">
                  <c:v>3.1958283947915601E-4</c:v>
                </c:pt>
                <c:pt idx="156">
                  <c:v>3.2199342420064566E-4</c:v>
                </c:pt>
                <c:pt idx="157">
                  <c:v>3.2306366942128778E-4</c:v>
                </c:pt>
                <c:pt idx="158">
                  <c:v>3.2438214482288509E-4</c:v>
                </c:pt>
                <c:pt idx="159">
                  <c:v>3.260036305513383E-4</c:v>
                </c:pt>
                <c:pt idx="160">
                  <c:v>3.2791698933757886E-4</c:v>
                </c:pt>
                <c:pt idx="161">
                  <c:v>3.3510877291753122E-4</c:v>
                </c:pt>
                <c:pt idx="162">
                  <c:v>3.3789009281176287E-4</c:v>
                </c:pt>
                <c:pt idx="163">
                  <c:v>3.4081352020194877E-4</c:v>
                </c:pt>
                <c:pt idx="164">
                  <c:v>3.4384910197636249E-4</c:v>
                </c:pt>
                <c:pt idx="165">
                  <c:v>3.6381666541485287E-4</c:v>
                </c:pt>
                <c:pt idx="166">
                  <c:v>3.5966096768696385E-4</c:v>
                </c:pt>
                <c:pt idx="167">
                  <c:v>3.6274046041220631E-4</c:v>
                </c:pt>
                <c:pt idx="168">
                  <c:v>3.6572243573510936E-4</c:v>
                </c:pt>
                <c:pt idx="169">
                  <c:v>3.3857420880155955E-4</c:v>
                </c:pt>
                <c:pt idx="170">
                  <c:v>3.4061930043753348E-4</c:v>
                </c:pt>
                <c:pt idx="171">
                  <c:v>3.4238715599986622E-4</c:v>
                </c:pt>
                <c:pt idx="172">
                  <c:v>3.4384782237546481E-4</c:v>
                </c:pt>
                <c:pt idx="173">
                  <c:v>3.4497134645321775E-4</c:v>
                </c:pt>
                <c:pt idx="174">
                  <c:v>3.4627907931781166E-4</c:v>
                </c:pt>
                <c:pt idx="175">
                  <c:v>3.4611017660389113E-4</c:v>
                </c:pt>
                <c:pt idx="176">
                  <c:v>3.4568507318121226E-4</c:v>
                </c:pt>
                <c:pt idx="177">
                  <c:v>3.4503149272600462E-4</c:v>
                </c:pt>
                <c:pt idx="178">
                  <c:v>3.4417715891282429E-4</c:v>
                </c:pt>
                <c:pt idx="179">
                  <c:v>3.4068687408270426E-4</c:v>
                </c:pt>
                <c:pt idx="180">
                  <c:v>3.393067635940672E-4</c:v>
                </c:pt>
                <c:pt idx="181">
                  <c:v>3.3786451812554014E-4</c:v>
                </c:pt>
                <c:pt idx="182">
                  <c:v>3.3638786135211442E-4</c:v>
                </c:pt>
                <c:pt idx="183">
                  <c:v>3.3490451694981744E-4</c:v>
                </c:pt>
                <c:pt idx="184">
                  <c:v>3.3069159472299821E-4</c:v>
                </c:pt>
                <c:pt idx="185">
                  <c:v>3.2945873655915024E-4</c:v>
                </c:pt>
                <c:pt idx="186">
                  <c:v>3.2836371857173974E-4</c:v>
                </c:pt>
                <c:pt idx="187">
                  <c:v>3.2744827245314678E-4</c:v>
                </c:pt>
                <c:pt idx="188">
                  <c:v>3.2669788284210376E-4</c:v>
                </c:pt>
                <c:pt idx="189">
                  <c:v>3.273365896270662E-4</c:v>
                </c:pt>
                <c:pt idx="190">
                  <c:v>3.2082266744327444E-4</c:v>
                </c:pt>
                <c:pt idx="191">
                  <c:v>3.20350132719169E-4</c:v>
                </c:pt>
                <c:pt idx="192">
                  <c:v>3.1991269262334886E-4</c:v>
                </c:pt>
                <c:pt idx="193">
                  <c:v>3.1948029267316806E-4</c:v>
                </c:pt>
                <c:pt idx="194">
                  <c:v>3.238601898062266E-4</c:v>
                </c:pt>
                <c:pt idx="195">
                  <c:v>3.1719714035403793E-4</c:v>
                </c:pt>
                <c:pt idx="196">
                  <c:v>3.1632875413687783E-4</c:v>
                </c:pt>
                <c:pt idx="197">
                  <c:v>3.1530879218747131E-4</c:v>
                </c:pt>
                <c:pt idx="198">
                  <c:v>3.1414809694888446E-4</c:v>
                </c:pt>
                <c:pt idx="199">
                  <c:v>3.1461013352307936E-4</c:v>
                </c:pt>
                <c:pt idx="200">
                  <c:v>3.0831483196780212E-4</c:v>
                </c:pt>
                <c:pt idx="201">
                  <c:v>3.0661310693131451E-4</c:v>
                </c:pt>
                <c:pt idx="202">
                  <c:v>3.0483570326522317E-4</c:v>
                </c:pt>
                <c:pt idx="203">
                  <c:v>3.0299346341268419E-4</c:v>
                </c:pt>
                <c:pt idx="204">
                  <c:v>3.0096743785045703E-4</c:v>
                </c:pt>
                <c:pt idx="205">
                  <c:v>2.9519299099709716E-4</c:v>
                </c:pt>
                <c:pt idx="206">
                  <c:v>2.9318920685827748E-4</c:v>
                </c:pt>
                <c:pt idx="207">
                  <c:v>2.9118564119214719E-4</c:v>
                </c:pt>
                <c:pt idx="208">
                  <c:v>2.891931364405104E-4</c:v>
                </c:pt>
                <c:pt idx="209">
                  <c:v>2.8986820389482614E-4</c:v>
                </c:pt>
                <c:pt idx="210">
                  <c:v>3.4615076754106991E-4</c:v>
                </c:pt>
                <c:pt idx="211">
                  <c:v>3.4431234626224874E-4</c:v>
                </c:pt>
                <c:pt idx="212">
                  <c:v>3.4256547618694569E-4</c:v>
                </c:pt>
                <c:pt idx="213">
                  <c:v>3.4715456568299401E-4</c:v>
                </c:pt>
                <c:pt idx="214">
                  <c:v>3.3671035678737519E-4</c:v>
                </c:pt>
                <c:pt idx="215">
                  <c:v>3.3558387937831244E-4</c:v>
                </c:pt>
                <c:pt idx="216">
                  <c:v>3.3460138340656996E-4</c:v>
                </c:pt>
                <c:pt idx="217">
                  <c:v>3.3371058918673301E-4</c:v>
                </c:pt>
                <c:pt idx="218">
                  <c:v>3.3936411996313181E-4</c:v>
                </c:pt>
                <c:pt idx="219">
                  <c:v>3.2976634761282058E-4</c:v>
                </c:pt>
                <c:pt idx="220">
                  <c:v>3.2836050049231771E-4</c:v>
                </c:pt>
                <c:pt idx="221">
                  <c:v>3.2665693045928128E-4</c:v>
                </c:pt>
                <c:pt idx="222">
                  <c:v>3.2460803330234487E-4</c:v>
                </c:pt>
                <c:pt idx="223">
                  <c:v>3.2906546412471405E-4</c:v>
                </c:pt>
                <c:pt idx="224">
                  <c:v>3.1348676995337539E-4</c:v>
                </c:pt>
                <c:pt idx="225">
                  <c:v>3.1014631880003251E-4</c:v>
                </c:pt>
                <c:pt idx="226">
                  <c:v>3.0665032686564496E-4</c:v>
                </c:pt>
                <c:pt idx="227">
                  <c:v>3.0303305082399727E-4</c:v>
                </c:pt>
                <c:pt idx="228">
                  <c:v>2.8432639254781755E-4</c:v>
                </c:pt>
                <c:pt idx="229">
                  <c:v>2.8070080198905085E-4</c:v>
                </c:pt>
                <c:pt idx="230">
                  <c:v>2.7356932870818636E-4</c:v>
                </c:pt>
                <c:pt idx="231">
                  <c:v>3.3940240430804889E-4</c:v>
                </c:pt>
                <c:pt idx="232">
                  <c:v>3.3055656374197202E-4</c:v>
                </c:pt>
                <c:pt idx="233">
                  <c:v>3.2814284443798933E-4</c:v>
                </c:pt>
                <c:pt idx="234">
                  <c:v>3.2605366669785846E-4</c:v>
                </c:pt>
                <c:pt idx="235">
                  <c:v>3.2432328719467077E-4</c:v>
                </c:pt>
                <c:pt idx="236">
                  <c:v>3.2298596260078876E-4</c:v>
                </c:pt>
                <c:pt idx="237">
                  <c:v>3.2132561614035495E-4</c:v>
                </c:pt>
                <c:pt idx="238">
                  <c:v>3.2142445020996485E-4</c:v>
                </c:pt>
                <c:pt idx="239">
                  <c:v>3.217771613397581E-4</c:v>
                </c:pt>
                <c:pt idx="240">
                  <c:v>3.2234039089983524E-4</c:v>
                </c:pt>
                <c:pt idx="241">
                  <c:v>3.2307078025949597E-4</c:v>
                </c:pt>
                <c:pt idx="242">
                  <c:v>3.2583132083345253E-4</c:v>
                </c:pt>
                <c:pt idx="243">
                  <c:v>3.2679676308788961E-4</c:v>
                </c:pt>
                <c:pt idx="244">
                  <c:v>3.2771257198948857E-4</c:v>
                </c:pt>
                <c:pt idx="245">
                  <c:v>3.285353889082689E-4</c:v>
                </c:pt>
                <c:pt idx="246">
                  <c:v>3.2922185521355848E-4</c:v>
                </c:pt>
                <c:pt idx="247">
                  <c:v>3.3002956414455423E-4</c:v>
                </c:pt>
                <c:pt idx="248">
                  <c:v>3.2973704169191032E-4</c:v>
                </c:pt>
                <c:pt idx="249">
                  <c:v>3.2909137547291274E-4</c:v>
                </c:pt>
                <c:pt idx="250">
                  <c:v>3.2806474597917278E-4</c:v>
                </c:pt>
                <c:pt idx="251">
                  <c:v>3.2669149018327228E-4</c:v>
                </c:pt>
                <c:pt idx="252">
                  <c:v>3.6075358405421017E-4</c:v>
                </c:pt>
                <c:pt idx="253">
                  <c:v>3.5849194856658228E-4</c:v>
                </c:pt>
                <c:pt idx="254">
                  <c:v>3.5613257832310192E-4</c:v>
                </c:pt>
                <c:pt idx="255">
                  <c:v>3.537253494180295E-4</c:v>
                </c:pt>
                <c:pt idx="256">
                  <c:v>3.5902535258901561E-4</c:v>
                </c:pt>
                <c:pt idx="257">
                  <c:v>3.457852354885593E-4</c:v>
                </c:pt>
                <c:pt idx="258">
                  <c:v>3.4072334689560807E-4</c:v>
                </c:pt>
                <c:pt idx="259">
                  <c:v>3.4150761614421124E-4</c:v>
                </c:pt>
                <c:pt idx="260">
                  <c:v>3.4554459982184458E-4</c:v>
                </c:pt>
                <c:pt idx="261">
                  <c:v>3.5025174672033595E-4</c:v>
                </c:pt>
                <c:pt idx="262">
                  <c:v>3.5399540318224493E-4</c:v>
                </c:pt>
                <c:pt idx="263">
                  <c:v>3.5681550328760378E-4</c:v>
                </c:pt>
                <c:pt idx="264">
                  <c:v>3.5892923731005878E-4</c:v>
                </c:pt>
                <c:pt idx="265">
                  <c:v>3.6055510967654723E-4</c:v>
                </c:pt>
                <c:pt idx="266">
                  <c:v>3.6191162481367381E-4</c:v>
                </c:pt>
                <c:pt idx="267">
                  <c:v>3.6321728714727139E-4</c:v>
                </c:pt>
                <c:pt idx="268">
                  <c:v>3.6469060110396975E-4</c:v>
                </c:pt>
                <c:pt idx="269">
                  <c:v>3.6655007111077091E-4</c:v>
                </c:pt>
                <c:pt idx="270">
                  <c:v>3.6899354827045559E-4</c:v>
                </c:pt>
                <c:pt idx="271">
                  <c:v>3.7201824495026851E-4</c:v>
                </c:pt>
                <c:pt idx="272">
                  <c:v>3.7549300676809207E-4</c:v>
                </c:pt>
                <c:pt idx="273">
                  <c:v>3.6620253010456424E-4</c:v>
                </c:pt>
                <c:pt idx="274">
                  <c:v>3.7009962085496361E-4</c:v>
                </c:pt>
                <c:pt idx="275">
                  <c:v>3.7407884575482004E-4</c:v>
                </c:pt>
                <c:pt idx="276">
                  <c:v>3.7800689264122213E-4</c:v>
                </c:pt>
                <c:pt idx="277">
                  <c:v>3.8175921210633273E-4</c:v>
                </c:pt>
                <c:pt idx="278">
                  <c:v>3.4726338988533539E-4</c:v>
                </c:pt>
                <c:pt idx="279">
                  <c:v>3.5025815267641783E-4</c:v>
                </c:pt>
                <c:pt idx="280">
                  <c:v>3.5271731836545358E-4</c:v>
                </c:pt>
                <c:pt idx="281">
                  <c:v>3.5452993248512874E-4</c:v>
                </c:pt>
                <c:pt idx="282">
                  <c:v>3.5558504056821676E-4</c:v>
                </c:pt>
                <c:pt idx="283">
                  <c:v>3.5577807766364625E-4</c:v>
                </c:pt>
                <c:pt idx="284">
                  <c:v>3.5512522109780106E-4</c:v>
                </c:pt>
                <c:pt idx="285">
                  <c:v>3.537554709141713E-4</c:v>
                </c:pt>
                <c:pt idx="286">
                  <c:v>3.3560836100559124E-4</c:v>
                </c:pt>
                <c:pt idx="287">
                  <c:v>3.3332318238705626E-4</c:v>
                </c:pt>
                <c:pt idx="288">
                  <c:v>3.3069216164651502E-4</c:v>
                </c:pt>
                <c:pt idx="289">
                  <c:v>3.2784895698664601E-4</c:v>
                </c:pt>
                <c:pt idx="290">
                  <c:v>3.2888157251237605E-4</c:v>
                </c:pt>
                <c:pt idx="291">
                  <c:v>3.7305137046390164E-4</c:v>
                </c:pt>
                <c:pt idx="292">
                  <c:v>3.7015356421275921E-4</c:v>
                </c:pt>
                <c:pt idx="293">
                  <c:v>3.6739314445473684E-4</c:v>
                </c:pt>
                <c:pt idx="294">
                  <c:v>3.6484733114271699E-4</c:v>
                </c:pt>
                <c:pt idx="295">
                  <c:v>3.5864508555157412E-4</c:v>
                </c:pt>
                <c:pt idx="296">
                  <c:v>3.5675710246553809E-4</c:v>
                </c:pt>
                <c:pt idx="297">
                  <c:v>3.5525214496610836E-4</c:v>
                </c:pt>
                <c:pt idx="298">
                  <c:v>3.5406559545397614E-4</c:v>
                </c:pt>
                <c:pt idx="299">
                  <c:v>3.7277868677244126E-4</c:v>
                </c:pt>
                <c:pt idx="300">
                  <c:v>3.7196456373077562E-4</c:v>
                </c:pt>
                <c:pt idx="301">
                  <c:v>3.7124684160828864E-4</c:v>
                </c:pt>
                <c:pt idx="302">
                  <c:v>3.7056798390485606E-4</c:v>
                </c:pt>
                <c:pt idx="303">
                  <c:v>3.5825846864365299E-4</c:v>
                </c:pt>
                <c:pt idx="304">
                  <c:v>3.5761502133403191E-4</c:v>
                </c:pt>
                <c:pt idx="305">
                  <c:v>3.5655875743856503E-4</c:v>
                </c:pt>
                <c:pt idx="306">
                  <c:v>3.562561015649748E-4</c:v>
                </c:pt>
                <c:pt idx="307">
                  <c:v>3.6702917365351962E-4</c:v>
                </c:pt>
                <c:pt idx="308">
                  <c:v>3.6620953775092863E-4</c:v>
                </c:pt>
                <c:pt idx="309">
                  <c:v>3.6532994219844368E-4</c:v>
                </c:pt>
                <c:pt idx="310">
                  <c:v>3.6441363973217425E-4</c:v>
                </c:pt>
                <c:pt idx="311">
                  <c:v>3.6348429423256325E-4</c:v>
                </c:pt>
                <c:pt idx="312">
                  <c:v>3.6256401088028263E-4</c:v>
                </c:pt>
                <c:pt idx="313">
                  <c:v>3.6167489485669111E-4</c:v>
                </c:pt>
                <c:pt idx="314">
                  <c:v>3.6083904060007929E-4</c:v>
                </c:pt>
                <c:pt idx="315">
                  <c:v>3.6007308607166475E-4</c:v>
                </c:pt>
                <c:pt idx="316">
                  <c:v>3.4801482938024044E-4</c:v>
                </c:pt>
                <c:pt idx="317">
                  <c:v>3.5875783643024621E-4</c:v>
                </c:pt>
                <c:pt idx="318">
                  <c:v>3.5820854131831108E-4</c:v>
                </c:pt>
                <c:pt idx="319">
                  <c:v>3.5773146601201508E-4</c:v>
                </c:pt>
                <c:pt idx="320">
                  <c:v>3.5732661051084158E-4</c:v>
                </c:pt>
                <c:pt idx="321">
                  <c:v>3.5699397481527408E-4</c:v>
                </c:pt>
                <c:pt idx="322">
                  <c:v>3.5673355892568636E-4</c:v>
                </c:pt>
                <c:pt idx="323">
                  <c:v>3.5654536284078915E-4</c:v>
                </c:pt>
                <c:pt idx="324">
                  <c:v>3.5642938656162501E-4</c:v>
                </c:pt>
                <c:pt idx="325">
                  <c:v>3.4498181650305447E-4</c:v>
                </c:pt>
                <c:pt idx="326">
                  <c:v>3.4499438966198188E-4</c:v>
                </c:pt>
                <c:pt idx="327">
                  <c:v>3.4507687773978714E-4</c:v>
                </c:pt>
                <c:pt idx="328">
                  <c:v>3.4522928073581644E-4</c:v>
                </c:pt>
                <c:pt idx="329">
                  <c:v>3.4545159864984555E-4</c:v>
                </c:pt>
                <c:pt idx="330">
                  <c:v>3.5725014480367858E-4</c:v>
                </c:pt>
                <c:pt idx="331">
                  <c:v>3.5763970716288747E-4</c:v>
                </c:pt>
                <c:pt idx="332">
                  <c:v>3.5810148932823228E-4</c:v>
                </c:pt>
                <c:pt idx="333">
                  <c:v>3.5863549129821592E-4</c:v>
                </c:pt>
                <c:pt idx="334">
                  <c:v>3.5924171307478314E-4</c:v>
                </c:pt>
                <c:pt idx="335">
                  <c:v>3.5992015465599559E-4</c:v>
                </c:pt>
                <c:pt idx="336">
                  <c:v>3.606708160433567E-4</c:v>
                </c:pt>
                <c:pt idx="337">
                  <c:v>3.6149369723559646E-4</c:v>
                </c:pt>
                <c:pt idx="338">
                  <c:v>3.4667280663895872E-4</c:v>
                </c:pt>
                <c:pt idx="339">
                  <c:v>3.4757920867721048E-4</c:v>
                </c:pt>
                <c:pt idx="340">
                  <c:v>3.4855475733801928E-4</c:v>
                </c:pt>
                <c:pt idx="341">
                  <c:v>3.4959945262100678E-4</c:v>
                </c:pt>
                <c:pt idx="342">
                  <c:v>3.5071329452632217E-4</c:v>
                </c:pt>
                <c:pt idx="343">
                  <c:v>3.5189628305353252E-4</c:v>
                </c:pt>
                <c:pt idx="344">
                  <c:v>3.5314841820384201E-4</c:v>
                </c:pt>
                <c:pt idx="345">
                  <c:v>3.5446969997587479E-4</c:v>
                </c:pt>
                <c:pt idx="346">
                  <c:v>3.5586012837033601E-4</c:v>
                </c:pt>
                <c:pt idx="347">
                  <c:v>3.532337119210855E-4</c:v>
                </c:pt>
                <c:pt idx="348">
                  <c:v>3.5474053794352971E-4</c:v>
                </c:pt>
                <c:pt idx="349">
                  <c:v>3.5631242682222168E-4</c:v>
                </c:pt>
                <c:pt idx="350">
                  <c:v>3.5794150155967408E-4</c:v>
                </c:pt>
                <c:pt idx="351">
                  <c:v>3.8050543489735836E-4</c:v>
                </c:pt>
                <c:pt idx="352">
                  <c:v>3.823267582147546E-4</c:v>
                </c:pt>
                <c:pt idx="353">
                  <c:v>3.8417967806366648E-4</c:v>
                </c:pt>
                <c:pt idx="354">
                  <c:v>3.8605627076547316E-4</c:v>
                </c:pt>
                <c:pt idx="355">
                  <c:v>3.7622463312412234E-4</c:v>
                </c:pt>
                <c:pt idx="356">
                  <c:v>3.770153731638095E-4</c:v>
                </c:pt>
                <c:pt idx="357">
                  <c:v>3.7886006434146994E-4</c:v>
                </c:pt>
                <c:pt idx="358">
                  <c:v>3.8069782463424321E-4</c:v>
                </c:pt>
                <c:pt idx="359">
                  <c:v>3.8252073036223138E-4</c:v>
                </c:pt>
                <c:pt idx="360">
                  <c:v>3.9736923090007088E-4</c:v>
                </c:pt>
                <c:pt idx="361">
                  <c:v>3.991899707732214E-4</c:v>
                </c:pt>
                <c:pt idx="362">
                  <c:v>4.0097642431055494E-4</c:v>
                </c:pt>
                <c:pt idx="363">
                  <c:v>4.0272869397233005E-4</c:v>
                </c:pt>
                <c:pt idx="364">
                  <c:v>4.0444677975823361E-4</c:v>
                </c:pt>
                <c:pt idx="365">
                  <c:v>4.0613068166733287E-4</c:v>
                </c:pt>
                <c:pt idx="366">
                  <c:v>4.0778039970140495E-4</c:v>
                </c:pt>
                <c:pt idx="367">
                  <c:v>4.0939593385916573E-4</c:v>
                </c:pt>
                <c:pt idx="368">
                  <c:v>3.975513454747701E-4</c:v>
                </c:pt>
                <c:pt idx="369">
                  <c:v>4.1252445054684077E-4</c:v>
                </c:pt>
                <c:pt idx="370">
                  <c:v>4.1403743307685917E-4</c:v>
                </c:pt>
                <c:pt idx="371">
                  <c:v>4.1551623173121858E-4</c:v>
                </c:pt>
                <c:pt idx="372">
                  <c:v>4.1696084650953138E-4</c:v>
                </c:pt>
                <c:pt idx="373">
                  <c:v>4.1837127741190005E-4</c:v>
                </c:pt>
                <c:pt idx="374">
                  <c:v>4.1974752443847316E-4</c:v>
                </c:pt>
                <c:pt idx="375">
                  <c:v>4.2108958758833539E-4</c:v>
                </c:pt>
                <c:pt idx="376">
                  <c:v>4.2239746686305904E-4</c:v>
                </c:pt>
                <c:pt idx="377">
                  <c:v>4.099039218491377E-4</c:v>
                </c:pt>
                <c:pt idx="378">
                  <c:v>4.1111096582920786E-4</c:v>
                </c:pt>
                <c:pt idx="379">
                  <c:v>4.1228491690834164E-4</c:v>
                </c:pt>
                <c:pt idx="380">
                  <c:v>4.1342577508633841E-4</c:v>
                </c:pt>
                <c:pt idx="381">
                  <c:v>4.2842410509659484E-4</c:v>
                </c:pt>
                <c:pt idx="382">
                  <c:v>4.2952688111523655E-4</c:v>
                </c:pt>
                <c:pt idx="383">
                  <c:v>4.3059547325815774E-4</c:v>
                </c:pt>
                <c:pt idx="384">
                  <c:v>4.3162988152530013E-4</c:v>
                </c:pt>
                <c:pt idx="385">
                  <c:v>4.3263010591620748E-4</c:v>
                </c:pt>
                <c:pt idx="386">
                  <c:v>4.3359614643135696E-4</c:v>
                </c:pt>
                <c:pt idx="387">
                  <c:v>4.3452800307060578E-4</c:v>
                </c:pt>
                <c:pt idx="388">
                  <c:v>4.3542567583385679E-4</c:v>
                </c:pt>
                <c:pt idx="389">
                  <c:v>4.3628916472128064E-4</c:v>
                </c:pt>
                <c:pt idx="390">
                  <c:v>4.1831464555991811E-4</c:v>
                </c:pt>
                <c:pt idx="391">
                  <c:v>4.1908528296556702E-4</c:v>
                </c:pt>
                <c:pt idx="392">
                  <c:v>4.1982319112864757E-4</c:v>
                </c:pt>
                <c:pt idx="393">
                  <c:v>4.2052837004836894E-4</c:v>
                </c:pt>
                <c:pt idx="394">
                  <c:v>4.1203247022024387E-4</c:v>
                </c:pt>
                <c:pt idx="395">
                  <c:v>4.2683356827406013E-4</c:v>
                </c:pt>
                <c:pt idx="396">
                  <c:v>4.2743075736122806E-4</c:v>
                </c:pt>
                <c:pt idx="397">
                  <c:v>4.3273234258071468E-4</c:v>
                </c:pt>
                <c:pt idx="398">
                  <c:v>4.2852585683244594E-4</c:v>
                </c:pt>
                <c:pt idx="399">
                  <c:v>4.2902376721579442E-4</c:v>
                </c:pt>
                <c:pt idx="400">
                  <c:v>4.2948866748246573E-4</c:v>
                </c:pt>
                <c:pt idx="401">
                  <c:v>4.2992145368483188E-4</c:v>
                </c:pt>
                <c:pt idx="402">
                  <c:v>4.3032348348069047E-4</c:v>
                </c:pt>
                <c:pt idx="403">
                  <c:v>4.3545022207010302E-4</c:v>
                </c:pt>
                <c:pt idx="404">
                  <c:v>4.3579692587589783E-4</c:v>
                </c:pt>
                <c:pt idx="405">
                  <c:v>4.3611679318887939E-4</c:v>
                </c:pt>
                <c:pt idx="406">
                  <c:v>4.3641118696405599E-4</c:v>
                </c:pt>
                <c:pt idx="407">
                  <c:v>4.3191998977509669E-4</c:v>
                </c:pt>
                <c:pt idx="408">
                  <c:v>4.3216610318200569E-4</c:v>
                </c:pt>
                <c:pt idx="409">
                  <c:v>4.323910008654599E-4</c:v>
                </c:pt>
                <c:pt idx="410">
                  <c:v>4.3265117435087834E-4</c:v>
                </c:pt>
                <c:pt idx="411">
                  <c:v>4.3278260088469036E-4</c:v>
                </c:pt>
                <c:pt idx="412">
                  <c:v>4.3771893079524689E-4</c:v>
                </c:pt>
                <c:pt idx="413">
                  <c:v>4.3787308975922103E-4</c:v>
                </c:pt>
                <c:pt idx="414">
                  <c:v>4.3801169998691476E-4</c:v>
                </c:pt>
                <c:pt idx="415">
                  <c:v>4.3813476677734996E-4</c:v>
                </c:pt>
                <c:pt idx="416">
                  <c:v>4.3824229012982878E-4</c:v>
                </c:pt>
                <c:pt idx="417">
                  <c:v>4.383342700442603E-4</c:v>
                </c:pt>
                <c:pt idx="418">
                  <c:v>4.384107065211605E-4</c:v>
                </c:pt>
                <c:pt idx="419">
                  <c:v>4.3847159956009857E-4</c:v>
                </c:pt>
                <c:pt idx="420">
                  <c:v>4.3851694916169446E-4</c:v>
                </c:pt>
                <c:pt idx="421">
                  <c:v>4.3854675532473369E-4</c:v>
                </c:pt>
                <c:pt idx="422">
                  <c:v>4.3856101805038412E-4</c:v>
                </c:pt>
                <c:pt idx="423">
                  <c:v>4.3855973733864499E-4</c:v>
                </c:pt>
                <c:pt idx="424">
                  <c:v>4.385429131887908E-4</c:v>
                </c:pt>
                <c:pt idx="425">
                  <c:v>4.3851054560092471E-4</c:v>
                </c:pt>
                <c:pt idx="426">
                  <c:v>4.3846263457553505E-4</c:v>
                </c:pt>
                <c:pt idx="427">
                  <c:v>4.3839918011238525E-4</c:v>
                </c:pt>
                <c:pt idx="428">
                  <c:v>4.3832018221162352E-4</c:v>
                </c:pt>
                <c:pt idx="429">
                  <c:v>4.3347190056712169E-4</c:v>
                </c:pt>
                <c:pt idx="430">
                  <c:v>4.333641105423023E-4</c:v>
                </c:pt>
                <c:pt idx="431">
                  <c:v>4.3324094602947117E-4</c:v>
                </c:pt>
                <c:pt idx="432">
                  <c:v>4.3310240702960603E-4</c:v>
                </c:pt>
                <c:pt idx="433">
                  <c:v>4.376920411400427E-4</c:v>
                </c:pt>
                <c:pt idx="434">
                  <c:v>4.3751978261275838E-4</c:v>
                </c:pt>
                <c:pt idx="435">
                  <c:v>4.3733198064725009E-4</c:v>
                </c:pt>
                <c:pt idx="436">
                  <c:v>4.3712863524430438E-4</c:v>
                </c:pt>
                <c:pt idx="437">
                  <c:v>4.3690974640331695E-4</c:v>
                </c:pt>
                <c:pt idx="438">
                  <c:v>4.3667531412473455E-4</c:v>
                </c:pt>
                <c:pt idx="439">
                  <c:v>4.3642533840805705E-4</c:v>
                </c:pt>
                <c:pt idx="440">
                  <c:v>4.3615981925383516E-4</c:v>
                </c:pt>
                <c:pt idx="441">
                  <c:v>4.3587875666189477E-4</c:v>
                </c:pt>
                <c:pt idx="442">
                  <c:v>4.3087142022603354E-4</c:v>
                </c:pt>
                <c:pt idx="443">
                  <c:v>4.3056376186479084E-4</c:v>
                </c:pt>
                <c:pt idx="444">
                  <c:v>4.3024072901665865E-4</c:v>
                </c:pt>
                <c:pt idx="445">
                  <c:v>4.2990232168116436E-4</c:v>
                </c:pt>
                <c:pt idx="446">
                  <c:v>4.2949674453760027E-4</c:v>
                </c:pt>
                <c:pt idx="447">
                  <c:v>4.2912539187168471E-4</c:v>
                </c:pt>
                <c:pt idx="448">
                  <c:v>4.2873866471867812E-4</c:v>
                </c:pt>
                <c:pt idx="449">
                  <c:v>4.2833656307827739E-4</c:v>
                </c:pt>
                <c:pt idx="450">
                  <c:v>4.2791908695058E-4</c:v>
                </c:pt>
                <c:pt idx="451">
                  <c:v>4.2282200810360595E-4</c:v>
                </c:pt>
                <c:pt idx="452">
                  <c:v>4.2237979899836228E-4</c:v>
                </c:pt>
                <c:pt idx="453">
                  <c:v>4.2192253630804537E-4</c:v>
                </c:pt>
                <c:pt idx="454">
                  <c:v>4.2145054031976601E-4</c:v>
                </c:pt>
                <c:pt idx="455">
                  <c:v>4.3024213503530743E-4</c:v>
                </c:pt>
                <c:pt idx="456">
                  <c:v>4.2972864963135038E-4</c:v>
                </c:pt>
                <c:pt idx="457">
                  <c:v>4.2920117917820465E-4</c:v>
                </c:pt>
                <c:pt idx="458">
                  <c:v>4.2866005424410739E-4</c:v>
                </c:pt>
                <c:pt idx="459">
                  <c:v>4.234938633174665E-4</c:v>
                </c:pt>
                <c:pt idx="460">
                  <c:v>4.229334239847295E-4</c:v>
                </c:pt>
                <c:pt idx="461">
                  <c:v>4.2219447771819587E-4</c:v>
                </c:pt>
                <c:pt idx="462">
                  <c:v>4.2160585885336416E-4</c:v>
                </c:pt>
                <c:pt idx="463">
                  <c:v>4.2558632727649241E-4</c:v>
                </c:pt>
                <c:pt idx="464">
                  <c:v>4.2496694349156394E-4</c:v>
                </c:pt>
                <c:pt idx="465">
                  <c:v>4.2433627894927816E-4</c:v>
                </c:pt>
                <c:pt idx="466">
                  <c:v>4.236944154079684E-4</c:v>
                </c:pt>
                <c:pt idx="467">
                  <c:v>4.2304135302895744E-4</c:v>
                </c:pt>
                <c:pt idx="468">
                  <c:v>4.2237709181161233E-4</c:v>
                </c:pt>
                <c:pt idx="469">
                  <c:v>4.2170163175647739E-4</c:v>
                </c:pt>
                <c:pt idx="470">
                  <c:v>4.2101497286283298E-4</c:v>
                </c:pt>
                <c:pt idx="471">
                  <c:v>4.2031711513135884E-4</c:v>
                </c:pt>
                <c:pt idx="472">
                  <c:v>4.1960805856147064E-4</c:v>
                </c:pt>
                <c:pt idx="473">
                  <c:v>4.1888780315353966E-4</c:v>
                </c:pt>
                <c:pt idx="474">
                  <c:v>4.1815634890756092E-4</c:v>
                </c:pt>
                <c:pt idx="475">
                  <c:v>4.1741369582293123E-4</c:v>
                </c:pt>
                <c:pt idx="476">
                  <c:v>4.1665984390111283E-4</c:v>
                </c:pt>
                <c:pt idx="477">
                  <c:v>4.1589479314075006E-4</c:v>
                </c:pt>
                <c:pt idx="478">
                  <c:v>4.1511854354233068E-4</c:v>
                </c:pt>
                <c:pt idx="479">
                  <c:v>4.1433109510552246E-4</c:v>
                </c:pt>
                <c:pt idx="480">
                  <c:v>4.1353244783072653E-4</c:v>
                </c:pt>
                <c:pt idx="481">
                  <c:v>4.0829579495736538E-4</c:v>
                </c:pt>
                <c:pt idx="482">
                  <c:v>4.074844656302543E-4</c:v>
                </c:pt>
                <c:pt idx="483">
                  <c:v>4.0666205919186486E-4</c:v>
                </c:pt>
                <c:pt idx="484">
                  <c:v>4.0582857564128058E-4</c:v>
                </c:pt>
                <c:pt idx="485">
                  <c:v>4.2252416035536784E-4</c:v>
                </c:pt>
                <c:pt idx="486">
                  <c:v>4.0850538858169447E-4</c:v>
                </c:pt>
                <c:pt idx="487">
                  <c:v>4.0762834943992827E-4</c:v>
                </c:pt>
                <c:pt idx="488">
                  <c:v>4.0674011146049491E-4</c:v>
                </c:pt>
                <c:pt idx="489">
                  <c:v>4.0584067464218541E-4</c:v>
                </c:pt>
                <c:pt idx="490">
                  <c:v>4.0493003898630004E-4</c:v>
                </c:pt>
                <c:pt idx="491">
                  <c:v>4.0400820449243131E-4</c:v>
                </c:pt>
                <c:pt idx="492">
                  <c:v>4.0307517115979529E-4</c:v>
                </c:pt>
                <c:pt idx="493">
                  <c:v>4.0213093898945173E-4</c:v>
                </c:pt>
                <c:pt idx="494">
                  <c:v>3.9259188594323779E-4</c:v>
                </c:pt>
                <c:pt idx="495">
                  <c:v>3.9164783484411047E-4</c:v>
                </c:pt>
                <c:pt idx="496">
                  <c:v>3.9069282835971176E-4</c:v>
                </c:pt>
                <c:pt idx="497">
                  <c:v>3.8972686649017314E-4</c:v>
                </c:pt>
                <c:pt idx="498">
                  <c:v>3.8874994923570997E-4</c:v>
                </c:pt>
                <c:pt idx="499">
                  <c:v>3.877620765959557E-4</c:v>
                </c:pt>
                <c:pt idx="500">
                  <c:v>3.8676324857107164E-4</c:v>
                </c:pt>
                <c:pt idx="501">
                  <c:v>3.8575346516130299E-4</c:v>
                </c:pt>
                <c:pt idx="502">
                  <c:v>3.8473272636586903E-4</c:v>
                </c:pt>
                <c:pt idx="503">
                  <c:v>3.795125693001581E-4</c:v>
                </c:pt>
                <c:pt idx="504">
                  <c:v>3.7848228001633507E-4</c:v>
                </c:pt>
                <c:pt idx="505">
                  <c:v>3.7744189834416984E-4</c:v>
                </c:pt>
                <c:pt idx="506">
                  <c:v>3.7639410157802486E-4</c:v>
                </c:pt>
                <c:pt idx="507">
                  <c:v>3.877585210903423E-4</c:v>
                </c:pt>
                <c:pt idx="508">
                  <c:v>3.8667122320622618E-4</c:v>
                </c:pt>
                <c:pt idx="509">
                  <c:v>3.8558640074159344E-4</c:v>
                </c:pt>
                <c:pt idx="510">
                  <c:v>3.8450704494002834E-4</c:v>
                </c:pt>
                <c:pt idx="511">
                  <c:v>3.7934174127671156E-4</c:v>
                </c:pt>
                <c:pt idx="512">
                  <c:v>3.7829224138839014E-4</c:v>
                </c:pt>
                <c:pt idx="513">
                  <c:v>3.772568763010271E-4</c:v>
                </c:pt>
                <c:pt idx="514">
                  <c:v>3.7623863725841394E-4</c:v>
                </c:pt>
                <c:pt idx="515">
                  <c:v>3.7524051550441882E-4</c:v>
                </c:pt>
                <c:pt idx="516">
                  <c:v>3.7831321972011761E-4</c:v>
                </c:pt>
                <c:pt idx="517">
                  <c:v>3.773558461471381E-4</c:v>
                </c:pt>
                <c:pt idx="518">
                  <c:v>3.7642649420474843E-4</c:v>
                </c:pt>
                <c:pt idx="519">
                  <c:v>3.7552525691512387E-4</c:v>
                </c:pt>
                <c:pt idx="520">
                  <c:v>3.746521342779245E-4</c:v>
                </c:pt>
                <c:pt idx="521">
                  <c:v>3.7380712629376828E-4</c:v>
                </c:pt>
                <c:pt idx="522">
                  <c:v>3.7299023296201162E-4</c:v>
                </c:pt>
                <c:pt idx="523">
                  <c:v>3.7220145428252496E-4</c:v>
                </c:pt>
                <c:pt idx="524">
                  <c:v>3.7144079025635884E-4</c:v>
                </c:pt>
                <c:pt idx="525">
                  <c:v>3.7070824088308001E-4</c:v>
                </c:pt>
                <c:pt idx="526">
                  <c:v>3.700038061618817E-4</c:v>
                </c:pt>
                <c:pt idx="527">
                  <c:v>3.6932748609358105E-4</c:v>
                </c:pt>
                <c:pt idx="528">
                  <c:v>3.6867928067773356E-4</c:v>
                </c:pt>
                <c:pt idx="529">
                  <c:v>3.6805918991485279E-4</c:v>
                </c:pt>
                <c:pt idx="530">
                  <c:v>3.6746721380463471E-4</c:v>
                </c:pt>
                <c:pt idx="531">
                  <c:v>3.6690335234684546E-4</c:v>
                </c:pt>
                <c:pt idx="532">
                  <c:v>3.6636760554176548E-4</c:v>
                </c:pt>
                <c:pt idx="533">
                  <c:v>3.619138501942588E-4</c:v>
                </c:pt>
                <c:pt idx="534">
                  <c:v>3.6143755848030762E-4</c:v>
                </c:pt>
                <c:pt idx="535">
                  <c:v>3.6098907582496088E-4</c:v>
                </c:pt>
                <c:pt idx="536">
                  <c:v>3.6056840222767832E-4</c:v>
                </c:pt>
                <c:pt idx="537">
                  <c:v>3.6411059130752796E-4</c:v>
                </c:pt>
                <c:pt idx="538">
                  <c:v>3.6374353241875831E-4</c:v>
                </c:pt>
                <c:pt idx="539">
                  <c:v>3.6340458818241017E-4</c:v>
                </c:pt>
                <c:pt idx="540">
                  <c:v>3.6309375859888205E-4</c:v>
                </c:pt>
                <c:pt idx="541">
                  <c:v>3.6281104366819882E-4</c:v>
                </c:pt>
                <c:pt idx="542">
                  <c:v>3.6255644339001176E-4</c:v>
                </c:pt>
                <c:pt idx="543">
                  <c:v>3.6232995776448626E-4</c:v>
                </c:pt>
                <c:pt idx="544">
                  <c:v>3.6213158679163619E-4</c:v>
                </c:pt>
                <c:pt idx="545">
                  <c:v>3.619613304711016E-4</c:v>
                </c:pt>
                <c:pt idx="546">
                  <c:v>3.5396322192077592E-4</c:v>
                </c:pt>
                <c:pt idx="547">
                  <c:v>3.5384774468806616E-4</c:v>
                </c:pt>
                <c:pt idx="548">
                  <c:v>3.5375977091921099E-4</c:v>
                </c:pt>
                <c:pt idx="549">
                  <c:v>3.5369930061569804E-4</c:v>
                </c:pt>
                <c:pt idx="550">
                  <c:v>3.5366633377607973E-4</c:v>
                </c:pt>
                <c:pt idx="551">
                  <c:v>3.5366087040174438E-4</c:v>
                </c:pt>
                <c:pt idx="552">
                  <c:v>3.5368291049158899E-4</c:v>
                </c:pt>
                <c:pt idx="553">
                  <c:v>3.5373245404579271E-4</c:v>
                </c:pt>
                <c:pt idx="554">
                  <c:v>3.5380950106492898E-4</c:v>
                </c:pt>
                <c:pt idx="555">
                  <c:v>3.4996924650074657E-4</c:v>
                </c:pt>
                <c:pt idx="556">
                  <c:v>3.500978890793188E-4</c:v>
                </c:pt>
                <c:pt idx="557">
                  <c:v>3.5025301611943366E-4</c:v>
                </c:pt>
                <c:pt idx="558">
                  <c:v>3.5043205095880827E-4</c:v>
                </c:pt>
                <c:pt idx="559">
                  <c:v>3.6250792364701865E-4</c:v>
                </c:pt>
                <c:pt idx="560">
                  <c:v>3.6273540680405332E-4</c:v>
                </c:pt>
                <c:pt idx="561">
                  <c:v>3.6297784432792632E-4</c:v>
                </c:pt>
                <c:pt idx="562">
                  <c:v>3.6323235740593553E-4</c:v>
                </c:pt>
                <c:pt idx="563">
                  <c:v>3.5952535118748455E-4</c:v>
                </c:pt>
                <c:pt idx="564">
                  <c:v>3.5979272697109281E-4</c:v>
                </c:pt>
                <c:pt idx="565">
                  <c:v>3.6006364753622715E-4</c:v>
                </c:pt>
                <c:pt idx="566">
                  <c:v>3.6033523407028468E-4</c:v>
                </c:pt>
                <c:pt idx="567">
                  <c:v>3.6060460776022484E-4</c:v>
                </c:pt>
                <c:pt idx="568">
                  <c:v>3.6485180900611201E-4</c:v>
                </c:pt>
                <c:pt idx="569">
                  <c:v>3.6511028197937332E-4</c:v>
                </c:pt>
                <c:pt idx="570">
                  <c:v>3.6535912330900173E-4</c:v>
                </c:pt>
                <c:pt idx="571">
                  <c:v>3.6559824346923839E-4</c:v>
                </c:pt>
                <c:pt idx="572">
                  <c:v>3.65827642459732E-4</c:v>
                </c:pt>
                <c:pt idx="573">
                  <c:v>3.660473202802918E-4</c:v>
                </c:pt>
                <c:pt idx="574">
                  <c:v>3.6625727693155331E-4</c:v>
                </c:pt>
                <c:pt idx="575">
                  <c:v>3.6645751241342462E-4</c:v>
                </c:pt>
                <c:pt idx="576">
                  <c:v>3.6664802672508641E-4</c:v>
                </c:pt>
                <c:pt idx="577">
                  <c:v>3.6682881986765546E-4</c:v>
                </c:pt>
                <c:pt idx="578">
                  <c:v>3.6699989184041127E-4</c:v>
                </c:pt>
                <c:pt idx="579">
                  <c:v>3.6716124264345981E-4</c:v>
                </c:pt>
                <c:pt idx="580">
                  <c:v>3.6731287227706726E-4</c:v>
                </c:pt>
                <c:pt idx="581">
                  <c:v>3.6745478074077257E-4</c:v>
                </c:pt>
                <c:pt idx="582">
                  <c:v>3.6758696803516281E-4</c:v>
                </c:pt>
                <c:pt idx="583">
                  <c:v>3.6770943416009776E-4</c:v>
                </c:pt>
                <c:pt idx="584">
                  <c:v>3.6782217911493156E-4</c:v>
                </c:pt>
                <c:pt idx="585">
                  <c:v>3.6392055222995317E-4</c:v>
                </c:pt>
                <c:pt idx="586">
                  <c:v>3.640135275084815E-4</c:v>
                </c:pt>
                <c:pt idx="587">
                  <c:v>3.6409688728242283E-4</c:v>
                </c:pt>
                <c:pt idx="588">
                  <c:v>3.6417063155174014E-4</c:v>
                </c:pt>
                <c:pt idx="589">
                  <c:v>3.6423476031656303E-4</c:v>
                </c:pt>
                <c:pt idx="590">
                  <c:v>3.6829450428338607E-4</c:v>
                </c:pt>
                <c:pt idx="591">
                  <c:v>3.6833920105134118E-4</c:v>
                </c:pt>
                <c:pt idx="592">
                  <c:v>3.6837417664958247E-4</c:v>
                </c:pt>
                <c:pt idx="593">
                  <c:v>3.6839943107824205E-4</c:v>
                </c:pt>
                <c:pt idx="594">
                  <c:v>3.6841496433716851E-4</c:v>
                </c:pt>
                <c:pt idx="595">
                  <c:v>3.6842077642659299E-4</c:v>
                </c:pt>
                <c:pt idx="596">
                  <c:v>3.6841686734624104E-4</c:v>
                </c:pt>
                <c:pt idx="597">
                  <c:v>3.6840323709622059E-4</c:v>
                </c:pt>
                <c:pt idx="598">
                  <c:v>3.6037841644653043E-4</c:v>
                </c:pt>
                <c:pt idx="599">
                  <c:v>3.6034742137533307E-4</c:v>
                </c:pt>
                <c:pt idx="600">
                  <c:v>3.6030691646434551E-4</c:v>
                </c:pt>
                <c:pt idx="601">
                  <c:v>3.6025690171374397E-4</c:v>
                </c:pt>
                <c:pt idx="602">
                  <c:v>3.6019737712254552E-4</c:v>
                </c:pt>
                <c:pt idx="603">
                  <c:v>3.6012834269238145E-4</c:v>
                </c:pt>
                <c:pt idx="604">
                  <c:v>3.60049798421948E-4</c:v>
                </c:pt>
                <c:pt idx="605">
                  <c:v>3.5996174431166802E-4</c:v>
                </c:pt>
                <c:pt idx="606">
                  <c:v>3.5986418036169297E-4</c:v>
                </c:pt>
                <c:pt idx="607">
                  <c:v>3.5576911182694514E-4</c:v>
                </c:pt>
                <c:pt idx="608">
                  <c:v>3.5565449579420463E-4</c:v>
                </c:pt>
                <c:pt idx="609">
                  <c:v>3.5553072869800158E-4</c:v>
                </c:pt>
                <c:pt idx="610">
                  <c:v>3.553987247206698E-4</c:v>
                </c:pt>
                <c:pt idx="611">
                  <c:v>3.6719944544770717E-4</c:v>
                </c:pt>
                <c:pt idx="612">
                  <c:v>3.6704850569290034E-4</c:v>
                </c:pt>
                <c:pt idx="613">
                  <c:v>3.6689251394139423E-4</c:v>
                </c:pt>
                <c:pt idx="614">
                  <c:v>3.6673249157552539E-4</c:v>
                </c:pt>
                <c:pt idx="615">
                  <c:v>3.6656945997600631E-4</c:v>
                </c:pt>
                <c:pt idx="616">
                  <c:v>3.6243350539347837E-4</c:v>
                </c:pt>
                <c:pt idx="617">
                  <c:v>3.6226915454129293E-4</c:v>
                </c:pt>
                <c:pt idx="618">
                  <c:v>3.6210481835390772E-4</c:v>
                </c:pt>
                <c:pt idx="619">
                  <c:v>3.6194151821248953E-4</c:v>
                </c:pt>
                <c:pt idx="620">
                  <c:v>3.6574491183307946E-4</c:v>
                </c:pt>
                <c:pt idx="621">
                  <c:v>3.6558526044662149E-4</c:v>
                </c:pt>
                <c:pt idx="622">
                  <c:v>3.6542928000030535E-4</c:v>
                </c:pt>
                <c:pt idx="623">
                  <c:v>3.6527700225682966E-4</c:v>
                </c:pt>
                <c:pt idx="624">
                  <c:v>3.651284272161103E-4</c:v>
                </c:pt>
                <c:pt idx="625">
                  <c:v>3.6498355487824387E-4</c:v>
                </c:pt>
                <c:pt idx="626">
                  <c:v>3.6484238524328588E-4</c:v>
                </c:pt>
                <c:pt idx="627">
                  <c:v>3.6470491831125076E-4</c:v>
                </c:pt>
                <c:pt idx="628">
                  <c:v>3.6457115408188977E-4</c:v>
                </c:pt>
                <c:pt idx="629">
                  <c:v>3.6444109255557894E-4</c:v>
                </c:pt>
                <c:pt idx="630">
                  <c:v>3.6431473373220934E-4</c:v>
                </c:pt>
                <c:pt idx="631">
                  <c:v>3.6419207761140883E-4</c:v>
                </c:pt>
                <c:pt idx="632">
                  <c:v>3.6407312419387396E-4</c:v>
                </c:pt>
                <c:pt idx="633">
                  <c:v>3.6395787347937237E-4</c:v>
                </c:pt>
                <c:pt idx="634">
                  <c:v>3.6384632546718659E-4</c:v>
                </c:pt>
                <c:pt idx="635">
                  <c:v>3.6373848015788985E-4</c:v>
                </c:pt>
                <c:pt idx="636">
                  <c:v>3.6363433755223616E-4</c:v>
                </c:pt>
                <c:pt idx="637">
                  <c:v>3.5958884715494975E-4</c:v>
                </c:pt>
                <c:pt idx="638">
                  <c:v>3.5949289984186009E-4</c:v>
                </c:pt>
                <c:pt idx="639">
                  <c:v>3.5940061498476489E-4</c:v>
                </c:pt>
                <c:pt idx="640">
                  <c:v>3.5931199258423422E-4</c:v>
                </c:pt>
                <c:pt idx="641">
                  <c:v>3.5922703263902212E-4</c:v>
                </c:pt>
                <c:pt idx="642">
                  <c:v>3.6308723867548248E-4</c:v>
                </c:pt>
                <c:pt idx="643">
                  <c:v>3.6300901498968188E-4</c:v>
                </c:pt>
                <c:pt idx="644">
                  <c:v>3.6293449400630475E-4</c:v>
                </c:pt>
                <c:pt idx="645">
                  <c:v>3.62863675726179E-4</c:v>
                </c:pt>
                <c:pt idx="646">
                  <c:v>3.6279656014898143E-4</c:v>
                </c:pt>
                <c:pt idx="647">
                  <c:v>3.6273314727434773E-4</c:v>
                </c:pt>
                <c:pt idx="648">
                  <c:v>3.6267343710276033E-4</c:v>
                </c:pt>
                <c:pt idx="649">
                  <c:v>3.6261742963399464E-4</c:v>
                </c:pt>
                <c:pt idx="650">
                  <c:v>3.5862720366120106E-4</c:v>
                </c:pt>
                <c:pt idx="651">
                  <c:v>3.5857886827747457E-4</c:v>
                </c:pt>
                <c:pt idx="652">
                  <c:v>3.5853419534979692E-4</c:v>
                </c:pt>
                <c:pt idx="653">
                  <c:v>3.5849318487865892E-4</c:v>
                </c:pt>
                <c:pt idx="654">
                  <c:v>3.5451370443770927E-4</c:v>
                </c:pt>
                <c:pt idx="655">
                  <c:v>3.5841763805721382E-4</c:v>
                </c:pt>
                <c:pt idx="656">
                  <c:v>3.5838813816188879E-4</c:v>
                </c:pt>
                <c:pt idx="657">
                  <c:v>3.5836230072271055E-4</c:v>
                </c:pt>
                <c:pt idx="658">
                  <c:v>3.5834012573951902E-4</c:v>
                </c:pt>
                <c:pt idx="659">
                  <c:v>3.5438464323610497E-4</c:v>
                </c:pt>
                <c:pt idx="660">
                  <c:v>3.5436969820380282E-4</c:v>
                </c:pt>
                <c:pt idx="661">
                  <c:v>3.5435867124117249E-4</c:v>
                </c:pt>
                <c:pt idx="662">
                  <c:v>3.543526309258806E-4</c:v>
                </c:pt>
                <c:pt idx="663">
                  <c:v>3.7010737307965164E-4</c:v>
                </c:pt>
                <c:pt idx="664">
                  <c:v>3.7011862846662738E-4</c:v>
                </c:pt>
                <c:pt idx="665">
                  <c:v>3.7013929535676505E-4</c:v>
                </c:pt>
                <c:pt idx="666">
                  <c:v>3.701705676332089E-4</c:v>
                </c:pt>
                <c:pt idx="667">
                  <c:v>3.5840968701882656E-4</c:v>
                </c:pt>
                <c:pt idx="668">
                  <c:v>3.5843299901545998E-4</c:v>
                </c:pt>
                <c:pt idx="669">
                  <c:v>3.5849723798651E-4</c:v>
                </c:pt>
                <c:pt idx="670">
                  <c:v>3.5857622547230081E-4</c:v>
                </c:pt>
                <c:pt idx="671">
                  <c:v>3.5867115535591804E-4</c:v>
                </c:pt>
                <c:pt idx="672">
                  <c:v>3.6279243226687693E-4</c:v>
                </c:pt>
                <c:pt idx="673">
                  <c:v>3.6293388502978201E-4</c:v>
                </c:pt>
                <c:pt idx="674">
                  <c:v>3.630947268904028E-4</c:v>
                </c:pt>
                <c:pt idx="675">
                  <c:v>3.6327496249108224E-4</c:v>
                </c:pt>
                <c:pt idx="676">
                  <c:v>3.6347459183132231E-4</c:v>
                </c:pt>
                <c:pt idx="677">
                  <c:v>3.6369361491038455E-4</c:v>
                </c:pt>
                <c:pt idx="678">
                  <c:v>3.6393203172928779E-4</c:v>
                </c:pt>
                <c:pt idx="679">
                  <c:v>3.6418984228792225E-4</c:v>
                </c:pt>
                <c:pt idx="680">
                  <c:v>3.6446704658571591E-4</c:v>
                </c:pt>
                <c:pt idx="681">
                  <c:v>3.6476364462274401E-4</c:v>
                </c:pt>
                <c:pt idx="682">
                  <c:v>3.6507963639972917E-4</c:v>
                </c:pt>
                <c:pt idx="683">
                  <c:v>3.6541502191559966E-4</c:v>
                </c:pt>
                <c:pt idx="684">
                  <c:v>3.65769801171485E-4</c:v>
                </c:pt>
                <c:pt idx="685">
                  <c:v>3.6614397416627633E-4</c:v>
                </c:pt>
                <c:pt idx="686">
                  <c:v>3.6653754090062215E-4</c:v>
                </c:pt>
                <c:pt idx="687">
                  <c:v>3.6695050137493029E-4</c:v>
                </c:pt>
                <c:pt idx="688">
                  <c:v>3.6738285558825836E-4</c:v>
                </c:pt>
                <c:pt idx="689">
                  <c:v>3.6380086308496874E-4</c:v>
                </c:pt>
                <c:pt idx="690">
                  <c:v>3.6426551346197548E-4</c:v>
                </c:pt>
                <c:pt idx="691">
                  <c:v>3.6474934677708138E-4</c:v>
                </c:pt>
                <c:pt idx="692">
                  <c:v>3.6525236303018761E-4</c:v>
                </c:pt>
                <c:pt idx="693">
                  <c:v>3.6983553274697576E-4</c:v>
                </c:pt>
                <c:pt idx="694">
                  <c:v>3.7038424939734264E-4</c:v>
                </c:pt>
                <c:pt idx="695">
                  <c:v>3.7095235978693741E-4</c:v>
                </c:pt>
                <c:pt idx="696">
                  <c:v>3.7153986391577892E-4</c:v>
                </c:pt>
                <c:pt idx="697">
                  <c:v>3.721467617845332E-4</c:v>
                </c:pt>
                <c:pt idx="698">
                  <c:v>3.7277305339251623E-4</c:v>
                </c:pt>
                <c:pt idx="699">
                  <c:v>3.7341873873969098E-4</c:v>
                </c:pt>
                <c:pt idx="700">
                  <c:v>3.7408381782644593E-4</c:v>
                </c:pt>
                <c:pt idx="701">
                  <c:v>3.7476829065292896E-4</c:v>
                </c:pt>
                <c:pt idx="702">
                  <c:v>3.7133758714660354E-4</c:v>
                </c:pt>
                <c:pt idx="703">
                  <c:v>3.7205161571686294E-4</c:v>
                </c:pt>
                <c:pt idx="704">
                  <c:v>3.727848272252806E-4</c:v>
                </c:pt>
                <c:pt idx="705">
                  <c:v>3.7353722167138948E-4</c:v>
                </c:pt>
                <c:pt idx="706">
                  <c:v>3.7024782852934949E-4</c:v>
                </c:pt>
                <c:pt idx="707">
                  <c:v>3.7103125433020378E-4</c:v>
                </c:pt>
                <c:pt idx="708">
                  <c:v>3.71833652267413E-4</c:v>
                </c:pt>
                <c:pt idx="709">
                  <c:v>3.7685864138932554E-4</c:v>
                </c:pt>
                <c:pt idx="710">
                  <c:v>3.7349536455092054E-4</c:v>
                </c:pt>
                <c:pt idx="711">
                  <c:v>3.7435467889741672E-4</c:v>
                </c:pt>
                <c:pt idx="712">
                  <c:v>3.7523281517723087E-4</c:v>
                </c:pt>
                <c:pt idx="713">
                  <c:v>3.7612710024478732E-4</c:v>
                </c:pt>
                <c:pt idx="714">
                  <c:v>3.770327674978833E-4</c:v>
                </c:pt>
                <c:pt idx="715">
                  <c:v>3.8647921084406162E-4</c:v>
                </c:pt>
                <c:pt idx="716">
                  <c:v>3.8741131131199311E-4</c:v>
                </c:pt>
                <c:pt idx="717">
                  <c:v>3.883393456725717E-4</c:v>
                </c:pt>
                <c:pt idx="718">
                  <c:v>3.892584839580258E-4</c:v>
                </c:pt>
                <c:pt idx="719">
                  <c:v>3.8586281320311211E-4</c:v>
                </c:pt>
                <c:pt idx="720">
                  <c:v>3.8674254106267554E-4</c:v>
                </c:pt>
                <c:pt idx="721">
                  <c:v>3.8759936213578558E-4</c:v>
                </c:pt>
                <c:pt idx="722">
                  <c:v>3.8865955726719498E-4</c:v>
                </c:pt>
                <c:pt idx="723">
                  <c:v>4.0254442674232199E-4</c:v>
                </c:pt>
                <c:pt idx="724">
                  <c:v>3.9452676585993046E-4</c:v>
                </c:pt>
                <c:pt idx="725">
                  <c:v>3.9523610868734047E-4</c:v>
                </c:pt>
                <c:pt idx="726">
                  <c:v>3.9798634410102406E-4</c:v>
                </c:pt>
                <c:pt idx="727">
                  <c:v>3.9959437734381523E-4</c:v>
                </c:pt>
                <c:pt idx="728">
                  <c:v>4.0050380379265464E-4</c:v>
                </c:pt>
                <c:pt idx="729">
                  <c:v>3.9614101703438538E-4</c:v>
                </c:pt>
                <c:pt idx="730">
                  <c:v>4.082782180801403E-4</c:v>
                </c:pt>
                <c:pt idx="731">
                  <c:v>3.9779532538648392E-4</c:v>
                </c:pt>
                <c:pt idx="732">
                  <c:v>3.8677774180544871E-4</c:v>
                </c:pt>
                <c:pt idx="733">
                  <c:v>3.8316541966816945E-4</c:v>
                </c:pt>
                <c:pt idx="734">
                  <c:v>3.8272887369992592E-4</c:v>
                </c:pt>
                <c:pt idx="735">
                  <c:v>3.823139600460804E-4</c:v>
                </c:pt>
                <c:pt idx="736">
                  <c:v>3.7323692422142507E-4</c:v>
                </c:pt>
                <c:pt idx="737">
                  <c:v>3.8031504602273786E-4</c:v>
                </c:pt>
                <c:pt idx="738">
                  <c:v>3.6743782165698521E-4</c:v>
                </c:pt>
                <c:pt idx="739">
                  <c:v>3.7113243211277881E-4</c:v>
                </c:pt>
                <c:pt idx="740">
                  <c:v>3.5931952386906936E-4</c:v>
                </c:pt>
                <c:pt idx="741">
                  <c:v>3.5192975960362101E-4</c:v>
                </c:pt>
                <c:pt idx="742">
                  <c:v>3.5291195437926948E-4</c:v>
                </c:pt>
                <c:pt idx="743">
                  <c:v>3.3514043627247663E-4</c:v>
                </c:pt>
                <c:pt idx="744">
                  <c:v>3.4069868545196701E-4</c:v>
                </c:pt>
                <c:pt idx="745">
                  <c:v>3.4269190098606798E-4</c:v>
                </c:pt>
                <c:pt idx="746">
                  <c:v>3.4521663813006173E-4</c:v>
                </c:pt>
                <c:pt idx="747">
                  <c:v>3.4045412652934193E-4</c:v>
                </c:pt>
                <c:pt idx="748">
                  <c:v>3.4336474684987868E-4</c:v>
                </c:pt>
                <c:pt idx="749">
                  <c:v>3.4244265672958709E-4</c:v>
                </c:pt>
                <c:pt idx="750">
                  <c:v>3.4154533227997259E-4</c:v>
                </c:pt>
                <c:pt idx="751">
                  <c:v>3.4049319683013187E-4</c:v>
                </c:pt>
                <c:pt idx="752">
                  <c:v>3.3580524675698702E-4</c:v>
                </c:pt>
                <c:pt idx="753">
                  <c:v>3.4572370312580995E-4</c:v>
                </c:pt>
                <c:pt idx="754">
                  <c:v>3.3716128143118277E-4</c:v>
                </c:pt>
                <c:pt idx="755">
                  <c:v>3.323396562164499E-4</c:v>
                </c:pt>
                <c:pt idx="756">
                  <c:v>3.3098118818076746E-4</c:v>
                </c:pt>
                <c:pt idx="757">
                  <c:v>3.2955528367181064E-4</c:v>
                </c:pt>
                <c:pt idx="758">
                  <c:v>3.318298987693195E-4</c:v>
                </c:pt>
                <c:pt idx="759">
                  <c:v>3.268857280365339E-4</c:v>
                </c:pt>
                <c:pt idx="760">
                  <c:v>3.3607289047271366E-4</c:v>
                </c:pt>
                <c:pt idx="761">
                  <c:v>3.2728107170205056E-4</c:v>
                </c:pt>
                <c:pt idx="762">
                  <c:v>3.3270685600523137E-4</c:v>
                </c:pt>
                <c:pt idx="763">
                  <c:v>3.2386044203314553E-4</c:v>
                </c:pt>
                <c:pt idx="764">
                  <c:v>3.1849916195032601E-4</c:v>
                </c:pt>
                <c:pt idx="765">
                  <c:v>3.2019133060732363E-4</c:v>
                </c:pt>
                <c:pt idx="766">
                  <c:v>3.1817024777588401E-4</c:v>
                </c:pt>
                <c:pt idx="767">
                  <c:v>3.094618810461176E-4</c:v>
                </c:pt>
                <c:pt idx="768">
                  <c:v>3.1074133808557355E-4</c:v>
                </c:pt>
                <c:pt idx="769">
                  <c:v>3.0203036022194836E-4</c:v>
                </c:pt>
                <c:pt idx="770">
                  <c:v>3.1017631404429269E-4</c:v>
                </c:pt>
                <c:pt idx="771">
                  <c:v>3.0452704745466571E-4</c:v>
                </c:pt>
                <c:pt idx="772">
                  <c:v>3.0565132101002715E-4</c:v>
                </c:pt>
                <c:pt idx="773">
                  <c:v>3.0318191924063145E-4</c:v>
                </c:pt>
                <c:pt idx="774">
                  <c:v>3.0087784621812082E-4</c:v>
                </c:pt>
                <c:pt idx="775">
                  <c:v>2.982782873378309E-4</c:v>
                </c:pt>
                <c:pt idx="776">
                  <c:v>2.9585588966905829E-4</c:v>
                </c:pt>
                <c:pt idx="777">
                  <c:v>2.996685070806604E-4</c:v>
                </c:pt>
                <c:pt idx="778">
                  <c:v>2.9058545136303814E-4</c:v>
                </c:pt>
                <c:pt idx="779">
                  <c:v>2.7538521315793922E-4</c:v>
                </c:pt>
                <c:pt idx="780">
                  <c:v>2.7895795777020693E-4</c:v>
                </c:pt>
                <c:pt idx="781">
                  <c:v>2.8207964232288495E-4</c:v>
                </c:pt>
                <c:pt idx="782">
                  <c:v>2.7651993202405394E-4</c:v>
                </c:pt>
                <c:pt idx="783">
                  <c:v>2.766622868480689E-4</c:v>
                </c:pt>
                <c:pt idx="784">
                  <c:v>2.7107702733374827E-4</c:v>
                </c:pt>
                <c:pt idx="785">
                  <c:v>2.7101909548943114E-4</c:v>
                </c:pt>
                <c:pt idx="786">
                  <c:v>2.6805539672276175E-4</c:v>
                </c:pt>
                <c:pt idx="787">
                  <c:v>2.6254423133400536E-4</c:v>
                </c:pt>
                <c:pt idx="788">
                  <c:v>2.6836030974202368E-4</c:v>
                </c:pt>
                <c:pt idx="789">
                  <c:v>2.5985249361241486E-4</c:v>
                </c:pt>
                <c:pt idx="790">
                  <c:v>2.5174496954158399E-4</c:v>
                </c:pt>
                <c:pt idx="791">
                  <c:v>2.4897323996793256E-4</c:v>
                </c:pt>
                <c:pt idx="792">
                  <c:v>2.4892289308062107E-4</c:v>
                </c:pt>
                <c:pt idx="793">
                  <c:v>2.4925821575597768E-4</c:v>
                </c:pt>
                <c:pt idx="794">
                  <c:v>2.4411276054391341E-4</c:v>
                </c:pt>
                <c:pt idx="795">
                  <c:v>2.4949922430733419E-4</c:v>
                </c:pt>
                <c:pt idx="796">
                  <c:v>2.4156970208215223E-4</c:v>
                </c:pt>
                <c:pt idx="797">
                  <c:v>2.4425312370999667E-4</c:v>
                </c:pt>
                <c:pt idx="798">
                  <c:v>2.3648660606391192E-4</c:v>
                </c:pt>
                <c:pt idx="799">
                  <c:v>2.3136130316457146E-4</c:v>
                </c:pt>
                <c:pt idx="800">
                  <c:v>2.3150467508530761E-4</c:v>
                </c:pt>
                <c:pt idx="801">
                  <c:v>2.2893546644859206E-4</c:v>
                </c:pt>
                <c:pt idx="802">
                  <c:v>2.2419833480532596E-4</c:v>
                </c:pt>
                <c:pt idx="803">
                  <c:v>2.2170905157521106E-4</c:v>
                </c:pt>
                <c:pt idx="804">
                  <c:v>2.170946721493121E-4</c:v>
                </c:pt>
                <c:pt idx="805">
                  <c:v>2.1967817655911502E-4</c:v>
                </c:pt>
                <c:pt idx="806">
                  <c:v>2.149141992012758E-4</c:v>
                </c:pt>
                <c:pt idx="807">
                  <c:v>2.1511904029382033E-4</c:v>
                </c:pt>
                <c:pt idx="808">
                  <c:v>2.1273235694084985E-4</c:v>
                </c:pt>
                <c:pt idx="809">
                  <c:v>2.1058673171546255E-4</c:v>
                </c:pt>
                <c:pt idx="810">
                  <c:v>2.0825303957385029E-4</c:v>
                </c:pt>
                <c:pt idx="811">
                  <c:v>2.039489659408802E-4</c:v>
                </c:pt>
                <c:pt idx="812">
                  <c:v>2.084477755232161E-4</c:v>
                </c:pt>
                <c:pt idx="813">
                  <c:v>2.0182560967951186E-4</c:v>
                </c:pt>
                <c:pt idx="814">
                  <c:v>1.9552114609319964E-4</c:v>
                </c:pt>
                <c:pt idx="815">
                  <c:v>1.9336572734832949E-4</c:v>
                </c:pt>
                <c:pt idx="816">
                  <c:v>1.9542207771391785E-4</c:v>
                </c:pt>
                <c:pt idx="817">
                  <c:v>1.9359862944423549E-4</c:v>
                </c:pt>
                <c:pt idx="818">
                  <c:v>1.8961523587056615E-4</c:v>
                </c:pt>
                <c:pt idx="819">
                  <c:v>1.9381952116115879E-4</c:v>
                </c:pt>
                <c:pt idx="820">
                  <c:v>1.8768558898674831E-4</c:v>
                </c:pt>
                <c:pt idx="821">
                  <c:v>1.898023070045794E-4</c:v>
                </c:pt>
                <c:pt idx="822">
                  <c:v>1.8183722548185353E-4</c:v>
                </c:pt>
                <c:pt idx="823">
                  <c:v>1.8181303966512244E-4</c:v>
                </c:pt>
                <c:pt idx="824">
                  <c:v>1.8002604183057374E-4</c:v>
                </c:pt>
                <c:pt idx="825">
                  <c:v>1.7444350729351E-4</c:v>
                </c:pt>
                <c:pt idx="826">
                  <c:v>1.7262668851349367E-4</c:v>
                </c:pt>
                <c:pt idx="827">
                  <c:v>1.7100225123033717E-4</c:v>
                </c:pt>
                <c:pt idx="828">
                  <c:v>1.7310744967715303E-4</c:v>
                </c:pt>
                <c:pt idx="829">
                  <c:v>1.7154592429799361E-4</c:v>
                </c:pt>
                <c:pt idx="830">
                  <c:v>1.6967665153034758E-4</c:v>
                </c:pt>
                <c:pt idx="831">
                  <c:v>1.6815937470512308E-4</c:v>
                </c:pt>
                <c:pt idx="832">
                  <c:v>1.6639681006452877E-4</c:v>
                </c:pt>
                <c:pt idx="833">
                  <c:v>1.6481856548744933E-4</c:v>
                </c:pt>
                <c:pt idx="834">
                  <c:v>1.6136129222372081E-4</c:v>
                </c:pt>
                <c:pt idx="835">
                  <c:v>1.615789213100431E-4</c:v>
                </c:pt>
                <c:pt idx="836">
                  <c:v>1.5992233909215887E-4</c:v>
                </c:pt>
                <c:pt idx="837">
                  <c:v>1.5504366773021796E-4</c:v>
                </c:pt>
                <c:pt idx="838">
                  <c:v>1.5515573843621338E-4</c:v>
                </c:pt>
                <c:pt idx="839">
                  <c:v>1.5040389839425991E-4</c:v>
                </c:pt>
                <c:pt idx="840">
                  <c:v>1.5408601079729576E-4</c:v>
                </c:pt>
                <c:pt idx="841">
                  <c:v>1.5092576744809365E-4</c:v>
                </c:pt>
                <c:pt idx="842">
                  <c:v>1.512042492817722E-4</c:v>
                </c:pt>
                <c:pt idx="843">
                  <c:v>1.4974421732213476E-4</c:v>
                </c:pt>
                <c:pt idx="844">
                  <c:v>1.4844732724584301E-4</c:v>
                </c:pt>
                <c:pt idx="845">
                  <c:v>1.4705420103878084E-4</c:v>
                </c:pt>
                <c:pt idx="846">
                  <c:v>1.4425305436033782E-4</c:v>
                </c:pt>
                <c:pt idx="847">
                  <c:v>1.477146571461502E-4</c:v>
                </c:pt>
                <c:pt idx="848">
                  <c:v>1.433166706667192E-4</c:v>
                </c:pt>
                <c:pt idx="849">
                  <c:v>1.4064348013059631E-4</c:v>
                </c:pt>
                <c:pt idx="850">
                  <c:v>1.3942884198466524E-4</c:v>
                </c:pt>
                <c:pt idx="851">
                  <c:v>1.3824886877585998E-4</c:v>
                </c:pt>
                <c:pt idx="852">
                  <c:v>1.3873158398954654E-4</c:v>
                </c:pt>
                <c:pt idx="853">
                  <c:v>1.362256114766988E-4</c:v>
                </c:pt>
                <c:pt idx="854">
                  <c:v>1.366439383077734E-4</c:v>
                </c:pt>
                <c:pt idx="855">
                  <c:v>1.3567819791650602E-4</c:v>
                </c:pt>
                <c:pt idx="856">
                  <c:v>1.3763969698296955E-4</c:v>
                </c:pt>
                <c:pt idx="857">
                  <c:v>1.3374441938209341E-4</c:v>
                </c:pt>
                <c:pt idx="858">
                  <c:v>1.3135309124361668E-4</c:v>
                </c:pt>
                <c:pt idx="859">
                  <c:v>1.3193837001179582E-4</c:v>
                </c:pt>
                <c:pt idx="860">
                  <c:v>1.3104331996293772E-4</c:v>
                </c:pt>
                <c:pt idx="861">
                  <c:v>1.2745291704200777E-4</c:v>
                </c:pt>
                <c:pt idx="862">
                  <c:v>1.2803694687209453E-4</c:v>
                </c:pt>
                <c:pt idx="863">
                  <c:v>1.2454598580877131E-4</c:v>
                </c:pt>
                <c:pt idx="864">
                  <c:v>1.2806130667387944E-4</c:v>
                </c:pt>
                <c:pt idx="865">
                  <c:v>1.2595624596062704E-4</c:v>
                </c:pt>
                <c:pt idx="866">
                  <c:v>1.2669521331277271E-4</c:v>
                </c:pt>
                <c:pt idx="867">
                  <c:v>1.2603061641126159E-4</c:v>
                </c:pt>
                <c:pt idx="868">
                  <c:v>1.2545684911570207E-4</c:v>
                </c:pt>
                <c:pt idx="869">
                  <c:v>1.2351044934686499E-4</c:v>
                </c:pt>
                <c:pt idx="870">
                  <c:v>1.2434621408296761E-4</c:v>
                </c:pt>
                <c:pt idx="871">
                  <c:v>1.2252340628363486E-4</c:v>
                </c:pt>
                <c:pt idx="872">
                  <c:v>1.2069530625570832E-4</c:v>
                </c:pt>
                <c:pt idx="873">
                  <c:v>1.2157001594662933E-4</c:v>
                </c:pt>
                <c:pt idx="874">
                  <c:v>1.1853085818139104E-4</c:v>
                </c:pt>
                <c:pt idx="875">
                  <c:v>1.2216905245787424E-4</c:v>
                </c:pt>
                <c:pt idx="876">
                  <c:v>1.2048288407036874E-4</c:v>
                </c:pt>
                <c:pt idx="877">
                  <c:v>1.214983734345493E-4</c:v>
                </c:pt>
                <c:pt idx="878">
                  <c:v>1.211980411858469E-4</c:v>
                </c:pt>
                <c:pt idx="879">
                  <c:v>1.2095542357491499E-4</c:v>
                </c:pt>
                <c:pt idx="880">
                  <c:v>1.2072199707889709E-4</c:v>
                </c:pt>
                <c:pt idx="881">
                  <c:v>1.1923250277366644E-4</c:v>
                </c:pt>
                <c:pt idx="882">
                  <c:v>1.2300030321351312E-4</c:v>
                </c:pt>
                <c:pt idx="883">
                  <c:v>1.2025271134781263E-4</c:v>
                </c:pt>
                <c:pt idx="884">
                  <c:v>1.1755058113696778E-4</c:v>
                </c:pt>
                <c:pt idx="885">
                  <c:v>1.1748326005619534E-4</c:v>
                </c:pt>
                <c:pt idx="886">
                  <c:v>1.1875522599094683E-4</c:v>
                </c:pt>
                <c:pt idx="887">
                  <c:v>1.2005996961984889E-4</c:v>
                </c:pt>
                <c:pt idx="888">
                  <c:v>1.1878283422171665E-4</c:v>
                </c:pt>
                <c:pt idx="889">
                  <c:v>1.2015161068582936E-4</c:v>
                </c:pt>
                <c:pt idx="890">
                  <c:v>1.2024014275915943E-4</c:v>
                </c:pt>
                <c:pt idx="891">
                  <c:v>1.2297912974312082E-4</c:v>
                </c:pt>
                <c:pt idx="892">
                  <c:v>1.205203364008795E-4</c:v>
                </c:pt>
                <c:pt idx="893">
                  <c:v>1.1940246235793503E-4</c:v>
                </c:pt>
                <c:pt idx="894">
                  <c:v>1.2092825920696212E-4</c:v>
                </c:pt>
                <c:pt idx="895">
                  <c:v>1.2119290886893542E-4</c:v>
                </c:pt>
                <c:pt idx="896">
                  <c:v>1.201387061832209E-4</c:v>
                </c:pt>
                <c:pt idx="897">
                  <c:v>1.2046613250832568E-4</c:v>
                </c:pt>
                <c:pt idx="898">
                  <c:v>1.1946035578308475E-4</c:v>
                </c:pt>
                <c:pt idx="899">
                  <c:v>1.2246758472292857E-4</c:v>
                </c:pt>
                <c:pt idx="900">
                  <c:v>1.2152189161113238E-4</c:v>
                </c:pt>
                <c:pt idx="901">
                  <c:v>1.2320370241968097E-4</c:v>
                </c:pt>
                <c:pt idx="902">
                  <c:v>1.2357480615597492E-4</c:v>
                </c:pt>
                <c:pt idx="903">
                  <c:v>1.238967670546086E-4</c:v>
                </c:pt>
                <c:pt idx="904">
                  <c:v>1.2423397729616166E-4</c:v>
                </c:pt>
                <c:pt idx="905">
                  <c:v>1.2452512592698629E-4</c:v>
                </c:pt>
                <c:pt idx="906">
                  <c:v>1.2752358019749852E-4</c:v>
                </c:pt>
                <c:pt idx="907">
                  <c:v>1.2508877903690178E-4</c:v>
                </c:pt>
                <c:pt idx="908">
                  <c:v>1.1989317816037043E-4</c:v>
                </c:pt>
                <c:pt idx="909">
                  <c:v>1.2285054707294221E-4</c:v>
                </c:pt>
                <c:pt idx="910">
                  <c:v>1.2582325614130563E-4</c:v>
                </c:pt>
                <c:pt idx="911">
                  <c:v>1.2463646191712767E-4</c:v>
                </c:pt>
                <c:pt idx="912">
                  <c:v>1.2620010903423802E-4</c:v>
                </c:pt>
                <c:pt idx="913">
                  <c:v>1.2498844551290882E-4</c:v>
                </c:pt>
                <c:pt idx="914">
                  <c:v>1.2653497218331218E-4</c:v>
                </c:pt>
                <c:pt idx="915">
                  <c:v>1.2668765117629626E-4</c:v>
                </c:pt>
                <c:pt idx="916">
                  <c:v>1.2543087090085279E-4</c:v>
                </c:pt>
                <c:pt idx="917">
                  <c:v>1.296820763102838E-4</c:v>
                </c:pt>
                <c:pt idx="918">
                  <c:v>1.2702241030794408E-4</c:v>
                </c:pt>
                <c:pt idx="919">
                  <c:v>1.2433520073176955E-4</c:v>
                </c:pt>
                <c:pt idx="920">
                  <c:v>1.2440298465830324E-4</c:v>
                </c:pt>
                <c:pt idx="921">
                  <c:v>1.2583673206809667E-4</c:v>
                </c:pt>
                <c:pt idx="922">
                  <c:v>1.2724941811739307E-4</c:v>
                </c:pt>
                <c:pt idx="923">
                  <c:v>1.2588363101524128E-4</c:v>
                </c:pt>
                <c:pt idx="924">
                  <c:v>1.2726872116239097E-4</c:v>
                </c:pt>
                <c:pt idx="925">
                  <c:v>1.2725517070003069E-4</c:v>
                </c:pt>
                <c:pt idx="926">
                  <c:v>1.299912733508626E-4</c:v>
                </c:pt>
                <c:pt idx="927">
                  <c:v>1.2717895571459436E-4</c:v>
                </c:pt>
                <c:pt idx="928">
                  <c:v>1.2573278393658907E-4</c:v>
                </c:pt>
                <c:pt idx="929">
                  <c:v>1.2703803496677088E-4</c:v>
                </c:pt>
                <c:pt idx="930">
                  <c:v>1.2693839572185133E-4</c:v>
                </c:pt>
                <c:pt idx="931">
                  <c:v>1.2407911142733015E-4</c:v>
                </c:pt>
                <c:pt idx="932">
                  <c:v>1.2532396923395161E-4</c:v>
                </c:pt>
                <c:pt idx="933">
                  <c:v>1.2244236282600858E-4</c:v>
                </c:pt>
                <c:pt idx="934">
                  <c:v>1.2642115875573549E-4</c:v>
                </c:pt>
                <c:pt idx="935">
                  <c:v>1.2486949822722117E-4</c:v>
                </c:pt>
                <c:pt idx="936">
                  <c:v>1.2605736260374957E-4</c:v>
                </c:pt>
                <c:pt idx="937">
                  <c:v>1.2584097909992012E-4</c:v>
                </c:pt>
                <c:pt idx="938">
                  <c:v>1.256288606898982E-4</c:v>
                </c:pt>
                <c:pt idx="939">
                  <c:v>1.2537858369101083E-4</c:v>
                </c:pt>
                <c:pt idx="940">
                  <c:v>1.2377972959065034E-4</c:v>
                </c:pt>
                <c:pt idx="941">
                  <c:v>1.2758350022482517E-4</c:v>
                </c:pt>
                <c:pt idx="942">
                  <c:v>1.2457773957344823E-4</c:v>
                </c:pt>
                <c:pt idx="943">
                  <c:v>1.2291404768499916E-4</c:v>
                </c:pt>
                <c:pt idx="944">
                  <c:v>1.2261304473778326E-4</c:v>
                </c:pt>
                <c:pt idx="945">
                  <c:v>1.2360316288955836E-4</c:v>
                </c:pt>
                <c:pt idx="946">
                  <c:v>1.232792107146387E-4</c:v>
                </c:pt>
                <c:pt idx="947">
                  <c:v>1.2161122306741058E-4</c:v>
                </c:pt>
                <c:pt idx="948">
                  <c:v>1.2522964421486432E-4</c:v>
                </c:pt>
                <c:pt idx="949">
                  <c:v>1.2216075905194777E-4</c:v>
                </c:pt>
                <c:pt idx="950">
                  <c:v>1.2439935019831338E-4</c:v>
                </c:pt>
                <c:pt idx="951">
                  <c:v>1.2000363252425209E-4</c:v>
                </c:pt>
                <c:pt idx="952">
                  <c:v>1.208465627048638E-4</c:v>
                </c:pt>
                <c:pt idx="953">
                  <c:v>1.2040506407848539E-4</c:v>
                </c:pt>
                <c:pt idx="954">
                  <c:v>1.1735665659501872E-4</c:v>
                </c:pt>
                <c:pt idx="955">
                  <c:v>1.168653414891091E-4</c:v>
                </c:pt>
                <c:pt idx="956">
                  <c:v>1.1640598083297033E-4</c:v>
                </c:pt>
                <c:pt idx="957">
                  <c:v>1.184928626046128E-4</c:v>
                </c:pt>
                <c:pt idx="958">
                  <c:v>1.1801720055750541E-4</c:v>
                </c:pt>
                <c:pt idx="959">
                  <c:v>1.1743396131819265E-4</c:v>
                </c:pt>
                <c:pt idx="960">
                  <c:v>1.1695377141420255E-4</c:v>
                </c:pt>
                <c:pt idx="961">
                  <c:v>1.1638984267710722E-4</c:v>
                </c:pt>
                <c:pt idx="962">
                  <c:v>1.1587907136091137E-4</c:v>
                </c:pt>
                <c:pt idx="963">
                  <c:v>1.1407419048566059E-4</c:v>
                </c:pt>
                <c:pt idx="964">
                  <c:v>1.1481231423120526E-4</c:v>
                </c:pt>
                <c:pt idx="965">
                  <c:v>1.1425670665160973E-4</c:v>
                </c:pt>
                <c:pt idx="966">
                  <c:v>1.1129694868241262E-4</c:v>
                </c:pt>
                <c:pt idx="967">
                  <c:v>1.1197982918874485E-4</c:v>
                </c:pt>
                <c:pt idx="968">
                  <c:v>1.0905161477407157E-4</c:v>
                </c:pt>
                <c:pt idx="969">
                  <c:v>1.1223812441861432E-4</c:v>
                </c:pt>
                <c:pt idx="970">
                  <c:v>1.1048677939279072E-4</c:v>
                </c:pt>
                <c:pt idx="971">
                  <c:v>1.1119872624794252E-4</c:v>
                </c:pt>
                <c:pt idx="972">
                  <c:v>1.1065744955196256E-4</c:v>
                </c:pt>
                <c:pt idx="973">
                  <c:v>1.1016727100093413E-4</c:v>
                </c:pt>
                <c:pt idx="974">
                  <c:v>1.096301548839628E-4</c:v>
                </c:pt>
                <c:pt idx="975">
                  <c:v>1.0796540227033086E-4</c:v>
                </c:pt>
                <c:pt idx="976">
                  <c:v>1.1100487837901405E-4</c:v>
                </c:pt>
                <c:pt idx="977">
                  <c:v>1.0812818927745893E-4</c:v>
                </c:pt>
                <c:pt idx="978">
                  <c:v>1.0532283676956009E-4</c:v>
                </c:pt>
                <c:pt idx="979">
                  <c:v>1.0480741090612881E-4</c:v>
                </c:pt>
                <c:pt idx="980">
                  <c:v>1.0544510845232072E-4</c:v>
                </c:pt>
                <c:pt idx="981">
                  <c:v>1.0615249315884942E-4</c:v>
                </c:pt>
                <c:pt idx="982">
                  <c:v>1.0452263517281858E-4</c:v>
                </c:pt>
                <c:pt idx="983">
                  <c:v>1.0516050037368676E-4</c:v>
                </c:pt>
                <c:pt idx="984">
                  <c:v>1.0469091458749652E-4</c:v>
                </c:pt>
                <c:pt idx="985">
                  <c:v>1.0647298172367424E-4</c:v>
                </c:pt>
                <c:pt idx="986">
                  <c:v>1.0371064707045623E-4</c:v>
                </c:pt>
                <c:pt idx="987">
                  <c:v>1.0208621736173882E-4</c:v>
                </c:pt>
                <c:pt idx="988">
                  <c:v>1.0273832247723599E-4</c:v>
                </c:pt>
                <c:pt idx="989">
                  <c:v>1.0223217956021752E-4</c:v>
                </c:pt>
                <c:pt idx="990">
                  <c:v>1.0064507109773074E-4</c:v>
                </c:pt>
                <c:pt idx="991">
                  <c:v>1.00178668256468E-4</c:v>
                </c:pt>
                <c:pt idx="992">
                  <c:v>9.8640578385405668E-5</c:v>
                </c:pt>
                <c:pt idx="993">
                  <c:v>1.0037990626201307E-4</c:v>
                </c:pt>
                <c:pt idx="994">
                  <c:v>9.8805704929298596E-5</c:v>
                </c:pt>
                <c:pt idx="995">
                  <c:v>9.9450002121064654E-5</c:v>
                </c:pt>
                <c:pt idx="996">
                  <c:v>9.8958190087406655E-5</c:v>
                </c:pt>
                <c:pt idx="997">
                  <c:v>9.8512979410553088E-5</c:v>
                </c:pt>
                <c:pt idx="998">
                  <c:v>9.6967112430380024E-5</c:v>
                </c:pt>
                <c:pt idx="999">
                  <c:v>9.758389962383199E-5</c:v>
                </c:pt>
                <c:pt idx="1000">
                  <c:v>9.6095574189367027E-5</c:v>
                </c:pt>
                <c:pt idx="1001">
                  <c:v>9.457561133805999E-5</c:v>
                </c:pt>
                <c:pt idx="1002">
                  <c:v>9.5145112834013981E-5</c:v>
                </c:pt>
                <c:pt idx="1003">
                  <c:v>9.2648200885277811E-5</c:v>
                </c:pt>
                <c:pt idx="1004">
                  <c:v>9.5346254428620958E-5</c:v>
                </c:pt>
                <c:pt idx="1005">
                  <c:v>9.3848768710970271E-5</c:v>
                </c:pt>
                <c:pt idx="1006">
                  <c:v>9.444453360116833E-5</c:v>
                </c:pt>
                <c:pt idx="1007">
                  <c:v>9.3975373608627035E-5</c:v>
                </c:pt>
                <c:pt idx="1008">
                  <c:v>9.3550755697431495E-5</c:v>
                </c:pt>
                <c:pt idx="1009">
                  <c:v>9.3085756284350568E-5</c:v>
                </c:pt>
                <c:pt idx="1010">
                  <c:v>9.1664601313172454E-5</c:v>
                </c:pt>
                <c:pt idx="1011">
                  <c:v>9.4237023543719829E-5</c:v>
                </c:pt>
                <c:pt idx="1012">
                  <c:v>9.1787028660408147E-5</c:v>
                </c:pt>
                <c:pt idx="1013">
                  <c:v>8.9398916335800302E-5</c:v>
                </c:pt>
                <c:pt idx="1014">
                  <c:v>8.8954039421887483E-5</c:v>
                </c:pt>
                <c:pt idx="1015">
                  <c:v>8.9488002022654106E-5</c:v>
                </c:pt>
                <c:pt idx="1016">
                  <c:v>9.0082316519011314E-5</c:v>
                </c:pt>
                <c:pt idx="1017">
                  <c:v>8.8693063190559664E-5</c:v>
                </c:pt>
                <c:pt idx="1018">
                  <c:v>8.9228001077335615E-5</c:v>
                </c:pt>
                <c:pt idx="1019">
                  <c:v>8.8823975930665071E-5</c:v>
                </c:pt>
                <c:pt idx="1020">
                  <c:v>9.0330328351163693E-5</c:v>
                </c:pt>
                <c:pt idx="1021">
                  <c:v>8.7981385757140895E-5</c:v>
                </c:pt>
                <c:pt idx="1022">
                  <c:v>8.6598178305407779E-5</c:v>
                </c:pt>
                <c:pt idx="1023">
                  <c:v>8.7146738507039344E-5</c:v>
                </c:pt>
                <c:pt idx="1024">
                  <c:v>8.6712712293227296E-5</c:v>
                </c:pt>
                <c:pt idx="1025">
                  <c:v>8.4456258340184429E-5</c:v>
                </c:pt>
                <c:pt idx="1026">
                  <c:v>8.4962990901703671E-5</c:v>
                </c:pt>
                <c:pt idx="1027">
                  <c:v>8.2731913332004879E-5</c:v>
                </c:pt>
                <c:pt idx="1028">
                  <c:v>8.5139928401551138E-5</c:v>
                </c:pt>
                <c:pt idx="1029">
                  <c:v>8.380156669438374E-5</c:v>
                </c:pt>
                <c:pt idx="1030">
                  <c:v>8.4332640110676587E-5</c:v>
                </c:pt>
                <c:pt idx="1031">
                  <c:v>8.3912944780747104E-5</c:v>
                </c:pt>
                <c:pt idx="1032">
                  <c:v>8.3533294743582298E-5</c:v>
                </c:pt>
                <c:pt idx="1033">
                  <c:v>8.3117759992544778E-5</c:v>
                </c:pt>
                <c:pt idx="1034">
                  <c:v>8.1848690583087791E-5</c:v>
                </c:pt>
                <c:pt idx="1035">
                  <c:v>8.4145754069976167E-5</c:v>
                </c:pt>
                <c:pt idx="1036">
                  <c:v>8.1958432780360028E-5</c:v>
                </c:pt>
                <c:pt idx="1037">
                  <c:v>8.0707395478872088E-5</c:v>
                </c:pt>
                <c:pt idx="1038">
                  <c:v>7.9430021981453364E-5</c:v>
                </c:pt>
                <c:pt idx="1039">
                  <c:v>8.0779863170276148E-5</c:v>
                </c:pt>
                <c:pt idx="1040">
                  <c:v>7.9559233220714891E-5</c:v>
                </c:pt>
                <c:pt idx="1041">
                  <c:v>8.0064684603184592E-5</c:v>
                </c:pt>
                <c:pt idx="1042">
                  <c:v>7.8855156842250711E-5</c:v>
                </c:pt>
                <c:pt idx="1043">
                  <c:v>7.9320647677195736E-5</c:v>
                </c:pt>
                <c:pt idx="1044">
                  <c:v>7.8927764967460373E-5</c:v>
                </c:pt>
                <c:pt idx="1045">
                  <c:v>7.7724268430332734E-5</c:v>
                </c:pt>
                <c:pt idx="1046">
                  <c:v>7.9907454411995058E-5</c:v>
                </c:pt>
                <c:pt idx="1047">
                  <c:v>7.7832275327233475E-5</c:v>
                </c:pt>
                <c:pt idx="1048">
                  <c:v>7.5809524766642838E-5</c:v>
                </c:pt>
                <c:pt idx="1049">
                  <c:v>7.5435196801963776E-5</c:v>
                </c:pt>
                <c:pt idx="1050">
                  <c:v>7.5891363667136724E-5</c:v>
                </c:pt>
                <c:pt idx="1051">
                  <c:v>7.6398547162732003E-5</c:v>
                </c:pt>
                <c:pt idx="1052">
                  <c:v>7.5223959282027356E-5</c:v>
                </c:pt>
                <c:pt idx="1053">
                  <c:v>7.5681909064412067E-5</c:v>
                </c:pt>
                <c:pt idx="1054">
                  <c:v>7.5343444557317513E-5</c:v>
                </c:pt>
                <c:pt idx="1055">
                  <c:v>7.6625960681131941E-5</c:v>
                </c:pt>
                <c:pt idx="1056">
                  <c:v>7.4638531726922515E-5</c:v>
                </c:pt>
                <c:pt idx="1057">
                  <c:v>7.3470607323595792E-5</c:v>
                </c:pt>
                <c:pt idx="1058">
                  <c:v>7.394156181973787E-5</c:v>
                </c:pt>
                <c:pt idx="1059">
                  <c:v>7.3579652310380836E-5</c:v>
                </c:pt>
                <c:pt idx="1060">
                  <c:v>7.1670697222289801E-5</c:v>
                </c:pt>
                <c:pt idx="1061">
                  <c:v>7.2107781620368085E-5</c:v>
                </c:pt>
                <c:pt idx="1062">
                  <c:v>7.022054482270628E-5</c:v>
                </c:pt>
                <c:pt idx="1063">
                  <c:v>7.2271296331774291E-5</c:v>
                </c:pt>
                <c:pt idx="1064">
                  <c:v>7.1143063086543334E-5</c:v>
                </c:pt>
                <c:pt idx="1065">
                  <c:v>7.1601685384589016E-5</c:v>
                </c:pt>
                <c:pt idx="1066">
                  <c:v>7.1254106757598983E-5</c:v>
                </c:pt>
                <c:pt idx="1067">
                  <c:v>7.0940017360598577E-5</c:v>
                </c:pt>
                <c:pt idx="1068">
                  <c:v>7.0596599312681743E-5</c:v>
                </c:pt>
                <c:pt idx="1069">
                  <c:v>6.9527396699699511E-5</c:v>
                </c:pt>
                <c:pt idx="1070">
                  <c:v>7.1488598849118085E-5</c:v>
                </c:pt>
                <c:pt idx="1071">
                  <c:v>6.9640510083357013E-5</c:v>
                </c:pt>
                <c:pt idx="1072">
                  <c:v>6.8557084347230712E-5</c:v>
                </c:pt>
                <c:pt idx="1073">
                  <c:v>6.7512426723345895E-5</c:v>
                </c:pt>
                <c:pt idx="1074">
                  <c:v>6.8671774359873973E-5</c:v>
                </c:pt>
                <c:pt idx="1075">
                  <c:v>6.8393116823841556E-5</c:v>
                </c:pt>
                <c:pt idx="1076">
                  <c:v>6.7361918905864521E-5</c:v>
                </c:pt>
                <c:pt idx="1077">
                  <c:v>6.9269037748526585E-5</c:v>
                </c:pt>
                <c:pt idx="1078">
                  <c:v>6.7487391589102778E-5</c:v>
                </c:pt>
                <c:pt idx="1079">
                  <c:v>6.6476806118459452E-5</c:v>
                </c:pt>
                <c:pt idx="1080">
                  <c:v>6.6171094021081706E-5</c:v>
                </c:pt>
                <c:pt idx="1081">
                  <c:v>6.6589055070118735E-5</c:v>
                </c:pt>
                <c:pt idx="1082">
                  <c:v>6.6316010700167823E-5</c:v>
                </c:pt>
                <c:pt idx="1083">
                  <c:v>6.5333108724221649E-5</c:v>
                </c:pt>
                <c:pt idx="1084">
                  <c:v>6.5044121579474213E-5</c:v>
                </c:pt>
                <c:pt idx="1085">
                  <c:v>6.4759514778666411E-5</c:v>
                </c:pt>
                <c:pt idx="1086">
                  <c:v>6.5217720594338589E-5</c:v>
                </c:pt>
                <c:pt idx="1087">
                  <c:v>6.4261588988710262E-5</c:v>
                </c:pt>
                <c:pt idx="1088">
                  <c:v>6.4696542531156331E-5</c:v>
                </c:pt>
                <c:pt idx="1089">
                  <c:v>6.4449971445866721E-5</c:v>
                </c:pt>
                <c:pt idx="1090">
                  <c:v>6.5594721660845715E-5</c:v>
                </c:pt>
                <c:pt idx="1091">
                  <c:v>6.3944085144214063E-5</c:v>
                </c:pt>
                <c:pt idx="1092">
                  <c:v>6.299711583416765E-5</c:v>
                </c:pt>
                <c:pt idx="1093">
                  <c:v>6.345433900629563E-5</c:v>
                </c:pt>
                <c:pt idx="1094">
                  <c:v>6.3204246741402361E-5</c:v>
                </c:pt>
                <c:pt idx="1095">
                  <c:v>6.1618757134164885E-5</c:v>
                </c:pt>
                <c:pt idx="1096">
                  <c:v>6.2060706484988145E-5</c:v>
                </c:pt>
                <c:pt idx="1097">
                  <c:v>6.0494731439099502E-5</c:v>
                </c:pt>
                <c:pt idx="1098">
                  <c:v>6.2325129877907363E-5</c:v>
                </c:pt>
                <c:pt idx="1099">
                  <c:v>6.1424125566596915E-5</c:v>
                </c:pt>
                <c:pt idx="1100">
                  <c:v>6.1890977637173966E-5</c:v>
                </c:pt>
                <c:pt idx="1101">
                  <c:v>6.1670005984833164E-5</c:v>
                </c:pt>
                <c:pt idx="1102">
                  <c:v>6.1472965560784062E-5</c:v>
                </c:pt>
                <c:pt idx="1103">
                  <c:v>6.1260448279773782E-5</c:v>
                </c:pt>
                <c:pt idx="1104">
                  <c:v>6.0410338684306348E-5</c:v>
                </c:pt>
                <c:pt idx="1105">
                  <c:v>6.2202798963424769E-5</c:v>
                </c:pt>
                <c:pt idx="1106">
                  <c:v>6.0685361899063464E-5</c:v>
                </c:pt>
                <c:pt idx="1107">
                  <c:v>5.9197662342486009E-5</c:v>
                </c:pt>
                <c:pt idx="1108">
                  <c:v>5.9010113257187773E-5</c:v>
                </c:pt>
                <c:pt idx="1109">
                  <c:v>5.9477785726634323E-5</c:v>
                </c:pt>
                <c:pt idx="1110">
                  <c:v>5.9973291511463504E-5</c:v>
                </c:pt>
                <c:pt idx="1111">
                  <c:v>5.9162921856100428E-5</c:v>
                </c:pt>
                <c:pt idx="1112">
                  <c:v>6.0942659734239651E-5</c:v>
                </c:pt>
                <c:pt idx="1113">
                  <c:v>5.9480272311993992E-5</c:v>
                </c:pt>
                <c:pt idx="1114">
                  <c:v>6.0613459609615405E-5</c:v>
                </c:pt>
                <c:pt idx="1115">
                  <c:v>5.9166274623412311E-5</c:v>
                </c:pt>
                <c:pt idx="1116">
                  <c:v>5.9008241070239036E-5</c:v>
                </c:pt>
                <c:pt idx="1117">
                  <c:v>5.886841709966351E-5</c:v>
                </c:pt>
                <c:pt idx="1118">
                  <c:v>5.8082768044349613E-5</c:v>
                </c:pt>
                <c:pt idx="1119">
                  <c:v>5.7313015496111567E-5</c:v>
                </c:pt>
                <c:pt idx="1120">
                  <c:v>5.7812348600425742E-5</c:v>
                </c:pt>
                <c:pt idx="1121">
                  <c:v>5.8325211989698847E-5</c:v>
                </c:pt>
                <c:pt idx="1122">
                  <c:v>5.7573575101309293E-5</c:v>
                </c:pt>
                <c:pt idx="1123">
                  <c:v>5.8075518763221964E-5</c:v>
                </c:pt>
                <c:pt idx="1124">
                  <c:v>5.796600539793965E-5</c:v>
                </c:pt>
                <c:pt idx="1125">
                  <c:v>5.9110453540451094E-5</c:v>
                </c:pt>
                <c:pt idx="1126">
                  <c:v>5.7739881934514822E-5</c:v>
                </c:pt>
                <c:pt idx="1127">
                  <c:v>5.7003102996455246E-5</c:v>
                </c:pt>
                <c:pt idx="1128">
                  <c:v>5.752989863482762E-5</c:v>
                </c:pt>
                <c:pt idx="1129">
                  <c:v>5.742634880845158E-5</c:v>
                </c:pt>
                <c:pt idx="1130">
                  <c:v>5.6714265700220844E-5</c:v>
                </c:pt>
                <c:pt idx="1131">
                  <c:v>5.6620137522700174E-5</c:v>
                </c:pt>
                <c:pt idx="1132">
                  <c:v>5.5918355350446133E-5</c:v>
                </c:pt>
                <c:pt idx="1133">
                  <c:v>5.7081977532648521E-5</c:v>
                </c:pt>
                <c:pt idx="1134">
                  <c:v>5.6380848114911585E-5</c:v>
                </c:pt>
                <c:pt idx="1135">
                  <c:v>5.693016481877557E-5</c:v>
                </c:pt>
                <c:pt idx="1136">
                  <c:v>5.6855735605543807E-5</c:v>
                </c:pt>
                <c:pt idx="1137">
                  <c:v>5.6791915580003766E-5</c:v>
                </c:pt>
                <c:pt idx="1138">
                  <c:v>5.672594073817716E-5</c:v>
                </c:pt>
                <c:pt idx="1139">
                  <c:v>5.6054695413270658E-5</c:v>
                </c:pt>
                <c:pt idx="1140">
                  <c:v>5.7846485376974007E-5</c:v>
                </c:pt>
                <c:pt idx="1141">
                  <c:v>5.6563837594078128E-5</c:v>
                </c:pt>
                <c:pt idx="1142">
                  <c:v>5.5291716552265429E-5</c:v>
                </c:pt>
                <c:pt idx="1143">
                  <c:v>5.5247524200114713E-5</c:v>
                </c:pt>
                <c:pt idx="1144">
                  <c:v>5.5820535917312261E-5</c:v>
                </c:pt>
                <c:pt idx="1145">
                  <c:v>5.6402411522967998E-5</c:v>
                </c:pt>
                <c:pt idx="1146">
                  <c:v>5.5760431926201485E-5</c:v>
                </c:pt>
                <c:pt idx="1147">
                  <c:v>5.7570922125667809E-5</c:v>
                </c:pt>
                <c:pt idx="1148">
                  <c:v>5.6322375560753226E-5</c:v>
                </c:pt>
                <c:pt idx="1149">
                  <c:v>5.7527566639165643E-5</c:v>
                </c:pt>
                <c:pt idx="1150">
                  <c:v>5.6288140710330351E-5</c:v>
                </c:pt>
                <c:pt idx="1151">
                  <c:v>5.6276649595775684E-5</c:v>
                </c:pt>
                <c:pt idx="1152">
                  <c:v>5.6270046023999101E-5</c:v>
                </c:pt>
                <c:pt idx="1153">
                  <c:v>5.6267009280823406E-5</c:v>
                </c:pt>
                <c:pt idx="1154">
                  <c:v>5.5044811785546157E-5</c:v>
                </c:pt>
                <c:pt idx="1155">
                  <c:v>5.3214699111839718E-5</c:v>
                </c:pt>
                <c:pt idx="1156">
                  <c:v>5.6282277142337976E-5</c:v>
                </c:pt>
                <c:pt idx="1157">
                  <c:v>5.6294231827669603E-5</c:v>
                </c:pt>
                <c:pt idx="1158">
                  <c:v>5.6312602947081971E-5</c:v>
                </c:pt>
                <c:pt idx="1159">
                  <c:v>5.6331261875929016E-5</c:v>
                </c:pt>
                <c:pt idx="1160">
                  <c:v>5.6357345745432131E-5</c:v>
                </c:pt>
                <c:pt idx="1161">
                  <c:v>5.6384901250688561E-5</c:v>
                </c:pt>
                <c:pt idx="1162">
                  <c:v>5.5805603743914873E-5</c:v>
                </c:pt>
                <c:pt idx="1163">
                  <c:v>5.6454680788629076E-5</c:v>
                </c:pt>
                <c:pt idx="1164">
                  <c:v>5.6497673401585048E-5</c:v>
                </c:pt>
                <c:pt idx="1165">
                  <c:v>5.5309939186883702E-5</c:v>
                </c:pt>
                <c:pt idx="1166">
                  <c:v>5.5976082145018707E-5</c:v>
                </c:pt>
                <c:pt idx="1167">
                  <c:v>5.4792995866992345E-5</c:v>
                </c:pt>
                <c:pt idx="1168">
                  <c:v>5.6693201090262566E-5</c:v>
                </c:pt>
                <c:pt idx="1169">
                  <c:v>5.6138920157131971E-5</c:v>
                </c:pt>
                <c:pt idx="1170">
                  <c:v>5.6818574525876672E-5</c:v>
                </c:pt>
                <c:pt idx="1171">
                  <c:v>5.689068775101203E-5</c:v>
                </c:pt>
                <c:pt idx="1172">
                  <c:v>5.696008812521019E-5</c:v>
                </c:pt>
                <c:pt idx="1173">
                  <c:v>5.7040655722061179E-5</c:v>
                </c:pt>
                <c:pt idx="1174">
                  <c:v>5.6495565727613661E-5</c:v>
                </c:pt>
                <c:pt idx="1175">
                  <c:v>5.8444812196565562E-5</c:v>
                </c:pt>
                <c:pt idx="1176">
                  <c:v>5.7291535814821302E-5</c:v>
                </c:pt>
                <c:pt idx="1177">
                  <c:v>5.6754754194447263E-5</c:v>
                </c:pt>
                <c:pt idx="1178">
                  <c:v>5.6855086771033552E-5</c:v>
                </c:pt>
                <c:pt idx="1179">
                  <c:v>5.6959799693041402E-5</c:v>
                </c:pt>
                <c:pt idx="1180">
                  <c:v>5.7684147076578325E-5</c:v>
                </c:pt>
                <c:pt idx="1181">
                  <c:v>5.7154455580742797E-5</c:v>
                </c:pt>
                <c:pt idx="1182">
                  <c:v>5.9153824923499377E-5</c:v>
                </c:pt>
                <c:pt idx="1183">
                  <c:v>5.8013701334744405E-5</c:v>
                </c:pt>
                <c:pt idx="1184">
                  <c:v>5.9396314076549001E-5</c:v>
                </c:pt>
                <c:pt idx="1185">
                  <c:v>5.825922932250057E-5</c:v>
                </c:pt>
                <c:pt idx="1186">
                  <c:v>5.7757472862534267E-5</c:v>
                </c:pt>
                <c:pt idx="1187">
                  <c:v>5.8520897473936865E-5</c:v>
                </c:pt>
                <c:pt idx="1188">
                  <c:v>5.8664403169911687E-5</c:v>
                </c:pt>
                <c:pt idx="1189">
                  <c:v>5.7515975603212922E-5</c:v>
                </c:pt>
                <c:pt idx="1190">
                  <c:v>5.8307556998436567E-5</c:v>
                </c:pt>
                <c:pt idx="1191">
                  <c:v>5.7158630743234075E-5</c:v>
                </c:pt>
                <c:pt idx="1192">
                  <c:v>5.9227395309216751E-5</c:v>
                </c:pt>
                <c:pt idx="1193">
                  <c:v>5.8739538407920984E-5</c:v>
                </c:pt>
                <c:pt idx="1194">
                  <c:v>5.9532408768122533E-5</c:v>
                </c:pt>
                <c:pt idx="1195">
                  <c:v>5.9690489726747212E-5</c:v>
                </c:pt>
                <c:pt idx="1196">
                  <c:v>5.9832931837427877E-5</c:v>
                </c:pt>
                <c:pt idx="1197">
                  <c:v>5.9333871187026547E-5</c:v>
                </c:pt>
                <c:pt idx="1198">
                  <c:v>6.0128129930564467E-5</c:v>
                </c:pt>
                <c:pt idx="1199">
                  <c:v>5.9609488017833797E-5</c:v>
                </c:pt>
                <c:pt idx="1200">
                  <c:v>5.9100127656013141E-5</c:v>
                </c:pt>
                <c:pt idx="1201">
                  <c:v>5.9907148621985433E-5</c:v>
                </c:pt>
                <c:pt idx="1202">
                  <c:v>5.8716655367894459E-5</c:v>
                </c:pt>
                <c:pt idx="1203">
                  <c:v>6.0827307776399173E-5</c:v>
                </c:pt>
                <c:pt idx="1204">
                  <c:v>6.0308079610054171E-5</c:v>
                </c:pt>
                <c:pt idx="1205">
                  <c:v>6.110416428467407E-5</c:v>
                </c:pt>
                <c:pt idx="1206">
                  <c:v>6.1247059199408645E-5</c:v>
                </c:pt>
                <c:pt idx="1207">
                  <c:v>6.1375695816217037E-5</c:v>
                </c:pt>
                <c:pt idx="1208">
                  <c:v>6.1515801457924843E-5</c:v>
                </c:pt>
                <c:pt idx="1209">
                  <c:v>6.0969822762046744E-5</c:v>
                </c:pt>
                <c:pt idx="1210">
                  <c:v>6.3113763359985022E-5</c:v>
                </c:pt>
                <c:pt idx="1211">
                  <c:v>6.1902783950386545E-5</c:v>
                </c:pt>
                <c:pt idx="1212">
                  <c:v>6.0672818048664247E-5</c:v>
                </c:pt>
                <c:pt idx="1213">
                  <c:v>6.0803164602431146E-5</c:v>
                </c:pt>
                <c:pt idx="1214">
                  <c:v>6.161105887485645E-5</c:v>
                </c:pt>
                <c:pt idx="1215">
                  <c:v>6.2400710158394884E-5</c:v>
                </c:pt>
                <c:pt idx="1216">
                  <c:v>6.1836617722309429E-5</c:v>
                </c:pt>
                <c:pt idx="1217">
                  <c:v>6.399976382126986E-5</c:v>
                </c:pt>
                <c:pt idx="1218">
                  <c:v>6.2760616977479322E-5</c:v>
                </c:pt>
                <c:pt idx="1219">
                  <c:v>6.4244899235504991E-5</c:v>
                </c:pt>
                <c:pt idx="1220">
                  <c:v>6.2997831995033313E-5</c:v>
                </c:pt>
                <c:pt idx="1221">
                  <c:v>6.2432066327734837E-5</c:v>
                </c:pt>
                <c:pt idx="1222">
                  <c:v>6.3229722035910242E-5</c:v>
                </c:pt>
                <c:pt idx="1223">
                  <c:v>6.3349063087425372E-5</c:v>
                </c:pt>
                <c:pt idx="1224">
                  <c:v>6.2764797113142213E-5</c:v>
                </c:pt>
                <c:pt idx="1225">
                  <c:v>6.3572838878709519E-5</c:v>
                </c:pt>
                <c:pt idx="1226">
                  <c:v>6.2289858306864289E-5</c:v>
                </c:pt>
                <c:pt idx="1227">
                  <c:v>6.3777578114173188E-5</c:v>
                </c:pt>
                <c:pt idx="1228">
                  <c:v>6.320063240053422E-5</c:v>
                </c:pt>
                <c:pt idx="1229">
                  <c:v>6.4004415532541324E-5</c:v>
                </c:pt>
                <c:pt idx="1230">
                  <c:v>6.410403243685238E-5</c:v>
                </c:pt>
                <c:pt idx="1231">
                  <c:v>6.5601456251808657E-5</c:v>
                </c:pt>
                <c:pt idx="1232">
                  <c:v>6.4309297596253843E-5</c:v>
                </c:pt>
                <c:pt idx="1233">
                  <c:v>6.5116444413820012E-5</c:v>
                </c:pt>
                <c:pt idx="1234">
                  <c:v>6.4509237779057906E-5</c:v>
                </c:pt>
                <c:pt idx="1235">
                  <c:v>6.3908023719328E-5</c:v>
                </c:pt>
                <c:pt idx="1236">
                  <c:v>6.3297267392065345E-5</c:v>
                </c:pt>
                <c:pt idx="1237">
                  <c:v>6.4097806390601151E-5</c:v>
                </c:pt>
                <c:pt idx="1238">
                  <c:v>6.4887215842819926E-5</c:v>
                </c:pt>
                <c:pt idx="1239">
                  <c:v>6.426208033807017E-5</c:v>
                </c:pt>
                <c:pt idx="1240">
                  <c:v>6.5059817390453962E-5</c:v>
                </c:pt>
                <c:pt idx="1241">
                  <c:v>6.4433469975500192E-5</c:v>
                </c:pt>
                <c:pt idx="1242">
                  <c:v>6.5236162790179513E-5</c:v>
                </c:pt>
                <c:pt idx="1243">
                  <c:v>6.5327921027368867E-5</c:v>
                </c:pt>
                <c:pt idx="1244">
                  <c:v>6.4697756378914126E-5</c:v>
                </c:pt>
                <c:pt idx="1245">
                  <c:v>6.6917442836325372E-5</c:v>
                </c:pt>
                <c:pt idx="1246">
                  <c:v>6.557865174452055E-5</c:v>
                </c:pt>
                <c:pt idx="1247">
                  <c:v>6.4227212193431873E-5</c:v>
                </c:pt>
                <c:pt idx="1248">
                  <c:v>6.431026237352678E-5</c:v>
                </c:pt>
                <c:pt idx="1249">
                  <c:v>6.5108577935872405E-5</c:v>
                </c:pt>
                <c:pt idx="1250">
                  <c:v>6.5894908918371763E-5</c:v>
                </c:pt>
                <c:pt idx="1251">
                  <c:v>6.5250086191226899E-5</c:v>
                </c:pt>
                <c:pt idx="1252">
                  <c:v>6.7478611165959739E-5</c:v>
                </c:pt>
                <c:pt idx="1253">
                  <c:v>6.6118563962043047E-5</c:v>
                </c:pt>
                <c:pt idx="1254">
                  <c:v>6.7629440477600181E-5</c:v>
                </c:pt>
                <c:pt idx="1255">
                  <c:v>6.6263479389610134E-5</c:v>
                </c:pt>
                <c:pt idx="1256">
                  <c:v>6.5615120240309667E-5</c:v>
                </c:pt>
                <c:pt idx="1257">
                  <c:v>6.6403069840935479E-5</c:v>
                </c:pt>
                <c:pt idx="1258">
                  <c:v>6.6474063487695326E-5</c:v>
                </c:pt>
                <c:pt idx="1259">
                  <c:v>6.5088847229205694E-5</c:v>
                </c:pt>
                <c:pt idx="1260">
                  <c:v>6.660553968948687E-5</c:v>
                </c:pt>
                <c:pt idx="1261">
                  <c:v>6.4489494842905244E-5</c:v>
                </c:pt>
                <c:pt idx="1262">
                  <c:v>6.6721873450631389E-5</c:v>
                </c:pt>
                <c:pt idx="1263">
                  <c:v>6.6062974699181018E-5</c:v>
                </c:pt>
                <c:pt idx="1264">
                  <c:v>6.6843122316417964E-5</c:v>
                </c:pt>
                <c:pt idx="1265">
                  <c:v>6.6904508466700353E-5</c:v>
                </c:pt>
                <c:pt idx="1266">
                  <c:v>6.6959046206341346E-5</c:v>
                </c:pt>
                <c:pt idx="1267">
                  <c:v>6.7017643082890825E-5</c:v>
                </c:pt>
                <c:pt idx="1268">
                  <c:v>6.6339789864269588E-5</c:v>
                </c:pt>
                <c:pt idx="1269">
                  <c:v>6.8581267136091567E-5</c:v>
                </c:pt>
                <c:pt idx="1270">
                  <c:v>6.7174919056817782E-5</c:v>
                </c:pt>
                <c:pt idx="1271">
                  <c:v>6.6496425261716637E-5</c:v>
                </c:pt>
                <c:pt idx="1272">
                  <c:v>6.6542865682562378E-5</c:v>
                </c:pt>
                <c:pt idx="1273">
                  <c:v>6.7325097073837301E-5</c:v>
                </c:pt>
                <c:pt idx="1274">
                  <c:v>6.7368031624513808E-5</c:v>
                </c:pt>
                <c:pt idx="1275">
                  <c:v>6.6676428837312987E-5</c:v>
                </c:pt>
                <c:pt idx="1276">
                  <c:v>6.8919633939722096E-5</c:v>
                </c:pt>
                <c:pt idx="1277">
                  <c:v>6.7496770205920301E-5</c:v>
                </c:pt>
                <c:pt idx="1278">
                  <c:v>6.9005778937330267E-5</c:v>
                </c:pt>
                <c:pt idx="1279">
                  <c:v>6.6843220215557415E-5</c:v>
                </c:pt>
                <c:pt idx="1280">
                  <c:v>6.7618999141147342E-5</c:v>
                </c:pt>
                <c:pt idx="1281">
                  <c:v>6.765465998054275E-5</c:v>
                </c:pt>
                <c:pt idx="1282">
                  <c:v>6.62165263355934E-5</c:v>
                </c:pt>
                <c:pt idx="1283">
                  <c:v>6.6251217693056344E-5</c:v>
                </c:pt>
                <c:pt idx="1284">
                  <c:v>6.62814958513866E-5</c:v>
                </c:pt>
                <c:pt idx="1285">
                  <c:v>6.7785228561464774E-5</c:v>
                </c:pt>
                <c:pt idx="1286">
                  <c:v>6.7812914681980257E-5</c:v>
                </c:pt>
                <c:pt idx="1287">
                  <c:v>6.784511945170299E-5</c:v>
                </c:pt>
                <c:pt idx="1288">
                  <c:v>6.7870476481627292E-5</c:v>
                </c:pt>
                <c:pt idx="1289">
                  <c:v>6.7899011190647335E-5</c:v>
                </c:pt>
                <c:pt idx="1290">
                  <c:v>6.7923683983496272E-5</c:v>
                </c:pt>
                <c:pt idx="1291">
                  <c:v>6.7210483723462627E-5</c:v>
                </c:pt>
                <c:pt idx="1292">
                  <c:v>6.7971566509223596E-5</c:v>
                </c:pt>
                <c:pt idx="1293">
                  <c:v>6.7994522671374646E-5</c:v>
                </c:pt>
                <c:pt idx="1294">
                  <c:v>6.6534955904476407E-5</c:v>
                </c:pt>
                <c:pt idx="1295">
                  <c:v>6.7294506447903671E-5</c:v>
                </c:pt>
                <c:pt idx="1296">
                  <c:v>6.5831522300962666E-5</c:v>
                </c:pt>
                <c:pt idx="1297">
                  <c:v>6.8066195189099782E-5</c:v>
                </c:pt>
                <c:pt idx="1298">
                  <c:v>6.7342086812519447E-5</c:v>
                </c:pt>
                <c:pt idx="1299">
                  <c:v>6.8095736129052101E-5</c:v>
                </c:pt>
                <c:pt idx="1300">
                  <c:v>6.810908479450175E-5</c:v>
                </c:pt>
                <c:pt idx="1301">
                  <c:v>6.8119952093168983E-5</c:v>
                </c:pt>
                <c:pt idx="1302">
                  <c:v>6.8130511484791343E-5</c:v>
                </c:pt>
                <c:pt idx="1303">
                  <c:v>6.7398086037292438E-5</c:v>
                </c:pt>
                <c:pt idx="1304">
                  <c:v>6.9627601405975031E-5</c:v>
                </c:pt>
                <c:pt idx="1305">
                  <c:v>6.8152409091806282E-5</c:v>
                </c:pt>
                <c:pt idx="1306">
                  <c:v>6.66752129623826E-5</c:v>
                </c:pt>
                <c:pt idx="1307">
                  <c:v>6.6678829489009504E-5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766144"/>
        <c:axId val="683767680"/>
      </c:lineChart>
      <c:dateAx>
        <c:axId val="683766144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83767680"/>
        <c:crosses val="autoZero"/>
        <c:auto val="1"/>
        <c:lblOffset val="100"/>
        <c:baseTimeUnit val="days"/>
        <c:majorUnit val="6"/>
        <c:majorTimeUnit val="months"/>
      </c:dateAx>
      <c:valAx>
        <c:axId val="683767680"/>
        <c:scaling>
          <c:orientation val="minMax"/>
          <c:max val="1E-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3766144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Delta'!$Y$2</c:f>
              <c:strCache>
                <c:ptCount val="1"/>
                <c:pt idx="0">
                  <c:v>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42138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42149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42247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42366</c:v>
                </c:pt>
                <c:pt idx="166">
                  <c:v>42367</c:v>
                </c:pt>
                <c:pt idx="167">
                  <c:v>42368</c:v>
                </c:pt>
                <c:pt idx="168">
                  <c:v>42369</c:v>
                </c:pt>
                <c:pt idx="169">
                  <c:v>42373</c:v>
                </c:pt>
                <c:pt idx="170">
                  <c:v>42374</c:v>
                </c:pt>
                <c:pt idx="171">
                  <c:v>42375</c:v>
                </c:pt>
                <c:pt idx="172">
                  <c:v>42376</c:v>
                </c:pt>
                <c:pt idx="173">
                  <c:v>42377</c:v>
                </c:pt>
                <c:pt idx="174">
                  <c:v>42380</c:v>
                </c:pt>
                <c:pt idx="175">
                  <c:v>42381</c:v>
                </c:pt>
                <c:pt idx="176">
                  <c:v>42382</c:v>
                </c:pt>
                <c:pt idx="177">
                  <c:v>42383</c:v>
                </c:pt>
                <c:pt idx="178">
                  <c:v>42384</c:v>
                </c:pt>
                <c:pt idx="179">
                  <c:v>42387</c:v>
                </c:pt>
                <c:pt idx="180">
                  <c:v>42388</c:v>
                </c:pt>
                <c:pt idx="181">
                  <c:v>42389</c:v>
                </c:pt>
                <c:pt idx="182">
                  <c:v>42390</c:v>
                </c:pt>
                <c:pt idx="183">
                  <c:v>42391</c:v>
                </c:pt>
                <c:pt idx="184">
                  <c:v>42394</c:v>
                </c:pt>
                <c:pt idx="185">
                  <c:v>42395</c:v>
                </c:pt>
                <c:pt idx="186">
                  <c:v>42396</c:v>
                </c:pt>
                <c:pt idx="187">
                  <c:v>42397</c:v>
                </c:pt>
                <c:pt idx="188">
                  <c:v>42398</c:v>
                </c:pt>
                <c:pt idx="189">
                  <c:v>42401</c:v>
                </c:pt>
                <c:pt idx="190">
                  <c:v>42402</c:v>
                </c:pt>
                <c:pt idx="191">
                  <c:v>42403</c:v>
                </c:pt>
                <c:pt idx="192">
                  <c:v>42404</c:v>
                </c:pt>
                <c:pt idx="193">
                  <c:v>42405</c:v>
                </c:pt>
                <c:pt idx="194">
                  <c:v>42408</c:v>
                </c:pt>
                <c:pt idx="195">
                  <c:v>42409</c:v>
                </c:pt>
                <c:pt idx="196">
                  <c:v>42410</c:v>
                </c:pt>
                <c:pt idx="197">
                  <c:v>42411</c:v>
                </c:pt>
                <c:pt idx="198">
                  <c:v>42412</c:v>
                </c:pt>
                <c:pt idx="199">
                  <c:v>42415</c:v>
                </c:pt>
                <c:pt idx="200">
                  <c:v>42416</c:v>
                </c:pt>
                <c:pt idx="201">
                  <c:v>42417</c:v>
                </c:pt>
                <c:pt idx="202">
                  <c:v>42418</c:v>
                </c:pt>
                <c:pt idx="203">
                  <c:v>42419</c:v>
                </c:pt>
                <c:pt idx="204">
                  <c:v>42422</c:v>
                </c:pt>
                <c:pt idx="205">
                  <c:v>42423</c:v>
                </c:pt>
                <c:pt idx="206">
                  <c:v>42424</c:v>
                </c:pt>
                <c:pt idx="207">
                  <c:v>42425</c:v>
                </c:pt>
                <c:pt idx="208">
                  <c:v>42426</c:v>
                </c:pt>
                <c:pt idx="209">
                  <c:v>42429</c:v>
                </c:pt>
                <c:pt idx="210">
                  <c:v>42430</c:v>
                </c:pt>
                <c:pt idx="211">
                  <c:v>42431</c:v>
                </c:pt>
                <c:pt idx="212">
                  <c:v>42432</c:v>
                </c:pt>
                <c:pt idx="213">
                  <c:v>42433</c:v>
                </c:pt>
                <c:pt idx="214">
                  <c:v>42436</c:v>
                </c:pt>
                <c:pt idx="215">
                  <c:v>42437</c:v>
                </c:pt>
                <c:pt idx="216">
                  <c:v>42438</c:v>
                </c:pt>
                <c:pt idx="217">
                  <c:v>42439</c:v>
                </c:pt>
                <c:pt idx="218">
                  <c:v>42440</c:v>
                </c:pt>
                <c:pt idx="219">
                  <c:v>42443</c:v>
                </c:pt>
                <c:pt idx="220">
                  <c:v>42444</c:v>
                </c:pt>
                <c:pt idx="221">
                  <c:v>42445</c:v>
                </c:pt>
                <c:pt idx="222">
                  <c:v>42446</c:v>
                </c:pt>
                <c:pt idx="223">
                  <c:v>42447</c:v>
                </c:pt>
                <c:pt idx="224">
                  <c:v>42450</c:v>
                </c:pt>
                <c:pt idx="225">
                  <c:v>42451</c:v>
                </c:pt>
                <c:pt idx="226">
                  <c:v>42452</c:v>
                </c:pt>
                <c:pt idx="227">
                  <c:v>42453</c:v>
                </c:pt>
                <c:pt idx="228">
                  <c:v>42458</c:v>
                </c:pt>
                <c:pt idx="229">
                  <c:v>42459</c:v>
                </c:pt>
                <c:pt idx="230">
                  <c:v>42460</c:v>
                </c:pt>
                <c:pt idx="231">
                  <c:v>42461</c:v>
                </c:pt>
                <c:pt idx="232">
                  <c:v>42464</c:v>
                </c:pt>
                <c:pt idx="233">
                  <c:v>42465</c:v>
                </c:pt>
                <c:pt idx="234">
                  <c:v>42466</c:v>
                </c:pt>
                <c:pt idx="235">
                  <c:v>42467</c:v>
                </c:pt>
                <c:pt idx="236">
                  <c:v>42468</c:v>
                </c:pt>
                <c:pt idx="237">
                  <c:v>42471</c:v>
                </c:pt>
                <c:pt idx="238">
                  <c:v>42472</c:v>
                </c:pt>
                <c:pt idx="239">
                  <c:v>42473</c:v>
                </c:pt>
                <c:pt idx="240">
                  <c:v>42474</c:v>
                </c:pt>
                <c:pt idx="241">
                  <c:v>42475</c:v>
                </c:pt>
                <c:pt idx="242">
                  <c:v>42478</c:v>
                </c:pt>
                <c:pt idx="243">
                  <c:v>42479</c:v>
                </c:pt>
                <c:pt idx="244">
                  <c:v>42480</c:v>
                </c:pt>
                <c:pt idx="245">
                  <c:v>42481</c:v>
                </c:pt>
                <c:pt idx="246">
                  <c:v>42482</c:v>
                </c:pt>
                <c:pt idx="247">
                  <c:v>42485</c:v>
                </c:pt>
                <c:pt idx="248">
                  <c:v>42486</c:v>
                </c:pt>
                <c:pt idx="249">
                  <c:v>42487</c:v>
                </c:pt>
                <c:pt idx="250">
                  <c:v>42488</c:v>
                </c:pt>
                <c:pt idx="251">
                  <c:v>42489</c:v>
                </c:pt>
                <c:pt idx="252">
                  <c:v>42492</c:v>
                </c:pt>
                <c:pt idx="253">
                  <c:v>42493</c:v>
                </c:pt>
                <c:pt idx="254">
                  <c:v>42494</c:v>
                </c:pt>
                <c:pt idx="255">
                  <c:v>42495</c:v>
                </c:pt>
                <c:pt idx="256">
                  <c:v>42496</c:v>
                </c:pt>
                <c:pt idx="257">
                  <c:v>42503</c:v>
                </c:pt>
                <c:pt idx="258">
                  <c:v>42510</c:v>
                </c:pt>
                <c:pt idx="259">
                  <c:v>42517</c:v>
                </c:pt>
                <c:pt idx="260">
                  <c:v>42524</c:v>
                </c:pt>
                <c:pt idx="261">
                  <c:v>42531</c:v>
                </c:pt>
                <c:pt idx="262">
                  <c:v>42538</c:v>
                </c:pt>
                <c:pt idx="263">
                  <c:v>42545</c:v>
                </c:pt>
                <c:pt idx="264">
                  <c:v>42552</c:v>
                </c:pt>
                <c:pt idx="265">
                  <c:v>42559</c:v>
                </c:pt>
                <c:pt idx="266">
                  <c:v>42566</c:v>
                </c:pt>
                <c:pt idx="267">
                  <c:v>42573</c:v>
                </c:pt>
                <c:pt idx="268">
                  <c:v>42580</c:v>
                </c:pt>
                <c:pt idx="269">
                  <c:v>42587</c:v>
                </c:pt>
                <c:pt idx="270">
                  <c:v>42594</c:v>
                </c:pt>
                <c:pt idx="271">
                  <c:v>42601</c:v>
                </c:pt>
                <c:pt idx="272">
                  <c:v>42608</c:v>
                </c:pt>
                <c:pt idx="273">
                  <c:v>42615</c:v>
                </c:pt>
                <c:pt idx="274">
                  <c:v>42622</c:v>
                </c:pt>
                <c:pt idx="275">
                  <c:v>42629</c:v>
                </c:pt>
                <c:pt idx="276">
                  <c:v>42636</c:v>
                </c:pt>
                <c:pt idx="277">
                  <c:v>42643</c:v>
                </c:pt>
                <c:pt idx="278">
                  <c:v>42650</c:v>
                </c:pt>
                <c:pt idx="279">
                  <c:v>42657</c:v>
                </c:pt>
                <c:pt idx="280">
                  <c:v>42664</c:v>
                </c:pt>
                <c:pt idx="281">
                  <c:v>42671</c:v>
                </c:pt>
                <c:pt idx="282">
                  <c:v>42678</c:v>
                </c:pt>
                <c:pt idx="283">
                  <c:v>42685</c:v>
                </c:pt>
                <c:pt idx="284">
                  <c:v>42692</c:v>
                </c:pt>
                <c:pt idx="285">
                  <c:v>42699</c:v>
                </c:pt>
                <c:pt idx="286">
                  <c:v>42706</c:v>
                </c:pt>
                <c:pt idx="287">
                  <c:v>42713</c:v>
                </c:pt>
                <c:pt idx="288">
                  <c:v>42720</c:v>
                </c:pt>
                <c:pt idx="289">
                  <c:v>42727</c:v>
                </c:pt>
                <c:pt idx="290">
                  <c:v>42734</c:v>
                </c:pt>
                <c:pt idx="291">
                  <c:v>42741</c:v>
                </c:pt>
                <c:pt idx="292">
                  <c:v>42748</c:v>
                </c:pt>
                <c:pt idx="293">
                  <c:v>42755</c:v>
                </c:pt>
                <c:pt idx="294">
                  <c:v>42762</c:v>
                </c:pt>
                <c:pt idx="295">
                  <c:v>42769</c:v>
                </c:pt>
                <c:pt idx="296">
                  <c:v>42776</c:v>
                </c:pt>
                <c:pt idx="297">
                  <c:v>42783</c:v>
                </c:pt>
                <c:pt idx="298">
                  <c:v>42790</c:v>
                </c:pt>
                <c:pt idx="299">
                  <c:v>42797</c:v>
                </c:pt>
                <c:pt idx="300">
                  <c:v>42804</c:v>
                </c:pt>
                <c:pt idx="301">
                  <c:v>42811</c:v>
                </c:pt>
                <c:pt idx="302">
                  <c:v>42818</c:v>
                </c:pt>
                <c:pt idx="303">
                  <c:v>42825</c:v>
                </c:pt>
                <c:pt idx="304">
                  <c:v>42832</c:v>
                </c:pt>
                <c:pt idx="305">
                  <c:v>42843</c:v>
                </c:pt>
                <c:pt idx="306">
                  <c:v>42846</c:v>
                </c:pt>
                <c:pt idx="307">
                  <c:v>42853</c:v>
                </c:pt>
                <c:pt idx="308">
                  <c:v>42860</c:v>
                </c:pt>
                <c:pt idx="309">
                  <c:v>42867</c:v>
                </c:pt>
                <c:pt idx="310">
                  <c:v>42874</c:v>
                </c:pt>
                <c:pt idx="311">
                  <c:v>42881</c:v>
                </c:pt>
                <c:pt idx="312">
                  <c:v>42888</c:v>
                </c:pt>
                <c:pt idx="313">
                  <c:v>42895</c:v>
                </c:pt>
                <c:pt idx="314">
                  <c:v>42902</c:v>
                </c:pt>
                <c:pt idx="315">
                  <c:v>42909</c:v>
                </c:pt>
                <c:pt idx="316">
                  <c:v>42916</c:v>
                </c:pt>
                <c:pt idx="317">
                  <c:v>42923</c:v>
                </c:pt>
                <c:pt idx="318">
                  <c:v>42930</c:v>
                </c:pt>
                <c:pt idx="319">
                  <c:v>42937</c:v>
                </c:pt>
                <c:pt idx="320">
                  <c:v>42944</c:v>
                </c:pt>
                <c:pt idx="321">
                  <c:v>42951</c:v>
                </c:pt>
                <c:pt idx="322">
                  <c:v>42958</c:v>
                </c:pt>
                <c:pt idx="323">
                  <c:v>42965</c:v>
                </c:pt>
                <c:pt idx="324">
                  <c:v>42972</c:v>
                </c:pt>
                <c:pt idx="325">
                  <c:v>42979</c:v>
                </c:pt>
                <c:pt idx="326">
                  <c:v>42986</c:v>
                </c:pt>
                <c:pt idx="327">
                  <c:v>42993</c:v>
                </c:pt>
                <c:pt idx="328">
                  <c:v>43000</c:v>
                </c:pt>
                <c:pt idx="329">
                  <c:v>43007</c:v>
                </c:pt>
                <c:pt idx="330">
                  <c:v>43014</c:v>
                </c:pt>
                <c:pt idx="331">
                  <c:v>43021</c:v>
                </c:pt>
                <c:pt idx="332">
                  <c:v>43028</c:v>
                </c:pt>
                <c:pt idx="333">
                  <c:v>43035</c:v>
                </c:pt>
                <c:pt idx="334">
                  <c:v>43042</c:v>
                </c:pt>
                <c:pt idx="335">
                  <c:v>43049</c:v>
                </c:pt>
                <c:pt idx="336">
                  <c:v>43056</c:v>
                </c:pt>
                <c:pt idx="337">
                  <c:v>43063</c:v>
                </c:pt>
                <c:pt idx="338">
                  <c:v>43070</c:v>
                </c:pt>
                <c:pt idx="339">
                  <c:v>43077</c:v>
                </c:pt>
                <c:pt idx="340">
                  <c:v>43084</c:v>
                </c:pt>
                <c:pt idx="341">
                  <c:v>43091</c:v>
                </c:pt>
                <c:pt idx="342">
                  <c:v>43098</c:v>
                </c:pt>
                <c:pt idx="343">
                  <c:v>43105</c:v>
                </c:pt>
                <c:pt idx="344">
                  <c:v>43112</c:v>
                </c:pt>
                <c:pt idx="345">
                  <c:v>43119</c:v>
                </c:pt>
                <c:pt idx="346">
                  <c:v>43126</c:v>
                </c:pt>
                <c:pt idx="347">
                  <c:v>43133</c:v>
                </c:pt>
                <c:pt idx="348">
                  <c:v>43140</c:v>
                </c:pt>
                <c:pt idx="349">
                  <c:v>43147</c:v>
                </c:pt>
                <c:pt idx="350">
                  <c:v>43154</c:v>
                </c:pt>
                <c:pt idx="351">
                  <c:v>43161</c:v>
                </c:pt>
                <c:pt idx="352">
                  <c:v>43168</c:v>
                </c:pt>
                <c:pt idx="353">
                  <c:v>43175</c:v>
                </c:pt>
                <c:pt idx="354">
                  <c:v>43182</c:v>
                </c:pt>
                <c:pt idx="355">
                  <c:v>43193</c:v>
                </c:pt>
                <c:pt idx="356">
                  <c:v>43196</c:v>
                </c:pt>
                <c:pt idx="357">
                  <c:v>43203</c:v>
                </c:pt>
                <c:pt idx="358">
                  <c:v>43210</c:v>
                </c:pt>
                <c:pt idx="359">
                  <c:v>43217</c:v>
                </c:pt>
                <c:pt idx="360">
                  <c:v>43224</c:v>
                </c:pt>
                <c:pt idx="361">
                  <c:v>43231</c:v>
                </c:pt>
                <c:pt idx="362">
                  <c:v>43238</c:v>
                </c:pt>
                <c:pt idx="363">
                  <c:v>43245</c:v>
                </c:pt>
                <c:pt idx="364">
                  <c:v>43252</c:v>
                </c:pt>
                <c:pt idx="365">
                  <c:v>43259</c:v>
                </c:pt>
                <c:pt idx="366">
                  <c:v>43266</c:v>
                </c:pt>
                <c:pt idx="367">
                  <c:v>43273</c:v>
                </c:pt>
                <c:pt idx="368">
                  <c:v>43280</c:v>
                </c:pt>
                <c:pt idx="369">
                  <c:v>43287</c:v>
                </c:pt>
                <c:pt idx="370">
                  <c:v>43294</c:v>
                </c:pt>
                <c:pt idx="371">
                  <c:v>43301</c:v>
                </c:pt>
                <c:pt idx="372">
                  <c:v>43308</c:v>
                </c:pt>
                <c:pt idx="373">
                  <c:v>43315</c:v>
                </c:pt>
                <c:pt idx="374">
                  <c:v>43322</c:v>
                </c:pt>
                <c:pt idx="375">
                  <c:v>43329</c:v>
                </c:pt>
                <c:pt idx="376">
                  <c:v>43336</c:v>
                </c:pt>
                <c:pt idx="377">
                  <c:v>43343</c:v>
                </c:pt>
                <c:pt idx="378">
                  <c:v>43350</c:v>
                </c:pt>
                <c:pt idx="379">
                  <c:v>43357</c:v>
                </c:pt>
                <c:pt idx="380">
                  <c:v>43364</c:v>
                </c:pt>
                <c:pt idx="381">
                  <c:v>43371</c:v>
                </c:pt>
                <c:pt idx="382">
                  <c:v>43378</c:v>
                </c:pt>
                <c:pt idx="383">
                  <c:v>43385</c:v>
                </c:pt>
                <c:pt idx="384">
                  <c:v>43392</c:v>
                </c:pt>
                <c:pt idx="385">
                  <c:v>43399</c:v>
                </c:pt>
                <c:pt idx="386">
                  <c:v>43406</c:v>
                </c:pt>
                <c:pt idx="387">
                  <c:v>43413</c:v>
                </c:pt>
                <c:pt idx="388">
                  <c:v>43420</c:v>
                </c:pt>
                <c:pt idx="389">
                  <c:v>43427</c:v>
                </c:pt>
                <c:pt idx="390">
                  <c:v>43434</c:v>
                </c:pt>
                <c:pt idx="391">
                  <c:v>43441</c:v>
                </c:pt>
                <c:pt idx="392">
                  <c:v>43448</c:v>
                </c:pt>
                <c:pt idx="393">
                  <c:v>43455</c:v>
                </c:pt>
                <c:pt idx="394">
                  <c:v>43465</c:v>
                </c:pt>
                <c:pt idx="395">
                  <c:v>43472</c:v>
                </c:pt>
                <c:pt idx="396">
                  <c:v>43479</c:v>
                </c:pt>
                <c:pt idx="397">
                  <c:v>43486</c:v>
                </c:pt>
                <c:pt idx="398">
                  <c:v>43493</c:v>
                </c:pt>
                <c:pt idx="399">
                  <c:v>43500</c:v>
                </c:pt>
                <c:pt idx="400">
                  <c:v>43507</c:v>
                </c:pt>
                <c:pt idx="401">
                  <c:v>43514</c:v>
                </c:pt>
                <c:pt idx="402">
                  <c:v>43521</c:v>
                </c:pt>
                <c:pt idx="403">
                  <c:v>43528</c:v>
                </c:pt>
                <c:pt idx="404">
                  <c:v>43535</c:v>
                </c:pt>
                <c:pt idx="405">
                  <c:v>43542</c:v>
                </c:pt>
                <c:pt idx="406">
                  <c:v>43549</c:v>
                </c:pt>
                <c:pt idx="407">
                  <c:v>43556</c:v>
                </c:pt>
                <c:pt idx="408">
                  <c:v>43563</c:v>
                </c:pt>
                <c:pt idx="409">
                  <c:v>43570</c:v>
                </c:pt>
                <c:pt idx="410">
                  <c:v>43579</c:v>
                </c:pt>
                <c:pt idx="411">
                  <c:v>43584</c:v>
                </c:pt>
                <c:pt idx="412">
                  <c:v>43591</c:v>
                </c:pt>
                <c:pt idx="413">
                  <c:v>43598</c:v>
                </c:pt>
                <c:pt idx="414">
                  <c:v>43605</c:v>
                </c:pt>
                <c:pt idx="415">
                  <c:v>43612</c:v>
                </c:pt>
                <c:pt idx="416">
                  <c:v>43619</c:v>
                </c:pt>
                <c:pt idx="417">
                  <c:v>43626</c:v>
                </c:pt>
                <c:pt idx="418">
                  <c:v>43633</c:v>
                </c:pt>
                <c:pt idx="419">
                  <c:v>43640</c:v>
                </c:pt>
                <c:pt idx="420">
                  <c:v>43647</c:v>
                </c:pt>
                <c:pt idx="421">
                  <c:v>43654</c:v>
                </c:pt>
                <c:pt idx="422">
                  <c:v>43661</c:v>
                </c:pt>
                <c:pt idx="423">
                  <c:v>43668</c:v>
                </c:pt>
                <c:pt idx="424">
                  <c:v>43675</c:v>
                </c:pt>
                <c:pt idx="425">
                  <c:v>43682</c:v>
                </c:pt>
                <c:pt idx="426">
                  <c:v>43689</c:v>
                </c:pt>
                <c:pt idx="427">
                  <c:v>43696</c:v>
                </c:pt>
                <c:pt idx="428">
                  <c:v>43703</c:v>
                </c:pt>
                <c:pt idx="429">
                  <c:v>43710</c:v>
                </c:pt>
                <c:pt idx="430">
                  <c:v>43717</c:v>
                </c:pt>
                <c:pt idx="431">
                  <c:v>43724</c:v>
                </c:pt>
                <c:pt idx="432">
                  <c:v>43731</c:v>
                </c:pt>
                <c:pt idx="433">
                  <c:v>43738</c:v>
                </c:pt>
                <c:pt idx="434">
                  <c:v>43745</c:v>
                </c:pt>
                <c:pt idx="435">
                  <c:v>43752</c:v>
                </c:pt>
                <c:pt idx="436">
                  <c:v>43759</c:v>
                </c:pt>
                <c:pt idx="437">
                  <c:v>43766</c:v>
                </c:pt>
                <c:pt idx="438">
                  <c:v>43773</c:v>
                </c:pt>
                <c:pt idx="439">
                  <c:v>43780</c:v>
                </c:pt>
                <c:pt idx="440">
                  <c:v>43787</c:v>
                </c:pt>
                <c:pt idx="441">
                  <c:v>43794</c:v>
                </c:pt>
                <c:pt idx="442">
                  <c:v>43801</c:v>
                </c:pt>
                <c:pt idx="443">
                  <c:v>43808</c:v>
                </c:pt>
                <c:pt idx="444">
                  <c:v>43815</c:v>
                </c:pt>
                <c:pt idx="445">
                  <c:v>43822</c:v>
                </c:pt>
                <c:pt idx="446">
                  <c:v>43830</c:v>
                </c:pt>
                <c:pt idx="447">
                  <c:v>43837</c:v>
                </c:pt>
                <c:pt idx="448">
                  <c:v>43844</c:v>
                </c:pt>
                <c:pt idx="449">
                  <c:v>43851</c:v>
                </c:pt>
                <c:pt idx="450">
                  <c:v>43858</c:v>
                </c:pt>
                <c:pt idx="451">
                  <c:v>43865</c:v>
                </c:pt>
                <c:pt idx="452">
                  <c:v>43872</c:v>
                </c:pt>
                <c:pt idx="453">
                  <c:v>43879</c:v>
                </c:pt>
                <c:pt idx="454">
                  <c:v>43886</c:v>
                </c:pt>
                <c:pt idx="455">
                  <c:v>43893</c:v>
                </c:pt>
                <c:pt idx="456">
                  <c:v>43900</c:v>
                </c:pt>
                <c:pt idx="457">
                  <c:v>43907</c:v>
                </c:pt>
                <c:pt idx="458">
                  <c:v>43914</c:v>
                </c:pt>
                <c:pt idx="459">
                  <c:v>43921</c:v>
                </c:pt>
                <c:pt idx="460">
                  <c:v>43928</c:v>
                </c:pt>
                <c:pt idx="461">
                  <c:v>43937</c:v>
                </c:pt>
                <c:pt idx="462">
                  <c:v>43944</c:v>
                </c:pt>
                <c:pt idx="463">
                  <c:v>43951</c:v>
                </c:pt>
                <c:pt idx="464">
                  <c:v>43958</c:v>
                </c:pt>
                <c:pt idx="465">
                  <c:v>43965</c:v>
                </c:pt>
                <c:pt idx="466">
                  <c:v>43972</c:v>
                </c:pt>
                <c:pt idx="467">
                  <c:v>43979</c:v>
                </c:pt>
                <c:pt idx="468">
                  <c:v>43986</c:v>
                </c:pt>
                <c:pt idx="469">
                  <c:v>43993</c:v>
                </c:pt>
                <c:pt idx="470">
                  <c:v>44000</c:v>
                </c:pt>
                <c:pt idx="471">
                  <c:v>44007</c:v>
                </c:pt>
                <c:pt idx="472">
                  <c:v>44014</c:v>
                </c:pt>
                <c:pt idx="473">
                  <c:v>44021</c:v>
                </c:pt>
                <c:pt idx="474">
                  <c:v>44028</c:v>
                </c:pt>
                <c:pt idx="475">
                  <c:v>44035</c:v>
                </c:pt>
                <c:pt idx="476">
                  <c:v>44042</c:v>
                </c:pt>
                <c:pt idx="477">
                  <c:v>44049</c:v>
                </c:pt>
                <c:pt idx="478">
                  <c:v>44056</c:v>
                </c:pt>
                <c:pt idx="479">
                  <c:v>44063</c:v>
                </c:pt>
                <c:pt idx="480">
                  <c:v>44070</c:v>
                </c:pt>
                <c:pt idx="481">
                  <c:v>44077</c:v>
                </c:pt>
                <c:pt idx="482">
                  <c:v>44084</c:v>
                </c:pt>
                <c:pt idx="483">
                  <c:v>44091</c:v>
                </c:pt>
                <c:pt idx="484">
                  <c:v>44098</c:v>
                </c:pt>
                <c:pt idx="485">
                  <c:v>44105</c:v>
                </c:pt>
                <c:pt idx="486">
                  <c:v>44112</c:v>
                </c:pt>
                <c:pt idx="487">
                  <c:v>44119</c:v>
                </c:pt>
                <c:pt idx="488">
                  <c:v>44126</c:v>
                </c:pt>
                <c:pt idx="489">
                  <c:v>44133</c:v>
                </c:pt>
                <c:pt idx="490">
                  <c:v>44140</c:v>
                </c:pt>
                <c:pt idx="491">
                  <c:v>44147</c:v>
                </c:pt>
                <c:pt idx="492">
                  <c:v>44154</c:v>
                </c:pt>
                <c:pt idx="493">
                  <c:v>44161</c:v>
                </c:pt>
                <c:pt idx="494">
                  <c:v>44168</c:v>
                </c:pt>
                <c:pt idx="495">
                  <c:v>44175</c:v>
                </c:pt>
                <c:pt idx="496">
                  <c:v>44182</c:v>
                </c:pt>
                <c:pt idx="497">
                  <c:v>44189</c:v>
                </c:pt>
                <c:pt idx="498">
                  <c:v>44196</c:v>
                </c:pt>
                <c:pt idx="499">
                  <c:v>44203</c:v>
                </c:pt>
                <c:pt idx="500">
                  <c:v>44210</c:v>
                </c:pt>
                <c:pt idx="501">
                  <c:v>44217</c:v>
                </c:pt>
                <c:pt idx="502">
                  <c:v>44224</c:v>
                </c:pt>
                <c:pt idx="503">
                  <c:v>44231</c:v>
                </c:pt>
                <c:pt idx="504">
                  <c:v>44238</c:v>
                </c:pt>
                <c:pt idx="505">
                  <c:v>44245</c:v>
                </c:pt>
                <c:pt idx="506">
                  <c:v>44252</c:v>
                </c:pt>
                <c:pt idx="507">
                  <c:v>44259</c:v>
                </c:pt>
                <c:pt idx="508">
                  <c:v>44266</c:v>
                </c:pt>
                <c:pt idx="509">
                  <c:v>44273</c:v>
                </c:pt>
                <c:pt idx="510">
                  <c:v>44280</c:v>
                </c:pt>
                <c:pt idx="511">
                  <c:v>44287</c:v>
                </c:pt>
                <c:pt idx="512">
                  <c:v>44294</c:v>
                </c:pt>
                <c:pt idx="513">
                  <c:v>44301</c:v>
                </c:pt>
                <c:pt idx="514">
                  <c:v>44308</c:v>
                </c:pt>
                <c:pt idx="515">
                  <c:v>44315</c:v>
                </c:pt>
                <c:pt idx="516">
                  <c:v>44322</c:v>
                </c:pt>
                <c:pt idx="517">
                  <c:v>44329</c:v>
                </c:pt>
                <c:pt idx="518">
                  <c:v>44336</c:v>
                </c:pt>
                <c:pt idx="519">
                  <c:v>44343</c:v>
                </c:pt>
                <c:pt idx="520">
                  <c:v>44350</c:v>
                </c:pt>
                <c:pt idx="521">
                  <c:v>44357</c:v>
                </c:pt>
                <c:pt idx="522">
                  <c:v>44364</c:v>
                </c:pt>
                <c:pt idx="523">
                  <c:v>44371</c:v>
                </c:pt>
                <c:pt idx="524">
                  <c:v>44378</c:v>
                </c:pt>
                <c:pt idx="525">
                  <c:v>44385</c:v>
                </c:pt>
                <c:pt idx="526">
                  <c:v>44392</c:v>
                </c:pt>
                <c:pt idx="527">
                  <c:v>44399</c:v>
                </c:pt>
                <c:pt idx="528">
                  <c:v>44406</c:v>
                </c:pt>
                <c:pt idx="529">
                  <c:v>44413</c:v>
                </c:pt>
                <c:pt idx="530">
                  <c:v>44420</c:v>
                </c:pt>
                <c:pt idx="531">
                  <c:v>44427</c:v>
                </c:pt>
                <c:pt idx="532">
                  <c:v>44434</c:v>
                </c:pt>
                <c:pt idx="533">
                  <c:v>44441</c:v>
                </c:pt>
                <c:pt idx="534">
                  <c:v>44448</c:v>
                </c:pt>
                <c:pt idx="535">
                  <c:v>44455</c:v>
                </c:pt>
                <c:pt idx="536">
                  <c:v>44462</c:v>
                </c:pt>
                <c:pt idx="537">
                  <c:v>44469</c:v>
                </c:pt>
                <c:pt idx="538">
                  <c:v>44476</c:v>
                </c:pt>
                <c:pt idx="539">
                  <c:v>44483</c:v>
                </c:pt>
                <c:pt idx="540">
                  <c:v>44490</c:v>
                </c:pt>
                <c:pt idx="541">
                  <c:v>44497</c:v>
                </c:pt>
                <c:pt idx="542">
                  <c:v>44504</c:v>
                </c:pt>
                <c:pt idx="543">
                  <c:v>44511</c:v>
                </c:pt>
                <c:pt idx="544">
                  <c:v>44518</c:v>
                </c:pt>
                <c:pt idx="545">
                  <c:v>44525</c:v>
                </c:pt>
                <c:pt idx="546">
                  <c:v>44532</c:v>
                </c:pt>
                <c:pt idx="547">
                  <c:v>44539</c:v>
                </c:pt>
                <c:pt idx="548">
                  <c:v>44546</c:v>
                </c:pt>
                <c:pt idx="549">
                  <c:v>44553</c:v>
                </c:pt>
                <c:pt idx="550">
                  <c:v>44560</c:v>
                </c:pt>
                <c:pt idx="551">
                  <c:v>44567</c:v>
                </c:pt>
                <c:pt idx="552">
                  <c:v>44574</c:v>
                </c:pt>
                <c:pt idx="553">
                  <c:v>44581</c:v>
                </c:pt>
                <c:pt idx="554">
                  <c:v>44588</c:v>
                </c:pt>
                <c:pt idx="555">
                  <c:v>44595</c:v>
                </c:pt>
                <c:pt idx="556">
                  <c:v>44602</c:v>
                </c:pt>
                <c:pt idx="557">
                  <c:v>44609</c:v>
                </c:pt>
                <c:pt idx="558">
                  <c:v>44616</c:v>
                </c:pt>
                <c:pt idx="559">
                  <c:v>44623</c:v>
                </c:pt>
                <c:pt idx="560">
                  <c:v>44630</c:v>
                </c:pt>
                <c:pt idx="561">
                  <c:v>44637</c:v>
                </c:pt>
                <c:pt idx="562">
                  <c:v>44644</c:v>
                </c:pt>
                <c:pt idx="563">
                  <c:v>44651</c:v>
                </c:pt>
                <c:pt idx="564">
                  <c:v>44658</c:v>
                </c:pt>
                <c:pt idx="565">
                  <c:v>44665</c:v>
                </c:pt>
                <c:pt idx="566">
                  <c:v>44672</c:v>
                </c:pt>
                <c:pt idx="567">
                  <c:v>44679</c:v>
                </c:pt>
                <c:pt idx="568">
                  <c:v>44686</c:v>
                </c:pt>
                <c:pt idx="569">
                  <c:v>44693</c:v>
                </c:pt>
                <c:pt idx="570">
                  <c:v>44700</c:v>
                </c:pt>
                <c:pt idx="571">
                  <c:v>44707</c:v>
                </c:pt>
                <c:pt idx="572">
                  <c:v>44714</c:v>
                </c:pt>
                <c:pt idx="573">
                  <c:v>44721</c:v>
                </c:pt>
                <c:pt idx="574">
                  <c:v>44728</c:v>
                </c:pt>
                <c:pt idx="575">
                  <c:v>44735</c:v>
                </c:pt>
                <c:pt idx="576">
                  <c:v>44742</c:v>
                </c:pt>
                <c:pt idx="577">
                  <c:v>44749</c:v>
                </c:pt>
                <c:pt idx="578">
                  <c:v>44756</c:v>
                </c:pt>
                <c:pt idx="579">
                  <c:v>44763</c:v>
                </c:pt>
                <c:pt idx="580">
                  <c:v>44770</c:v>
                </c:pt>
                <c:pt idx="581">
                  <c:v>44777</c:v>
                </c:pt>
                <c:pt idx="582">
                  <c:v>44784</c:v>
                </c:pt>
                <c:pt idx="583">
                  <c:v>44791</c:v>
                </c:pt>
                <c:pt idx="584">
                  <c:v>44798</c:v>
                </c:pt>
                <c:pt idx="585">
                  <c:v>44805</c:v>
                </c:pt>
                <c:pt idx="586">
                  <c:v>44812</c:v>
                </c:pt>
                <c:pt idx="587">
                  <c:v>44819</c:v>
                </c:pt>
                <c:pt idx="588">
                  <c:v>44826</c:v>
                </c:pt>
                <c:pt idx="589">
                  <c:v>44833</c:v>
                </c:pt>
                <c:pt idx="590">
                  <c:v>44840</c:v>
                </c:pt>
                <c:pt idx="591">
                  <c:v>44847</c:v>
                </c:pt>
                <c:pt idx="592">
                  <c:v>44854</c:v>
                </c:pt>
                <c:pt idx="593">
                  <c:v>44861</c:v>
                </c:pt>
                <c:pt idx="594">
                  <c:v>44868</c:v>
                </c:pt>
                <c:pt idx="595">
                  <c:v>44875</c:v>
                </c:pt>
                <c:pt idx="596">
                  <c:v>44882</c:v>
                </c:pt>
                <c:pt idx="597">
                  <c:v>44889</c:v>
                </c:pt>
                <c:pt idx="598">
                  <c:v>44896</c:v>
                </c:pt>
                <c:pt idx="599">
                  <c:v>44903</c:v>
                </c:pt>
                <c:pt idx="600">
                  <c:v>44910</c:v>
                </c:pt>
                <c:pt idx="601">
                  <c:v>44917</c:v>
                </c:pt>
                <c:pt idx="602">
                  <c:v>44924</c:v>
                </c:pt>
                <c:pt idx="603">
                  <c:v>44931</c:v>
                </c:pt>
                <c:pt idx="604">
                  <c:v>44938</c:v>
                </c:pt>
                <c:pt idx="605">
                  <c:v>44945</c:v>
                </c:pt>
                <c:pt idx="606">
                  <c:v>44952</c:v>
                </c:pt>
                <c:pt idx="607">
                  <c:v>44959</c:v>
                </c:pt>
                <c:pt idx="608">
                  <c:v>44966</c:v>
                </c:pt>
                <c:pt idx="609">
                  <c:v>44973</c:v>
                </c:pt>
                <c:pt idx="610">
                  <c:v>44980</c:v>
                </c:pt>
                <c:pt idx="611">
                  <c:v>44987</c:v>
                </c:pt>
                <c:pt idx="612">
                  <c:v>44994</c:v>
                </c:pt>
                <c:pt idx="613">
                  <c:v>45001</c:v>
                </c:pt>
                <c:pt idx="614">
                  <c:v>45008</c:v>
                </c:pt>
                <c:pt idx="615">
                  <c:v>45015</c:v>
                </c:pt>
                <c:pt idx="616">
                  <c:v>45022</c:v>
                </c:pt>
                <c:pt idx="617">
                  <c:v>45029</c:v>
                </c:pt>
                <c:pt idx="618">
                  <c:v>45036</c:v>
                </c:pt>
                <c:pt idx="619">
                  <c:v>45043</c:v>
                </c:pt>
                <c:pt idx="620">
                  <c:v>45050</c:v>
                </c:pt>
                <c:pt idx="621">
                  <c:v>45057</c:v>
                </c:pt>
                <c:pt idx="622">
                  <c:v>45064</c:v>
                </c:pt>
                <c:pt idx="623">
                  <c:v>45071</c:v>
                </c:pt>
                <c:pt idx="624">
                  <c:v>45078</c:v>
                </c:pt>
                <c:pt idx="625">
                  <c:v>45085</c:v>
                </c:pt>
                <c:pt idx="626">
                  <c:v>45092</c:v>
                </c:pt>
                <c:pt idx="627">
                  <c:v>45099</c:v>
                </c:pt>
                <c:pt idx="628">
                  <c:v>45106</c:v>
                </c:pt>
                <c:pt idx="629">
                  <c:v>45113</c:v>
                </c:pt>
                <c:pt idx="630">
                  <c:v>45120</c:v>
                </c:pt>
                <c:pt idx="631">
                  <c:v>45127</c:v>
                </c:pt>
                <c:pt idx="632">
                  <c:v>45134</c:v>
                </c:pt>
                <c:pt idx="633">
                  <c:v>45141</c:v>
                </c:pt>
                <c:pt idx="634">
                  <c:v>45148</c:v>
                </c:pt>
                <c:pt idx="635">
                  <c:v>45155</c:v>
                </c:pt>
                <c:pt idx="636">
                  <c:v>45162</c:v>
                </c:pt>
                <c:pt idx="637">
                  <c:v>45169</c:v>
                </c:pt>
                <c:pt idx="638">
                  <c:v>45176</c:v>
                </c:pt>
                <c:pt idx="639">
                  <c:v>45183</c:v>
                </c:pt>
                <c:pt idx="640">
                  <c:v>45190</c:v>
                </c:pt>
                <c:pt idx="641">
                  <c:v>45197</c:v>
                </c:pt>
                <c:pt idx="642">
                  <c:v>45204</c:v>
                </c:pt>
                <c:pt idx="643">
                  <c:v>45211</c:v>
                </c:pt>
                <c:pt idx="644">
                  <c:v>45218</c:v>
                </c:pt>
                <c:pt idx="645">
                  <c:v>45225</c:v>
                </c:pt>
                <c:pt idx="646">
                  <c:v>45232</c:v>
                </c:pt>
                <c:pt idx="647">
                  <c:v>45239</c:v>
                </c:pt>
                <c:pt idx="648">
                  <c:v>45246</c:v>
                </c:pt>
                <c:pt idx="649">
                  <c:v>45253</c:v>
                </c:pt>
                <c:pt idx="650">
                  <c:v>45260</c:v>
                </c:pt>
                <c:pt idx="651">
                  <c:v>45267</c:v>
                </c:pt>
                <c:pt idx="652">
                  <c:v>45274</c:v>
                </c:pt>
                <c:pt idx="653">
                  <c:v>45281</c:v>
                </c:pt>
                <c:pt idx="654">
                  <c:v>45289</c:v>
                </c:pt>
                <c:pt idx="655">
                  <c:v>45296</c:v>
                </c:pt>
                <c:pt idx="656">
                  <c:v>45303</c:v>
                </c:pt>
                <c:pt idx="657">
                  <c:v>45310</c:v>
                </c:pt>
                <c:pt idx="658">
                  <c:v>45317</c:v>
                </c:pt>
                <c:pt idx="659">
                  <c:v>45324</c:v>
                </c:pt>
                <c:pt idx="660">
                  <c:v>45331</c:v>
                </c:pt>
                <c:pt idx="661">
                  <c:v>45338</c:v>
                </c:pt>
                <c:pt idx="662">
                  <c:v>45345</c:v>
                </c:pt>
                <c:pt idx="663">
                  <c:v>45352</c:v>
                </c:pt>
                <c:pt idx="664">
                  <c:v>45359</c:v>
                </c:pt>
                <c:pt idx="665">
                  <c:v>45366</c:v>
                </c:pt>
                <c:pt idx="666">
                  <c:v>45373</c:v>
                </c:pt>
                <c:pt idx="667">
                  <c:v>45384</c:v>
                </c:pt>
                <c:pt idx="668">
                  <c:v>45387</c:v>
                </c:pt>
                <c:pt idx="669">
                  <c:v>45394</c:v>
                </c:pt>
                <c:pt idx="670">
                  <c:v>45401</c:v>
                </c:pt>
                <c:pt idx="671">
                  <c:v>45408</c:v>
                </c:pt>
                <c:pt idx="672">
                  <c:v>45418</c:v>
                </c:pt>
                <c:pt idx="673">
                  <c:v>45425</c:v>
                </c:pt>
                <c:pt idx="674">
                  <c:v>45432</c:v>
                </c:pt>
                <c:pt idx="675">
                  <c:v>45439</c:v>
                </c:pt>
                <c:pt idx="676">
                  <c:v>45446</c:v>
                </c:pt>
                <c:pt idx="677">
                  <c:v>45453</c:v>
                </c:pt>
                <c:pt idx="678">
                  <c:v>45460</c:v>
                </c:pt>
                <c:pt idx="679">
                  <c:v>45467</c:v>
                </c:pt>
                <c:pt idx="680">
                  <c:v>45474</c:v>
                </c:pt>
                <c:pt idx="681">
                  <c:v>45481</c:v>
                </c:pt>
                <c:pt idx="682">
                  <c:v>45488</c:v>
                </c:pt>
                <c:pt idx="683">
                  <c:v>45495</c:v>
                </c:pt>
                <c:pt idx="684">
                  <c:v>45502</c:v>
                </c:pt>
                <c:pt idx="685">
                  <c:v>45509</c:v>
                </c:pt>
                <c:pt idx="686">
                  <c:v>45516</c:v>
                </c:pt>
                <c:pt idx="687">
                  <c:v>45523</c:v>
                </c:pt>
                <c:pt idx="688">
                  <c:v>45530</c:v>
                </c:pt>
                <c:pt idx="689">
                  <c:v>45537</c:v>
                </c:pt>
                <c:pt idx="690">
                  <c:v>45544</c:v>
                </c:pt>
                <c:pt idx="691">
                  <c:v>45551</c:v>
                </c:pt>
                <c:pt idx="692">
                  <c:v>45558</c:v>
                </c:pt>
                <c:pt idx="693">
                  <c:v>45565</c:v>
                </c:pt>
                <c:pt idx="694">
                  <c:v>45572</c:v>
                </c:pt>
                <c:pt idx="695">
                  <c:v>45579</c:v>
                </c:pt>
                <c:pt idx="696">
                  <c:v>45586</c:v>
                </c:pt>
                <c:pt idx="697">
                  <c:v>45593</c:v>
                </c:pt>
                <c:pt idx="698">
                  <c:v>45600</c:v>
                </c:pt>
                <c:pt idx="699">
                  <c:v>45607</c:v>
                </c:pt>
                <c:pt idx="700">
                  <c:v>45614</c:v>
                </c:pt>
                <c:pt idx="701">
                  <c:v>45621</c:v>
                </c:pt>
                <c:pt idx="702">
                  <c:v>45628</c:v>
                </c:pt>
                <c:pt idx="703">
                  <c:v>45635</c:v>
                </c:pt>
                <c:pt idx="704">
                  <c:v>45642</c:v>
                </c:pt>
                <c:pt idx="705">
                  <c:v>45649</c:v>
                </c:pt>
                <c:pt idx="706">
                  <c:v>45657</c:v>
                </c:pt>
                <c:pt idx="707">
                  <c:v>45664</c:v>
                </c:pt>
                <c:pt idx="708">
                  <c:v>45671</c:v>
                </c:pt>
                <c:pt idx="709">
                  <c:v>45678</c:v>
                </c:pt>
                <c:pt idx="710">
                  <c:v>45685</c:v>
                </c:pt>
                <c:pt idx="711">
                  <c:v>45692</c:v>
                </c:pt>
                <c:pt idx="712">
                  <c:v>45699</c:v>
                </c:pt>
                <c:pt idx="713">
                  <c:v>45706</c:v>
                </c:pt>
                <c:pt idx="714">
                  <c:v>45713</c:v>
                </c:pt>
                <c:pt idx="715">
                  <c:v>45720</c:v>
                </c:pt>
                <c:pt idx="716">
                  <c:v>45727</c:v>
                </c:pt>
                <c:pt idx="717">
                  <c:v>45734</c:v>
                </c:pt>
                <c:pt idx="718">
                  <c:v>45741</c:v>
                </c:pt>
                <c:pt idx="719">
                  <c:v>45748</c:v>
                </c:pt>
                <c:pt idx="720">
                  <c:v>45755</c:v>
                </c:pt>
                <c:pt idx="721">
                  <c:v>45762</c:v>
                </c:pt>
                <c:pt idx="722">
                  <c:v>45771</c:v>
                </c:pt>
                <c:pt idx="723">
                  <c:v>45779</c:v>
                </c:pt>
                <c:pt idx="724">
                  <c:v>45785</c:v>
                </c:pt>
                <c:pt idx="725">
                  <c:v>45792</c:v>
                </c:pt>
                <c:pt idx="726">
                  <c:v>45825</c:v>
                </c:pt>
                <c:pt idx="727">
                  <c:v>45854</c:v>
                </c:pt>
                <c:pt idx="728">
                  <c:v>45887</c:v>
                </c:pt>
                <c:pt idx="729">
                  <c:v>45917</c:v>
                </c:pt>
                <c:pt idx="730">
                  <c:v>45947</c:v>
                </c:pt>
                <c:pt idx="731">
                  <c:v>45980</c:v>
                </c:pt>
                <c:pt idx="732">
                  <c:v>46010</c:v>
                </c:pt>
                <c:pt idx="733">
                  <c:v>46043</c:v>
                </c:pt>
                <c:pt idx="734">
                  <c:v>46076</c:v>
                </c:pt>
                <c:pt idx="735">
                  <c:v>46104</c:v>
                </c:pt>
                <c:pt idx="736">
                  <c:v>46134</c:v>
                </c:pt>
                <c:pt idx="737">
                  <c:v>46164</c:v>
                </c:pt>
                <c:pt idx="738">
                  <c:v>46197</c:v>
                </c:pt>
                <c:pt idx="739">
                  <c:v>46227</c:v>
                </c:pt>
                <c:pt idx="740">
                  <c:v>46260</c:v>
                </c:pt>
                <c:pt idx="741">
                  <c:v>46293</c:v>
                </c:pt>
                <c:pt idx="742">
                  <c:v>46323</c:v>
                </c:pt>
                <c:pt idx="743">
                  <c:v>46356</c:v>
                </c:pt>
                <c:pt idx="744">
                  <c:v>46386</c:v>
                </c:pt>
                <c:pt idx="745">
                  <c:v>46419</c:v>
                </c:pt>
                <c:pt idx="746">
                  <c:v>46449</c:v>
                </c:pt>
                <c:pt idx="747">
                  <c:v>46482</c:v>
                </c:pt>
                <c:pt idx="748">
                  <c:v>46512</c:v>
                </c:pt>
                <c:pt idx="749">
                  <c:v>46545</c:v>
                </c:pt>
                <c:pt idx="750">
                  <c:v>46575</c:v>
                </c:pt>
                <c:pt idx="751">
                  <c:v>46608</c:v>
                </c:pt>
                <c:pt idx="752">
                  <c:v>46638</c:v>
                </c:pt>
                <c:pt idx="753">
                  <c:v>46668</c:v>
                </c:pt>
                <c:pt idx="754">
                  <c:v>46701</c:v>
                </c:pt>
                <c:pt idx="755">
                  <c:v>46731</c:v>
                </c:pt>
                <c:pt idx="756">
                  <c:v>46764</c:v>
                </c:pt>
                <c:pt idx="757">
                  <c:v>46797</c:v>
                </c:pt>
                <c:pt idx="758">
                  <c:v>46826</c:v>
                </c:pt>
                <c:pt idx="759">
                  <c:v>46855</c:v>
                </c:pt>
                <c:pt idx="760">
                  <c:v>46885</c:v>
                </c:pt>
                <c:pt idx="761">
                  <c:v>46918</c:v>
                </c:pt>
                <c:pt idx="762">
                  <c:v>46948</c:v>
                </c:pt>
                <c:pt idx="763">
                  <c:v>46981</c:v>
                </c:pt>
                <c:pt idx="764">
                  <c:v>47014</c:v>
                </c:pt>
                <c:pt idx="765">
                  <c:v>47044</c:v>
                </c:pt>
                <c:pt idx="766">
                  <c:v>47077</c:v>
                </c:pt>
                <c:pt idx="767">
                  <c:v>47107</c:v>
                </c:pt>
                <c:pt idx="768">
                  <c:v>47140</c:v>
                </c:pt>
                <c:pt idx="769">
                  <c:v>47170</c:v>
                </c:pt>
                <c:pt idx="770">
                  <c:v>47198</c:v>
                </c:pt>
                <c:pt idx="771">
                  <c:v>47231</c:v>
                </c:pt>
                <c:pt idx="772">
                  <c:v>47261</c:v>
                </c:pt>
                <c:pt idx="773">
                  <c:v>47294</c:v>
                </c:pt>
                <c:pt idx="774">
                  <c:v>47324</c:v>
                </c:pt>
                <c:pt idx="775">
                  <c:v>47357</c:v>
                </c:pt>
                <c:pt idx="776">
                  <c:v>47387</c:v>
                </c:pt>
                <c:pt idx="777">
                  <c:v>47417</c:v>
                </c:pt>
                <c:pt idx="778">
                  <c:v>47450</c:v>
                </c:pt>
                <c:pt idx="779">
                  <c:v>47483</c:v>
                </c:pt>
                <c:pt idx="780">
                  <c:v>47513</c:v>
                </c:pt>
                <c:pt idx="781">
                  <c:v>47546</c:v>
                </c:pt>
                <c:pt idx="782">
                  <c:v>47574</c:v>
                </c:pt>
                <c:pt idx="783">
                  <c:v>47605</c:v>
                </c:pt>
                <c:pt idx="784">
                  <c:v>47634</c:v>
                </c:pt>
                <c:pt idx="785">
                  <c:v>47667</c:v>
                </c:pt>
                <c:pt idx="786">
                  <c:v>47700</c:v>
                </c:pt>
                <c:pt idx="787">
                  <c:v>47730</c:v>
                </c:pt>
                <c:pt idx="788">
                  <c:v>47760</c:v>
                </c:pt>
                <c:pt idx="789">
                  <c:v>47793</c:v>
                </c:pt>
                <c:pt idx="790">
                  <c:v>47823</c:v>
                </c:pt>
                <c:pt idx="791">
                  <c:v>47856</c:v>
                </c:pt>
                <c:pt idx="792">
                  <c:v>47889</c:v>
                </c:pt>
                <c:pt idx="793">
                  <c:v>47917</c:v>
                </c:pt>
                <c:pt idx="794">
                  <c:v>47947</c:v>
                </c:pt>
                <c:pt idx="795">
                  <c:v>47977</c:v>
                </c:pt>
                <c:pt idx="796">
                  <c:v>48010</c:v>
                </c:pt>
                <c:pt idx="797">
                  <c:v>48040</c:v>
                </c:pt>
                <c:pt idx="798">
                  <c:v>48073</c:v>
                </c:pt>
                <c:pt idx="799">
                  <c:v>48106</c:v>
                </c:pt>
                <c:pt idx="800">
                  <c:v>48136</c:v>
                </c:pt>
                <c:pt idx="801">
                  <c:v>48169</c:v>
                </c:pt>
                <c:pt idx="802">
                  <c:v>48199</c:v>
                </c:pt>
                <c:pt idx="803">
                  <c:v>48232</c:v>
                </c:pt>
                <c:pt idx="804">
                  <c:v>48262</c:v>
                </c:pt>
                <c:pt idx="805">
                  <c:v>48291</c:v>
                </c:pt>
                <c:pt idx="806">
                  <c:v>48324</c:v>
                </c:pt>
                <c:pt idx="807">
                  <c:v>48353</c:v>
                </c:pt>
                <c:pt idx="808">
                  <c:v>48386</c:v>
                </c:pt>
                <c:pt idx="809">
                  <c:v>48416</c:v>
                </c:pt>
                <c:pt idx="810">
                  <c:v>48449</c:v>
                </c:pt>
                <c:pt idx="811">
                  <c:v>48479</c:v>
                </c:pt>
                <c:pt idx="812">
                  <c:v>48509</c:v>
                </c:pt>
                <c:pt idx="813">
                  <c:v>48542</c:v>
                </c:pt>
                <c:pt idx="814">
                  <c:v>48572</c:v>
                </c:pt>
                <c:pt idx="815">
                  <c:v>48605</c:v>
                </c:pt>
                <c:pt idx="816">
                  <c:v>48638</c:v>
                </c:pt>
                <c:pt idx="817">
                  <c:v>48666</c:v>
                </c:pt>
                <c:pt idx="818">
                  <c:v>48696</c:v>
                </c:pt>
                <c:pt idx="819">
                  <c:v>48726</c:v>
                </c:pt>
                <c:pt idx="820">
                  <c:v>48759</c:v>
                </c:pt>
                <c:pt idx="821">
                  <c:v>48789</c:v>
                </c:pt>
                <c:pt idx="822">
                  <c:v>48822</c:v>
                </c:pt>
                <c:pt idx="823">
                  <c:v>48855</c:v>
                </c:pt>
                <c:pt idx="824">
                  <c:v>48885</c:v>
                </c:pt>
                <c:pt idx="825">
                  <c:v>48915</c:v>
                </c:pt>
                <c:pt idx="826">
                  <c:v>48947</c:v>
                </c:pt>
                <c:pt idx="827">
                  <c:v>48976</c:v>
                </c:pt>
                <c:pt idx="828">
                  <c:v>49005</c:v>
                </c:pt>
                <c:pt idx="829">
                  <c:v>49033</c:v>
                </c:pt>
                <c:pt idx="830">
                  <c:v>49067</c:v>
                </c:pt>
                <c:pt idx="831">
                  <c:v>49095</c:v>
                </c:pt>
                <c:pt idx="832">
                  <c:v>49128</c:v>
                </c:pt>
                <c:pt idx="833">
                  <c:v>49158</c:v>
                </c:pt>
                <c:pt idx="834">
                  <c:v>49191</c:v>
                </c:pt>
                <c:pt idx="835">
                  <c:v>49221</c:v>
                </c:pt>
                <c:pt idx="836">
                  <c:v>49254</c:v>
                </c:pt>
                <c:pt idx="837">
                  <c:v>49284</c:v>
                </c:pt>
                <c:pt idx="838">
                  <c:v>49317</c:v>
                </c:pt>
                <c:pt idx="839">
                  <c:v>49347</c:v>
                </c:pt>
                <c:pt idx="840">
                  <c:v>49375</c:v>
                </c:pt>
                <c:pt idx="841">
                  <c:v>49408</c:v>
                </c:pt>
                <c:pt idx="842">
                  <c:v>49438</c:v>
                </c:pt>
                <c:pt idx="843">
                  <c:v>49471</c:v>
                </c:pt>
                <c:pt idx="844">
                  <c:v>49501</c:v>
                </c:pt>
                <c:pt idx="845">
                  <c:v>49534</c:v>
                </c:pt>
                <c:pt idx="846">
                  <c:v>49564</c:v>
                </c:pt>
                <c:pt idx="847">
                  <c:v>49594</c:v>
                </c:pt>
                <c:pt idx="848">
                  <c:v>49627</c:v>
                </c:pt>
                <c:pt idx="849">
                  <c:v>49657</c:v>
                </c:pt>
                <c:pt idx="850">
                  <c:v>49690</c:v>
                </c:pt>
                <c:pt idx="851">
                  <c:v>49723</c:v>
                </c:pt>
                <c:pt idx="852">
                  <c:v>49752</c:v>
                </c:pt>
                <c:pt idx="853">
                  <c:v>49782</c:v>
                </c:pt>
                <c:pt idx="854">
                  <c:v>49814</c:v>
                </c:pt>
                <c:pt idx="855">
                  <c:v>49844</c:v>
                </c:pt>
                <c:pt idx="856">
                  <c:v>49874</c:v>
                </c:pt>
                <c:pt idx="857">
                  <c:v>49907</c:v>
                </c:pt>
                <c:pt idx="858">
                  <c:v>49940</c:v>
                </c:pt>
                <c:pt idx="859">
                  <c:v>49970</c:v>
                </c:pt>
                <c:pt idx="860">
                  <c:v>50003</c:v>
                </c:pt>
                <c:pt idx="861">
                  <c:v>50033</c:v>
                </c:pt>
                <c:pt idx="862">
                  <c:v>50066</c:v>
                </c:pt>
                <c:pt idx="863">
                  <c:v>50096</c:v>
                </c:pt>
                <c:pt idx="864">
                  <c:v>50124</c:v>
                </c:pt>
                <c:pt idx="865">
                  <c:v>50157</c:v>
                </c:pt>
                <c:pt idx="866">
                  <c:v>50187</c:v>
                </c:pt>
                <c:pt idx="867">
                  <c:v>50220</c:v>
                </c:pt>
                <c:pt idx="868">
                  <c:v>50250</c:v>
                </c:pt>
                <c:pt idx="869">
                  <c:v>50283</c:v>
                </c:pt>
                <c:pt idx="870">
                  <c:v>50313</c:v>
                </c:pt>
                <c:pt idx="871">
                  <c:v>50343</c:v>
                </c:pt>
                <c:pt idx="872">
                  <c:v>50376</c:v>
                </c:pt>
                <c:pt idx="873">
                  <c:v>50409</c:v>
                </c:pt>
                <c:pt idx="874">
                  <c:v>50439</c:v>
                </c:pt>
                <c:pt idx="875">
                  <c:v>50467</c:v>
                </c:pt>
                <c:pt idx="876">
                  <c:v>50500</c:v>
                </c:pt>
                <c:pt idx="877">
                  <c:v>50530</c:v>
                </c:pt>
                <c:pt idx="878">
                  <c:v>50563</c:v>
                </c:pt>
                <c:pt idx="879">
                  <c:v>50593</c:v>
                </c:pt>
                <c:pt idx="880">
                  <c:v>50626</c:v>
                </c:pt>
                <c:pt idx="881">
                  <c:v>50656</c:v>
                </c:pt>
                <c:pt idx="882">
                  <c:v>50686</c:v>
                </c:pt>
                <c:pt idx="883">
                  <c:v>50719</c:v>
                </c:pt>
                <c:pt idx="884">
                  <c:v>50749</c:v>
                </c:pt>
                <c:pt idx="885">
                  <c:v>50782</c:v>
                </c:pt>
                <c:pt idx="886">
                  <c:v>50815</c:v>
                </c:pt>
                <c:pt idx="887">
                  <c:v>50843</c:v>
                </c:pt>
                <c:pt idx="888">
                  <c:v>50874</c:v>
                </c:pt>
                <c:pt idx="889">
                  <c:v>50906</c:v>
                </c:pt>
                <c:pt idx="890">
                  <c:v>50936</c:v>
                </c:pt>
                <c:pt idx="891">
                  <c:v>50966</c:v>
                </c:pt>
                <c:pt idx="892">
                  <c:v>50999</c:v>
                </c:pt>
                <c:pt idx="893">
                  <c:v>51032</c:v>
                </c:pt>
                <c:pt idx="894">
                  <c:v>51062</c:v>
                </c:pt>
                <c:pt idx="895">
                  <c:v>51095</c:v>
                </c:pt>
                <c:pt idx="896">
                  <c:v>51125</c:v>
                </c:pt>
                <c:pt idx="897">
                  <c:v>51158</c:v>
                </c:pt>
                <c:pt idx="898">
                  <c:v>51188</c:v>
                </c:pt>
                <c:pt idx="899">
                  <c:v>51217</c:v>
                </c:pt>
                <c:pt idx="900">
                  <c:v>51250</c:v>
                </c:pt>
                <c:pt idx="901">
                  <c:v>51279</c:v>
                </c:pt>
                <c:pt idx="902">
                  <c:v>51312</c:v>
                </c:pt>
                <c:pt idx="903">
                  <c:v>51342</c:v>
                </c:pt>
                <c:pt idx="904">
                  <c:v>51375</c:v>
                </c:pt>
                <c:pt idx="905">
                  <c:v>51405</c:v>
                </c:pt>
                <c:pt idx="906">
                  <c:v>51435</c:v>
                </c:pt>
                <c:pt idx="907">
                  <c:v>51468</c:v>
                </c:pt>
                <c:pt idx="908">
                  <c:v>51501</c:v>
                </c:pt>
                <c:pt idx="909">
                  <c:v>51531</c:v>
                </c:pt>
                <c:pt idx="910">
                  <c:v>51564</c:v>
                </c:pt>
                <c:pt idx="911">
                  <c:v>51592</c:v>
                </c:pt>
                <c:pt idx="912">
                  <c:v>51623</c:v>
                </c:pt>
                <c:pt idx="913">
                  <c:v>51652</c:v>
                </c:pt>
                <c:pt idx="914">
                  <c:v>51685</c:v>
                </c:pt>
                <c:pt idx="915">
                  <c:v>51718</c:v>
                </c:pt>
                <c:pt idx="916">
                  <c:v>51748</c:v>
                </c:pt>
                <c:pt idx="917">
                  <c:v>51778</c:v>
                </c:pt>
                <c:pt idx="918">
                  <c:v>51811</c:v>
                </c:pt>
                <c:pt idx="919">
                  <c:v>51841</c:v>
                </c:pt>
                <c:pt idx="920">
                  <c:v>51874</c:v>
                </c:pt>
                <c:pt idx="921">
                  <c:v>51907</c:v>
                </c:pt>
                <c:pt idx="922">
                  <c:v>51935</c:v>
                </c:pt>
                <c:pt idx="923">
                  <c:v>51966</c:v>
                </c:pt>
                <c:pt idx="924">
                  <c:v>51998</c:v>
                </c:pt>
                <c:pt idx="925">
                  <c:v>52028</c:v>
                </c:pt>
                <c:pt idx="926">
                  <c:v>52058</c:v>
                </c:pt>
                <c:pt idx="927">
                  <c:v>52091</c:v>
                </c:pt>
                <c:pt idx="928">
                  <c:v>52124</c:v>
                </c:pt>
                <c:pt idx="929">
                  <c:v>52154</c:v>
                </c:pt>
                <c:pt idx="930">
                  <c:v>52187</c:v>
                </c:pt>
                <c:pt idx="931">
                  <c:v>52217</c:v>
                </c:pt>
                <c:pt idx="932">
                  <c:v>52250</c:v>
                </c:pt>
                <c:pt idx="933">
                  <c:v>52280</c:v>
                </c:pt>
                <c:pt idx="934">
                  <c:v>52308</c:v>
                </c:pt>
                <c:pt idx="935">
                  <c:v>52341</c:v>
                </c:pt>
                <c:pt idx="936">
                  <c:v>52371</c:v>
                </c:pt>
                <c:pt idx="937">
                  <c:v>52404</c:v>
                </c:pt>
                <c:pt idx="938">
                  <c:v>52434</c:v>
                </c:pt>
                <c:pt idx="939">
                  <c:v>52467</c:v>
                </c:pt>
                <c:pt idx="940">
                  <c:v>52497</c:v>
                </c:pt>
                <c:pt idx="941">
                  <c:v>52527</c:v>
                </c:pt>
                <c:pt idx="942">
                  <c:v>52560</c:v>
                </c:pt>
                <c:pt idx="943">
                  <c:v>52593</c:v>
                </c:pt>
                <c:pt idx="944">
                  <c:v>52623</c:v>
                </c:pt>
                <c:pt idx="945">
                  <c:v>52656</c:v>
                </c:pt>
                <c:pt idx="946">
                  <c:v>52685</c:v>
                </c:pt>
                <c:pt idx="947">
                  <c:v>52714</c:v>
                </c:pt>
                <c:pt idx="948">
                  <c:v>52744</c:v>
                </c:pt>
                <c:pt idx="949">
                  <c:v>52777</c:v>
                </c:pt>
                <c:pt idx="950">
                  <c:v>52807</c:v>
                </c:pt>
                <c:pt idx="951">
                  <c:v>52840</c:v>
                </c:pt>
                <c:pt idx="952">
                  <c:v>52873</c:v>
                </c:pt>
                <c:pt idx="953">
                  <c:v>52903</c:v>
                </c:pt>
                <c:pt idx="954">
                  <c:v>52933</c:v>
                </c:pt>
                <c:pt idx="955">
                  <c:v>52965</c:v>
                </c:pt>
                <c:pt idx="956">
                  <c:v>52994</c:v>
                </c:pt>
                <c:pt idx="957">
                  <c:v>53023</c:v>
                </c:pt>
                <c:pt idx="958">
                  <c:v>53051</c:v>
                </c:pt>
                <c:pt idx="959">
                  <c:v>53085</c:v>
                </c:pt>
                <c:pt idx="960">
                  <c:v>53113</c:v>
                </c:pt>
                <c:pt idx="961">
                  <c:v>53146</c:v>
                </c:pt>
                <c:pt idx="962">
                  <c:v>53176</c:v>
                </c:pt>
                <c:pt idx="963">
                  <c:v>53209</c:v>
                </c:pt>
                <c:pt idx="964">
                  <c:v>53239</c:v>
                </c:pt>
                <c:pt idx="965">
                  <c:v>53272</c:v>
                </c:pt>
                <c:pt idx="966">
                  <c:v>53302</c:v>
                </c:pt>
                <c:pt idx="967">
                  <c:v>53335</c:v>
                </c:pt>
                <c:pt idx="968">
                  <c:v>53365</c:v>
                </c:pt>
                <c:pt idx="969">
                  <c:v>53393</c:v>
                </c:pt>
                <c:pt idx="970">
                  <c:v>53426</c:v>
                </c:pt>
                <c:pt idx="971">
                  <c:v>53456</c:v>
                </c:pt>
                <c:pt idx="972">
                  <c:v>53489</c:v>
                </c:pt>
                <c:pt idx="973">
                  <c:v>53519</c:v>
                </c:pt>
                <c:pt idx="974">
                  <c:v>53552</c:v>
                </c:pt>
                <c:pt idx="975">
                  <c:v>53582</c:v>
                </c:pt>
                <c:pt idx="976">
                  <c:v>53612</c:v>
                </c:pt>
                <c:pt idx="977">
                  <c:v>53645</c:v>
                </c:pt>
                <c:pt idx="978">
                  <c:v>53675</c:v>
                </c:pt>
                <c:pt idx="979">
                  <c:v>53708</c:v>
                </c:pt>
                <c:pt idx="980">
                  <c:v>53741</c:v>
                </c:pt>
                <c:pt idx="981">
                  <c:v>53769</c:v>
                </c:pt>
                <c:pt idx="982">
                  <c:v>53800</c:v>
                </c:pt>
                <c:pt idx="983">
                  <c:v>53832</c:v>
                </c:pt>
                <c:pt idx="984">
                  <c:v>53862</c:v>
                </c:pt>
                <c:pt idx="985">
                  <c:v>53892</c:v>
                </c:pt>
                <c:pt idx="986">
                  <c:v>53925</c:v>
                </c:pt>
                <c:pt idx="987">
                  <c:v>53958</c:v>
                </c:pt>
                <c:pt idx="988">
                  <c:v>53988</c:v>
                </c:pt>
                <c:pt idx="989">
                  <c:v>54021</c:v>
                </c:pt>
                <c:pt idx="990">
                  <c:v>54053</c:v>
                </c:pt>
                <c:pt idx="991">
                  <c:v>54084</c:v>
                </c:pt>
                <c:pt idx="992">
                  <c:v>54114</c:v>
                </c:pt>
                <c:pt idx="993">
                  <c:v>54143</c:v>
                </c:pt>
                <c:pt idx="994">
                  <c:v>54176</c:v>
                </c:pt>
                <c:pt idx="995">
                  <c:v>54205</c:v>
                </c:pt>
                <c:pt idx="996">
                  <c:v>54238</c:v>
                </c:pt>
                <c:pt idx="997">
                  <c:v>54268</c:v>
                </c:pt>
                <c:pt idx="998">
                  <c:v>54301</c:v>
                </c:pt>
                <c:pt idx="999">
                  <c:v>54331</c:v>
                </c:pt>
                <c:pt idx="1000">
                  <c:v>54361</c:v>
                </c:pt>
                <c:pt idx="1001">
                  <c:v>54394</c:v>
                </c:pt>
                <c:pt idx="1002">
                  <c:v>54427</c:v>
                </c:pt>
                <c:pt idx="1003">
                  <c:v>54457</c:v>
                </c:pt>
                <c:pt idx="1004">
                  <c:v>54485</c:v>
                </c:pt>
                <c:pt idx="1005">
                  <c:v>54518</c:v>
                </c:pt>
                <c:pt idx="1006">
                  <c:v>54548</c:v>
                </c:pt>
                <c:pt idx="1007">
                  <c:v>54581</c:v>
                </c:pt>
                <c:pt idx="1008">
                  <c:v>54611</c:v>
                </c:pt>
                <c:pt idx="1009">
                  <c:v>54644</c:v>
                </c:pt>
                <c:pt idx="1010">
                  <c:v>54674</c:v>
                </c:pt>
                <c:pt idx="1011">
                  <c:v>54704</c:v>
                </c:pt>
                <c:pt idx="1012">
                  <c:v>54737</c:v>
                </c:pt>
                <c:pt idx="1013">
                  <c:v>54767</c:v>
                </c:pt>
                <c:pt idx="1014">
                  <c:v>54800</c:v>
                </c:pt>
                <c:pt idx="1015">
                  <c:v>54833</c:v>
                </c:pt>
                <c:pt idx="1016">
                  <c:v>54861</c:v>
                </c:pt>
                <c:pt idx="1017">
                  <c:v>54892</c:v>
                </c:pt>
                <c:pt idx="1018">
                  <c:v>54924</c:v>
                </c:pt>
                <c:pt idx="1019">
                  <c:v>54954</c:v>
                </c:pt>
                <c:pt idx="1020">
                  <c:v>54984</c:v>
                </c:pt>
                <c:pt idx="1021">
                  <c:v>55017</c:v>
                </c:pt>
                <c:pt idx="1022">
                  <c:v>55050</c:v>
                </c:pt>
                <c:pt idx="1023">
                  <c:v>55080</c:v>
                </c:pt>
                <c:pt idx="1024">
                  <c:v>55113</c:v>
                </c:pt>
                <c:pt idx="1025">
                  <c:v>55143</c:v>
                </c:pt>
                <c:pt idx="1026">
                  <c:v>55176</c:v>
                </c:pt>
                <c:pt idx="1027">
                  <c:v>55206</c:v>
                </c:pt>
                <c:pt idx="1028">
                  <c:v>55234</c:v>
                </c:pt>
                <c:pt idx="1029">
                  <c:v>55267</c:v>
                </c:pt>
                <c:pt idx="1030">
                  <c:v>55297</c:v>
                </c:pt>
                <c:pt idx="1031">
                  <c:v>55330</c:v>
                </c:pt>
                <c:pt idx="1032">
                  <c:v>55360</c:v>
                </c:pt>
                <c:pt idx="1033">
                  <c:v>55393</c:v>
                </c:pt>
                <c:pt idx="1034">
                  <c:v>55423</c:v>
                </c:pt>
                <c:pt idx="1035">
                  <c:v>55453</c:v>
                </c:pt>
                <c:pt idx="1036">
                  <c:v>55486</c:v>
                </c:pt>
                <c:pt idx="1037">
                  <c:v>55516</c:v>
                </c:pt>
                <c:pt idx="1038">
                  <c:v>55549</c:v>
                </c:pt>
                <c:pt idx="1039">
                  <c:v>55582</c:v>
                </c:pt>
                <c:pt idx="1040">
                  <c:v>55611</c:v>
                </c:pt>
                <c:pt idx="1041">
                  <c:v>55641</c:v>
                </c:pt>
                <c:pt idx="1042">
                  <c:v>55670</c:v>
                </c:pt>
                <c:pt idx="1043">
                  <c:v>55703</c:v>
                </c:pt>
                <c:pt idx="1044">
                  <c:v>55736</c:v>
                </c:pt>
                <c:pt idx="1045">
                  <c:v>55766</c:v>
                </c:pt>
                <c:pt idx="1046">
                  <c:v>55796</c:v>
                </c:pt>
                <c:pt idx="1047">
                  <c:v>55829</c:v>
                </c:pt>
                <c:pt idx="1048">
                  <c:v>55859</c:v>
                </c:pt>
                <c:pt idx="1049">
                  <c:v>55892</c:v>
                </c:pt>
                <c:pt idx="1050">
                  <c:v>55925</c:v>
                </c:pt>
                <c:pt idx="1051">
                  <c:v>55953</c:v>
                </c:pt>
                <c:pt idx="1052">
                  <c:v>55984</c:v>
                </c:pt>
                <c:pt idx="1053">
                  <c:v>56016</c:v>
                </c:pt>
                <c:pt idx="1054">
                  <c:v>56046</c:v>
                </c:pt>
                <c:pt idx="1055">
                  <c:v>56076</c:v>
                </c:pt>
                <c:pt idx="1056">
                  <c:v>56109</c:v>
                </c:pt>
                <c:pt idx="1057">
                  <c:v>56142</c:v>
                </c:pt>
                <c:pt idx="1058">
                  <c:v>56172</c:v>
                </c:pt>
                <c:pt idx="1059">
                  <c:v>56205</c:v>
                </c:pt>
                <c:pt idx="1060">
                  <c:v>56235</c:v>
                </c:pt>
                <c:pt idx="1061">
                  <c:v>56268</c:v>
                </c:pt>
                <c:pt idx="1062">
                  <c:v>56298</c:v>
                </c:pt>
                <c:pt idx="1063">
                  <c:v>56326</c:v>
                </c:pt>
                <c:pt idx="1064">
                  <c:v>56359</c:v>
                </c:pt>
                <c:pt idx="1065">
                  <c:v>56389</c:v>
                </c:pt>
                <c:pt idx="1066">
                  <c:v>56422</c:v>
                </c:pt>
                <c:pt idx="1067">
                  <c:v>56452</c:v>
                </c:pt>
                <c:pt idx="1068">
                  <c:v>56485</c:v>
                </c:pt>
                <c:pt idx="1069">
                  <c:v>56515</c:v>
                </c:pt>
                <c:pt idx="1070">
                  <c:v>56545</c:v>
                </c:pt>
                <c:pt idx="1071">
                  <c:v>56578</c:v>
                </c:pt>
                <c:pt idx="1072">
                  <c:v>56611</c:v>
                </c:pt>
                <c:pt idx="1073">
                  <c:v>56641</c:v>
                </c:pt>
                <c:pt idx="1074">
                  <c:v>56674</c:v>
                </c:pt>
                <c:pt idx="1075">
                  <c:v>56702</c:v>
                </c:pt>
                <c:pt idx="1076">
                  <c:v>56732</c:v>
                </c:pt>
                <c:pt idx="1077">
                  <c:v>56762</c:v>
                </c:pt>
                <c:pt idx="1078">
                  <c:v>56795</c:v>
                </c:pt>
                <c:pt idx="1079">
                  <c:v>56825</c:v>
                </c:pt>
                <c:pt idx="1080">
                  <c:v>56858</c:v>
                </c:pt>
                <c:pt idx="1081">
                  <c:v>56891</c:v>
                </c:pt>
                <c:pt idx="1082">
                  <c:v>56921</c:v>
                </c:pt>
                <c:pt idx="1083">
                  <c:v>56951</c:v>
                </c:pt>
                <c:pt idx="1084">
                  <c:v>56984</c:v>
                </c:pt>
                <c:pt idx="1085">
                  <c:v>57017</c:v>
                </c:pt>
                <c:pt idx="1086">
                  <c:v>57046</c:v>
                </c:pt>
                <c:pt idx="1087">
                  <c:v>57076</c:v>
                </c:pt>
                <c:pt idx="1088">
                  <c:v>57108</c:v>
                </c:pt>
                <c:pt idx="1089">
                  <c:v>57138</c:v>
                </c:pt>
                <c:pt idx="1090">
                  <c:v>57168</c:v>
                </c:pt>
                <c:pt idx="1091">
                  <c:v>57201</c:v>
                </c:pt>
                <c:pt idx="1092">
                  <c:v>57234</c:v>
                </c:pt>
                <c:pt idx="1093">
                  <c:v>57264</c:v>
                </c:pt>
                <c:pt idx="1094">
                  <c:v>57297</c:v>
                </c:pt>
                <c:pt idx="1095">
                  <c:v>57327</c:v>
                </c:pt>
                <c:pt idx="1096">
                  <c:v>57360</c:v>
                </c:pt>
                <c:pt idx="1097">
                  <c:v>57390</c:v>
                </c:pt>
                <c:pt idx="1098">
                  <c:v>57418</c:v>
                </c:pt>
                <c:pt idx="1099">
                  <c:v>57451</c:v>
                </c:pt>
                <c:pt idx="1100">
                  <c:v>57481</c:v>
                </c:pt>
                <c:pt idx="1101">
                  <c:v>57514</c:v>
                </c:pt>
                <c:pt idx="1102">
                  <c:v>57544</c:v>
                </c:pt>
                <c:pt idx="1103">
                  <c:v>57577</c:v>
                </c:pt>
                <c:pt idx="1104">
                  <c:v>57607</c:v>
                </c:pt>
                <c:pt idx="1105">
                  <c:v>57637</c:v>
                </c:pt>
                <c:pt idx="1106">
                  <c:v>57670</c:v>
                </c:pt>
                <c:pt idx="1107">
                  <c:v>57700</c:v>
                </c:pt>
                <c:pt idx="1108">
                  <c:v>57733</c:v>
                </c:pt>
                <c:pt idx="1109">
                  <c:v>57766</c:v>
                </c:pt>
                <c:pt idx="1110">
                  <c:v>57794</c:v>
                </c:pt>
                <c:pt idx="1111">
                  <c:v>57824</c:v>
                </c:pt>
                <c:pt idx="1112">
                  <c:v>57854</c:v>
                </c:pt>
                <c:pt idx="1113">
                  <c:v>57887</c:v>
                </c:pt>
                <c:pt idx="1114">
                  <c:v>57917</c:v>
                </c:pt>
                <c:pt idx="1115">
                  <c:v>57950</c:v>
                </c:pt>
                <c:pt idx="1116">
                  <c:v>57983</c:v>
                </c:pt>
                <c:pt idx="1117">
                  <c:v>58013</c:v>
                </c:pt>
                <c:pt idx="1118">
                  <c:v>58046</c:v>
                </c:pt>
                <c:pt idx="1119">
                  <c:v>58077</c:v>
                </c:pt>
                <c:pt idx="1120">
                  <c:v>58109</c:v>
                </c:pt>
                <c:pt idx="1121">
                  <c:v>58138</c:v>
                </c:pt>
                <c:pt idx="1122">
                  <c:v>58168</c:v>
                </c:pt>
                <c:pt idx="1123">
                  <c:v>58201</c:v>
                </c:pt>
                <c:pt idx="1124">
                  <c:v>58230</c:v>
                </c:pt>
                <c:pt idx="1125">
                  <c:v>58260</c:v>
                </c:pt>
                <c:pt idx="1126">
                  <c:v>58293</c:v>
                </c:pt>
                <c:pt idx="1127">
                  <c:v>58326</c:v>
                </c:pt>
                <c:pt idx="1128">
                  <c:v>58356</c:v>
                </c:pt>
                <c:pt idx="1129">
                  <c:v>58389</c:v>
                </c:pt>
                <c:pt idx="1130">
                  <c:v>58419</c:v>
                </c:pt>
                <c:pt idx="1131">
                  <c:v>58452</c:v>
                </c:pt>
                <c:pt idx="1132">
                  <c:v>58482</c:v>
                </c:pt>
                <c:pt idx="1133">
                  <c:v>58511</c:v>
                </c:pt>
                <c:pt idx="1134">
                  <c:v>58544</c:v>
                </c:pt>
                <c:pt idx="1135">
                  <c:v>58573</c:v>
                </c:pt>
                <c:pt idx="1136">
                  <c:v>58606</c:v>
                </c:pt>
                <c:pt idx="1137">
                  <c:v>58636</c:v>
                </c:pt>
                <c:pt idx="1138">
                  <c:v>58669</c:v>
                </c:pt>
                <c:pt idx="1139">
                  <c:v>58699</c:v>
                </c:pt>
                <c:pt idx="1140">
                  <c:v>58729</c:v>
                </c:pt>
                <c:pt idx="1141">
                  <c:v>58762</c:v>
                </c:pt>
                <c:pt idx="1142">
                  <c:v>58792</c:v>
                </c:pt>
                <c:pt idx="1143">
                  <c:v>58825</c:v>
                </c:pt>
                <c:pt idx="1144">
                  <c:v>58858</c:v>
                </c:pt>
                <c:pt idx="1145">
                  <c:v>58886</c:v>
                </c:pt>
                <c:pt idx="1146">
                  <c:v>58916</c:v>
                </c:pt>
                <c:pt idx="1147">
                  <c:v>58946</c:v>
                </c:pt>
                <c:pt idx="1148">
                  <c:v>58979</c:v>
                </c:pt>
                <c:pt idx="1149">
                  <c:v>59009</c:v>
                </c:pt>
                <c:pt idx="1150">
                  <c:v>59042</c:v>
                </c:pt>
                <c:pt idx="1151">
                  <c:v>59075</c:v>
                </c:pt>
                <c:pt idx="1152">
                  <c:v>59105</c:v>
                </c:pt>
                <c:pt idx="1153">
                  <c:v>59138</c:v>
                </c:pt>
                <c:pt idx="1154">
                  <c:v>59169</c:v>
                </c:pt>
                <c:pt idx="1155">
                  <c:v>59202</c:v>
                </c:pt>
                <c:pt idx="1156">
                  <c:v>59231</c:v>
                </c:pt>
                <c:pt idx="1157">
                  <c:v>59260</c:v>
                </c:pt>
                <c:pt idx="1158">
                  <c:v>59294</c:v>
                </c:pt>
                <c:pt idx="1159">
                  <c:v>59322</c:v>
                </c:pt>
                <c:pt idx="1160">
                  <c:v>59355</c:v>
                </c:pt>
                <c:pt idx="1161">
                  <c:v>59385</c:v>
                </c:pt>
                <c:pt idx="1162">
                  <c:v>59418</c:v>
                </c:pt>
                <c:pt idx="1163">
                  <c:v>59448</c:v>
                </c:pt>
                <c:pt idx="1164">
                  <c:v>59481</c:v>
                </c:pt>
                <c:pt idx="1165">
                  <c:v>59511</c:v>
                </c:pt>
                <c:pt idx="1166">
                  <c:v>59544</c:v>
                </c:pt>
                <c:pt idx="1167">
                  <c:v>59574</c:v>
                </c:pt>
                <c:pt idx="1168">
                  <c:v>59602</c:v>
                </c:pt>
                <c:pt idx="1169">
                  <c:v>59635</c:v>
                </c:pt>
                <c:pt idx="1170">
                  <c:v>59665</c:v>
                </c:pt>
                <c:pt idx="1171">
                  <c:v>59698</c:v>
                </c:pt>
                <c:pt idx="1172">
                  <c:v>59728</c:v>
                </c:pt>
                <c:pt idx="1173">
                  <c:v>59761</c:v>
                </c:pt>
                <c:pt idx="1174">
                  <c:v>59791</c:v>
                </c:pt>
                <c:pt idx="1175">
                  <c:v>59821</c:v>
                </c:pt>
                <c:pt idx="1176">
                  <c:v>59854</c:v>
                </c:pt>
                <c:pt idx="1177">
                  <c:v>59884</c:v>
                </c:pt>
                <c:pt idx="1178">
                  <c:v>59917</c:v>
                </c:pt>
                <c:pt idx="1179">
                  <c:v>59950</c:v>
                </c:pt>
                <c:pt idx="1180">
                  <c:v>59979</c:v>
                </c:pt>
                <c:pt idx="1181">
                  <c:v>60008</c:v>
                </c:pt>
                <c:pt idx="1182">
                  <c:v>60038</c:v>
                </c:pt>
                <c:pt idx="1183">
                  <c:v>60071</c:v>
                </c:pt>
                <c:pt idx="1184">
                  <c:v>60101</c:v>
                </c:pt>
                <c:pt idx="1185">
                  <c:v>60134</c:v>
                </c:pt>
                <c:pt idx="1186">
                  <c:v>60167</c:v>
                </c:pt>
                <c:pt idx="1187">
                  <c:v>60197</c:v>
                </c:pt>
                <c:pt idx="1188">
                  <c:v>60230</c:v>
                </c:pt>
                <c:pt idx="1189">
                  <c:v>60260</c:v>
                </c:pt>
                <c:pt idx="1190">
                  <c:v>60293</c:v>
                </c:pt>
                <c:pt idx="1191">
                  <c:v>60323</c:v>
                </c:pt>
                <c:pt idx="1192">
                  <c:v>60351</c:v>
                </c:pt>
                <c:pt idx="1193">
                  <c:v>60384</c:v>
                </c:pt>
                <c:pt idx="1194">
                  <c:v>60414</c:v>
                </c:pt>
                <c:pt idx="1195">
                  <c:v>60447</c:v>
                </c:pt>
                <c:pt idx="1196">
                  <c:v>60477</c:v>
                </c:pt>
                <c:pt idx="1197">
                  <c:v>60510</c:v>
                </c:pt>
                <c:pt idx="1198">
                  <c:v>60540</c:v>
                </c:pt>
                <c:pt idx="1199">
                  <c:v>60570</c:v>
                </c:pt>
                <c:pt idx="1200">
                  <c:v>60603</c:v>
                </c:pt>
                <c:pt idx="1201">
                  <c:v>60636</c:v>
                </c:pt>
                <c:pt idx="1202">
                  <c:v>60666</c:v>
                </c:pt>
                <c:pt idx="1203">
                  <c:v>60694</c:v>
                </c:pt>
                <c:pt idx="1204">
                  <c:v>60727</c:v>
                </c:pt>
                <c:pt idx="1205">
                  <c:v>60757</c:v>
                </c:pt>
                <c:pt idx="1206">
                  <c:v>60790</c:v>
                </c:pt>
                <c:pt idx="1207">
                  <c:v>60820</c:v>
                </c:pt>
                <c:pt idx="1208">
                  <c:v>60853</c:v>
                </c:pt>
                <c:pt idx="1209">
                  <c:v>60883</c:v>
                </c:pt>
                <c:pt idx="1210">
                  <c:v>60913</c:v>
                </c:pt>
                <c:pt idx="1211">
                  <c:v>60946</c:v>
                </c:pt>
                <c:pt idx="1212">
                  <c:v>60976</c:v>
                </c:pt>
                <c:pt idx="1213">
                  <c:v>61009</c:v>
                </c:pt>
                <c:pt idx="1214">
                  <c:v>61042</c:v>
                </c:pt>
                <c:pt idx="1215">
                  <c:v>61070</c:v>
                </c:pt>
                <c:pt idx="1216">
                  <c:v>61100</c:v>
                </c:pt>
                <c:pt idx="1217">
                  <c:v>61130</c:v>
                </c:pt>
                <c:pt idx="1218">
                  <c:v>61163</c:v>
                </c:pt>
                <c:pt idx="1219">
                  <c:v>61193</c:v>
                </c:pt>
                <c:pt idx="1220">
                  <c:v>61226</c:v>
                </c:pt>
                <c:pt idx="1221">
                  <c:v>61259</c:v>
                </c:pt>
                <c:pt idx="1222">
                  <c:v>61289</c:v>
                </c:pt>
                <c:pt idx="1223">
                  <c:v>61322</c:v>
                </c:pt>
                <c:pt idx="1224">
                  <c:v>61352</c:v>
                </c:pt>
                <c:pt idx="1225">
                  <c:v>61385</c:v>
                </c:pt>
                <c:pt idx="1226">
                  <c:v>61415</c:v>
                </c:pt>
                <c:pt idx="1227">
                  <c:v>61444</c:v>
                </c:pt>
                <c:pt idx="1228">
                  <c:v>61479</c:v>
                </c:pt>
                <c:pt idx="1229">
                  <c:v>61511</c:v>
                </c:pt>
                <c:pt idx="1230">
                  <c:v>61541</c:v>
                </c:pt>
                <c:pt idx="1231">
                  <c:v>61571</c:v>
                </c:pt>
                <c:pt idx="1232">
                  <c:v>61604</c:v>
                </c:pt>
                <c:pt idx="1233">
                  <c:v>61637</c:v>
                </c:pt>
                <c:pt idx="1234">
                  <c:v>61667</c:v>
                </c:pt>
                <c:pt idx="1235">
                  <c:v>61700</c:v>
                </c:pt>
                <c:pt idx="1236">
                  <c:v>61731</c:v>
                </c:pt>
                <c:pt idx="1237">
                  <c:v>61763</c:v>
                </c:pt>
                <c:pt idx="1238">
                  <c:v>61791</c:v>
                </c:pt>
                <c:pt idx="1239">
                  <c:v>61819</c:v>
                </c:pt>
                <c:pt idx="1240">
                  <c:v>61850</c:v>
                </c:pt>
                <c:pt idx="1241">
                  <c:v>61879</c:v>
                </c:pt>
                <c:pt idx="1242">
                  <c:v>61912</c:v>
                </c:pt>
                <c:pt idx="1243">
                  <c:v>61945</c:v>
                </c:pt>
                <c:pt idx="1244">
                  <c:v>61975</c:v>
                </c:pt>
                <c:pt idx="1245">
                  <c:v>62005</c:v>
                </c:pt>
                <c:pt idx="1246">
                  <c:v>62038</c:v>
                </c:pt>
                <c:pt idx="1247">
                  <c:v>62068</c:v>
                </c:pt>
                <c:pt idx="1248">
                  <c:v>62101</c:v>
                </c:pt>
                <c:pt idx="1249">
                  <c:v>62134</c:v>
                </c:pt>
                <c:pt idx="1250">
                  <c:v>62162</c:v>
                </c:pt>
                <c:pt idx="1251">
                  <c:v>62192</c:v>
                </c:pt>
                <c:pt idx="1252">
                  <c:v>62222</c:v>
                </c:pt>
                <c:pt idx="1253">
                  <c:v>62255</c:v>
                </c:pt>
                <c:pt idx="1254">
                  <c:v>62285</c:v>
                </c:pt>
                <c:pt idx="1255">
                  <c:v>62318</c:v>
                </c:pt>
                <c:pt idx="1256">
                  <c:v>62351</c:v>
                </c:pt>
                <c:pt idx="1257">
                  <c:v>62381</c:v>
                </c:pt>
                <c:pt idx="1258">
                  <c:v>62414</c:v>
                </c:pt>
                <c:pt idx="1259">
                  <c:v>62444</c:v>
                </c:pt>
                <c:pt idx="1260">
                  <c:v>62477</c:v>
                </c:pt>
                <c:pt idx="1261">
                  <c:v>62507</c:v>
                </c:pt>
                <c:pt idx="1262">
                  <c:v>62535</c:v>
                </c:pt>
                <c:pt idx="1263">
                  <c:v>62570</c:v>
                </c:pt>
                <c:pt idx="1264">
                  <c:v>62598</c:v>
                </c:pt>
                <c:pt idx="1265">
                  <c:v>62631</c:v>
                </c:pt>
                <c:pt idx="1266">
                  <c:v>62661</c:v>
                </c:pt>
                <c:pt idx="1267">
                  <c:v>62694</c:v>
                </c:pt>
                <c:pt idx="1268">
                  <c:v>62724</c:v>
                </c:pt>
                <c:pt idx="1269">
                  <c:v>62754</c:v>
                </c:pt>
                <c:pt idx="1270">
                  <c:v>62787</c:v>
                </c:pt>
                <c:pt idx="1271">
                  <c:v>62820</c:v>
                </c:pt>
                <c:pt idx="1272">
                  <c:v>62850</c:v>
                </c:pt>
                <c:pt idx="1273">
                  <c:v>62883</c:v>
                </c:pt>
                <c:pt idx="1274">
                  <c:v>62912</c:v>
                </c:pt>
                <c:pt idx="1275">
                  <c:v>62941</c:v>
                </c:pt>
                <c:pt idx="1276">
                  <c:v>62971</c:v>
                </c:pt>
                <c:pt idx="1277">
                  <c:v>63004</c:v>
                </c:pt>
                <c:pt idx="1278">
                  <c:v>63034</c:v>
                </c:pt>
                <c:pt idx="1279">
                  <c:v>63067</c:v>
                </c:pt>
                <c:pt idx="1280">
                  <c:v>63100</c:v>
                </c:pt>
                <c:pt idx="1281">
                  <c:v>63130</c:v>
                </c:pt>
                <c:pt idx="1282">
                  <c:v>63160</c:v>
                </c:pt>
                <c:pt idx="1283">
                  <c:v>63192</c:v>
                </c:pt>
                <c:pt idx="1284">
                  <c:v>63221</c:v>
                </c:pt>
                <c:pt idx="1285">
                  <c:v>63250</c:v>
                </c:pt>
                <c:pt idx="1286">
                  <c:v>63278</c:v>
                </c:pt>
                <c:pt idx="1287">
                  <c:v>63312</c:v>
                </c:pt>
                <c:pt idx="1288">
                  <c:v>63340</c:v>
                </c:pt>
                <c:pt idx="1289">
                  <c:v>63373</c:v>
                </c:pt>
                <c:pt idx="1290">
                  <c:v>63403</c:v>
                </c:pt>
                <c:pt idx="1291">
                  <c:v>63436</c:v>
                </c:pt>
                <c:pt idx="1292">
                  <c:v>63466</c:v>
                </c:pt>
                <c:pt idx="1293">
                  <c:v>63499</c:v>
                </c:pt>
                <c:pt idx="1294">
                  <c:v>63529</c:v>
                </c:pt>
                <c:pt idx="1295">
                  <c:v>63562</c:v>
                </c:pt>
                <c:pt idx="1296">
                  <c:v>63592</c:v>
                </c:pt>
                <c:pt idx="1297">
                  <c:v>63620</c:v>
                </c:pt>
                <c:pt idx="1298">
                  <c:v>63653</c:v>
                </c:pt>
                <c:pt idx="1299">
                  <c:v>63683</c:v>
                </c:pt>
                <c:pt idx="1300">
                  <c:v>63716</c:v>
                </c:pt>
                <c:pt idx="1301">
                  <c:v>63746</c:v>
                </c:pt>
                <c:pt idx="1302">
                  <c:v>63779</c:v>
                </c:pt>
                <c:pt idx="1303">
                  <c:v>63809</c:v>
                </c:pt>
                <c:pt idx="1304">
                  <c:v>63839</c:v>
                </c:pt>
                <c:pt idx="1305">
                  <c:v>63872</c:v>
                </c:pt>
                <c:pt idx="1306">
                  <c:v>63902</c:v>
                </c:pt>
                <c:pt idx="1307">
                  <c:v>63935</c:v>
                </c:pt>
              </c:numCache>
            </c:numRef>
          </c:cat>
          <c:val>
            <c:numRef>
              <c:f>'3M Delta'!$Y$3:$Y$1310</c:f>
              <c:numCache>
                <c:formatCode>0.0000%</c:formatCode>
                <c:ptCount val="1308"/>
                <c:pt idx="0">
                  <c:v>1.0000000000004422E-3</c:v>
                </c:pt>
                <c:pt idx="1">
                  <c:v>1.0696080834190443E-3</c:v>
                </c:pt>
                <c:pt idx="2">
                  <c:v>1.0764583348707808E-3</c:v>
                </c:pt>
                <c:pt idx="3">
                  <c:v>1.0827189205489169E-3</c:v>
                </c:pt>
                <c:pt idx="4">
                  <c:v>1.0884092140726828E-3</c:v>
                </c:pt>
                <c:pt idx="5">
                  <c:v>1.1024989270133798E-3</c:v>
                </c:pt>
                <c:pt idx="6">
                  <c:v>1.1060046239309417E-3</c:v>
                </c:pt>
                <c:pt idx="7">
                  <c:v>1.1093391912275765E-3</c:v>
                </c:pt>
                <c:pt idx="8">
                  <c:v>1.1123527664469446E-3</c:v>
                </c:pt>
                <c:pt idx="9">
                  <c:v>1.1150979871125169E-3</c:v>
                </c:pt>
                <c:pt idx="10">
                  <c:v>1.1231687851576131E-3</c:v>
                </c:pt>
                <c:pt idx="11">
                  <c:v>1.1246876252851941E-3</c:v>
                </c:pt>
                <c:pt idx="12">
                  <c:v>1.1272089128022207E-3</c:v>
                </c:pt>
                <c:pt idx="13">
                  <c:v>1.1299906076293104E-3</c:v>
                </c:pt>
                <c:pt idx="14">
                  <c:v>1.13313858089789E-3</c:v>
                </c:pt>
                <c:pt idx="15">
                  <c:v>1.1427972366064995E-3</c:v>
                </c:pt>
                <c:pt idx="16">
                  <c:v>1.1069887872900107E-3</c:v>
                </c:pt>
                <c:pt idx="17">
                  <c:v>1.1125853263860769E-3</c:v>
                </c:pt>
                <c:pt idx="18">
                  <c:v>1.1185535697243116E-3</c:v>
                </c:pt>
                <c:pt idx="19">
                  <c:v>1.1248419375507687E-3</c:v>
                </c:pt>
                <c:pt idx="20">
                  <c:v>1.1422568123666725E-3</c:v>
                </c:pt>
                <c:pt idx="21">
                  <c:v>1.1521650677682592E-3</c:v>
                </c:pt>
                <c:pt idx="22">
                  <c:v>1.1593011852404163E-3</c:v>
                </c:pt>
                <c:pt idx="23">
                  <c:v>1.1665570169224228E-3</c:v>
                </c:pt>
                <c:pt idx="24">
                  <c:v>1.1739267589277772E-3</c:v>
                </c:pt>
                <c:pt idx="25">
                  <c:v>1.198171341427556E-3</c:v>
                </c:pt>
                <c:pt idx="26">
                  <c:v>1.2041123146023648E-3</c:v>
                </c:pt>
                <c:pt idx="27">
                  <c:v>1.211727222329356E-3</c:v>
                </c:pt>
                <c:pt idx="28">
                  <c:v>1.2193262866493264E-3</c:v>
                </c:pt>
                <c:pt idx="29">
                  <c:v>1.2268858470061525E-3</c:v>
                </c:pt>
                <c:pt idx="30">
                  <c:v>1.2526122659598255E-3</c:v>
                </c:pt>
                <c:pt idx="31">
                  <c:v>1.2563785463818844E-3</c:v>
                </c:pt>
                <c:pt idx="32">
                  <c:v>1.2634879166521966E-3</c:v>
                </c:pt>
                <c:pt idx="33">
                  <c:v>1.2704607977577559E-3</c:v>
                </c:pt>
                <c:pt idx="34">
                  <c:v>1.2772817061645421E-3</c:v>
                </c:pt>
                <c:pt idx="35">
                  <c:v>1.2988164387807686E-3</c:v>
                </c:pt>
                <c:pt idx="36">
                  <c:v>1.3027359443873938E-3</c:v>
                </c:pt>
                <c:pt idx="37">
                  <c:v>1.3085647384613187E-3</c:v>
                </c:pt>
                <c:pt idx="38">
                  <c:v>1.2112653818717397E-3</c:v>
                </c:pt>
                <c:pt idx="39">
                  <c:v>1.2165890576145892E-3</c:v>
                </c:pt>
                <c:pt idx="40">
                  <c:v>1.2308390455744451E-3</c:v>
                </c:pt>
                <c:pt idx="41">
                  <c:v>1.2349704642926522E-3</c:v>
                </c:pt>
                <c:pt idx="42">
                  <c:v>1.2387600739891345E-3</c:v>
                </c:pt>
                <c:pt idx="43">
                  <c:v>1.2421964196528076E-3</c:v>
                </c:pt>
                <c:pt idx="44">
                  <c:v>1.2452665469347738E-3</c:v>
                </c:pt>
                <c:pt idx="45">
                  <c:v>1.2463337005811583E-3</c:v>
                </c:pt>
                <c:pt idx="46">
                  <c:v>1.2538534237243918E-3</c:v>
                </c:pt>
                <c:pt idx="47">
                  <c:v>1.2550751952157607E-3</c:v>
                </c:pt>
                <c:pt idx="48">
                  <c:v>1.2559263714426534E-3</c:v>
                </c:pt>
                <c:pt idx="49">
                  <c:v>1.2564066441551227E-3</c:v>
                </c:pt>
                <c:pt idx="50">
                  <c:v>1.2523529969114672E-3</c:v>
                </c:pt>
                <c:pt idx="51">
                  <c:v>1.2546125319050543E-3</c:v>
                </c:pt>
                <c:pt idx="52">
                  <c:v>1.2532336603854816E-3</c:v>
                </c:pt>
                <c:pt idx="53">
                  <c:v>1.2514820341444717E-3</c:v>
                </c:pt>
                <c:pt idx="54">
                  <c:v>1.249389667264714E-3</c:v>
                </c:pt>
                <c:pt idx="55">
                  <c:v>1.2512659332281427E-3</c:v>
                </c:pt>
                <c:pt idx="56">
                  <c:v>1.2411621427582435E-3</c:v>
                </c:pt>
                <c:pt idx="57">
                  <c:v>1.2401088958624573E-3</c:v>
                </c:pt>
                <c:pt idx="58">
                  <c:v>1.239794724671221E-3</c:v>
                </c:pt>
                <c:pt idx="59">
                  <c:v>1.240165067887315E-3</c:v>
                </c:pt>
                <c:pt idx="60">
                  <c:v>1.2327938774886777E-3</c:v>
                </c:pt>
                <c:pt idx="61">
                  <c:v>1.2640112926590777E-3</c:v>
                </c:pt>
                <c:pt idx="62">
                  <c:v>1.2662411934548309E-3</c:v>
                </c:pt>
                <c:pt idx="63">
                  <c:v>1.2685304071577781E-3</c:v>
                </c:pt>
                <c:pt idx="64">
                  <c:v>1.2707747345955861E-3</c:v>
                </c:pt>
                <c:pt idx="65">
                  <c:v>1.2886967541020247E-3</c:v>
                </c:pt>
                <c:pt idx="66">
                  <c:v>1.2772581894164279E-3</c:v>
                </c:pt>
                <c:pt idx="67">
                  <c:v>1.277967267759861E-3</c:v>
                </c:pt>
                <c:pt idx="68">
                  <c:v>1.2783498121594966E-3</c:v>
                </c:pt>
                <c:pt idx="69">
                  <c:v>1.2784112835096805E-3</c:v>
                </c:pt>
                <c:pt idx="70">
                  <c:v>1.2824996467955597E-3</c:v>
                </c:pt>
                <c:pt idx="71">
                  <c:v>1.2755556551828338E-3</c:v>
                </c:pt>
                <c:pt idx="72">
                  <c:v>1.2740936735418677E-3</c:v>
                </c:pt>
                <c:pt idx="73">
                  <c:v>1.2723433834894088E-3</c:v>
                </c:pt>
                <c:pt idx="74">
                  <c:v>1.2703102456582732E-3</c:v>
                </c:pt>
                <c:pt idx="75">
                  <c:v>1.2652059853450323E-3</c:v>
                </c:pt>
                <c:pt idx="76">
                  <c:v>1.2594584276427795E-3</c:v>
                </c:pt>
                <c:pt idx="77">
                  <c:v>1.2560929588261065E-3</c:v>
                </c:pt>
                <c:pt idx="78">
                  <c:v>1.2524774050566869E-3</c:v>
                </c:pt>
                <c:pt idx="79">
                  <c:v>1.2486172266315183E-3</c:v>
                </c:pt>
                <c:pt idx="80">
                  <c:v>1.2391959873938501E-3</c:v>
                </c:pt>
                <c:pt idx="81">
                  <c:v>1.2334879678422216E-3</c:v>
                </c:pt>
                <c:pt idx="82">
                  <c:v>1.2734888270548774E-3</c:v>
                </c:pt>
                <c:pt idx="83">
                  <c:v>1.2681454142244304E-3</c:v>
                </c:pt>
                <c:pt idx="84">
                  <c:v>1.2625477483577759E-3</c:v>
                </c:pt>
                <c:pt idx="85">
                  <c:v>1.256701349206164E-3</c:v>
                </c:pt>
                <c:pt idx="86">
                  <c:v>1.2377249484898719E-3</c:v>
                </c:pt>
                <c:pt idx="87">
                  <c:v>1.2309388122769059E-3</c:v>
                </c:pt>
                <c:pt idx="88">
                  <c:v>1.2239315404552139E-3</c:v>
                </c:pt>
                <c:pt idx="89">
                  <c:v>1.216714104380928E-3</c:v>
                </c:pt>
                <c:pt idx="90">
                  <c:v>1.2093192835781975E-3</c:v>
                </c:pt>
                <c:pt idx="91">
                  <c:v>1.1864528300791527E-3</c:v>
                </c:pt>
                <c:pt idx="92">
                  <c:v>1.1787307883465098E-3</c:v>
                </c:pt>
                <c:pt idx="93">
                  <c:v>1.1710225216244494E-3</c:v>
                </c:pt>
                <c:pt idx="94">
                  <c:v>1.1633537484607031E-3</c:v>
                </c:pt>
                <c:pt idx="95">
                  <c:v>1.1557513953330213E-3</c:v>
                </c:pt>
                <c:pt idx="96">
                  <c:v>1.1336751146108568E-3</c:v>
                </c:pt>
                <c:pt idx="97">
                  <c:v>1.1266624468219755E-3</c:v>
                </c:pt>
                <c:pt idx="98">
                  <c:v>1.1198740755208507E-3</c:v>
                </c:pt>
                <c:pt idx="99">
                  <c:v>1.1133407511294718E-3</c:v>
                </c:pt>
                <c:pt idx="100">
                  <c:v>1.1193241432591533E-3</c:v>
                </c:pt>
                <c:pt idx="101">
                  <c:v>1.0903729363927819E-3</c:v>
                </c:pt>
                <c:pt idx="102">
                  <c:v>1.0855761079181332E-3</c:v>
                </c:pt>
                <c:pt idx="103">
                  <c:v>1.0856985926349409E-3</c:v>
                </c:pt>
                <c:pt idx="104">
                  <c:v>1.1590588442016788E-3</c:v>
                </c:pt>
                <c:pt idx="105">
                  <c:v>1.1522645738589528E-3</c:v>
                </c:pt>
                <c:pt idx="106">
                  <c:v>1.1382418263810423E-3</c:v>
                </c:pt>
                <c:pt idx="107">
                  <c:v>1.1370453487388624E-3</c:v>
                </c:pt>
                <c:pt idx="108">
                  <c:v>1.1364778025727117E-3</c:v>
                </c:pt>
                <c:pt idx="109">
                  <c:v>1.1365696033444786E-3</c:v>
                </c:pt>
                <c:pt idx="110">
                  <c:v>1.1425808381843395E-3</c:v>
                </c:pt>
                <c:pt idx="111">
                  <c:v>1.1432831284446702E-3</c:v>
                </c:pt>
                <c:pt idx="112">
                  <c:v>1.1463125389219262E-3</c:v>
                </c:pt>
                <c:pt idx="113">
                  <c:v>1.1497827937132789E-3</c:v>
                </c:pt>
                <c:pt idx="114">
                  <c:v>1.1536441091511058E-3</c:v>
                </c:pt>
                <c:pt idx="115">
                  <c:v>1.1645118244840949E-3</c:v>
                </c:pt>
                <c:pt idx="116">
                  <c:v>1.1720043076391819E-3</c:v>
                </c:pt>
                <c:pt idx="117">
                  <c:v>1.1770741753900169E-3</c:v>
                </c:pt>
                <c:pt idx="118">
                  <c:v>1.1822364046545064E-3</c:v>
                </c:pt>
                <c:pt idx="119">
                  <c:v>1.1874412129497321E-3</c:v>
                </c:pt>
                <c:pt idx="120">
                  <c:v>1.2061046856508125E-3</c:v>
                </c:pt>
                <c:pt idx="121">
                  <c:v>1.2076905945464535E-3</c:v>
                </c:pt>
                <c:pt idx="122">
                  <c:v>1.2123384522473399E-3</c:v>
                </c:pt>
                <c:pt idx="123">
                  <c:v>1.2165915016352272E-3</c:v>
                </c:pt>
                <c:pt idx="124">
                  <c:v>1.2203109022596752E-3</c:v>
                </c:pt>
                <c:pt idx="125">
                  <c:v>1.2126940289778124E-3</c:v>
                </c:pt>
                <c:pt idx="126">
                  <c:v>1.2092448354837095E-3</c:v>
                </c:pt>
                <c:pt idx="127">
                  <c:v>1.2116879933788333E-3</c:v>
                </c:pt>
                <c:pt idx="128">
                  <c:v>1.2142039352819082E-3</c:v>
                </c:pt>
                <c:pt idx="129">
                  <c:v>1.2169020060169989E-3</c:v>
                </c:pt>
                <c:pt idx="130">
                  <c:v>1.2453153296616512E-3</c:v>
                </c:pt>
                <c:pt idx="131">
                  <c:v>1.2317136699149921E-3</c:v>
                </c:pt>
                <c:pt idx="132">
                  <c:v>1.2370019986225431E-3</c:v>
                </c:pt>
                <c:pt idx="133">
                  <c:v>1.2430290904238369E-3</c:v>
                </c:pt>
                <c:pt idx="134">
                  <c:v>1.2497376331334414E-3</c:v>
                </c:pt>
                <c:pt idx="135">
                  <c:v>1.2792258673722636E-3</c:v>
                </c:pt>
                <c:pt idx="136">
                  <c:v>1.282240069524439E-3</c:v>
                </c:pt>
                <c:pt idx="137">
                  <c:v>1.2914961853465095E-3</c:v>
                </c:pt>
                <c:pt idx="138">
                  <c:v>1.3010898808762457E-3</c:v>
                </c:pt>
                <c:pt idx="139">
                  <c:v>1.3109638452328243E-3</c:v>
                </c:pt>
                <c:pt idx="140">
                  <c:v>1.3381173288099252E-3</c:v>
                </c:pt>
                <c:pt idx="141">
                  <c:v>1.352116188720066E-3</c:v>
                </c:pt>
                <c:pt idx="142">
                  <c:v>1.3625318497919544E-3</c:v>
                </c:pt>
                <c:pt idx="143">
                  <c:v>1.3728839241957378E-3</c:v>
                </c:pt>
                <c:pt idx="144">
                  <c:v>1.3831151044535234E-3</c:v>
                </c:pt>
                <c:pt idx="145">
                  <c:v>1.4037806876533987E-3</c:v>
                </c:pt>
                <c:pt idx="146">
                  <c:v>1.4171373948688561E-3</c:v>
                </c:pt>
                <c:pt idx="147">
                  <c:v>1.2045665603127038E-3</c:v>
                </c:pt>
                <c:pt idx="148">
                  <c:v>1.2134031593326886E-3</c:v>
                </c:pt>
                <c:pt idx="149">
                  <c:v>1.2217243113563795E-3</c:v>
                </c:pt>
                <c:pt idx="150">
                  <c:v>1.2294720787910307E-3</c:v>
                </c:pt>
                <c:pt idx="151">
                  <c:v>1.2486956992592451E-3</c:v>
                </c:pt>
                <c:pt idx="152">
                  <c:v>1.2535705539308262E-3</c:v>
                </c:pt>
                <c:pt idx="153">
                  <c:v>1.2576268783416932E-3</c:v>
                </c:pt>
                <c:pt idx="154">
                  <c:v>1.2610399875822031E-3</c:v>
                </c:pt>
                <c:pt idx="155">
                  <c:v>1.2640719119794632E-3</c:v>
                </c:pt>
                <c:pt idx="156">
                  <c:v>1.2736063053645948E-3</c:v>
                </c:pt>
                <c:pt idx="157">
                  <c:v>1.2778392167460025E-3</c:v>
                </c:pt>
                <c:pt idx="158">
                  <c:v>1.2830538027986328E-3</c:v>
                </c:pt>
                <c:pt idx="159">
                  <c:v>1.2894667037745963E-3</c:v>
                </c:pt>
                <c:pt idx="160">
                  <c:v>1.2970338729638782E-3</c:v>
                </c:pt>
                <c:pt idx="161">
                  <c:v>1.3254763731703671E-3</c:v>
                </c:pt>
                <c:pt idx="162">
                  <c:v>1.3364759997772854E-3</c:v>
                </c:pt>
                <c:pt idx="163">
                  <c:v>1.348037588989445E-3</c:v>
                </c:pt>
                <c:pt idx="164">
                  <c:v>1.360042681761196E-3</c:v>
                </c:pt>
                <c:pt idx="165">
                  <c:v>1.4233672026224735E-3</c:v>
                </c:pt>
                <c:pt idx="166">
                  <c:v>1.4225747172054088E-3</c:v>
                </c:pt>
                <c:pt idx="167">
                  <c:v>1.4347532609608456E-3</c:v>
                </c:pt>
                <c:pt idx="168">
                  <c:v>1.4465461307053131E-3</c:v>
                </c:pt>
                <c:pt idx="169">
                  <c:v>1.3391859750127096E-3</c:v>
                </c:pt>
                <c:pt idx="170">
                  <c:v>1.347274028792836E-3</c:v>
                </c:pt>
                <c:pt idx="171">
                  <c:v>1.3542656874966962E-3</c:v>
                </c:pt>
                <c:pt idx="172">
                  <c:v>1.3600425011588498E-3</c:v>
                </c:pt>
                <c:pt idx="173">
                  <c:v>1.36448601935093E-3</c:v>
                </c:pt>
                <c:pt idx="174">
                  <c:v>1.3696587001287054E-3</c:v>
                </c:pt>
                <c:pt idx="175">
                  <c:v>1.368991083784959E-3</c:v>
                </c:pt>
                <c:pt idx="176">
                  <c:v>1.3673102748234956E-3</c:v>
                </c:pt>
                <c:pt idx="177">
                  <c:v>1.3647259096668933E-3</c:v>
                </c:pt>
                <c:pt idx="178">
                  <c:v>1.3613476244544399E-3</c:v>
                </c:pt>
                <c:pt idx="179">
                  <c:v>1.347545610472179E-3</c:v>
                </c:pt>
                <c:pt idx="180">
                  <c:v>1.3420880085035869E-3</c:v>
                </c:pt>
                <c:pt idx="181">
                  <c:v>1.3363846701925114E-3</c:v>
                </c:pt>
                <c:pt idx="182">
                  <c:v>1.3305452338870233E-3</c:v>
                </c:pt>
                <c:pt idx="183">
                  <c:v>1.3246793386669151E-3</c:v>
                </c:pt>
                <c:pt idx="184">
                  <c:v>1.3080193015161965E-3</c:v>
                </c:pt>
                <c:pt idx="185">
                  <c:v>1.3031439761797894E-3</c:v>
                </c:pt>
                <c:pt idx="186">
                  <c:v>1.2988137683918458E-3</c:v>
                </c:pt>
                <c:pt idx="187">
                  <c:v>1.2951937195575232E-3</c:v>
                </c:pt>
                <c:pt idx="188">
                  <c:v>1.2922264273060528E-3</c:v>
                </c:pt>
                <c:pt idx="189">
                  <c:v>1.2947533492656429E-3</c:v>
                </c:pt>
                <c:pt idx="190">
                  <c:v>1.2830921830153663E-3</c:v>
                </c:pt>
                <c:pt idx="191">
                  <c:v>1.2812029621160903E-3</c:v>
                </c:pt>
                <c:pt idx="192">
                  <c:v>1.2794540752154582E-3</c:v>
                </c:pt>
                <c:pt idx="193">
                  <c:v>1.2777253423745805E-3</c:v>
                </c:pt>
                <c:pt idx="194">
                  <c:v>1.2810072770436172E-3</c:v>
                </c:pt>
                <c:pt idx="195">
                  <c:v>1.2685968867964803E-3</c:v>
                </c:pt>
                <c:pt idx="196">
                  <c:v>1.2651247459500858E-3</c:v>
                </c:pt>
                <c:pt idx="197">
                  <c:v>1.2610464855691284E-3</c:v>
                </c:pt>
                <c:pt idx="198">
                  <c:v>1.2564054598938057E-3</c:v>
                </c:pt>
                <c:pt idx="199">
                  <c:v>1.2444273950515852E-3</c:v>
                </c:pt>
                <c:pt idx="200">
                  <c:v>1.2330807899374463E-3</c:v>
                </c:pt>
                <c:pt idx="201">
                  <c:v>1.2262762530306226E-3</c:v>
                </c:pt>
                <c:pt idx="202">
                  <c:v>1.2191690779741471E-3</c:v>
                </c:pt>
                <c:pt idx="203">
                  <c:v>1.2118026200185206E-3</c:v>
                </c:pt>
                <c:pt idx="204">
                  <c:v>1.1904747449730259E-3</c:v>
                </c:pt>
                <c:pt idx="205">
                  <c:v>1.1806110753833643E-3</c:v>
                </c:pt>
                <c:pt idx="206">
                  <c:v>1.1725985431896291E-3</c:v>
                </c:pt>
                <c:pt idx="207">
                  <c:v>1.1645868667780057E-3</c:v>
                </c:pt>
                <c:pt idx="208">
                  <c:v>1.1566194039263067E-3</c:v>
                </c:pt>
                <c:pt idx="209">
                  <c:v>1.1341180970252289E-3</c:v>
                </c:pt>
                <c:pt idx="210">
                  <c:v>1.3542876423604426E-3</c:v>
                </c:pt>
                <c:pt idx="211">
                  <c:v>1.3470966297559328E-3</c:v>
                </c:pt>
                <c:pt idx="212">
                  <c:v>1.3402637297666371E-3</c:v>
                </c:pt>
                <c:pt idx="213">
                  <c:v>1.3293183107863659E-3</c:v>
                </c:pt>
                <c:pt idx="214">
                  <c:v>1.3173615665398996E-3</c:v>
                </c:pt>
                <c:pt idx="215">
                  <c:v>1.3129554640283591E-3</c:v>
                </c:pt>
                <c:pt idx="216">
                  <c:v>1.3091125845632807E-3</c:v>
                </c:pt>
                <c:pt idx="217">
                  <c:v>1.3056284225213591E-3</c:v>
                </c:pt>
                <c:pt idx="218">
                  <c:v>1.2994955059964187E-3</c:v>
                </c:pt>
                <c:pt idx="219">
                  <c:v>1.2902011069889112E-3</c:v>
                </c:pt>
                <c:pt idx="220">
                  <c:v>1.2847021386882011E-3</c:v>
                </c:pt>
                <c:pt idx="221">
                  <c:v>1.2780385191976543E-3</c:v>
                </c:pt>
                <c:pt idx="222">
                  <c:v>1.2700240217319739E-3</c:v>
                </c:pt>
                <c:pt idx="223">
                  <c:v>1.260069616185673E-3</c:v>
                </c:pt>
                <c:pt idx="224">
                  <c:v>1.2265209460944916E-3</c:v>
                </c:pt>
                <c:pt idx="225">
                  <c:v>1.2134538961858597E-3</c:v>
                </c:pt>
                <c:pt idx="226">
                  <c:v>1.199778334018819E-3</c:v>
                </c:pt>
                <c:pt idx="227">
                  <c:v>1.1856282624469667E-3</c:v>
                </c:pt>
                <c:pt idx="228">
                  <c:v>1.1124505054994484E-3</c:v>
                </c:pt>
                <c:pt idx="229">
                  <c:v>1.0982675532919903E-3</c:v>
                </c:pt>
                <c:pt idx="230">
                  <c:v>1.0821310246941621E-3</c:v>
                </c:pt>
                <c:pt idx="231">
                  <c:v>1.342496784922455E-3</c:v>
                </c:pt>
                <c:pt idx="232">
                  <c:v>1.3075148519940424E-3</c:v>
                </c:pt>
                <c:pt idx="233">
                  <c:v>1.297969558577264E-3</c:v>
                </c:pt>
                <c:pt idx="234">
                  <c:v>1.2897077569146826E-3</c:v>
                </c:pt>
                <c:pt idx="235">
                  <c:v>1.28286493740981E-3</c:v>
                </c:pt>
                <c:pt idx="236">
                  <c:v>1.2775765902628047E-3</c:v>
                </c:pt>
                <c:pt idx="237">
                  <c:v>1.2710119509831606E-3</c:v>
                </c:pt>
                <c:pt idx="238">
                  <c:v>1.2714034520538437E-3</c:v>
                </c:pt>
                <c:pt idx="239">
                  <c:v>1.2727990157825983E-3</c:v>
                </c:pt>
                <c:pt idx="240">
                  <c:v>1.2750271638389881E-3</c:v>
                </c:pt>
                <c:pt idx="241">
                  <c:v>1.2779164173505929E-3</c:v>
                </c:pt>
                <c:pt idx="242">
                  <c:v>1.288836019962608E-3</c:v>
                </c:pt>
                <c:pt idx="243">
                  <c:v>1.2926549053305426E-3</c:v>
                </c:pt>
                <c:pt idx="244">
                  <c:v>1.2962775021899528E-3</c:v>
                </c:pt>
                <c:pt idx="245">
                  <c:v>1.2995323324831516E-3</c:v>
                </c:pt>
                <c:pt idx="246">
                  <c:v>1.3022479182648889E-3</c:v>
                </c:pt>
                <c:pt idx="247">
                  <c:v>1.3054444260446757E-3</c:v>
                </c:pt>
                <c:pt idx="248">
                  <c:v>1.3042882479757873E-3</c:v>
                </c:pt>
                <c:pt idx="249">
                  <c:v>1.3017354276913936E-3</c:v>
                </c:pt>
                <c:pt idx="250">
                  <c:v>1.2976759367370157E-3</c:v>
                </c:pt>
                <c:pt idx="251">
                  <c:v>1.2922455674052285E-3</c:v>
                </c:pt>
                <c:pt idx="252">
                  <c:v>1.4114487866791748E-3</c:v>
                </c:pt>
                <c:pt idx="253">
                  <c:v>1.4026025376206769E-3</c:v>
                </c:pt>
                <c:pt idx="254">
                  <c:v>1.3933739427315303E-3</c:v>
                </c:pt>
                <c:pt idx="255">
                  <c:v>1.3839581052774528E-3</c:v>
                </c:pt>
                <c:pt idx="256">
                  <c:v>1.3748067663074148E-3</c:v>
                </c:pt>
                <c:pt idx="257">
                  <c:v>1.324121250087978E-3</c:v>
                </c:pt>
                <c:pt idx="258">
                  <c:v>1.3047468684255781E-3</c:v>
                </c:pt>
                <c:pt idx="259">
                  <c:v>1.3077556911752521E-3</c:v>
                </c:pt>
                <c:pt idx="260">
                  <c:v>1.3232184348722005E-3</c:v>
                </c:pt>
                <c:pt idx="261">
                  <c:v>1.3412472895728365E-3</c:v>
                </c:pt>
                <c:pt idx="262">
                  <c:v>1.3555874565824334E-3</c:v>
                </c:pt>
                <c:pt idx="263">
                  <c:v>1.3663918074355709E-3</c:v>
                </c:pt>
                <c:pt idx="264">
                  <c:v>1.3744918792144188E-3</c:v>
                </c:pt>
                <c:pt idx="265">
                  <c:v>1.3807242437873517E-3</c:v>
                </c:pt>
                <c:pt idx="266">
                  <c:v>1.3859254803666571E-3</c:v>
                </c:pt>
                <c:pt idx="267">
                  <c:v>1.3909321794628188E-3</c:v>
                </c:pt>
                <c:pt idx="268">
                  <c:v>1.3965809449679569E-3</c:v>
                </c:pt>
                <c:pt idx="269">
                  <c:v>1.4037083943518407E-3</c:v>
                </c:pt>
                <c:pt idx="270">
                  <c:v>1.4130720790449926E-3</c:v>
                </c:pt>
                <c:pt idx="271">
                  <c:v>1.4246613455459272E-3</c:v>
                </c:pt>
                <c:pt idx="272">
                  <c:v>1.4379740409859961E-3</c:v>
                </c:pt>
                <c:pt idx="273">
                  <c:v>1.4486356428378634E-3</c:v>
                </c:pt>
                <c:pt idx="274">
                  <c:v>1.4640575023964783E-3</c:v>
                </c:pt>
                <c:pt idx="275">
                  <c:v>1.4798044183931232E-3</c:v>
                </c:pt>
                <c:pt idx="276">
                  <c:v>1.4953491252805312E-3</c:v>
                </c:pt>
                <c:pt idx="277">
                  <c:v>1.510199024298239E-3</c:v>
                </c:pt>
                <c:pt idx="278">
                  <c:v>1.3299343380202707E-3</c:v>
                </c:pt>
                <c:pt idx="279">
                  <c:v>1.3414101183492561E-3</c:v>
                </c:pt>
                <c:pt idx="280">
                  <c:v>1.3508353262123708E-3</c:v>
                </c:pt>
                <c:pt idx="281">
                  <c:v>1.3577851077341302E-3</c:v>
                </c:pt>
                <c:pt idx="282">
                  <c:v>1.3618345949613748E-3</c:v>
                </c:pt>
                <c:pt idx="283">
                  <c:v>1.3625833682979003E-3</c:v>
                </c:pt>
                <c:pt idx="284">
                  <c:v>1.3600933342823259E-3</c:v>
                </c:pt>
                <c:pt idx="285">
                  <c:v>1.354858415454966E-3</c:v>
                </c:pt>
                <c:pt idx="286">
                  <c:v>1.3424900152658736E-3</c:v>
                </c:pt>
                <c:pt idx="287">
                  <c:v>1.3333605677039451E-3</c:v>
                </c:pt>
                <c:pt idx="288">
                  <c:v>1.3228481099996081E-3</c:v>
                </c:pt>
                <c:pt idx="289">
                  <c:v>1.3114871983384013E-3</c:v>
                </c:pt>
                <c:pt idx="290">
                  <c:v>1.3011753422144954E-3</c:v>
                </c:pt>
                <c:pt idx="291">
                  <c:v>1.492301435464416E-3</c:v>
                </c:pt>
                <c:pt idx="292">
                  <c:v>1.4807249092942953E-3</c:v>
                </c:pt>
                <c:pt idx="293">
                  <c:v>1.4696979211907824E-3</c:v>
                </c:pt>
                <c:pt idx="294">
                  <c:v>1.4595292842538576E-3</c:v>
                </c:pt>
                <c:pt idx="295">
                  <c:v>1.4508509386735257E-3</c:v>
                </c:pt>
                <c:pt idx="296">
                  <c:v>1.4432283458410853E-3</c:v>
                </c:pt>
                <c:pt idx="297">
                  <c:v>1.4371549048895775E-3</c:v>
                </c:pt>
                <c:pt idx="298">
                  <c:v>1.4323692501299107E-3</c:v>
                </c:pt>
                <c:pt idx="299">
                  <c:v>1.4278872234417981E-3</c:v>
                </c:pt>
                <c:pt idx="300">
                  <c:v>1.4247835141275613E-3</c:v>
                </c:pt>
                <c:pt idx="301">
                  <c:v>1.4220487878510654E-3</c:v>
                </c:pt>
                <c:pt idx="302">
                  <c:v>1.4194626703662248E-3</c:v>
                </c:pt>
                <c:pt idx="303">
                  <c:v>1.4175542937640421E-3</c:v>
                </c:pt>
                <c:pt idx="304">
                  <c:v>1.4150217268070156E-3</c:v>
                </c:pt>
                <c:pt idx="305">
                  <c:v>1.4108630983500348E-3</c:v>
                </c:pt>
                <c:pt idx="306">
                  <c:v>1.4096711731664275E-3</c:v>
                </c:pt>
                <c:pt idx="307">
                  <c:v>1.4059757775236957E-3</c:v>
                </c:pt>
                <c:pt idx="308">
                  <c:v>1.4028495754596685E-3</c:v>
                </c:pt>
                <c:pt idx="309">
                  <c:v>1.39949367389622E-3</c:v>
                </c:pt>
                <c:pt idx="310">
                  <c:v>1.3959971570601541E-3</c:v>
                </c:pt>
                <c:pt idx="311">
                  <c:v>1.3924506872095978E-3</c:v>
                </c:pt>
                <c:pt idx="312">
                  <c:v>1.3889389598819423E-3</c:v>
                </c:pt>
                <c:pt idx="313">
                  <c:v>1.3855466738137232E-3</c:v>
                </c:pt>
                <c:pt idx="314">
                  <c:v>1.3823584898492328E-3</c:v>
                </c:pt>
                <c:pt idx="315">
                  <c:v>1.3794381646905162E-3</c:v>
                </c:pt>
                <c:pt idx="316">
                  <c:v>1.3771929260812772E-3</c:v>
                </c:pt>
                <c:pt idx="317">
                  <c:v>1.3744277900374744E-3</c:v>
                </c:pt>
                <c:pt idx="318">
                  <c:v>1.3723377561425858E-3</c:v>
                </c:pt>
                <c:pt idx="319">
                  <c:v>1.3705245018792514E-3</c:v>
                </c:pt>
                <c:pt idx="320">
                  <c:v>1.3689880354630273E-3</c:v>
                </c:pt>
                <c:pt idx="321">
                  <c:v>1.3677283652812468E-3</c:v>
                </c:pt>
                <c:pt idx="322">
                  <c:v>1.3667454998870681E-3</c:v>
                </c:pt>
                <c:pt idx="323">
                  <c:v>1.3660394479977731E-3</c:v>
                </c:pt>
                <c:pt idx="324">
                  <c:v>1.3656102185058239E-3</c:v>
                </c:pt>
                <c:pt idx="325">
                  <c:v>1.3653182198519681E-3</c:v>
                </c:pt>
                <c:pt idx="326">
                  <c:v>1.3653828462572943E-3</c:v>
                </c:pt>
                <c:pt idx="327">
                  <c:v>1.3657243123267801E-3</c:v>
                </c:pt>
                <c:pt idx="328">
                  <c:v>1.3663426272759115E-3</c:v>
                </c:pt>
                <c:pt idx="329">
                  <c:v>1.3672378004870732E-3</c:v>
                </c:pt>
                <c:pt idx="330">
                  <c:v>1.3688486307752341E-3</c:v>
                </c:pt>
                <c:pt idx="331">
                  <c:v>1.3703574210288199E-3</c:v>
                </c:pt>
                <c:pt idx="332">
                  <c:v>1.3721431108308024E-3</c:v>
                </c:pt>
                <c:pt idx="333">
                  <c:v>1.37420571057372E-3</c:v>
                </c:pt>
                <c:pt idx="334">
                  <c:v>1.3765452308312413E-3</c:v>
                </c:pt>
                <c:pt idx="335">
                  <c:v>1.3791616823309566E-3</c:v>
                </c:pt>
                <c:pt idx="336">
                  <c:v>1.3820550759815853E-3</c:v>
                </c:pt>
                <c:pt idx="337">
                  <c:v>1.3852254228491697E-3</c:v>
                </c:pt>
                <c:pt idx="338">
                  <c:v>1.3874523972807751E-3</c:v>
                </c:pt>
                <c:pt idx="339">
                  <c:v>1.3910967130232876E-3</c:v>
                </c:pt>
                <c:pt idx="340">
                  <c:v>1.3950179959092424E-3</c:v>
                </c:pt>
                <c:pt idx="341">
                  <c:v>1.3992162571341282E-3</c:v>
                </c:pt>
                <c:pt idx="342">
                  <c:v>1.4036915080541945E-3</c:v>
                </c:pt>
                <c:pt idx="343">
                  <c:v>1.4084437601855626E-3</c:v>
                </c:pt>
                <c:pt idx="344">
                  <c:v>1.4134730252113314E-3</c:v>
                </c:pt>
                <c:pt idx="345">
                  <c:v>1.4187793149655903E-3</c:v>
                </c:pt>
                <c:pt idx="346">
                  <c:v>1.4243626414511823E-3</c:v>
                </c:pt>
                <c:pt idx="347">
                  <c:v>1.429742605794168E-3</c:v>
                </c:pt>
                <c:pt idx="348">
                  <c:v>1.4358598971013817E-3</c:v>
                </c:pt>
                <c:pt idx="349">
                  <c:v>1.4422408330401152E-3</c:v>
                </c:pt>
                <c:pt idx="350">
                  <c:v>1.4488535285126602E-3</c:v>
                </c:pt>
                <c:pt idx="351">
                  <c:v>1.4583454593190674E-3</c:v>
                </c:pt>
                <c:pt idx="352">
                  <c:v>1.4653461780114786E-3</c:v>
                </c:pt>
                <c:pt idx="353">
                  <c:v>1.472468266824652E-3</c:v>
                </c:pt>
                <c:pt idx="354">
                  <c:v>1.479681346426346E-3</c:v>
                </c:pt>
                <c:pt idx="355">
                  <c:v>1.4895266373311684E-3</c:v>
                </c:pt>
                <c:pt idx="356">
                  <c:v>1.4926659268487386E-3</c:v>
                </c:pt>
                <c:pt idx="357">
                  <c:v>1.4999896253825159E-3</c:v>
                </c:pt>
                <c:pt idx="358">
                  <c:v>1.5072860803866626E-3</c:v>
                </c:pt>
                <c:pt idx="359">
                  <c:v>1.5145239024812931E-3</c:v>
                </c:pt>
                <c:pt idx="360">
                  <c:v>1.5231691389644537E-3</c:v>
                </c:pt>
                <c:pt idx="361">
                  <c:v>1.530169517185384E-3</c:v>
                </c:pt>
                <c:pt idx="362">
                  <c:v>1.5370386015896441E-3</c:v>
                </c:pt>
                <c:pt idx="363">
                  <c:v>1.5437767779061307E-3</c:v>
                </c:pt>
                <c:pt idx="364">
                  <c:v>1.5503840399108859E-3</c:v>
                </c:pt>
                <c:pt idx="365">
                  <c:v>1.5568603814080139E-3</c:v>
                </c:pt>
                <c:pt idx="366">
                  <c:v>1.5632057962432899E-3</c:v>
                </c:pt>
                <c:pt idx="367">
                  <c:v>1.5694202782828965E-3</c:v>
                </c:pt>
                <c:pt idx="368">
                  <c:v>1.574223850483582E-3</c:v>
                </c:pt>
                <c:pt idx="369">
                  <c:v>1.5814564196116113E-3</c:v>
                </c:pt>
                <c:pt idx="370">
                  <c:v>1.5872780667963594E-3</c:v>
                </c:pt>
                <c:pt idx="371">
                  <c:v>1.5929687569767184E-3</c:v>
                </c:pt>
                <c:pt idx="372">
                  <c:v>1.5985284841770423E-3</c:v>
                </c:pt>
                <c:pt idx="373">
                  <c:v>1.6039572424531496E-3</c:v>
                </c:pt>
                <c:pt idx="374">
                  <c:v>1.6092550258923234E-3</c:v>
                </c:pt>
                <c:pt idx="375">
                  <c:v>1.614421828609909E-3</c:v>
                </c:pt>
                <c:pt idx="376">
                  <c:v>1.61945764475952E-3</c:v>
                </c:pt>
                <c:pt idx="377">
                  <c:v>1.6233273018290322E-3</c:v>
                </c:pt>
                <c:pt idx="378">
                  <c:v>1.6281283443613549E-3</c:v>
                </c:pt>
                <c:pt idx="379">
                  <c:v>1.6327983869118276E-3</c:v>
                </c:pt>
                <c:pt idx="380">
                  <c:v>1.6373374239279665E-3</c:v>
                </c:pt>
                <c:pt idx="381">
                  <c:v>1.6426717243279306E-3</c:v>
                </c:pt>
                <c:pt idx="382">
                  <c:v>1.6469214999163908E-3</c:v>
                </c:pt>
                <c:pt idx="383">
                  <c:v>1.6510402488446904E-3</c:v>
                </c:pt>
                <c:pt idx="384">
                  <c:v>1.6550279655096526E-3</c:v>
                </c:pt>
                <c:pt idx="385">
                  <c:v>1.6588846443387137E-3</c:v>
                </c:pt>
                <c:pt idx="386">
                  <c:v>1.6626102797916236E-3</c:v>
                </c:pt>
                <c:pt idx="387">
                  <c:v>1.6662048663578987E-3</c:v>
                </c:pt>
                <c:pt idx="388">
                  <c:v>1.6696683985585161E-3</c:v>
                </c:pt>
                <c:pt idx="389">
                  <c:v>1.6730008709459178E-3</c:v>
                </c:pt>
                <c:pt idx="390">
                  <c:v>1.6752925865413104E-3</c:v>
                </c:pt>
                <c:pt idx="391">
                  <c:v>1.6783992983535612E-3</c:v>
                </c:pt>
                <c:pt idx="392">
                  <c:v>1.6813749424100521E-3</c:v>
                </c:pt>
                <c:pt idx="393">
                  <c:v>1.6842195136028693E-3</c:v>
                </c:pt>
                <c:pt idx="394">
                  <c:v>1.687676407058661E-3</c:v>
                </c:pt>
                <c:pt idx="395">
                  <c:v>1.6907613496402593E-3</c:v>
                </c:pt>
                <c:pt idx="396">
                  <c:v>1.6931473846511485E-3</c:v>
                </c:pt>
                <c:pt idx="397">
                  <c:v>1.6955625676269874E-3</c:v>
                </c:pt>
                <c:pt idx="398">
                  <c:v>1.6975261573248315E-3</c:v>
                </c:pt>
                <c:pt idx="399">
                  <c:v>1.6995188850219703E-3</c:v>
                </c:pt>
                <c:pt idx="400">
                  <c:v>1.7013808283151428E-3</c:v>
                </c:pt>
                <c:pt idx="401">
                  <c:v>1.7031155320364703E-3</c:v>
                </c:pt>
                <c:pt idx="402">
                  <c:v>1.7047283698918272E-3</c:v>
                </c:pt>
                <c:pt idx="403">
                  <c:v>1.7063352508759153E-3</c:v>
                </c:pt>
                <c:pt idx="404">
                  <c:v>1.7077141637415454E-3</c:v>
                </c:pt>
                <c:pt idx="405">
                  <c:v>1.7089878805692073E-3</c:v>
                </c:pt>
                <c:pt idx="406">
                  <c:v>1.7101617385495912E-3</c:v>
                </c:pt>
                <c:pt idx="407">
                  <c:v>1.7111534051991329E-3</c:v>
                </c:pt>
                <c:pt idx="408">
                  <c:v>1.7121483521845924E-3</c:v>
                </c:pt>
                <c:pt idx="409">
                  <c:v>1.7130592039996638E-3</c:v>
                </c:pt>
                <c:pt idx="410">
                  <c:v>1.7141154162197665E-3</c:v>
                </c:pt>
                <c:pt idx="411">
                  <c:v>1.7146502100377874E-3</c:v>
                </c:pt>
                <c:pt idx="412">
                  <c:v>1.7154067679238929E-3</c:v>
                </c:pt>
                <c:pt idx="413">
                  <c:v>1.7160307538520376E-3</c:v>
                </c:pt>
                <c:pt idx="414">
                  <c:v>1.7165937520505336E-3</c:v>
                </c:pt>
                <c:pt idx="415">
                  <c:v>1.7170957811158093E-3</c:v>
                </c:pt>
                <c:pt idx="416">
                  <c:v>1.717536838889591E-3</c:v>
                </c:pt>
                <c:pt idx="417">
                  <c:v>1.7179169232292447E-3</c:v>
                </c:pt>
                <c:pt idx="418">
                  <c:v>1.7182360320069081E-3</c:v>
                </c:pt>
                <c:pt idx="419">
                  <c:v>1.7184941631077505E-3</c:v>
                </c:pt>
                <c:pt idx="420">
                  <c:v>1.7186913144317121E-3</c:v>
                </c:pt>
                <c:pt idx="421">
                  <c:v>1.7188274838891605E-3</c:v>
                </c:pt>
                <c:pt idx="422">
                  <c:v>1.7189026694104485E-3</c:v>
                </c:pt>
                <c:pt idx="423">
                  <c:v>1.7189168689363508E-3</c:v>
                </c:pt>
                <c:pt idx="424">
                  <c:v>1.7188700804198114E-3</c:v>
                </c:pt>
                <c:pt idx="425">
                  <c:v>1.7187623018294108E-3</c:v>
                </c:pt>
                <c:pt idx="426">
                  <c:v>1.718593531149371E-3</c:v>
                </c:pt>
                <c:pt idx="427">
                  <c:v>1.7183637663769451E-3</c:v>
                </c:pt>
                <c:pt idx="428">
                  <c:v>1.7180730055215525E-3</c:v>
                </c:pt>
                <c:pt idx="429">
                  <c:v>1.7177260767138741E-3</c:v>
                </c:pt>
                <c:pt idx="430">
                  <c:v>1.7173174788787477E-3</c:v>
                </c:pt>
                <c:pt idx="431">
                  <c:v>1.7168478811641864E-3</c:v>
                </c:pt>
                <c:pt idx="432">
                  <c:v>1.7163172816605119E-3</c:v>
                </c:pt>
                <c:pt idx="433">
                  <c:v>1.7157041913393543E-3</c:v>
                </c:pt>
                <c:pt idx="434">
                  <c:v>1.7150474129876501E-3</c:v>
                </c:pt>
                <c:pt idx="435">
                  <c:v>1.7143296250142432E-3</c:v>
                </c:pt>
                <c:pt idx="436">
                  <c:v>1.7135508255441117E-3</c:v>
                </c:pt>
                <c:pt idx="437">
                  <c:v>1.712711012711793E-3</c:v>
                </c:pt>
                <c:pt idx="438">
                  <c:v>1.7118101846674595E-3</c:v>
                </c:pt>
                <c:pt idx="439">
                  <c:v>1.710848339574321E-3</c:v>
                </c:pt>
                <c:pt idx="440">
                  <c:v>1.7098254756103591E-3</c:v>
                </c:pt>
                <c:pt idx="441">
                  <c:v>1.7087415909665818E-3</c:v>
                </c:pt>
                <c:pt idx="442">
                  <c:v>1.7076557769821902E-3</c:v>
                </c:pt>
                <c:pt idx="443">
                  <c:v>1.7064540354161505E-3</c:v>
                </c:pt>
                <c:pt idx="444">
                  <c:v>1.7051912701716923E-3</c:v>
                </c:pt>
                <c:pt idx="445">
                  <c:v>1.7038674795104274E-3</c:v>
                </c:pt>
                <c:pt idx="446">
                  <c:v>1.7022798486924064E-3</c:v>
                </c:pt>
                <c:pt idx="447">
                  <c:v>1.7008252835058668E-3</c:v>
                </c:pt>
                <c:pt idx="448">
                  <c:v>1.6993096875424106E-3</c:v>
                </c:pt>
                <c:pt idx="449">
                  <c:v>1.6977330591233814E-3</c:v>
                </c:pt>
                <c:pt idx="450">
                  <c:v>1.6960953965850572E-3</c:v>
                </c:pt>
                <c:pt idx="451">
                  <c:v>1.6944937932503734E-3</c:v>
                </c:pt>
                <c:pt idx="452">
                  <c:v>1.6927382866036567E-3</c:v>
                </c:pt>
                <c:pt idx="453">
                  <c:v>1.6909223579713029E-3</c:v>
                </c:pt>
                <c:pt idx="454">
                  <c:v>1.6890473011095253E-3</c:v>
                </c:pt>
                <c:pt idx="455">
                  <c:v>1.68688833591755E-3</c:v>
                </c:pt>
                <c:pt idx="456">
                  <c:v>1.6848918837756828E-3</c:v>
                </c:pt>
                <c:pt idx="457">
                  <c:v>1.6828405507652716E-3</c:v>
                </c:pt>
                <c:pt idx="458">
                  <c:v>1.6807356434481299E-3</c:v>
                </c:pt>
                <c:pt idx="459">
                  <c:v>1.6787052928789953E-3</c:v>
                </c:pt>
                <c:pt idx="460">
                  <c:v>1.6765003308084848E-3</c:v>
                </c:pt>
                <c:pt idx="461">
                  <c:v>1.6735925107077346E-3</c:v>
                </c:pt>
                <c:pt idx="462">
                  <c:v>1.6712758502328518E-3</c:v>
                </c:pt>
                <c:pt idx="463">
                  <c:v>1.668772426127875E-3</c:v>
                </c:pt>
                <c:pt idx="464">
                  <c:v>1.6663606827159389E-3</c:v>
                </c:pt>
                <c:pt idx="465">
                  <c:v>1.6639047464337715E-3</c:v>
                </c:pt>
                <c:pt idx="466">
                  <c:v>1.6614049390648398E-3</c:v>
                </c:pt>
                <c:pt idx="467">
                  <c:v>1.6588612594717932E-3</c:v>
                </c:pt>
                <c:pt idx="468">
                  <c:v>1.6562737058638914E-3</c:v>
                </c:pt>
                <c:pt idx="469">
                  <c:v>1.6536422764382285E-3</c:v>
                </c:pt>
                <c:pt idx="470">
                  <c:v>1.6509669693753901E-3</c:v>
                </c:pt>
                <c:pt idx="471">
                  <c:v>1.6482477828420588E-3</c:v>
                </c:pt>
                <c:pt idx="472">
                  <c:v>1.6454847149892787E-3</c:v>
                </c:pt>
                <c:pt idx="473">
                  <c:v>1.6426777639541954E-3</c:v>
                </c:pt>
                <c:pt idx="474">
                  <c:v>1.6398269278591771E-3</c:v>
                </c:pt>
                <c:pt idx="475">
                  <c:v>1.6369322048100888E-3</c:v>
                </c:pt>
                <c:pt idx="476">
                  <c:v>1.6339935929023655E-3</c:v>
                </c:pt>
                <c:pt idx="477">
                  <c:v>1.6310110902105924E-3</c:v>
                </c:pt>
                <c:pt idx="478">
                  <c:v>1.627984694798924E-3</c:v>
                </c:pt>
                <c:pt idx="479">
                  <c:v>1.6249144047132732E-3</c:v>
                </c:pt>
                <c:pt idx="480">
                  <c:v>1.6218002179891264E-3</c:v>
                </c:pt>
                <c:pt idx="481">
                  <c:v>1.6188363784051234E-3</c:v>
                </c:pt>
                <c:pt idx="482">
                  <c:v>1.6156374105821807E-3</c:v>
                </c:pt>
                <c:pt idx="483">
                  <c:v>1.6123945411551238E-3</c:v>
                </c:pt>
                <c:pt idx="484">
                  <c:v>1.6091077681176513E-3</c:v>
                </c:pt>
                <c:pt idx="485">
                  <c:v>1.6049501036612523E-3</c:v>
                </c:pt>
                <c:pt idx="486">
                  <c:v>1.602193156206265E-3</c:v>
                </c:pt>
                <c:pt idx="487">
                  <c:v>1.5987716366881177E-3</c:v>
                </c:pt>
                <c:pt idx="488">
                  <c:v>1.5953062042636194E-3</c:v>
                </c:pt>
                <c:pt idx="489">
                  <c:v>1.5917968568292303E-3</c:v>
                </c:pt>
                <c:pt idx="490">
                  <c:v>1.5882435922727305E-3</c:v>
                </c:pt>
                <c:pt idx="491">
                  <c:v>1.5846464084636452E-3</c:v>
                </c:pt>
                <c:pt idx="492">
                  <c:v>1.5810053032541318E-3</c:v>
                </c:pt>
                <c:pt idx="493">
                  <c:v>1.5773202744885223E-3</c:v>
                </c:pt>
                <c:pt idx="494">
                  <c:v>1.5740581736007897E-3</c:v>
                </c:pt>
                <c:pt idx="495">
                  <c:v>1.5702913575932342E-3</c:v>
                </c:pt>
                <c:pt idx="496">
                  <c:v>1.5664806141284515E-3</c:v>
                </c:pt>
                <c:pt idx="497">
                  <c:v>1.5626259410392862E-3</c:v>
                </c:pt>
                <c:pt idx="498">
                  <c:v>1.5587273361425957E-3</c:v>
                </c:pt>
                <c:pt idx="499">
                  <c:v>1.5547847972401385E-3</c:v>
                </c:pt>
                <c:pt idx="500">
                  <c:v>1.5507983221203503E-3</c:v>
                </c:pt>
                <c:pt idx="501">
                  <c:v>1.5467679085574559E-3</c:v>
                </c:pt>
                <c:pt idx="502">
                  <c:v>1.5426935543079168E-3</c:v>
                </c:pt>
                <c:pt idx="503">
                  <c:v>1.5388356064712869E-3</c:v>
                </c:pt>
                <c:pt idx="504">
                  <c:v>1.5346764157841471E-3</c:v>
                </c:pt>
                <c:pt idx="505">
                  <c:v>1.5304762799432225E-3</c:v>
                </c:pt>
                <c:pt idx="506">
                  <c:v>1.5262460351164343E-3</c:v>
                </c:pt>
                <c:pt idx="507">
                  <c:v>1.5212055971020287E-3</c:v>
                </c:pt>
                <c:pt idx="508">
                  <c:v>1.5169590335586125E-3</c:v>
                </c:pt>
                <c:pt idx="509">
                  <c:v>1.5127220691306103E-3</c:v>
                </c:pt>
                <c:pt idx="510">
                  <c:v>1.5085064197644972E-3</c:v>
                </c:pt>
                <c:pt idx="511">
                  <c:v>1.504570848940387E-3</c:v>
                </c:pt>
                <c:pt idx="512">
                  <c:v>1.5004266975561353E-3</c:v>
                </c:pt>
                <c:pt idx="513">
                  <c:v>1.4963384254757031E-3</c:v>
                </c:pt>
                <c:pt idx="514">
                  <c:v>1.4923178803735813E-3</c:v>
                </c:pt>
                <c:pt idx="515">
                  <c:v>1.4883769106911211E-3</c:v>
                </c:pt>
                <c:pt idx="516">
                  <c:v>1.4843163335069281E-3</c:v>
                </c:pt>
                <c:pt idx="517">
                  <c:v>1.4805778489406628E-3</c:v>
                </c:pt>
                <c:pt idx="518">
                  <c:v>1.4769490491278493E-3</c:v>
                </c:pt>
                <c:pt idx="519">
                  <c:v>1.4734303036354774E-3</c:v>
                </c:pt>
                <c:pt idx="520">
                  <c:v>1.4700216175872714E-3</c:v>
                </c:pt>
                <c:pt idx="521">
                  <c:v>1.4667229960304996E-3</c:v>
                </c:pt>
                <c:pt idx="522">
                  <c:v>1.4635344439342321E-3</c:v>
                </c:pt>
                <c:pt idx="523">
                  <c:v>1.4604559661902036E-3</c:v>
                </c:pt>
                <c:pt idx="524">
                  <c:v>1.4574875676180415E-3</c:v>
                </c:pt>
                <c:pt idx="525">
                  <c:v>1.4546292529565609E-3</c:v>
                </c:pt>
                <c:pt idx="526">
                  <c:v>1.4518810268663827E-3</c:v>
                </c:pt>
                <c:pt idx="527">
                  <c:v>1.4492428939342737E-3</c:v>
                </c:pt>
                <c:pt idx="528">
                  <c:v>1.4467148586705392E-3</c:v>
                </c:pt>
                <c:pt idx="529">
                  <c:v>1.4442969255081539E-3</c:v>
                </c:pt>
                <c:pt idx="530">
                  <c:v>1.4419890988018932E-3</c:v>
                </c:pt>
                <c:pt idx="531">
                  <c:v>1.4397913828309451E-3</c:v>
                </c:pt>
                <c:pt idx="532">
                  <c:v>1.4377037817971672E-3</c:v>
                </c:pt>
                <c:pt idx="533">
                  <c:v>1.4358021294021764E-3</c:v>
                </c:pt>
                <c:pt idx="534">
                  <c:v>1.4339268060198796E-3</c:v>
                </c:pt>
                <c:pt idx="535">
                  <c:v>1.4321616082165669E-3</c:v>
                </c:pt>
                <c:pt idx="536">
                  <c:v>1.4305065398476178E-3</c:v>
                </c:pt>
                <c:pt idx="537">
                  <c:v>1.4289176424028723E-3</c:v>
                </c:pt>
                <c:pt idx="538">
                  <c:v>1.4274908149440775E-3</c:v>
                </c:pt>
                <c:pt idx="539">
                  <c:v>1.4261741296876015E-3</c:v>
                </c:pt>
                <c:pt idx="540">
                  <c:v>1.4249675902236105E-3</c:v>
                </c:pt>
                <c:pt idx="541">
                  <c:v>1.4238712000614728E-3</c:v>
                </c:pt>
                <c:pt idx="542">
                  <c:v>1.4228849626358349E-3</c:v>
                </c:pt>
                <c:pt idx="543">
                  <c:v>1.4220088813048752E-3</c:v>
                </c:pt>
                <c:pt idx="544">
                  <c:v>1.4212429593477138E-3</c:v>
                </c:pt>
                <c:pt idx="545">
                  <c:v>1.4205871999687422E-3</c:v>
                </c:pt>
                <c:pt idx="546">
                  <c:v>1.4199867012001377E-3</c:v>
                </c:pt>
                <c:pt idx="547">
                  <c:v>1.4195353030830304E-3</c:v>
                </c:pt>
                <c:pt idx="548">
                  <c:v>1.419194072855845E-3</c:v>
                </c:pt>
                <c:pt idx="549">
                  <c:v>1.4189630133669695E-3</c:v>
                </c:pt>
                <c:pt idx="550">
                  <c:v>1.4188421273804153E-3</c:v>
                </c:pt>
                <c:pt idx="551">
                  <c:v>1.4188314175953565E-3</c:v>
                </c:pt>
                <c:pt idx="552">
                  <c:v>1.4189308866257022E-3</c:v>
                </c:pt>
                <c:pt idx="553">
                  <c:v>1.4191405370169718E-3</c:v>
                </c:pt>
                <c:pt idx="554">
                  <c:v>1.4194603712374132E-3</c:v>
                </c:pt>
                <c:pt idx="555">
                  <c:v>1.4197921446011813E-3</c:v>
                </c:pt>
                <c:pt idx="556">
                  <c:v>1.4203243436293981E-3</c:v>
                </c:pt>
                <c:pt idx="557">
                  <c:v>1.4209638392759481E-3</c:v>
                </c:pt>
                <c:pt idx="558">
                  <c:v>1.4217001881849881E-3</c:v>
                </c:pt>
                <c:pt idx="559">
                  <c:v>1.4228895280325917E-3</c:v>
                </c:pt>
                <c:pt idx="560">
                  <c:v>1.4237924876205604E-3</c:v>
                </c:pt>
                <c:pt idx="561">
                  <c:v>1.4247540341342756E-3</c:v>
                </c:pt>
                <c:pt idx="562">
                  <c:v>1.4257628776325817E-3</c:v>
                </c:pt>
                <c:pt idx="563">
                  <c:v>1.4266807493746245E-3</c:v>
                </c:pt>
                <c:pt idx="564">
                  <c:v>1.4277513018713869E-3</c:v>
                </c:pt>
                <c:pt idx="565">
                  <c:v>1.4288358472822268E-3</c:v>
                </c:pt>
                <c:pt idx="566">
                  <c:v>1.4299229707073549E-3</c:v>
                </c:pt>
                <c:pt idx="567">
                  <c:v>1.4310012569720264E-3</c:v>
                </c:pt>
                <c:pt idx="568">
                  <c:v>1.4321769007738881E-3</c:v>
                </c:pt>
                <c:pt idx="569">
                  <c:v>1.4332008280898666E-3</c:v>
                </c:pt>
                <c:pt idx="570">
                  <c:v>1.4341869127811584E-3</c:v>
                </c:pt>
                <c:pt idx="571">
                  <c:v>1.4351348028684499E-3</c:v>
                </c:pt>
                <c:pt idx="572">
                  <c:v>1.4360444975202308E-3</c:v>
                </c:pt>
                <c:pt idx="573">
                  <c:v>1.4369159959119453E-3</c:v>
                </c:pt>
                <c:pt idx="574">
                  <c:v>1.4377492972294584E-3</c:v>
                </c:pt>
                <c:pt idx="575">
                  <c:v>1.4385444006638562E-3</c:v>
                </c:pt>
                <c:pt idx="576">
                  <c:v>1.4393013054122984E-3</c:v>
                </c:pt>
                <c:pt idx="577">
                  <c:v>1.440020010684117E-3</c:v>
                </c:pt>
                <c:pt idx="578">
                  <c:v>1.4407005156903754E-3</c:v>
                </c:pt>
                <c:pt idx="579">
                  <c:v>1.4413428196551718E-3</c:v>
                </c:pt>
                <c:pt idx="580">
                  <c:v>1.4419469218069532E-3</c:v>
                </c:pt>
                <c:pt idx="581">
                  <c:v>1.442512821381978E-3</c:v>
                </c:pt>
                <c:pt idx="582">
                  <c:v>1.4430405176260735E-3</c:v>
                </c:pt>
                <c:pt idx="583">
                  <c:v>1.4435300097911333E-3</c:v>
                </c:pt>
                <c:pt idx="584">
                  <c:v>1.4439812971342812E-3</c:v>
                </c:pt>
                <c:pt idx="585">
                  <c:v>1.44432106523322E-3</c:v>
                </c:pt>
                <c:pt idx="586">
                  <c:v>1.4446985630877356E-3</c:v>
                </c:pt>
                <c:pt idx="587">
                  <c:v>1.4450378558214239E-3</c:v>
                </c:pt>
                <c:pt idx="588">
                  <c:v>1.4453389427315534E-3</c:v>
                </c:pt>
                <c:pt idx="589">
                  <c:v>1.4456018231224152E-3</c:v>
                </c:pt>
                <c:pt idx="590">
                  <c:v>1.445886679454899E-3</c:v>
                </c:pt>
                <c:pt idx="591">
                  <c:v>1.446070512958102E-3</c:v>
                </c:pt>
                <c:pt idx="592">
                  <c:v>1.4462161359891264E-3</c:v>
                </c:pt>
                <c:pt idx="593">
                  <c:v>1.4463235478754666E-3</c:v>
                </c:pt>
                <c:pt idx="594">
                  <c:v>1.4463927479524408E-3</c:v>
                </c:pt>
                <c:pt idx="595">
                  <c:v>1.4464237355631786E-3</c:v>
                </c:pt>
                <c:pt idx="596">
                  <c:v>1.4464165100568985E-3</c:v>
                </c:pt>
                <c:pt idx="597">
                  <c:v>1.4463710707915065E-3</c:v>
                </c:pt>
                <c:pt idx="598">
                  <c:v>1.4462090205027422E-3</c:v>
                </c:pt>
                <c:pt idx="599">
                  <c:v>1.4460924460779623E-3</c:v>
                </c:pt>
                <c:pt idx="600">
                  <c:v>1.445937659938501E-3</c:v>
                </c:pt>
                <c:pt idx="601">
                  <c:v>1.4457446614848379E-3</c:v>
                </c:pt>
                <c:pt idx="602">
                  <c:v>1.4455134501218936E-3</c:v>
                </c:pt>
                <c:pt idx="603">
                  <c:v>1.4452440252696874E-3</c:v>
                </c:pt>
                <c:pt idx="604">
                  <c:v>1.4449363863473508E-3</c:v>
                </c:pt>
                <c:pt idx="605">
                  <c:v>1.4445905327855613E-3</c:v>
                </c:pt>
                <c:pt idx="606">
                  <c:v>1.444206464022102E-3</c:v>
                </c:pt>
                <c:pt idx="607">
                  <c:v>1.4437685026848345E-3</c:v>
                </c:pt>
                <c:pt idx="608">
                  <c:v>1.4433106684558789E-3</c:v>
                </c:pt>
                <c:pt idx="609">
                  <c:v>1.4428156465492656E-3</c:v>
                </c:pt>
                <c:pt idx="610">
                  <c:v>1.4422871463160257E-3</c:v>
                </c:pt>
                <c:pt idx="611">
                  <c:v>1.4417525815422026E-3</c:v>
                </c:pt>
                <c:pt idx="612">
                  <c:v>1.4411672689933382E-3</c:v>
                </c:pt>
                <c:pt idx="613">
                  <c:v>1.4405620663018991E-3</c:v>
                </c:pt>
                <c:pt idx="614">
                  <c:v>1.4399409834915007E-3</c:v>
                </c:pt>
                <c:pt idx="615">
                  <c:v>1.4393080306630886E-3</c:v>
                </c:pt>
                <c:pt idx="616">
                  <c:v>1.4386597851976882E-3</c:v>
                </c:pt>
                <c:pt idx="617">
                  <c:v>1.4380144026133919E-3</c:v>
                </c:pt>
                <c:pt idx="618">
                  <c:v>1.4373690240083292E-3</c:v>
                </c:pt>
                <c:pt idx="619">
                  <c:v>1.4367277037244178E-3</c:v>
                </c:pt>
                <c:pt idx="620">
                  <c:v>1.4361055756210682E-3</c:v>
                </c:pt>
                <c:pt idx="621">
                  <c:v>1.4354855668028688E-3</c:v>
                </c:pt>
                <c:pt idx="622">
                  <c:v>1.4348799174721816E-3</c:v>
                </c:pt>
                <c:pt idx="623">
                  <c:v>1.4342887526142475E-3</c:v>
                </c:pt>
                <c:pt idx="624">
                  <c:v>1.4337120724932009E-3</c:v>
                </c:pt>
                <c:pt idx="625">
                  <c:v>1.4331498773723084E-3</c:v>
                </c:pt>
                <c:pt idx="626">
                  <c:v>1.4326021675122348E-3</c:v>
                </c:pt>
                <c:pt idx="627">
                  <c:v>1.4320689431692943E-3</c:v>
                </c:pt>
                <c:pt idx="628">
                  <c:v>1.4315502045980644E-3</c:v>
                </c:pt>
                <c:pt idx="629">
                  <c:v>1.4310459520487841E-3</c:v>
                </c:pt>
                <c:pt idx="630">
                  <c:v>1.4305561857708149E-3</c:v>
                </c:pt>
                <c:pt idx="631">
                  <c:v>1.4300809060074429E-3</c:v>
                </c:pt>
                <c:pt idx="632">
                  <c:v>1.4296201130036892E-3</c:v>
                </c:pt>
                <c:pt idx="633">
                  <c:v>1.4291738069967565E-3</c:v>
                </c:pt>
                <c:pt idx="634">
                  <c:v>1.4287419882221056E-3</c:v>
                </c:pt>
                <c:pt idx="635">
                  <c:v>1.4283246569143319E-3</c:v>
                </c:pt>
                <c:pt idx="636">
                  <c:v>1.427921813306296E-3</c:v>
                </c:pt>
                <c:pt idx="637">
                  <c:v>1.4275039194403625E-3</c:v>
                </c:pt>
                <c:pt idx="638">
                  <c:v>1.4271289660621259E-3</c:v>
                </c:pt>
                <c:pt idx="639">
                  <c:v>1.426768501044293E-3</c:v>
                </c:pt>
                <c:pt idx="640">
                  <c:v>1.426422524604707E-3</c:v>
                </c:pt>
                <c:pt idx="641">
                  <c:v>1.4260910369541906E-3</c:v>
                </c:pt>
                <c:pt idx="642">
                  <c:v>1.4258090058155946E-3</c:v>
                </c:pt>
                <c:pt idx="643">
                  <c:v>1.4255075822885866E-3</c:v>
                </c:pt>
                <c:pt idx="644">
                  <c:v>1.4252206481947111E-3</c:v>
                </c:pt>
                <c:pt idx="645">
                  <c:v>1.4249482037398883E-3</c:v>
                </c:pt>
                <c:pt idx="646">
                  <c:v>1.4246902491230912E-3</c:v>
                </c:pt>
                <c:pt idx="647">
                  <c:v>1.4244467845415526E-3</c:v>
                </c:pt>
                <c:pt idx="648">
                  <c:v>1.424217810192507E-3</c:v>
                </c:pt>
                <c:pt idx="649">
                  <c:v>1.4240033262662346E-3</c:v>
                </c:pt>
                <c:pt idx="650">
                  <c:v>1.4237596774742175E-3</c:v>
                </c:pt>
                <c:pt idx="651">
                  <c:v>1.4235730888307787E-3</c:v>
                </c:pt>
                <c:pt idx="652">
                  <c:v>1.4234009911338087E-3</c:v>
                </c:pt>
                <c:pt idx="653">
                  <c:v>1.4232433845624975E-3</c:v>
                </c:pt>
                <c:pt idx="654">
                  <c:v>1.4230329598996505E-3</c:v>
                </c:pt>
                <c:pt idx="655">
                  <c:v>1.4229544536481387E-3</c:v>
                </c:pt>
                <c:pt idx="656">
                  <c:v>1.4228423917384964E-3</c:v>
                </c:pt>
                <c:pt idx="657">
                  <c:v>1.4227448216607656E-3</c:v>
                </c:pt>
                <c:pt idx="658">
                  <c:v>1.4226617435783295E-3</c:v>
                </c:pt>
                <c:pt idx="659">
                  <c:v>1.4225396785176869E-3</c:v>
                </c:pt>
                <c:pt idx="660">
                  <c:v>1.4224845007326792E-3</c:v>
                </c:pt>
                <c:pt idx="661">
                  <c:v>1.4224450031115055E-3</c:v>
                </c:pt>
                <c:pt idx="662">
                  <c:v>1.4224254756802779E-3</c:v>
                </c:pt>
                <c:pt idx="663">
                  <c:v>1.4226770616410801E-3</c:v>
                </c:pt>
                <c:pt idx="664">
                  <c:v>1.4227251476911142E-3</c:v>
                </c:pt>
                <c:pt idx="665">
                  <c:v>1.4228093646377216E-3</c:v>
                </c:pt>
                <c:pt idx="666">
                  <c:v>1.4229343026032279E-3</c:v>
                </c:pt>
                <c:pt idx="667">
                  <c:v>1.4229830126494571E-3</c:v>
                </c:pt>
                <c:pt idx="668">
                  <c:v>1.4230774897542771E-3</c:v>
                </c:pt>
                <c:pt idx="669">
                  <c:v>1.4233369908482965E-3</c:v>
                </c:pt>
                <c:pt idx="670">
                  <c:v>1.4236550062574679E-3</c:v>
                </c:pt>
                <c:pt idx="671">
                  <c:v>1.4240362770693137E-3</c:v>
                </c:pt>
                <c:pt idx="672">
                  <c:v>1.4248054305422749E-3</c:v>
                </c:pt>
                <c:pt idx="673">
                  <c:v>1.425365278764839E-3</c:v>
                </c:pt>
                <c:pt idx="674">
                  <c:v>1.4260012361559365E-3</c:v>
                </c:pt>
                <c:pt idx="675">
                  <c:v>1.426713321576999E-3</c:v>
                </c:pt>
                <c:pt idx="676">
                  <c:v>1.4275015356423216E-3</c:v>
                </c:pt>
                <c:pt idx="677">
                  <c:v>1.4283658789505521E-3</c:v>
                </c:pt>
                <c:pt idx="678">
                  <c:v>1.4293063520942617E-3</c:v>
                </c:pt>
                <c:pt idx="679">
                  <c:v>1.430322955648643E-3</c:v>
                </c:pt>
                <c:pt idx="680">
                  <c:v>1.4314156901732468E-3</c:v>
                </c:pt>
                <c:pt idx="681">
                  <c:v>1.432584556216334E-3</c:v>
                </c:pt>
                <c:pt idx="682">
                  <c:v>1.4338295543148624E-3</c:v>
                </c:pt>
                <c:pt idx="683">
                  <c:v>1.4351506849866798E-3</c:v>
                </c:pt>
                <c:pt idx="684">
                  <c:v>1.4365479487435506E-3</c:v>
                </c:pt>
                <c:pt idx="685">
                  <c:v>1.4380213460763874E-3</c:v>
                </c:pt>
                <c:pt idx="686">
                  <c:v>1.4395708774674124E-3</c:v>
                </c:pt>
                <c:pt idx="687">
                  <c:v>1.4411965433858143E-3</c:v>
                </c:pt>
                <c:pt idx="688">
                  <c:v>1.4428983442825397E-3</c:v>
                </c:pt>
                <c:pt idx="689">
                  <c:v>1.4444769527023078E-3</c:v>
                </c:pt>
                <c:pt idx="690">
                  <c:v>1.4463254726179084E-3</c:v>
                </c:pt>
                <c:pt idx="691">
                  <c:v>1.4482501260690249E-3</c:v>
                </c:pt>
                <c:pt idx="692">
                  <c:v>1.45025091345183E-3</c:v>
                </c:pt>
                <c:pt idx="693">
                  <c:v>1.4525493884055395E-3</c:v>
                </c:pt>
                <c:pt idx="694">
                  <c:v>1.4547080079590803E-3</c:v>
                </c:pt>
                <c:pt idx="695">
                  <c:v>1.4569427652921796E-3</c:v>
                </c:pt>
                <c:pt idx="696">
                  <c:v>1.4592536607497802E-3</c:v>
                </c:pt>
                <c:pt idx="697">
                  <c:v>1.461640694669003E-3</c:v>
                </c:pt>
                <c:pt idx="698">
                  <c:v>1.4641038673643761E-3</c:v>
                </c:pt>
                <c:pt idx="699">
                  <c:v>1.4666431791426175E-3</c:v>
                </c:pt>
                <c:pt idx="700">
                  <c:v>1.4692586302982695E-3</c:v>
                </c:pt>
                <c:pt idx="701">
                  <c:v>1.4719502211093718E-3</c:v>
                </c:pt>
                <c:pt idx="702">
                  <c:v>1.4744462312881249E-3</c:v>
                </c:pt>
                <c:pt idx="703">
                  <c:v>1.4772845142927947E-3</c:v>
                </c:pt>
                <c:pt idx="704">
                  <c:v>1.4801989349510075E-3</c:v>
                </c:pt>
                <c:pt idx="705">
                  <c:v>1.4831894934841262E-3</c:v>
                </c:pt>
                <c:pt idx="706">
                  <c:v>1.4864061605495138E-3</c:v>
                </c:pt>
                <c:pt idx="707">
                  <c:v>1.4895542734345568E-3</c:v>
                </c:pt>
                <c:pt idx="708">
                  <c:v>1.4927785220484324E-3</c:v>
                </c:pt>
                <c:pt idx="709">
                  <c:v>1.4963900560761578E-3</c:v>
                </c:pt>
                <c:pt idx="710">
                  <c:v>1.4994554271172689E-3</c:v>
                </c:pt>
                <c:pt idx="711">
                  <c:v>1.5029080838679931E-3</c:v>
                </c:pt>
                <c:pt idx="712">
                  <c:v>1.506436274071099E-3</c:v>
                </c:pt>
                <c:pt idx="713">
                  <c:v>1.5100292686831551E-3</c:v>
                </c:pt>
                <c:pt idx="714">
                  <c:v>1.5136679361198446E-3</c:v>
                </c:pt>
                <c:pt idx="715">
                  <c:v>1.5179888978081434E-3</c:v>
                </c:pt>
                <c:pt idx="716">
                  <c:v>1.5216526626057759E-3</c:v>
                </c:pt>
                <c:pt idx="717">
                  <c:v>1.525300448474794E-3</c:v>
                </c:pt>
                <c:pt idx="718">
                  <c:v>1.5289132891031978E-3</c:v>
                </c:pt>
                <c:pt idx="719">
                  <c:v>1.5321705537301236E-3</c:v>
                </c:pt>
                <c:pt idx="720">
                  <c:v>1.5356664035972925E-3</c:v>
                </c:pt>
                <c:pt idx="721">
                  <c:v>1.5390713056428786E-3</c:v>
                </c:pt>
                <c:pt idx="722">
                  <c:v>1.5432845413908564E-3</c:v>
                </c:pt>
                <c:pt idx="723">
                  <c:v>1.5475986157523283E-3</c:v>
                </c:pt>
                <c:pt idx="724">
                  <c:v>1.5496229184120344E-3</c:v>
                </c:pt>
                <c:pt idx="725">
                  <c:v>1.5524118378795748E-3</c:v>
                </c:pt>
                <c:pt idx="726">
                  <c:v>1.5632276068747782E-3</c:v>
                </c:pt>
                <c:pt idx="727">
                  <c:v>1.5695558625151568E-3</c:v>
                </c:pt>
                <c:pt idx="728">
                  <c:v>1.5731422441537767E-3</c:v>
                </c:pt>
                <c:pt idx="729">
                  <c:v>1.5730527266500684E-3</c:v>
                </c:pt>
                <c:pt idx="730">
                  <c:v>1.5697160344624421E-3</c:v>
                </c:pt>
                <c:pt idx="731">
                  <c:v>1.5625458526955811E-3</c:v>
                </c:pt>
                <c:pt idx="732">
                  <c:v>1.552914717630749E-3</c:v>
                </c:pt>
                <c:pt idx="733">
                  <c:v>1.5384268263591849E-3</c:v>
                </c:pt>
                <c:pt idx="734">
                  <c:v>1.5198671859769555E-3</c:v>
                </c:pt>
                <c:pt idx="735">
                  <c:v>1.5017939243588962E-3</c:v>
                </c:pt>
                <c:pt idx="736">
                  <c:v>1.4822010626401386E-3</c:v>
                </c:pt>
                <c:pt idx="737">
                  <c:v>1.4623076033081391E-3</c:v>
                </c:pt>
                <c:pt idx="738">
                  <c:v>1.4434000315360178E-3</c:v>
                </c:pt>
                <c:pt idx="739">
                  <c:v>1.4270277242270195E-3</c:v>
                </c:pt>
                <c:pt idx="740">
                  <c:v>1.4115341952871865E-3</c:v>
                </c:pt>
                <c:pt idx="741">
                  <c:v>1.3976494433728046E-3</c:v>
                </c:pt>
                <c:pt idx="742">
                  <c:v>1.3863854216245013E-3</c:v>
                </c:pt>
                <c:pt idx="743">
                  <c:v>1.3761907055622538E-3</c:v>
                </c:pt>
                <c:pt idx="744">
                  <c:v>1.3680515300853457E-3</c:v>
                </c:pt>
                <c:pt idx="745">
                  <c:v>1.3610014057686311E-3</c:v>
                </c:pt>
                <c:pt idx="746">
                  <c:v>1.3561922335764871E-3</c:v>
                </c:pt>
                <c:pt idx="747">
                  <c:v>1.3521302696598535E-3</c:v>
                </c:pt>
                <c:pt idx="748">
                  <c:v>1.3489324444162214E-3</c:v>
                </c:pt>
                <c:pt idx="749">
                  <c:v>1.3453173534105425E-3</c:v>
                </c:pt>
                <c:pt idx="750">
                  <c:v>1.341798492852821E-3</c:v>
                </c:pt>
                <c:pt idx="751">
                  <c:v>1.3376716509133409E-3</c:v>
                </c:pt>
                <c:pt idx="752">
                  <c:v>1.333699576658182E-3</c:v>
                </c:pt>
                <c:pt idx="753">
                  <c:v>1.3294482250635759E-3</c:v>
                </c:pt>
                <c:pt idx="754">
                  <c:v>1.324598013849973E-3</c:v>
                </c:pt>
                <c:pt idx="755">
                  <c:v>1.3199504721992782E-3</c:v>
                </c:pt>
                <c:pt idx="756">
                  <c:v>1.314559602989783E-3</c:v>
                </c:pt>
                <c:pt idx="757">
                  <c:v>1.3089004652362089E-3</c:v>
                </c:pt>
                <c:pt idx="758">
                  <c:v>1.3036692466046433E-3</c:v>
                </c:pt>
                <c:pt idx="759">
                  <c:v>1.2983040082865105E-3</c:v>
                </c:pt>
                <c:pt idx="760">
                  <c:v>1.292364851801224E-3</c:v>
                </c:pt>
                <c:pt idx="761">
                  <c:v>1.285806561162544E-3</c:v>
                </c:pt>
                <c:pt idx="762">
                  <c:v>1.2794256170681941E-3</c:v>
                </c:pt>
                <c:pt idx="763">
                  <c:v>1.2723717250094097E-3</c:v>
                </c:pt>
                <c:pt idx="764">
                  <c:v>1.2650054976748072E-3</c:v>
                </c:pt>
                <c:pt idx="765">
                  <c:v>1.257959185227784E-3</c:v>
                </c:pt>
                <c:pt idx="766">
                  <c:v>1.2500195787807037E-3</c:v>
                </c:pt>
                <c:pt idx="767">
                  <c:v>1.2427162332393493E-3</c:v>
                </c:pt>
                <c:pt idx="768">
                  <c:v>1.2341953897584326E-3</c:v>
                </c:pt>
                <c:pt idx="769">
                  <c:v>1.2264473277532051E-3</c:v>
                </c:pt>
                <c:pt idx="770">
                  <c:v>1.2186127965710027E-3</c:v>
                </c:pt>
                <c:pt idx="771">
                  <c:v>1.2095118698938843E-3</c:v>
                </c:pt>
                <c:pt idx="772">
                  <c:v>1.2008329718350263E-3</c:v>
                </c:pt>
                <c:pt idx="773">
                  <c:v>1.1911296253886844E-3</c:v>
                </c:pt>
                <c:pt idx="774">
                  <c:v>1.1820756791342223E-3</c:v>
                </c:pt>
                <c:pt idx="775">
                  <c:v>1.1718603534480055E-3</c:v>
                </c:pt>
                <c:pt idx="776">
                  <c:v>1.1623409891277185E-3</c:v>
                </c:pt>
                <c:pt idx="777">
                  <c:v>1.1523679045000179E-3</c:v>
                </c:pt>
                <c:pt idx="778">
                  <c:v>1.141628978946858E-3</c:v>
                </c:pt>
                <c:pt idx="779">
                  <c:v>1.1308895314535404E-3</c:v>
                </c:pt>
                <c:pt idx="780">
                  <c:v>1.1201981501312019E-3</c:v>
                </c:pt>
                <c:pt idx="781">
                  <c:v>1.1082010694073094E-3</c:v>
                </c:pt>
                <c:pt idx="782">
                  <c:v>1.098245600825231E-3</c:v>
                </c:pt>
                <c:pt idx="783">
                  <c:v>1.0869102701854105E-3</c:v>
                </c:pt>
                <c:pt idx="784">
                  <c:v>1.0766202730259859E-3</c:v>
                </c:pt>
                <c:pt idx="785">
                  <c:v>1.0647317967884748E-3</c:v>
                </c:pt>
                <c:pt idx="786">
                  <c:v>1.0530840551146933E-3</c:v>
                </c:pt>
                <c:pt idx="787">
                  <c:v>1.0427183096900078E-3</c:v>
                </c:pt>
                <c:pt idx="788">
                  <c:v>1.0319309547821408E-3</c:v>
                </c:pt>
                <c:pt idx="789">
                  <c:v>1.0208454520910237E-3</c:v>
                </c:pt>
                <c:pt idx="790">
                  <c:v>1.0108813549045692E-3</c:v>
                </c:pt>
                <c:pt idx="791">
                  <c:v>9.9974700461569199E-4</c:v>
                </c:pt>
                <c:pt idx="792">
                  <c:v>9.8859864352169625E-4</c:v>
                </c:pt>
                <c:pt idx="793">
                  <c:v>9.7920825764136014E-4</c:v>
                </c:pt>
                <c:pt idx="794">
                  <c:v>9.6948718964642161E-4</c:v>
                </c:pt>
                <c:pt idx="795">
                  <c:v>9.5937415677832365E-4</c:v>
                </c:pt>
                <c:pt idx="796">
                  <c:v>9.4899109012710516E-4</c:v>
                </c:pt>
                <c:pt idx="797">
                  <c:v>9.3919283207077355E-4</c:v>
                </c:pt>
                <c:pt idx="798">
                  <c:v>9.2901362104375919E-4</c:v>
                </c:pt>
                <c:pt idx="799">
                  <c:v>9.1882340571080093E-4</c:v>
                </c:pt>
                <c:pt idx="800">
                  <c:v>9.0943372228403062E-4</c:v>
                </c:pt>
                <c:pt idx="801">
                  <c:v>8.9933625330916242E-4</c:v>
                </c:pt>
                <c:pt idx="802">
                  <c:v>8.9036359688120757E-4</c:v>
                </c:pt>
                <c:pt idx="803">
                  <c:v>8.8047319863400302E-4</c:v>
                </c:pt>
                <c:pt idx="804">
                  <c:v>8.7168654289282443E-4</c:v>
                </c:pt>
                <c:pt idx="805">
                  <c:v>8.6295332495735927E-4</c:v>
                </c:pt>
                <c:pt idx="806">
                  <c:v>8.5347592031605017E-4</c:v>
                </c:pt>
                <c:pt idx="807">
                  <c:v>8.4503501291714918E-4</c:v>
                </c:pt>
                <c:pt idx="808">
                  <c:v>8.35654864606886E-4</c:v>
                </c:pt>
                <c:pt idx="809">
                  <c:v>8.2722211854023564E-4</c:v>
                </c:pt>
                <c:pt idx="810">
                  <c:v>8.1805022550821178E-4</c:v>
                </c:pt>
                <c:pt idx="811">
                  <c:v>8.0990880459175588E-4</c:v>
                </c:pt>
                <c:pt idx="812">
                  <c:v>8.014518235721392E-4</c:v>
                </c:pt>
                <c:pt idx="813">
                  <c:v>7.9278906403169001E-4</c:v>
                </c:pt>
                <c:pt idx="814">
                  <c:v>7.8502220602061357E-4</c:v>
                </c:pt>
                <c:pt idx="815">
                  <c:v>7.7636351025578421E-4</c:v>
                </c:pt>
                <c:pt idx="816">
                  <c:v>7.6762177309781104E-4</c:v>
                </c:pt>
                <c:pt idx="817">
                  <c:v>7.6045520841351057E-4</c:v>
                </c:pt>
                <c:pt idx="818">
                  <c:v>7.5295773885853019E-4</c:v>
                </c:pt>
                <c:pt idx="819">
                  <c:v>7.4517740017437072E-4</c:v>
                </c:pt>
                <c:pt idx="820">
                  <c:v>7.3721557859731876E-4</c:v>
                </c:pt>
                <c:pt idx="821">
                  <c:v>7.2972324145398337E-4</c:v>
                </c:pt>
                <c:pt idx="822">
                  <c:v>7.2205383957627337E-4</c:v>
                </c:pt>
                <c:pt idx="823">
                  <c:v>7.1413501169092543E-4</c:v>
                </c:pt>
                <c:pt idx="824">
                  <c:v>7.0711165094663672E-4</c:v>
                </c:pt>
                <c:pt idx="825">
                  <c:v>7.0034924215978123E-4</c:v>
                </c:pt>
                <c:pt idx="826">
                  <c:v>6.930506735001174E-4</c:v>
                </c:pt>
                <c:pt idx="827">
                  <c:v>6.8652493372134415E-4</c:v>
                </c:pt>
                <c:pt idx="828">
                  <c:v>6.7991970167959569E-4</c:v>
                </c:pt>
                <c:pt idx="829">
                  <c:v>6.7378245492010456E-4</c:v>
                </c:pt>
                <c:pt idx="830">
                  <c:v>6.6643565610383787E-4</c:v>
                </c:pt>
                <c:pt idx="831">
                  <c:v>6.604722924244532E-4</c:v>
                </c:pt>
                <c:pt idx="832">
                  <c:v>6.5354485532571199E-4</c:v>
                </c:pt>
                <c:pt idx="833">
                  <c:v>6.4734183747764372E-4</c:v>
                </c:pt>
                <c:pt idx="834">
                  <c:v>6.4069705011009226E-4</c:v>
                </c:pt>
                <c:pt idx="835">
                  <c:v>6.3460891851757455E-4</c:v>
                </c:pt>
                <c:pt idx="836">
                  <c:v>6.2809794568103976E-4</c:v>
                </c:pt>
                <c:pt idx="837">
                  <c:v>6.2241483231062489E-4</c:v>
                </c:pt>
                <c:pt idx="838">
                  <c:v>6.1604007162386829E-4</c:v>
                </c:pt>
                <c:pt idx="839">
                  <c:v>6.105399121317228E-4</c:v>
                </c:pt>
                <c:pt idx="840">
                  <c:v>6.0515882749955473E-4</c:v>
                </c:pt>
                <c:pt idx="841">
                  <c:v>5.992326204216341E-4</c:v>
                </c:pt>
                <c:pt idx="842">
                  <c:v>5.938323210693975E-4</c:v>
                </c:pt>
                <c:pt idx="843">
                  <c:v>5.8809387486422407E-4</c:v>
                </c:pt>
                <c:pt idx="844">
                  <c:v>5.8299669044793896E-4</c:v>
                </c:pt>
                <c:pt idx="845">
                  <c:v>5.7752132584014057E-4</c:v>
                </c:pt>
                <c:pt idx="846">
                  <c:v>5.7271981655193302E-4</c:v>
                </c:pt>
                <c:pt idx="847">
                  <c:v>5.6780956038706559E-4</c:v>
                </c:pt>
                <c:pt idx="848">
                  <c:v>5.6283210502043428E-4</c:v>
                </c:pt>
                <c:pt idx="849">
                  <c:v>5.5837840090655795E-4</c:v>
                </c:pt>
                <c:pt idx="850">
                  <c:v>5.5355253415243465E-4</c:v>
                </c:pt>
                <c:pt idx="851">
                  <c:v>5.4886443343601238E-4</c:v>
                </c:pt>
                <c:pt idx="852">
                  <c:v>5.4481236890412989E-4</c:v>
                </c:pt>
                <c:pt idx="853">
                  <c:v>5.4082600285462225E-4</c:v>
                </c:pt>
                <c:pt idx="854">
                  <c:v>5.3660794642360413E-4</c:v>
                </c:pt>
                <c:pt idx="855">
                  <c:v>5.328126330669692E-4</c:v>
                </c:pt>
                <c:pt idx="856">
                  <c:v>5.2905334853366355E-4</c:v>
                </c:pt>
                <c:pt idx="857">
                  <c:v>5.2521303570512816E-4</c:v>
                </c:pt>
                <c:pt idx="858">
                  <c:v>5.2146780120811836E-4</c:v>
                </c:pt>
                <c:pt idx="859">
                  <c:v>5.1811546512517057E-4</c:v>
                </c:pt>
                <c:pt idx="860">
                  <c:v>5.1459803639862522E-4</c:v>
                </c:pt>
                <c:pt idx="861">
                  <c:v>5.1157939537738173E-4</c:v>
                </c:pt>
                <c:pt idx="862">
                  <c:v>5.0829320441702491E-4</c:v>
                </c:pt>
                <c:pt idx="863">
                  <c:v>5.0550450963295426E-4</c:v>
                </c:pt>
                <c:pt idx="864">
                  <c:v>5.0287915620107933E-4</c:v>
                </c:pt>
                <c:pt idx="865">
                  <c:v>5.0002688073520069E-4</c:v>
                </c:pt>
                <c:pt idx="866">
                  <c:v>4.9751059491251297E-4</c:v>
                </c:pt>
                <c:pt idx="867">
                  <c:v>4.9489880565112797E-4</c:v>
                </c:pt>
                <c:pt idx="868">
                  <c:v>4.9264395426812553E-4</c:v>
                </c:pt>
                <c:pt idx="869">
                  <c:v>4.9030998218524413E-4</c:v>
                </c:pt>
                <c:pt idx="870">
                  <c:v>4.8827921480783069E-4</c:v>
                </c:pt>
                <c:pt idx="871">
                  <c:v>4.863884722693286E-4</c:v>
                </c:pt>
                <c:pt idx="872">
                  <c:v>4.8443502107353709E-4</c:v>
                </c:pt>
                <c:pt idx="873">
                  <c:v>4.8260056164152985E-4</c:v>
                </c:pt>
                <c:pt idx="874">
                  <c:v>4.810719547134884E-4</c:v>
                </c:pt>
                <c:pt idx="875">
                  <c:v>4.797226860961748E-4</c:v>
                </c:pt>
                <c:pt idx="876">
                  <c:v>4.7828105134043765E-4</c:v>
                </c:pt>
                <c:pt idx="877">
                  <c:v>4.7708659095834806E-4</c:v>
                </c:pt>
                <c:pt idx="878">
                  <c:v>4.7590605848048771E-4</c:v>
                </c:pt>
                <c:pt idx="879">
                  <c:v>4.7495233014331444E-4</c:v>
                </c:pt>
                <c:pt idx="880">
                  <c:v>4.7403465891995497E-4</c:v>
                </c:pt>
                <c:pt idx="881">
                  <c:v>4.7331204292164024E-4</c:v>
                </c:pt>
                <c:pt idx="882">
                  <c:v>4.7273847195296315E-4</c:v>
                </c:pt>
                <c:pt idx="883">
                  <c:v>4.7218927060562257E-4</c:v>
                </c:pt>
                <c:pt idx="884">
                  <c:v>4.7180000253010945E-4</c:v>
                </c:pt>
                <c:pt idx="885">
                  <c:v>4.715290709684794E-4</c:v>
                </c:pt>
                <c:pt idx="886">
                  <c:v>4.7141355466800289E-4</c:v>
                </c:pt>
                <c:pt idx="887">
                  <c:v>4.714297619305384E-4</c:v>
                </c:pt>
                <c:pt idx="888">
                  <c:v>4.715221223863357E-4</c:v>
                </c:pt>
                <c:pt idx="889">
                  <c:v>4.7178861577717827E-4</c:v>
                </c:pt>
                <c:pt idx="890">
                  <c:v>4.7213586650274308E-4</c:v>
                </c:pt>
                <c:pt idx="891">
                  <c:v>4.7265173722887965E-4</c:v>
                </c:pt>
                <c:pt idx="892">
                  <c:v>4.7323546487249186E-4</c:v>
                </c:pt>
                <c:pt idx="893">
                  <c:v>4.7398013572821224E-4</c:v>
                </c:pt>
                <c:pt idx="894">
                  <c:v>4.7483685739195189E-4</c:v>
                </c:pt>
                <c:pt idx="895">
                  <c:v>4.7587594498444373E-4</c:v>
                </c:pt>
                <c:pt idx="896">
                  <c:v>4.769024876578893E-4</c:v>
                </c:pt>
                <c:pt idx="897">
                  <c:v>4.7820228622205349E-4</c:v>
                </c:pt>
                <c:pt idx="898">
                  <c:v>4.7946082968586268E-4</c:v>
                </c:pt>
                <c:pt idx="899">
                  <c:v>4.8088137403915973E-4</c:v>
                </c:pt>
                <c:pt idx="900">
                  <c:v>4.8239368610504714E-4</c:v>
                </c:pt>
                <c:pt idx="901">
                  <c:v>4.8377222582754627E-4</c:v>
                </c:pt>
                <c:pt idx="902">
                  <c:v>4.8522964303707172E-4</c:v>
                </c:pt>
                <c:pt idx="903">
                  <c:v>4.8649408388214133E-4</c:v>
                </c:pt>
                <c:pt idx="904">
                  <c:v>4.878184365149172E-4</c:v>
                </c:pt>
                <c:pt idx="905">
                  <c:v>4.8896190952076556E-4</c:v>
                </c:pt>
                <c:pt idx="906">
                  <c:v>4.9011887739208032E-4</c:v>
                </c:pt>
                <c:pt idx="907">
                  <c:v>4.9117570251229828E-4</c:v>
                </c:pt>
                <c:pt idx="908">
                  <c:v>4.9209958982721069E-4</c:v>
                </c:pt>
                <c:pt idx="909">
                  <c:v>4.9307017938016173E-4</c:v>
                </c:pt>
                <c:pt idx="910">
                  <c:v>4.9406062052460495E-4</c:v>
                </c:pt>
                <c:pt idx="911">
                  <c:v>4.9476019461765046E-4</c:v>
                </c:pt>
                <c:pt idx="912">
                  <c:v>4.9554098273481111E-4</c:v>
                </c:pt>
                <c:pt idx="913">
                  <c:v>4.961580605294634E-4</c:v>
                </c:pt>
                <c:pt idx="914">
                  <c:v>4.9685653625918848E-4</c:v>
                </c:pt>
                <c:pt idx="915">
                  <c:v>4.974564227518425E-4</c:v>
                </c:pt>
                <c:pt idx="916">
                  <c:v>4.9791539572814278E-4</c:v>
                </c:pt>
                <c:pt idx="917">
                  <c:v>4.9841839893784157E-4</c:v>
                </c:pt>
                <c:pt idx="918">
                  <c:v>4.9877200675531828E-4</c:v>
                </c:pt>
                <c:pt idx="919">
                  <c:v>4.990323333773361E-4</c:v>
                </c:pt>
                <c:pt idx="920">
                  <c:v>4.9930480383864051E-4</c:v>
                </c:pt>
                <c:pt idx="921">
                  <c:v>4.9952848537593297E-4</c:v>
                </c:pt>
                <c:pt idx="922">
                  <c:v>4.9966499128511858E-4</c:v>
                </c:pt>
                <c:pt idx="923">
                  <c:v>4.9971544845040482E-4</c:v>
                </c:pt>
                <c:pt idx="924">
                  <c:v>4.9974165926490802E-4</c:v>
                </c:pt>
                <c:pt idx="925">
                  <c:v>4.9968887931493323E-4</c:v>
                </c:pt>
                <c:pt idx="926">
                  <c:v>4.9961059066445934E-4</c:v>
                </c:pt>
                <c:pt idx="927">
                  <c:v>4.9939053469809543E-4</c:v>
                </c:pt>
                <c:pt idx="928">
                  <c:v>4.9911891114996949E-4</c:v>
                </c:pt>
                <c:pt idx="929">
                  <c:v>4.9883814748038872E-4</c:v>
                </c:pt>
                <c:pt idx="930">
                  <c:v>4.9844741464647596E-4</c:v>
                </c:pt>
                <c:pt idx="931">
                  <c:v>4.98009776433328E-4</c:v>
                </c:pt>
                <c:pt idx="932">
                  <c:v>4.9749802255827195E-4</c:v>
                </c:pt>
                <c:pt idx="933">
                  <c:v>4.9694443248875925E-4</c:v>
                </c:pt>
                <c:pt idx="934">
                  <c:v>4.964183694102977E-4</c:v>
                </c:pt>
                <c:pt idx="935">
                  <c:v>4.9569542390067757E-4</c:v>
                </c:pt>
                <c:pt idx="936">
                  <c:v>4.9499093363202309E-4</c:v>
                </c:pt>
                <c:pt idx="937">
                  <c:v>4.9414183951005351E-4</c:v>
                </c:pt>
                <c:pt idx="938">
                  <c:v>4.9330944728186686E-4</c:v>
                </c:pt>
                <c:pt idx="939">
                  <c:v>4.9232727821578795E-4</c:v>
                </c:pt>
                <c:pt idx="940">
                  <c:v>4.9137210933191712E-4</c:v>
                </c:pt>
                <c:pt idx="941">
                  <c:v>4.9036447716663961E-4</c:v>
                </c:pt>
                <c:pt idx="942">
                  <c:v>4.8918431432055931E-4</c:v>
                </c:pt>
                <c:pt idx="943">
                  <c:v>4.8793737611846355E-4</c:v>
                </c:pt>
                <c:pt idx="944">
                  <c:v>4.8674304662777411E-4</c:v>
                </c:pt>
                <c:pt idx="945">
                  <c:v>4.8535926212991964E-4</c:v>
                </c:pt>
                <c:pt idx="946">
                  <c:v>4.840877574700999E-4</c:v>
                </c:pt>
                <c:pt idx="947">
                  <c:v>4.827678465254958E-4</c:v>
                </c:pt>
                <c:pt idx="948">
                  <c:v>4.8132179105014189E-4</c:v>
                </c:pt>
                <c:pt idx="949">
                  <c:v>4.7969772851235055E-4</c:v>
                </c:pt>
                <c:pt idx="950">
                  <c:v>4.7813186958359406E-4</c:v>
                </c:pt>
                <c:pt idx="951">
                  <c:v>4.7638864677771418E-4</c:v>
                </c:pt>
                <c:pt idx="952">
                  <c:v>4.7453917853647332E-4</c:v>
                </c:pt>
                <c:pt idx="953">
                  <c:v>4.728061461866731E-4</c:v>
                </c:pt>
                <c:pt idx="954">
                  <c:v>4.7104114708229616E-4</c:v>
                </c:pt>
                <c:pt idx="955">
                  <c:v>4.6906980713679047E-4</c:v>
                </c:pt>
                <c:pt idx="956">
                  <c:v>4.6722666345200281E-4</c:v>
                </c:pt>
                <c:pt idx="957">
                  <c:v>4.6529991940913971E-4</c:v>
                </c:pt>
                <c:pt idx="958">
                  <c:v>4.6343268885896093E-4</c:v>
                </c:pt>
                <c:pt idx="959">
                  <c:v>4.6114311676617378E-4</c:v>
                </c:pt>
                <c:pt idx="960">
                  <c:v>4.5925803184236266E-4</c:v>
                </c:pt>
                <c:pt idx="961">
                  <c:v>4.570441575132856E-4</c:v>
                </c:pt>
                <c:pt idx="962">
                  <c:v>4.5503891744537971E-4</c:v>
                </c:pt>
                <c:pt idx="963">
                  <c:v>4.5285710553115768E-4</c:v>
                </c:pt>
                <c:pt idx="964">
                  <c:v>4.5085077235985926E-4</c:v>
                </c:pt>
                <c:pt idx="965">
                  <c:v>4.4866934365957352E-4</c:v>
                </c:pt>
                <c:pt idx="966">
                  <c:v>4.4672500829445738E-4</c:v>
                </c:pt>
                <c:pt idx="967">
                  <c:v>4.4454405495445055E-4</c:v>
                </c:pt>
                <c:pt idx="968">
                  <c:v>4.4261424557669876E-4</c:v>
                </c:pt>
                <c:pt idx="969">
                  <c:v>4.4074349732554745E-4</c:v>
                </c:pt>
                <c:pt idx="970">
                  <c:v>4.3861726197541931E-4</c:v>
                </c:pt>
                <c:pt idx="971">
                  <c:v>4.3666206817872047E-4</c:v>
                </c:pt>
                <c:pt idx="972">
                  <c:v>4.3453654604129303E-4</c:v>
                </c:pt>
                <c:pt idx="973">
                  <c:v>4.3261163347977326E-4</c:v>
                </c:pt>
                <c:pt idx="974">
                  <c:v>4.3050234869989289E-4</c:v>
                </c:pt>
                <c:pt idx="975">
                  <c:v>4.2860749699281768E-4</c:v>
                </c:pt>
                <c:pt idx="976">
                  <c:v>4.2665856937080041E-4</c:v>
                </c:pt>
                <c:pt idx="977">
                  <c:v>4.2460376904995302E-4</c:v>
                </c:pt>
                <c:pt idx="978">
                  <c:v>4.2274575217415844E-4</c:v>
                </c:pt>
                <c:pt idx="979">
                  <c:v>4.2067659427669213E-4</c:v>
                </c:pt>
                <c:pt idx="980">
                  <c:v>4.1860086996604352E-4</c:v>
                </c:pt>
                <c:pt idx="981">
                  <c:v>4.1684411745563504E-4</c:v>
                </c:pt>
                <c:pt idx="982">
                  <c:v>4.149379749826751E-4</c:v>
                </c:pt>
                <c:pt idx="983">
                  <c:v>4.1294774988096319E-4</c:v>
                </c:pt>
                <c:pt idx="984">
                  <c:v>4.1110324113609147E-4</c:v>
                </c:pt>
                <c:pt idx="985">
                  <c:v>4.0923603259241693E-4</c:v>
                </c:pt>
                <c:pt idx="986">
                  <c:v>4.0725267500145088E-4</c:v>
                </c:pt>
                <c:pt idx="987">
                  <c:v>4.0526287564647719E-4</c:v>
                </c:pt>
                <c:pt idx="988">
                  <c:v>4.0343314172135852E-4</c:v>
                </c:pt>
                <c:pt idx="989">
                  <c:v>4.0144482042331689E-4</c:v>
                </c:pt>
                <c:pt idx="990">
                  <c:v>3.9953953579871179E-4</c:v>
                </c:pt>
                <c:pt idx="991">
                  <c:v>3.9768719394869465E-4</c:v>
                </c:pt>
                <c:pt idx="992">
                  <c:v>3.959163319660064E-4</c:v>
                </c:pt>
                <c:pt idx="993">
                  <c:v>3.9416800630421786E-4</c:v>
                </c:pt>
                <c:pt idx="994">
                  <c:v>3.922341798670969E-4</c:v>
                </c:pt>
                <c:pt idx="995">
                  <c:v>3.9051457300658815E-4</c:v>
                </c:pt>
                <c:pt idx="996">
                  <c:v>3.8858226756658537E-4</c:v>
                </c:pt>
                <c:pt idx="997">
                  <c:v>3.8683302050460285E-4</c:v>
                </c:pt>
                <c:pt idx="998">
                  <c:v>3.849313032726568E-4</c:v>
                </c:pt>
                <c:pt idx="999">
                  <c:v>3.8318252601269275E-4</c:v>
                </c:pt>
                <c:pt idx="1000">
                  <c:v>3.8146935346012115E-4</c:v>
                </c:pt>
                <c:pt idx="1001">
                  <c:v>3.7959148876876014E-4</c:v>
                </c:pt>
                <c:pt idx="1002">
                  <c:v>3.776937526189187E-4</c:v>
                </c:pt>
                <c:pt idx="1003">
                  <c:v>3.7601707181989831E-4</c:v>
                </c:pt>
                <c:pt idx="1004">
                  <c:v>3.7438987236230667E-4</c:v>
                </c:pt>
                <c:pt idx="1005">
                  <c:v>3.7254391952005507E-4</c:v>
                </c:pt>
                <c:pt idx="1006">
                  <c:v>3.7084638823792204E-4</c:v>
                </c:pt>
                <c:pt idx="1007">
                  <c:v>3.6900267974508856E-4</c:v>
                </c:pt>
                <c:pt idx="1008">
                  <c:v>3.6733398081909355E-4</c:v>
                </c:pt>
                <c:pt idx="1009">
                  <c:v>3.6550655219675515E-4</c:v>
                </c:pt>
                <c:pt idx="1010">
                  <c:v>3.6386648167398283E-4</c:v>
                </c:pt>
                <c:pt idx="1011">
                  <c:v>3.6217823022612582E-4</c:v>
                </c:pt>
                <c:pt idx="1012">
                  <c:v>3.6040241193066071E-4</c:v>
                </c:pt>
                <c:pt idx="1013">
                  <c:v>3.5879777597092044E-4</c:v>
                </c:pt>
                <c:pt idx="1014">
                  <c:v>3.5701058081993864E-4</c:v>
                </c:pt>
                <c:pt idx="1015">
                  <c:v>3.5521829865152628E-4</c:v>
                </c:pt>
                <c:pt idx="1016">
                  <c:v>3.5370227614360365E-4</c:v>
                </c:pt>
                <c:pt idx="1017">
                  <c:v>3.5205960294389625E-4</c:v>
                </c:pt>
                <c:pt idx="1018">
                  <c:v>3.5034432304454494E-4</c:v>
                </c:pt>
                <c:pt idx="1019">
                  <c:v>3.4875622810551406E-4</c:v>
                </c:pt>
                <c:pt idx="1020">
                  <c:v>3.4714835351611247E-4</c:v>
                </c:pt>
                <c:pt idx="1021">
                  <c:v>3.4544418459649638E-4</c:v>
                </c:pt>
                <c:pt idx="1022">
                  <c:v>3.4373504658009868E-4</c:v>
                </c:pt>
                <c:pt idx="1023">
                  <c:v>3.4216324540660079E-4</c:v>
                </c:pt>
                <c:pt idx="1024">
                  <c:v>3.4045707285640207E-4</c:v>
                </c:pt>
                <c:pt idx="1025">
                  <c:v>3.389398221216311E-4</c:v>
                </c:pt>
                <c:pt idx="1026">
                  <c:v>3.3723669657781917E-4</c:v>
                </c:pt>
                <c:pt idx="1027">
                  <c:v>3.3573405159700517E-4</c:v>
                </c:pt>
                <c:pt idx="1028">
                  <c:v>3.3427413791932079E-4</c:v>
                </c:pt>
                <c:pt idx="1029">
                  <c:v>3.3262083885451932E-4</c:v>
                </c:pt>
                <c:pt idx="1030">
                  <c:v>3.3110036099631007E-4</c:v>
                </c:pt>
                <c:pt idx="1031">
                  <c:v>3.2945032544029473E-4</c:v>
                </c:pt>
                <c:pt idx="1032">
                  <c:v>3.2795770266795705E-4</c:v>
                </c:pt>
                <c:pt idx="1033">
                  <c:v>3.2632396852259708E-4</c:v>
                </c:pt>
                <c:pt idx="1034">
                  <c:v>3.2485898915528277E-4</c:v>
                </c:pt>
                <c:pt idx="1035">
                  <c:v>3.2334985862730869E-4</c:v>
                </c:pt>
                <c:pt idx="1036">
                  <c:v>3.2176575364400821E-4</c:v>
                </c:pt>
                <c:pt idx="1037">
                  <c:v>3.2032252570599745E-4</c:v>
                </c:pt>
                <c:pt idx="1038">
                  <c:v>3.1874176700785739E-4</c:v>
                </c:pt>
                <c:pt idx="1039">
                  <c:v>3.1713164775802605E-4</c:v>
                </c:pt>
                <c:pt idx="1040">
                  <c:v>3.1575854013586764E-4</c:v>
                </c:pt>
                <c:pt idx="1041">
                  <c:v>3.1431946797594139E-4</c:v>
                </c:pt>
                <c:pt idx="1042">
                  <c:v>3.1295969871174972E-4</c:v>
                </c:pt>
                <c:pt idx="1043">
                  <c:v>3.1139371985738039E-4</c:v>
                </c:pt>
                <c:pt idx="1044">
                  <c:v>3.0984876353537701E-4</c:v>
                </c:pt>
                <c:pt idx="1045">
                  <c:v>3.0846401490937717E-4</c:v>
                </c:pt>
                <c:pt idx="1046">
                  <c:v>3.0703704074357477E-4</c:v>
                </c:pt>
                <c:pt idx="1047">
                  <c:v>3.0554076195208474E-4</c:v>
                </c:pt>
                <c:pt idx="1048">
                  <c:v>3.0418998055381508E-4</c:v>
                </c:pt>
                <c:pt idx="1049">
                  <c:v>3.0268531914412478E-4</c:v>
                </c:pt>
                <c:pt idx="1050">
                  <c:v>3.0117708714927707E-4</c:v>
                </c:pt>
                <c:pt idx="1051">
                  <c:v>2.9990232245939025E-4</c:v>
                </c:pt>
                <c:pt idx="1052">
                  <c:v>2.9852359358550212E-4</c:v>
                </c:pt>
                <c:pt idx="1053">
                  <c:v>2.9708385433962689E-4</c:v>
                </c:pt>
                <c:pt idx="1054">
                  <c:v>2.9575267413008664E-4</c:v>
                </c:pt>
                <c:pt idx="1055">
                  <c:v>2.9440477189814941E-4</c:v>
                </c:pt>
                <c:pt idx="1056">
                  <c:v>2.9298018662008048E-4</c:v>
                </c:pt>
                <c:pt idx="1057">
                  <c:v>2.9155215839725065E-4</c:v>
                </c:pt>
                <c:pt idx="1058">
                  <c:v>2.9023884974171271E-4</c:v>
                </c:pt>
                <c:pt idx="1059">
                  <c:v>2.8881534402058935E-4</c:v>
                </c:pt>
                <c:pt idx="1060">
                  <c:v>2.8755197703400626E-4</c:v>
                </c:pt>
                <c:pt idx="1061">
                  <c:v>2.8613308396322791E-4</c:v>
                </c:pt>
                <c:pt idx="1062">
                  <c:v>2.8488431673555185E-4</c:v>
                </c:pt>
                <c:pt idx="1063">
                  <c:v>2.8366895605089551E-4</c:v>
                </c:pt>
                <c:pt idx="1064">
                  <c:v>2.8229680866843215E-4</c:v>
                </c:pt>
                <c:pt idx="1065">
                  <c:v>2.810349298520004E-4</c:v>
                </c:pt>
                <c:pt idx="1066">
                  <c:v>2.7966763686186787E-4</c:v>
                </c:pt>
                <c:pt idx="1067">
                  <c:v>2.7843206210544612E-4</c:v>
                </c:pt>
                <c:pt idx="1068">
                  <c:v>2.7708109082712207E-4</c:v>
                </c:pt>
                <c:pt idx="1069">
                  <c:v>2.7587157833383613E-4</c:v>
                </c:pt>
                <c:pt idx="1070">
                  <c:v>2.7462433214986773E-4</c:v>
                </c:pt>
                <c:pt idx="1071">
                  <c:v>2.7331980801756188E-4</c:v>
                </c:pt>
                <c:pt idx="1072">
                  <c:v>2.720125544852306E-4</c:v>
                </c:pt>
                <c:pt idx="1073">
                  <c:v>2.7083247335468741E-4</c:v>
                </c:pt>
                <c:pt idx="1074">
                  <c:v>2.6950858050745451E-4</c:v>
                </c:pt>
                <c:pt idx="1075">
                  <c:v>2.6841225115493451E-4</c:v>
                </c:pt>
                <c:pt idx="1076">
                  <c:v>2.6725903702777033E-4</c:v>
                </c:pt>
                <c:pt idx="1077">
                  <c:v>2.660768521954085E-4</c:v>
                </c:pt>
                <c:pt idx="1078">
                  <c:v>2.6484891665963864E-4</c:v>
                </c:pt>
                <c:pt idx="1079">
                  <c:v>2.6373880415246458E-4</c:v>
                </c:pt>
                <c:pt idx="1080">
                  <c:v>2.6252299267722976E-4</c:v>
                </c:pt>
                <c:pt idx="1081">
                  <c:v>2.6131488089300298E-4</c:v>
                </c:pt>
                <c:pt idx="1082">
                  <c:v>2.6024077716790828E-4</c:v>
                </c:pt>
                <c:pt idx="1083">
                  <c:v>2.5919048186662935E-4</c:v>
                </c:pt>
                <c:pt idx="1084">
                  <c:v>2.5804128217297995E-4</c:v>
                </c:pt>
                <c:pt idx="1085">
                  <c:v>2.5690952570948944E-4</c:v>
                </c:pt>
                <c:pt idx="1086">
                  <c:v>2.5592053665909192E-4</c:v>
                </c:pt>
                <c:pt idx="1087">
                  <c:v>2.5492955083971508E-4</c:v>
                </c:pt>
                <c:pt idx="1088">
                  <c:v>2.5387055113167481E-4</c:v>
                </c:pt>
                <c:pt idx="1089">
                  <c:v>2.5290072388620653E-4</c:v>
                </c:pt>
                <c:pt idx="1090">
                  <c:v>2.5192920029179326E-4</c:v>
                </c:pt>
                <c:pt idx="1091">
                  <c:v>2.5091099936540989E-4</c:v>
                </c:pt>
                <c:pt idx="1092">
                  <c:v>2.4990177252735141E-4</c:v>
                </c:pt>
                <c:pt idx="1093">
                  <c:v>2.4898482817156155E-4</c:v>
                </c:pt>
                <c:pt idx="1094">
                  <c:v>2.4800124273585342E-4</c:v>
                </c:pt>
                <c:pt idx="1095">
                  <c:v>2.4713631468653574E-4</c:v>
                </c:pt>
                <c:pt idx="1096">
                  <c:v>2.4617874298818627E-4</c:v>
                </c:pt>
                <c:pt idx="1097">
                  <c:v>2.453430730315221E-4</c:v>
                </c:pt>
                <c:pt idx="1098">
                  <c:v>2.4454391918492767E-4</c:v>
                </c:pt>
                <c:pt idx="1099">
                  <c:v>2.436479380028278E-4</c:v>
                </c:pt>
                <c:pt idx="1100">
                  <c:v>2.4283660292351641E-4</c:v>
                </c:pt>
                <c:pt idx="1101">
                  <c:v>2.419676470214998E-4</c:v>
                </c:pt>
                <c:pt idx="1102">
                  <c:v>2.4119281131199273E-4</c:v>
                </c:pt>
                <c:pt idx="1103">
                  <c:v>2.403571278825796E-4</c:v>
                </c:pt>
                <c:pt idx="1104">
                  <c:v>2.3961775624527747E-4</c:v>
                </c:pt>
                <c:pt idx="1105">
                  <c:v>2.3887233115271918E-4</c:v>
                </c:pt>
                <c:pt idx="1106">
                  <c:v>2.3809577892231794E-4</c:v>
                </c:pt>
                <c:pt idx="1107">
                  <c:v>2.3740502030022981E-4</c:v>
                </c:pt>
                <c:pt idx="1108">
                  <c:v>2.3665126459437857E-4</c:v>
                </c:pt>
                <c:pt idx="1109">
                  <c:v>2.3591078495886243E-4</c:v>
                </c:pt>
                <c:pt idx="1110">
                  <c:v>2.3529592115320921E-4</c:v>
                </c:pt>
                <c:pt idx="1111">
                  <c:v>2.3465923658008182E-4</c:v>
                </c:pt>
                <c:pt idx="1112">
                  <c:v>2.3402240829790977E-4</c:v>
                </c:pt>
                <c:pt idx="1113">
                  <c:v>2.3335746243445012E-4</c:v>
                </c:pt>
                <c:pt idx="1114">
                  <c:v>2.3275548763931377E-4</c:v>
                </c:pt>
                <c:pt idx="1115">
                  <c:v>2.3212292182297339E-4</c:v>
                </c:pt>
                <c:pt idx="1116">
                  <c:v>2.3150159504337943E-4</c:v>
                </c:pt>
                <c:pt idx="1117">
                  <c:v>2.3095186787785299E-4</c:v>
                </c:pt>
                <c:pt idx="1118">
                  <c:v>2.3036598280561441E-4</c:v>
                </c:pt>
                <c:pt idx="1119">
                  <c:v>2.2983116832797634E-4</c:v>
                </c:pt>
                <c:pt idx="1120">
                  <c:v>2.2929121355619135E-4</c:v>
                </c:pt>
                <c:pt idx="1121">
                  <c:v>2.2881628074115576E-4</c:v>
                </c:pt>
                <c:pt idx="1122">
                  <c:v>2.2834223975730719E-4</c:v>
                </c:pt>
                <c:pt idx="1123">
                  <c:v>2.2783465531499465E-4</c:v>
                </c:pt>
                <c:pt idx="1124">
                  <c:v>2.2740412926887735E-4</c:v>
                </c:pt>
                <c:pt idx="1125">
                  <c:v>2.2697162563890816E-4</c:v>
                </c:pt>
                <c:pt idx="1126">
                  <c:v>2.2651519128304674E-4</c:v>
                </c:pt>
                <c:pt idx="1127">
                  <c:v>2.2607505322560888E-4</c:v>
                </c:pt>
                <c:pt idx="1128">
                  <c:v>2.2568972014377735E-4</c:v>
                </c:pt>
                <c:pt idx="1129">
                  <c:v>2.2528265868619439E-4</c:v>
                </c:pt>
                <c:pt idx="1130">
                  <c:v>2.2492719350975833E-4</c:v>
                </c:pt>
                <c:pt idx="1131">
                  <c:v>2.2455312876398792E-4</c:v>
                </c:pt>
                <c:pt idx="1132">
                  <c:v>2.2422719526726809E-4</c:v>
                </c:pt>
                <c:pt idx="1133">
                  <c:v>2.2392894305355883E-4</c:v>
                </c:pt>
                <c:pt idx="1134">
                  <c:v>2.2360221194090216E-4</c:v>
                </c:pt>
                <c:pt idx="1135">
                  <c:v>2.2333218780573247E-4</c:v>
                </c:pt>
                <c:pt idx="1136">
                  <c:v>2.2303962104187371E-4</c:v>
                </c:pt>
                <c:pt idx="1137">
                  <c:v>2.2278875950424576E-4</c:v>
                </c:pt>
                <c:pt idx="1138">
                  <c:v>2.2252943064412015E-4</c:v>
                </c:pt>
                <c:pt idx="1139">
                  <c:v>2.2230615654690589E-4</c:v>
                </c:pt>
                <c:pt idx="1140">
                  <c:v>2.221082593496463E-4</c:v>
                </c:pt>
                <c:pt idx="1141">
                  <c:v>2.2189226249804891E-4</c:v>
                </c:pt>
                <c:pt idx="1142">
                  <c:v>2.2170953911704316E-4</c:v>
                </c:pt>
                <c:pt idx="1143">
                  <c:v>2.215319995935161E-4</c:v>
                </c:pt>
                <c:pt idx="1144">
                  <c:v>2.213757163183061E-4</c:v>
                </c:pt>
                <c:pt idx="1145">
                  <c:v>2.2125778747683102E-4</c:v>
                </c:pt>
                <c:pt idx="1146">
                  <c:v>2.2113690695657086E-4</c:v>
                </c:pt>
                <c:pt idx="1147">
                  <c:v>2.2104812550595779E-4</c:v>
                </c:pt>
                <c:pt idx="1148">
                  <c:v>2.2094323846304047E-4</c:v>
                </c:pt>
                <c:pt idx="1149">
                  <c:v>2.2088135525558279E-4</c:v>
                </c:pt>
                <c:pt idx="1150">
                  <c:v>2.2080871090872541E-4</c:v>
                </c:pt>
                <c:pt idx="1151">
                  <c:v>2.2076356534665373E-4</c:v>
                </c:pt>
                <c:pt idx="1152">
                  <c:v>2.2073763030645149E-4</c:v>
                </c:pt>
                <c:pt idx="1153">
                  <c:v>2.2072571876252667E-4</c:v>
                </c:pt>
                <c:pt idx="1154">
                  <c:v>2.2071777183274577E-4</c:v>
                </c:pt>
                <c:pt idx="1155">
                  <c:v>2.2071941550415135E-4</c:v>
                </c:pt>
                <c:pt idx="1156">
                  <c:v>2.2078580933765184E-4</c:v>
                </c:pt>
                <c:pt idx="1157">
                  <c:v>2.2083282580576125E-4</c:v>
                </c:pt>
                <c:pt idx="1158">
                  <c:v>2.2090506922744189E-4</c:v>
                </c:pt>
                <c:pt idx="1159">
                  <c:v>2.2097843943995506E-4</c:v>
                </c:pt>
                <c:pt idx="1160">
                  <c:v>2.2108100121120446E-4</c:v>
                </c:pt>
                <c:pt idx="1161">
                  <c:v>2.2118934587922467E-4</c:v>
                </c:pt>
                <c:pt idx="1162">
                  <c:v>2.2131681038850201E-4</c:v>
                </c:pt>
                <c:pt idx="1163">
                  <c:v>2.2146370085969827E-4</c:v>
                </c:pt>
                <c:pt idx="1164">
                  <c:v>2.2163273281508751E-4</c:v>
                </c:pt>
                <c:pt idx="1165">
                  <c:v>2.2178331125122241E-4</c:v>
                </c:pt>
                <c:pt idx="1166">
                  <c:v>2.2199439919993492E-4</c:v>
                </c:pt>
                <c:pt idx="1167">
                  <c:v>2.2217390595943159E-4</c:v>
                </c:pt>
                <c:pt idx="1168">
                  <c:v>2.2240146379482774E-4</c:v>
                </c:pt>
                <c:pt idx="1169">
                  <c:v>2.2264160587060974E-4</c:v>
                </c:pt>
                <c:pt idx="1170">
                  <c:v>2.2289437300392935E-4</c:v>
                </c:pt>
                <c:pt idx="1171">
                  <c:v>2.2317788779209827E-4</c:v>
                </c:pt>
                <c:pt idx="1172">
                  <c:v>2.2345073703790297E-4</c:v>
                </c:pt>
                <c:pt idx="1173">
                  <c:v>2.2376749086541921E-4</c:v>
                </c:pt>
                <c:pt idx="1174">
                  <c:v>2.2405910357575776E-4</c:v>
                </c:pt>
                <c:pt idx="1175">
                  <c:v>2.2441145389962003E-4</c:v>
                </c:pt>
                <c:pt idx="1176">
                  <c:v>2.2475383793639503E-4</c:v>
                </c:pt>
                <c:pt idx="1177">
                  <c:v>2.2508926362093708E-4</c:v>
                </c:pt>
                <c:pt idx="1178">
                  <c:v>2.2548804453867421E-4</c:v>
                </c:pt>
                <c:pt idx="1179">
                  <c:v>2.2590423764151484E-4</c:v>
                </c:pt>
                <c:pt idx="1180">
                  <c:v>2.2629742934847548E-4</c:v>
                </c:pt>
                <c:pt idx="1181">
                  <c:v>2.2667792516610843E-4</c:v>
                </c:pt>
                <c:pt idx="1182">
                  <c:v>2.2713999043845814E-4</c:v>
                </c:pt>
                <c:pt idx="1183">
                  <c:v>2.2759313084674306E-4</c:v>
                </c:pt>
                <c:pt idx="1184">
                  <c:v>2.2807320059016478E-4</c:v>
                </c:pt>
                <c:pt idx="1185">
                  <c:v>2.2855848458195466E-4</c:v>
                </c:pt>
                <c:pt idx="1186">
                  <c:v>2.2907475910446604E-4</c:v>
                </c:pt>
                <c:pt idx="1187">
                  <c:v>2.2958731370732559E-4</c:v>
                </c:pt>
                <c:pt idx="1188">
                  <c:v>2.3015155802381254E-4</c:v>
                </c:pt>
                <c:pt idx="1189">
                  <c:v>2.306485366645461E-4</c:v>
                </c:pt>
                <c:pt idx="1190">
                  <c:v>2.3126127774972943E-4</c:v>
                </c:pt>
                <c:pt idx="1191">
                  <c:v>2.3178690651680031E-4</c:v>
                </c:pt>
                <c:pt idx="1192">
                  <c:v>2.3236521631787334E-4</c:v>
                </c:pt>
                <c:pt idx="1193">
                  <c:v>2.3297840907213554E-4</c:v>
                </c:pt>
                <c:pt idx="1194">
                  <c:v>2.3356455133004619E-4</c:v>
                </c:pt>
                <c:pt idx="1195">
                  <c:v>2.3418614788688237E-4</c:v>
                </c:pt>
                <c:pt idx="1196">
                  <c:v>2.3474625662887882E-4</c:v>
                </c:pt>
                <c:pt idx="1197">
                  <c:v>2.3534097850453316E-4</c:v>
                </c:pt>
                <c:pt idx="1198">
                  <c:v>2.3590704928478853E-4</c:v>
                </c:pt>
                <c:pt idx="1199">
                  <c:v>2.3643663609029114E-4</c:v>
                </c:pt>
                <c:pt idx="1200">
                  <c:v>2.3701539569920271E-4</c:v>
                </c:pt>
                <c:pt idx="1201">
                  <c:v>2.3761994965610517E-4</c:v>
                </c:pt>
                <c:pt idx="1202">
                  <c:v>2.3811890969926107E-4</c:v>
                </c:pt>
                <c:pt idx="1203">
                  <c:v>2.3865649414352846E-4</c:v>
                </c:pt>
                <c:pt idx="1204">
                  <c:v>2.3921384398866742E-4</c:v>
                </c:pt>
                <c:pt idx="1205">
                  <c:v>2.3974524383306439E-4</c:v>
                </c:pt>
                <c:pt idx="1206">
                  <c:v>2.4030719288209608E-4</c:v>
                </c:pt>
                <c:pt idx="1207">
                  <c:v>2.4081307486709461E-4</c:v>
                </c:pt>
                <c:pt idx="1208">
                  <c:v>2.4136406601371618E-4</c:v>
                </c:pt>
                <c:pt idx="1209">
                  <c:v>2.4184469785749202E-4</c:v>
                </c:pt>
                <c:pt idx="1210">
                  <c:v>2.4238163161740926E-4</c:v>
                </c:pt>
                <c:pt idx="1211">
                  <c:v>2.4288597586663921E-4</c:v>
                </c:pt>
                <c:pt idx="1212">
                  <c:v>2.4333693729605699E-4</c:v>
                </c:pt>
                <c:pt idx="1213">
                  <c:v>2.4386090817785089E-4</c:v>
                </c:pt>
                <c:pt idx="1214">
                  <c:v>2.4439414808556312E-4</c:v>
                </c:pt>
                <c:pt idx="1215">
                  <c:v>2.4484426610443463E-4</c:v>
                </c:pt>
                <c:pt idx="1216">
                  <c:v>2.452909625368354E-4</c:v>
                </c:pt>
                <c:pt idx="1217">
                  <c:v>2.4579242569097021E-4</c:v>
                </c:pt>
                <c:pt idx="1218">
                  <c:v>2.4625978661915043E-4</c:v>
                </c:pt>
                <c:pt idx="1219">
                  <c:v>2.4673615206971533E-4</c:v>
                </c:pt>
                <c:pt idx="1220">
                  <c:v>2.4719277885827153E-4</c:v>
                </c:pt>
                <c:pt idx="1221">
                  <c:v>2.476585194697567E-4</c:v>
                </c:pt>
                <c:pt idx="1222">
                  <c:v>2.4810484348991579E-4</c:v>
                </c:pt>
                <c:pt idx="1223">
                  <c:v>2.4857423920178132E-4</c:v>
                </c:pt>
                <c:pt idx="1224">
                  <c:v>2.4898153305239965E-4</c:v>
                </c:pt>
                <c:pt idx="1225">
                  <c:v>2.4945441204943068E-4</c:v>
                </c:pt>
                <c:pt idx="1226">
                  <c:v>2.4983752661000835E-4</c:v>
                </c:pt>
                <c:pt idx="1227">
                  <c:v>2.5025972177789881E-4</c:v>
                </c:pt>
                <c:pt idx="1228">
                  <c:v>2.5071456380163643E-4</c:v>
                </c:pt>
                <c:pt idx="1229">
                  <c:v>2.5115196573835194E-4</c:v>
                </c:pt>
                <c:pt idx="1230">
                  <c:v>2.5154380441203342E-4</c:v>
                </c:pt>
                <c:pt idx="1231">
                  <c:v>2.5195896252022155E-4</c:v>
                </c:pt>
                <c:pt idx="1232">
                  <c:v>2.523512150729712E-4</c:v>
                </c:pt>
                <c:pt idx="1233">
                  <c:v>2.5277969675118958E-4</c:v>
                </c:pt>
                <c:pt idx="1234">
                  <c:v>2.5313769192704914E-4</c:v>
                </c:pt>
                <c:pt idx="1235">
                  <c:v>2.5352751558171439E-4</c:v>
                </c:pt>
                <c:pt idx="1236">
                  <c:v>2.5388776561285908E-4</c:v>
                </c:pt>
                <c:pt idx="1237">
                  <c:v>2.542822145900573E-4</c:v>
                </c:pt>
                <c:pt idx="1238">
                  <c:v>2.546245239323907E-4</c:v>
                </c:pt>
                <c:pt idx="1239">
                  <c:v>2.54935483068491E-4</c:v>
                </c:pt>
                <c:pt idx="1240">
                  <c:v>2.5530349143547924E-4</c:v>
                </c:pt>
                <c:pt idx="1241">
                  <c:v>2.5561705713161333E-4</c:v>
                </c:pt>
                <c:pt idx="1242">
                  <c:v>2.5599719534197263E-4</c:v>
                </c:pt>
                <c:pt idx="1243">
                  <c:v>2.5635815564970313E-4</c:v>
                </c:pt>
                <c:pt idx="1244">
                  <c:v>2.5666807581468595E-4</c:v>
                </c:pt>
                <c:pt idx="1245">
                  <c:v>2.5702608438019602E-4</c:v>
                </c:pt>
                <c:pt idx="1246">
                  <c:v>2.5734449764908303E-4</c:v>
                </c:pt>
                <c:pt idx="1247">
                  <c:v>2.5762683582719603E-4</c:v>
                </c:pt>
                <c:pt idx="1248">
                  <c:v>2.5796077209072621E-4</c:v>
                </c:pt>
                <c:pt idx="1249">
                  <c:v>2.5830187950306831E-4</c:v>
                </c:pt>
                <c:pt idx="1250">
                  <c:v>2.5858863874271033E-4</c:v>
                </c:pt>
                <c:pt idx="1251">
                  <c:v>2.5886465794230408E-4</c:v>
                </c:pt>
                <c:pt idx="1252">
                  <c:v>2.5918697963271849E-4</c:v>
                </c:pt>
                <c:pt idx="1253">
                  <c:v>2.5946850521456517E-4</c:v>
                </c:pt>
                <c:pt idx="1254">
                  <c:v>2.5976779479634088E-4</c:v>
                </c:pt>
                <c:pt idx="1255">
                  <c:v>2.6003861529284161E-4</c:v>
                </c:pt>
                <c:pt idx="1256">
                  <c:v>2.6031642630497398E-4</c:v>
                </c:pt>
                <c:pt idx="1257">
                  <c:v>2.6058778232295257E-4</c:v>
                </c:pt>
                <c:pt idx="1258">
                  <c:v>2.608670827961377E-4</c:v>
                </c:pt>
                <c:pt idx="1259">
                  <c:v>2.6109148351061151E-4</c:v>
                </c:pt>
                <c:pt idx="1260">
                  <c:v>2.6138433534996994E-4</c:v>
                </c:pt>
                <c:pt idx="1261">
                  <c:v>2.6158690930580021E-4</c:v>
                </c:pt>
                <c:pt idx="1262">
                  <c:v>2.6184201891145398E-4</c:v>
                </c:pt>
                <c:pt idx="1263">
                  <c:v>2.6209763226045166E-4</c:v>
                </c:pt>
                <c:pt idx="1264">
                  <c:v>2.6231904387967638E-4</c:v>
                </c:pt>
                <c:pt idx="1265">
                  <c:v>2.6256055482048665E-4</c:v>
                </c:pt>
                <c:pt idx="1266">
                  <c:v>2.6277512306105422E-4</c:v>
                </c:pt>
                <c:pt idx="1267">
                  <c:v>2.6300566217580743E-4</c:v>
                </c:pt>
                <c:pt idx="1268">
                  <c:v>2.6319861106308302E-4</c:v>
                </c:pt>
                <c:pt idx="1269">
                  <c:v>2.6343325138480748E-4</c:v>
                </c:pt>
                <c:pt idx="1270">
                  <c:v>2.6362444188675685E-4</c:v>
                </c:pt>
                <c:pt idx="1271">
                  <c:v>2.6382160823517492E-4</c:v>
                </c:pt>
                <c:pt idx="1272">
                  <c:v>2.6400632045519949E-4</c:v>
                </c:pt>
                <c:pt idx="1273">
                  <c:v>2.6421530254281365E-4</c:v>
                </c:pt>
                <c:pt idx="1274">
                  <c:v>2.6438422554187976E-4</c:v>
                </c:pt>
                <c:pt idx="1275">
                  <c:v>2.6453755840289729E-4</c:v>
                </c:pt>
                <c:pt idx="1276">
                  <c:v>2.6473635529554278E-4</c:v>
                </c:pt>
                <c:pt idx="1277">
                  <c:v>2.6489074179603632E-4</c:v>
                </c:pt>
                <c:pt idx="1278">
                  <c:v>2.650681185626131E-4</c:v>
                </c:pt>
                <c:pt idx="1279">
                  <c:v>2.6520096674390731E-4</c:v>
                </c:pt>
                <c:pt idx="1280">
                  <c:v>2.6537165067744978E-4</c:v>
                </c:pt>
                <c:pt idx="1281">
                  <c:v>2.6551195883123963E-4</c:v>
                </c:pt>
                <c:pt idx="1282">
                  <c:v>2.6562623791814843E-4</c:v>
                </c:pt>
                <c:pt idx="1283">
                  <c:v>2.6576574894221494E-4</c:v>
                </c:pt>
                <c:pt idx="1284">
                  <c:v>2.6588751261780175E-4</c:v>
                </c:pt>
                <c:pt idx="1285">
                  <c:v>2.6602568625445043E-4</c:v>
                </c:pt>
                <c:pt idx="1286">
                  <c:v>2.6613461907634348E-4</c:v>
                </c:pt>
                <c:pt idx="1287">
                  <c:v>2.6626133110069401E-4</c:v>
                </c:pt>
                <c:pt idx="1288">
                  <c:v>2.6636110040742511E-4</c:v>
                </c:pt>
                <c:pt idx="1289">
                  <c:v>2.6647337277969224E-4</c:v>
                </c:pt>
                <c:pt idx="1290">
                  <c:v>2.6657045029007155E-4</c:v>
                </c:pt>
                <c:pt idx="1291">
                  <c:v>2.666617770886847E-4</c:v>
                </c:pt>
                <c:pt idx="1292">
                  <c:v>2.6675884927431122E-4</c:v>
                </c:pt>
                <c:pt idx="1293">
                  <c:v>2.66849173021921E-4</c:v>
                </c:pt>
                <c:pt idx="1294">
                  <c:v>2.6690681362406821E-4</c:v>
                </c:pt>
                <c:pt idx="1295">
                  <c:v>2.6699598766701665E-4</c:v>
                </c:pt>
                <c:pt idx="1296">
                  <c:v>2.6704403887470654E-4</c:v>
                </c:pt>
                <c:pt idx="1297">
                  <c:v>2.671311780629796E-4</c:v>
                </c:pt>
                <c:pt idx="1298">
                  <c:v>2.6718524527528237E-4</c:v>
                </c:pt>
                <c:pt idx="1299">
                  <c:v>2.6724741125735453E-4</c:v>
                </c:pt>
                <c:pt idx="1300">
                  <c:v>2.6729993363944909E-4</c:v>
                </c:pt>
                <c:pt idx="1301">
                  <c:v>2.6734269274005656E-4</c:v>
                </c:pt>
                <c:pt idx="1302">
                  <c:v>2.6738424036539671E-4</c:v>
                </c:pt>
                <c:pt idx="1303">
                  <c:v>2.6740799095564469E-4</c:v>
                </c:pt>
                <c:pt idx="1304">
                  <c:v>2.6746295697444716E-4</c:v>
                </c:pt>
                <c:pt idx="1305">
                  <c:v>2.6747040012906932E-4</c:v>
                </c:pt>
                <c:pt idx="1306">
                  <c:v>2.6747087204803677E-4</c:v>
                </c:pt>
                <c:pt idx="1307">
                  <c:v>2.6748541636667511E-4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132608"/>
        <c:axId val="576134144"/>
      </c:lineChart>
      <c:dateAx>
        <c:axId val="576132608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76134144"/>
        <c:crosses val="autoZero"/>
        <c:auto val="1"/>
        <c:lblOffset val="100"/>
        <c:baseTimeUnit val="days"/>
        <c:majorUnit val="6"/>
        <c:majorTimeUnit val="months"/>
      </c:dateAx>
      <c:valAx>
        <c:axId val="576134144"/>
        <c:scaling>
          <c:orientation val="minMax"/>
          <c:max val="3.0000000000000001E-3"/>
          <c:min val="1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76132608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'6M Delta'!$Y$2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'6M Delta'!$R$3:$R$1310</c:f>
              <c:numCache>
                <c:formatCode>ddd\,\ dd\-mmm\-yyyy</c:formatCode>
                <c:ptCount val="1308"/>
                <c:pt idx="0">
                  <c:v>42132</c:v>
                </c:pt>
                <c:pt idx="1">
                  <c:v>42165</c:v>
                </c:pt>
                <c:pt idx="2">
                  <c:v>42195</c:v>
                </c:pt>
                <c:pt idx="3">
                  <c:v>42228</c:v>
                </c:pt>
                <c:pt idx="4">
                  <c:v>42257</c:v>
                </c:pt>
                <c:pt idx="5">
                  <c:v>42289</c:v>
                </c:pt>
                <c:pt idx="6">
                  <c:v>42319</c:v>
                </c:pt>
                <c:pt idx="7">
                  <c:v>42348</c:v>
                </c:pt>
                <c:pt idx="8">
                  <c:v>42381</c:v>
                </c:pt>
                <c:pt idx="9">
                  <c:v>42410</c:v>
                </c:pt>
                <c:pt idx="10">
                  <c:v>42439</c:v>
                </c:pt>
                <c:pt idx="11">
                  <c:v>42472</c:v>
                </c:pt>
                <c:pt idx="12">
                  <c:v>42501</c:v>
                </c:pt>
                <c:pt idx="13">
                  <c:v>42531</c:v>
                </c:pt>
                <c:pt idx="14">
                  <c:v>42563</c:v>
                </c:pt>
                <c:pt idx="15">
                  <c:v>42592</c:v>
                </c:pt>
                <c:pt idx="16">
                  <c:v>42625</c:v>
                </c:pt>
                <c:pt idx="17">
                  <c:v>42655</c:v>
                </c:pt>
                <c:pt idx="18">
                  <c:v>42684</c:v>
                </c:pt>
                <c:pt idx="19">
                  <c:v>42865</c:v>
                </c:pt>
                <c:pt idx="20">
                  <c:v>43049</c:v>
                </c:pt>
                <c:pt idx="21">
                  <c:v>43230</c:v>
                </c:pt>
                <c:pt idx="22">
                  <c:v>43416</c:v>
                </c:pt>
                <c:pt idx="23">
                  <c:v>43595</c:v>
                </c:pt>
                <c:pt idx="24">
                  <c:v>43781</c:v>
                </c:pt>
                <c:pt idx="25">
                  <c:v>43963</c:v>
                </c:pt>
                <c:pt idx="26">
                  <c:v>44146</c:v>
                </c:pt>
                <c:pt idx="27">
                  <c:v>44328</c:v>
                </c:pt>
                <c:pt idx="28">
                  <c:v>44510</c:v>
                </c:pt>
                <c:pt idx="29">
                  <c:v>44692</c:v>
                </c:pt>
                <c:pt idx="30">
                  <c:v>44875</c:v>
                </c:pt>
                <c:pt idx="31">
                  <c:v>45056</c:v>
                </c:pt>
                <c:pt idx="32">
                  <c:v>45240</c:v>
                </c:pt>
                <c:pt idx="33">
                  <c:v>45422</c:v>
                </c:pt>
                <c:pt idx="34">
                  <c:v>45608</c:v>
                </c:pt>
                <c:pt idx="35">
                  <c:v>45789</c:v>
                </c:pt>
                <c:pt idx="36">
                  <c:v>45973</c:v>
                </c:pt>
                <c:pt idx="37">
                  <c:v>46154</c:v>
                </c:pt>
                <c:pt idx="38">
                  <c:v>46337</c:v>
                </c:pt>
                <c:pt idx="39">
                  <c:v>46519</c:v>
                </c:pt>
                <c:pt idx="40">
                  <c:v>46701</c:v>
                </c:pt>
                <c:pt idx="41">
                  <c:v>46883</c:v>
                </c:pt>
                <c:pt idx="42">
                  <c:v>47067</c:v>
                </c:pt>
                <c:pt idx="43">
                  <c:v>47248</c:v>
                </c:pt>
                <c:pt idx="44">
                  <c:v>47434</c:v>
                </c:pt>
                <c:pt idx="45">
                  <c:v>47613</c:v>
                </c:pt>
                <c:pt idx="46">
                  <c:v>47799</c:v>
                </c:pt>
                <c:pt idx="47">
                  <c:v>47980</c:v>
                </c:pt>
                <c:pt idx="48">
                  <c:v>48164</c:v>
                </c:pt>
                <c:pt idx="49">
                  <c:v>48346</c:v>
                </c:pt>
                <c:pt idx="50">
                  <c:v>48528</c:v>
                </c:pt>
                <c:pt idx="51">
                  <c:v>48710</c:v>
                </c:pt>
                <c:pt idx="52">
                  <c:v>48893</c:v>
                </c:pt>
                <c:pt idx="53">
                  <c:v>49074</c:v>
                </c:pt>
                <c:pt idx="54">
                  <c:v>49258</c:v>
                </c:pt>
                <c:pt idx="55">
                  <c:v>49439</c:v>
                </c:pt>
                <c:pt idx="56">
                  <c:v>49625</c:v>
                </c:pt>
                <c:pt idx="57">
                  <c:v>49807</c:v>
                </c:pt>
                <c:pt idx="58">
                  <c:v>49991</c:v>
                </c:pt>
                <c:pt idx="59">
                  <c:v>50172</c:v>
                </c:pt>
                <c:pt idx="60">
                  <c:v>50355</c:v>
                </c:pt>
                <c:pt idx="61">
                  <c:v>50537</c:v>
                </c:pt>
                <c:pt idx="62">
                  <c:v>50719</c:v>
                </c:pt>
                <c:pt idx="63">
                  <c:v>50901</c:v>
                </c:pt>
                <c:pt idx="64">
                  <c:v>51084</c:v>
                </c:pt>
                <c:pt idx="65">
                  <c:v>51266</c:v>
                </c:pt>
                <c:pt idx="66">
                  <c:v>51452</c:v>
                </c:pt>
                <c:pt idx="67">
                  <c:v>51631</c:v>
                </c:pt>
                <c:pt idx="68">
                  <c:v>51817</c:v>
                </c:pt>
                <c:pt idx="69">
                  <c:v>51998</c:v>
                </c:pt>
                <c:pt idx="70">
                  <c:v>52182</c:v>
                </c:pt>
                <c:pt idx="71">
                  <c:v>52363</c:v>
                </c:pt>
                <c:pt idx="72">
                  <c:v>52546</c:v>
                </c:pt>
                <c:pt idx="73">
                  <c:v>52728</c:v>
                </c:pt>
                <c:pt idx="74">
                  <c:v>52911</c:v>
                </c:pt>
                <c:pt idx="75">
                  <c:v>53092</c:v>
                </c:pt>
                <c:pt idx="76">
                  <c:v>53276</c:v>
                </c:pt>
                <c:pt idx="77">
                  <c:v>53457</c:v>
                </c:pt>
                <c:pt idx="78">
                  <c:v>53643</c:v>
                </c:pt>
                <c:pt idx="79">
                  <c:v>53822</c:v>
                </c:pt>
                <c:pt idx="80">
                  <c:v>54008</c:v>
                </c:pt>
                <c:pt idx="81">
                  <c:v>54190</c:v>
                </c:pt>
                <c:pt idx="82">
                  <c:v>54373</c:v>
                </c:pt>
                <c:pt idx="83">
                  <c:v>54555</c:v>
                </c:pt>
                <c:pt idx="84">
                  <c:v>54737</c:v>
                </c:pt>
                <c:pt idx="85">
                  <c:v>54919</c:v>
                </c:pt>
                <c:pt idx="86">
                  <c:v>55102</c:v>
                </c:pt>
                <c:pt idx="87">
                  <c:v>55283</c:v>
                </c:pt>
                <c:pt idx="88">
                  <c:v>55467</c:v>
                </c:pt>
                <c:pt idx="89">
                  <c:v>55649</c:v>
                </c:pt>
                <c:pt idx="90">
                  <c:v>55835</c:v>
                </c:pt>
                <c:pt idx="91">
                  <c:v>56016</c:v>
                </c:pt>
                <c:pt idx="92">
                  <c:v>56200</c:v>
                </c:pt>
                <c:pt idx="93">
                  <c:v>56381</c:v>
                </c:pt>
                <c:pt idx="94">
                  <c:v>56564</c:v>
                </c:pt>
                <c:pt idx="95">
                  <c:v>56746</c:v>
                </c:pt>
                <c:pt idx="96">
                  <c:v>56928</c:v>
                </c:pt>
                <c:pt idx="97">
                  <c:v>57110</c:v>
                </c:pt>
                <c:pt idx="98">
                  <c:v>57294</c:v>
                </c:pt>
                <c:pt idx="99">
                  <c:v>57475</c:v>
                </c:pt>
                <c:pt idx="100">
                  <c:v>57661</c:v>
                </c:pt>
                <c:pt idx="101">
                  <c:v>57840</c:v>
                </c:pt>
                <c:pt idx="102">
                  <c:v>58026</c:v>
                </c:pt>
                <c:pt idx="103">
                  <c:v>58207</c:v>
                </c:pt>
                <c:pt idx="104">
                  <c:v>58391</c:v>
                </c:pt>
                <c:pt idx="105">
                  <c:v>58573</c:v>
                </c:pt>
                <c:pt idx="106">
                  <c:v>58755</c:v>
                </c:pt>
                <c:pt idx="107">
                  <c:v>58937</c:v>
                </c:pt>
                <c:pt idx="108">
                  <c:v>59120</c:v>
                </c:pt>
                <c:pt idx="109">
                  <c:v>59301</c:v>
                </c:pt>
                <c:pt idx="110">
                  <c:v>59485</c:v>
                </c:pt>
                <c:pt idx="111">
                  <c:v>59666</c:v>
                </c:pt>
                <c:pt idx="112">
                  <c:v>59852</c:v>
                </c:pt>
                <c:pt idx="113">
                  <c:v>60034</c:v>
                </c:pt>
                <c:pt idx="114">
                  <c:v>60218</c:v>
                </c:pt>
                <c:pt idx="115">
                  <c:v>60399</c:v>
                </c:pt>
                <c:pt idx="116">
                  <c:v>60582</c:v>
                </c:pt>
                <c:pt idx="117">
                  <c:v>60764</c:v>
                </c:pt>
                <c:pt idx="118">
                  <c:v>60946</c:v>
                </c:pt>
                <c:pt idx="119">
                  <c:v>61128</c:v>
                </c:pt>
                <c:pt idx="120">
                  <c:v>61311</c:v>
                </c:pt>
                <c:pt idx="121">
                  <c:v>61493</c:v>
                </c:pt>
                <c:pt idx="122">
                  <c:v>61679</c:v>
                </c:pt>
                <c:pt idx="123">
                  <c:v>61858</c:v>
                </c:pt>
                <c:pt idx="124">
                  <c:v>62044</c:v>
                </c:pt>
                <c:pt idx="125">
                  <c:v>62225</c:v>
                </c:pt>
                <c:pt idx="126">
                  <c:v>62409</c:v>
                </c:pt>
                <c:pt idx="127">
                  <c:v>62590</c:v>
                </c:pt>
                <c:pt idx="128">
                  <c:v>62773</c:v>
                </c:pt>
                <c:pt idx="129">
                  <c:v>62955</c:v>
                </c:pt>
                <c:pt idx="130">
                  <c:v>63138</c:v>
                </c:pt>
                <c:pt idx="131">
                  <c:v>63319</c:v>
                </c:pt>
                <c:pt idx="132">
                  <c:v>63503</c:v>
                </c:pt>
              </c:numCache>
            </c:numRef>
          </c:cat>
          <c:val>
            <c:numRef>
              <c:f>'6M Delta'!$Y$3:$Y$1310</c:f>
              <c:numCache>
                <c:formatCode>0.0000%</c:formatCode>
                <c:ptCount val="1308"/>
                <c:pt idx="0">
                  <c:v>1.7900000000010759E-3</c:v>
                </c:pt>
                <c:pt idx="1">
                  <c:v>1.8584827620676358E-3</c:v>
                </c:pt>
                <c:pt idx="2">
                  <c:v>1.8821904118175501E-3</c:v>
                </c:pt>
                <c:pt idx="3">
                  <c:v>1.936328421936618E-3</c:v>
                </c:pt>
                <c:pt idx="4">
                  <c:v>1.9268012431104746E-3</c:v>
                </c:pt>
                <c:pt idx="5">
                  <c:v>1.964722812278392E-3</c:v>
                </c:pt>
                <c:pt idx="6">
                  <c:v>1.9632606005642447E-3</c:v>
                </c:pt>
                <c:pt idx="7">
                  <c:v>1.9879397165349848E-3</c:v>
                </c:pt>
                <c:pt idx="8">
                  <c:v>2.0258635110121256E-3</c:v>
                </c:pt>
                <c:pt idx="9">
                  <c:v>2.0194772595069233E-3</c:v>
                </c:pt>
                <c:pt idx="10">
                  <c:v>2.0325325344396831E-3</c:v>
                </c:pt>
                <c:pt idx="11">
                  <c:v>2.0368936004725759E-3</c:v>
                </c:pt>
                <c:pt idx="12">
                  <c:v>2.07257080882474E-3</c:v>
                </c:pt>
                <c:pt idx="13">
                  <c:v>2.1029557163768794E-3</c:v>
                </c:pt>
                <c:pt idx="14">
                  <c:v>2.0582080211635793E-3</c:v>
                </c:pt>
                <c:pt idx="15">
                  <c:v>2.0828788141651249E-3</c:v>
                </c:pt>
                <c:pt idx="16">
                  <c:v>2.1031881429669106E-3</c:v>
                </c:pt>
                <c:pt idx="17">
                  <c:v>2.1165494899765894E-3</c:v>
                </c:pt>
                <c:pt idx="18">
                  <c:v>2.1136528522079623E-3</c:v>
                </c:pt>
                <c:pt idx="19">
                  <c:v>2.1449335359566644E-3</c:v>
                </c:pt>
                <c:pt idx="20">
                  <c:v>2.2417714059720182E-3</c:v>
                </c:pt>
                <c:pt idx="21">
                  <c:v>2.3690487147111044E-3</c:v>
                </c:pt>
                <c:pt idx="22">
                  <c:v>2.5036548068419111E-3</c:v>
                </c:pt>
                <c:pt idx="23">
                  <c:v>2.6124924470713601E-3</c:v>
                </c:pt>
                <c:pt idx="24">
                  <c:v>2.598127023540263E-3</c:v>
                </c:pt>
                <c:pt idx="25">
                  <c:v>2.4610909095581215E-3</c:v>
                </c:pt>
                <c:pt idx="26">
                  <c:v>2.3011801211405298E-3</c:v>
                </c:pt>
                <c:pt idx="27">
                  <c:v>2.162591501163217E-3</c:v>
                </c:pt>
                <c:pt idx="28">
                  <c:v>2.1373772455738262E-3</c:v>
                </c:pt>
                <c:pt idx="29">
                  <c:v>2.207220689368676E-3</c:v>
                </c:pt>
                <c:pt idx="30">
                  <c:v>2.2140440580224376E-3</c:v>
                </c:pt>
                <c:pt idx="31">
                  <c:v>2.1410882929530917E-3</c:v>
                </c:pt>
                <c:pt idx="32">
                  <c:v>2.063302294100117E-3</c:v>
                </c:pt>
                <c:pt idx="33">
                  <c:v>2.0092811492641895E-3</c:v>
                </c:pt>
                <c:pt idx="34">
                  <c:v>2.0141846570898674E-3</c:v>
                </c:pt>
                <c:pt idx="35">
                  <c:v>2.0531204180187206E-3</c:v>
                </c:pt>
                <c:pt idx="36">
                  <c:v>1.9978682896234588E-3</c:v>
                </c:pt>
                <c:pt idx="37">
                  <c:v>1.8510589251192859E-3</c:v>
                </c:pt>
                <c:pt idx="38">
                  <c:v>1.7287841996036016E-3</c:v>
                </c:pt>
                <c:pt idx="39">
                  <c:v>1.6482536177806779E-3</c:v>
                </c:pt>
                <c:pt idx="40">
                  <c:v>1.5756538935569903E-3</c:v>
                </c:pt>
                <c:pt idx="41">
                  <c:v>1.5013395376597613E-3</c:v>
                </c:pt>
                <c:pt idx="42">
                  <c:v>1.4257203856792907E-3</c:v>
                </c:pt>
                <c:pt idx="43">
                  <c:v>1.3489871753621114E-3</c:v>
                </c:pt>
                <c:pt idx="44">
                  <c:v>1.2703203876056075E-3</c:v>
                </c:pt>
                <c:pt idx="45">
                  <c:v>1.1932441716639725E-3</c:v>
                </c:pt>
                <c:pt idx="46">
                  <c:v>1.1173025800886166E-3</c:v>
                </c:pt>
                <c:pt idx="47">
                  <c:v>1.046087563262299E-3</c:v>
                </c:pt>
                <c:pt idx="48">
                  <c:v>9.7819785133814938E-4</c:v>
                </c:pt>
                <c:pt idx="49">
                  <c:v>9.142432398608364E-4</c:v>
                </c:pt>
                <c:pt idx="50">
                  <c:v>8.5465031275911568E-4</c:v>
                </c:pt>
                <c:pt idx="51">
                  <c:v>7.9804491081469919E-4</c:v>
                </c:pt>
                <c:pt idx="52">
                  <c:v>7.4556982595200445E-4</c:v>
                </c:pt>
                <c:pt idx="53">
                  <c:v>6.9673058738960007E-4</c:v>
                </c:pt>
                <c:pt idx="54">
                  <c:v>6.5145222656856454E-4</c:v>
                </c:pt>
                <c:pt idx="55">
                  <c:v>6.1045609594612832E-4</c:v>
                </c:pt>
                <c:pt idx="56">
                  <c:v>5.7548130310301239E-4</c:v>
                </c:pt>
                <c:pt idx="57">
                  <c:v>5.4766565259518722E-4</c:v>
                </c:pt>
                <c:pt idx="58">
                  <c:v>5.2656880539483399E-4</c:v>
                </c:pt>
                <c:pt idx="59">
                  <c:v>5.1236492512446614E-4</c:v>
                </c:pt>
                <c:pt idx="60">
                  <c:v>5.0479855058800475E-4</c:v>
                </c:pt>
                <c:pt idx="61">
                  <c:v>5.0407061849598936E-4</c:v>
                </c:pt>
                <c:pt idx="62">
                  <c:v>5.0987954002802011E-4</c:v>
                </c:pt>
                <c:pt idx="63">
                  <c:v>5.2268811085896816E-4</c:v>
                </c:pt>
                <c:pt idx="64">
                  <c:v>5.420190850867531E-4</c:v>
                </c:pt>
                <c:pt idx="65">
                  <c:v>5.6578795732380345E-4</c:v>
                </c:pt>
                <c:pt idx="66">
                  <c:v>5.8314557911070229E-4</c:v>
                </c:pt>
                <c:pt idx="67">
                  <c:v>5.9181191756007417E-4</c:v>
                </c:pt>
                <c:pt idx="68">
                  <c:v>5.9186674812377119E-4</c:v>
                </c:pt>
                <c:pt idx="69">
                  <c:v>5.8342305158563638E-4</c:v>
                </c:pt>
                <c:pt idx="70">
                  <c:v>5.6627952568216039E-4</c:v>
                </c:pt>
                <c:pt idx="71">
                  <c:v>5.4064952210207753E-4</c:v>
                </c:pt>
                <c:pt idx="72">
                  <c:v>5.0644982474394411E-4</c:v>
                </c:pt>
                <c:pt idx="73">
                  <c:v>4.6350798253590696E-4</c:v>
                </c:pt>
                <c:pt idx="74">
                  <c:v>4.1231893692466291E-4</c:v>
                </c:pt>
                <c:pt idx="75">
                  <c:v>3.5582830317672405E-4</c:v>
                </c:pt>
                <c:pt idx="76">
                  <c:v>3.0735707356161455E-4</c:v>
                </c:pt>
                <c:pt idx="77">
                  <c:v>2.7013054700280627E-4</c:v>
                </c:pt>
                <c:pt idx="78">
                  <c:v>2.4411676004423496E-4</c:v>
                </c:pt>
                <c:pt idx="79">
                  <c:v>2.2984580438966187E-4</c:v>
                </c:pt>
                <c:pt idx="80">
                  <c:v>2.2658212593206981E-4</c:v>
                </c:pt>
                <c:pt idx="81">
                  <c:v>2.348065004861722E-4</c:v>
                </c:pt>
                <c:pt idx="82">
                  <c:v>2.5409849344670658E-4</c:v>
                </c:pt>
                <c:pt idx="83">
                  <c:v>2.8503601731204482E-4</c:v>
                </c:pt>
                <c:pt idx="84">
                  <c:v>3.2649913064976104E-4</c:v>
                </c:pt>
                <c:pt idx="85">
                  <c:v>3.777269001424971E-4</c:v>
                </c:pt>
                <c:pt idx="86">
                  <c:v>4.2837387466900488E-4</c:v>
                </c:pt>
                <c:pt idx="87">
                  <c:v>4.7730575771700277E-4</c:v>
                </c:pt>
                <c:pt idx="88">
                  <c:v>5.2419317196795816E-4</c:v>
                </c:pt>
                <c:pt idx="89">
                  <c:v>5.6918945201943523E-4</c:v>
                </c:pt>
                <c:pt idx="90">
                  <c:v>6.1204933723091846E-4</c:v>
                </c:pt>
                <c:pt idx="91">
                  <c:v>6.5260191301104789E-4</c:v>
                </c:pt>
                <c:pt idx="92">
                  <c:v>6.9093289399559457E-4</c:v>
                </c:pt>
                <c:pt idx="93">
                  <c:v>7.2730755351128711E-4</c:v>
                </c:pt>
                <c:pt idx="94">
                  <c:v>7.6126765140125188E-4</c:v>
                </c:pt>
                <c:pt idx="95">
                  <c:v>7.9134566368374917E-4</c:v>
                </c:pt>
                <c:pt idx="96">
                  <c:v>8.0793606024936841E-4</c:v>
                </c:pt>
                <c:pt idx="97">
                  <c:v>8.0956907794309946E-4</c:v>
                </c:pt>
                <c:pt idx="98">
                  <c:v>7.9587705853502271E-4</c:v>
                </c:pt>
                <c:pt idx="99">
                  <c:v>7.6691482433599925E-4</c:v>
                </c:pt>
                <c:pt idx="100">
                  <c:v>7.222971295358805E-4</c:v>
                </c:pt>
                <c:pt idx="101">
                  <c:v>6.6361680623548344E-4</c:v>
                </c:pt>
                <c:pt idx="102">
                  <c:v>5.8841560880204882E-4</c:v>
                </c:pt>
                <c:pt idx="103">
                  <c:v>4.9864258208998612E-4</c:v>
                </c:pt>
                <c:pt idx="104">
                  <c:v>3.933319628371193E-4</c:v>
                </c:pt>
                <c:pt idx="105">
                  <c:v>2.777817215436091E-4</c:v>
                </c:pt>
                <c:pt idx="106">
                  <c:v>1.7248901695076681E-4</c:v>
                </c:pt>
                <c:pt idx="107">
                  <c:v>7.9025834998901548E-5</c:v>
                </c:pt>
                <c:pt idx="108">
                  <c:v>-7.0960856196275457E-8</c:v>
                </c:pt>
                <c:pt idx="109">
                  <c:v>-6.6135436410362861E-5</c:v>
                </c:pt>
                <c:pt idx="110">
                  <c:v>-1.1876222463712283E-4</c:v>
                </c:pt>
                <c:pt idx="111">
                  <c:v>-1.5808165624649206E-4</c:v>
                </c:pt>
                <c:pt idx="112">
                  <c:v>-1.8386162838641452E-4</c:v>
                </c:pt>
                <c:pt idx="113">
                  <c:v>-1.9591954619646579E-4</c:v>
                </c:pt>
                <c:pt idx="114">
                  <c:v>-1.9446707125100882E-4</c:v>
                </c:pt>
                <c:pt idx="115">
                  <c:v>-1.8074094114231727E-4</c:v>
                </c:pt>
                <c:pt idx="116">
                  <c:v>-1.5928141375842926E-4</c:v>
                </c:pt>
                <c:pt idx="117">
                  <c:v>-1.3071107656335325E-4</c:v>
                </c:pt>
                <c:pt idx="118">
                  <c:v>-9.5851838596228145E-5</c:v>
                </c:pt>
                <c:pt idx="119">
                  <c:v>-5.3544874649797888E-5</c:v>
                </c:pt>
                <c:pt idx="120">
                  <c:v>-4.7513823289001972E-6</c:v>
                </c:pt>
                <c:pt idx="121">
                  <c:v>5.1524800202772808E-5</c:v>
                </c:pt>
                <c:pt idx="122">
                  <c:v>1.1472674883995608E-4</c:v>
                </c:pt>
                <c:pt idx="123">
                  <c:v>1.835381248167945E-4</c:v>
                </c:pt>
                <c:pt idx="124">
                  <c:v>2.6051828191283807E-4</c:v>
                </c:pt>
                <c:pt idx="125">
                  <c:v>3.4109036773772097E-4</c:v>
                </c:pt>
                <c:pt idx="126">
                  <c:v>4.1564651596835527E-4</c:v>
                </c:pt>
                <c:pt idx="127">
                  <c:v>4.8195870573822935E-4</c:v>
                </c:pt>
                <c:pt idx="128">
                  <c:v>5.3976624999245264E-4</c:v>
                </c:pt>
                <c:pt idx="129">
                  <c:v>5.8961872536835054E-4</c:v>
                </c:pt>
                <c:pt idx="130">
                  <c:v>6.30737153671318E-4</c:v>
                </c:pt>
                <c:pt idx="131">
                  <c:v>6.6389785099690672E-4</c:v>
                </c:pt>
                <c:pt idx="132">
                  <c:v>6.8864474051409837E-4</c:v>
                </c:pt>
              </c:numCache>
            </c:numRef>
          </c:val>
          <c:smooth val="0"/>
        </c:ser>
        <c:ser>
          <c:idx val="1"/>
          <c:order val="1"/>
          <c:tx>
            <c:v>SimpleFromCont</c:v>
          </c:tx>
          <c:spPr>
            <a:ln w="28575">
              <a:noFill/>
            </a:ln>
          </c:spPr>
          <c:marker>
            <c:symbol val="square"/>
            <c:size val="2"/>
          </c:marker>
          <c:val>
            <c:numRef>
              <c:f>'6M Delta'!$Z$3:$Z$135</c:f>
              <c:numCache>
                <c:formatCode>0.0000%</c:formatCode>
                <c:ptCount val="133"/>
                <c:pt idx="0">
                  <c:v>1.810964060356467E-3</c:v>
                </c:pt>
                <c:pt idx="1">
                  <c:v>1.8261096170919314E-3</c:v>
                </c:pt>
                <c:pt idx="2">
                  <c:v>1.8787709974427639E-3</c:v>
                </c:pt>
                <c:pt idx="3">
                  <c:v>1.9015152246102205E-3</c:v>
                </c:pt>
                <c:pt idx="4">
                  <c:v>1.9079016278644154E-3</c:v>
                </c:pt>
                <c:pt idx="5">
                  <c:v>1.9487593192356611E-3</c:v>
                </c:pt>
                <c:pt idx="6">
                  <c:v>1.9645298740380837E-3</c:v>
                </c:pt>
                <c:pt idx="7">
                  <c:v>2.0008877492797145E-3</c:v>
                </c:pt>
                <c:pt idx="8">
                  <c:v>2.0169091009875234E-3</c:v>
                </c:pt>
                <c:pt idx="9">
                  <c:v>2.0400041071258488E-3</c:v>
                </c:pt>
                <c:pt idx="10">
                  <c:v>2.109024313441372E-3</c:v>
                </c:pt>
                <c:pt idx="11">
                  <c:v>2.0982970178315664E-3</c:v>
                </c:pt>
                <c:pt idx="12">
                  <c:v>2.1307355232666057E-3</c:v>
                </c:pt>
                <c:pt idx="13">
                  <c:v>2.1632200416656271E-3</c:v>
                </c:pt>
                <c:pt idx="14">
                  <c:v>2.1720983645524038E-3</c:v>
                </c:pt>
                <c:pt idx="15">
                  <c:v>2.1902056025208537E-3</c:v>
                </c:pt>
                <c:pt idx="16">
                  <c:v>2.1853095533914194E-3</c:v>
                </c:pt>
                <c:pt idx="17">
                  <c:v>2.2021933477299627E-3</c:v>
                </c:pt>
                <c:pt idx="18">
                  <c:v>2.205343920732324E-3</c:v>
                </c:pt>
                <c:pt idx="19">
                  <c:v>2.3252906505189788E-3</c:v>
                </c:pt>
                <c:pt idx="20">
                  <c:v>2.3452317556180886E-3</c:v>
                </c:pt>
                <c:pt idx="21">
                  <c:v>2.4479926657011092E-3</c:v>
                </c:pt>
                <c:pt idx="22">
                  <c:v>2.4142640584123064E-3</c:v>
                </c:pt>
                <c:pt idx="23">
                  <c:v>2.4572631702772267E-3</c:v>
                </c:pt>
                <c:pt idx="24">
                  <c:v>2.4072923957652666E-3</c:v>
                </c:pt>
                <c:pt idx="25">
                  <c:v>2.4121394211553031E-3</c:v>
                </c:pt>
                <c:pt idx="26">
                  <c:v>2.3424762947308981E-3</c:v>
                </c:pt>
                <c:pt idx="27">
                  <c:v>2.3421728110578927E-3</c:v>
                </c:pt>
                <c:pt idx="28">
                  <c:v>2.2598554248712543E-3</c:v>
                </c:pt>
                <c:pt idx="29">
                  <c:v>2.2464397575636145E-3</c:v>
                </c:pt>
                <c:pt idx="30">
                  <c:v>2.1562652959200915E-3</c:v>
                </c:pt>
                <c:pt idx="31">
                  <c:v>2.134068271688507E-3</c:v>
                </c:pt>
                <c:pt idx="32">
                  <c:v>2.0510567445042988E-3</c:v>
                </c:pt>
                <c:pt idx="33">
                  <c:v>2.0222167925628368E-3</c:v>
                </c:pt>
                <c:pt idx="34">
                  <c:v>1.9160081679653659E-3</c:v>
                </c:pt>
                <c:pt idx="35">
                  <c:v>1.88426655900773E-3</c:v>
                </c:pt>
                <c:pt idx="36">
                  <c:v>1.7910484671320084E-3</c:v>
                </c:pt>
                <c:pt idx="37">
                  <c:v>1.7575582275583645E-3</c:v>
                </c:pt>
                <c:pt idx="38">
                  <c:v>1.667761543584606E-3</c:v>
                </c:pt>
                <c:pt idx="39">
                  <c:v>1.633531348956888E-3</c:v>
                </c:pt>
                <c:pt idx="40">
                  <c:v>1.5565690841228472E-3</c:v>
                </c:pt>
                <c:pt idx="41">
                  <c:v>1.5145320736789417E-3</c:v>
                </c:pt>
                <c:pt idx="42">
                  <c:v>1.433317996261012E-3</c:v>
                </c:pt>
                <c:pt idx="43">
                  <c:v>1.4161941080895963E-3</c:v>
                </c:pt>
                <c:pt idx="44">
                  <c:v>1.3318245551337345E-3</c:v>
                </c:pt>
                <c:pt idx="45">
                  <c:v>1.301814185505805E-3</c:v>
                </c:pt>
                <c:pt idx="46">
                  <c:v>1.2236670602916949E-3</c:v>
                </c:pt>
                <c:pt idx="47">
                  <c:v>1.1954261062859487E-3</c:v>
                </c:pt>
                <c:pt idx="48">
                  <c:v>1.1361787984814041E-3</c:v>
                </c:pt>
                <c:pt idx="49">
                  <c:v>1.1038059158622719E-3</c:v>
                </c:pt>
                <c:pt idx="50">
                  <c:v>1.0441000036108612E-3</c:v>
                </c:pt>
                <c:pt idx="51">
                  <c:v>1.020166669782287E-3</c:v>
                </c:pt>
                <c:pt idx="52">
                  <c:v>9.6519126901533964E-4</c:v>
                </c:pt>
                <c:pt idx="53">
                  <c:v>9.4378687842851131E-4</c:v>
                </c:pt>
                <c:pt idx="54">
                  <c:v>8.9332256924287245E-4</c:v>
                </c:pt>
                <c:pt idx="55">
                  <c:v>8.8349895847197836E-4</c:v>
                </c:pt>
                <c:pt idx="56">
                  <c:v>8.3230126444898086E-4</c:v>
                </c:pt>
                <c:pt idx="57">
                  <c:v>8.1069154677324679E-4</c:v>
                </c:pt>
                <c:pt idx="58">
                  <c:v>7.68822413578816E-4</c:v>
                </c:pt>
                <c:pt idx="59">
                  <c:v>7.5393497124209992E-4</c:v>
                </c:pt>
                <c:pt idx="60">
                  <c:v>7.1600868758141842E-4</c:v>
                </c:pt>
                <c:pt idx="61">
                  <c:v>7.0292136323457134E-4</c:v>
                </c:pt>
                <c:pt idx="62">
                  <c:v>6.6859476230111947E-4</c:v>
                </c:pt>
                <c:pt idx="63">
                  <c:v>6.5732000038729813E-4</c:v>
                </c:pt>
                <c:pt idx="64">
                  <c:v>6.2943784939483468E-4</c:v>
                </c:pt>
                <c:pt idx="65">
                  <c:v>6.2303274667932312E-4</c:v>
                </c:pt>
                <c:pt idx="66">
                  <c:v>5.9093767474373326E-4</c:v>
                </c:pt>
                <c:pt idx="67">
                  <c:v>5.830844778525094E-4</c:v>
                </c:pt>
                <c:pt idx="68">
                  <c:v>5.5391981590458624E-4</c:v>
                </c:pt>
                <c:pt idx="69">
                  <c:v>5.4736685415509028E-4</c:v>
                </c:pt>
                <c:pt idx="70">
                  <c:v>5.238539188846446E-4</c:v>
                </c:pt>
                <c:pt idx="71">
                  <c:v>5.185690217617805E-4</c:v>
                </c:pt>
                <c:pt idx="72">
                  <c:v>4.9995670362068415E-4</c:v>
                </c:pt>
                <c:pt idx="73">
                  <c:v>4.930376516437524E-4</c:v>
                </c:pt>
                <c:pt idx="74">
                  <c:v>4.7360287523340035E-4</c:v>
                </c:pt>
                <c:pt idx="75">
                  <c:v>4.7049769926482189E-4</c:v>
                </c:pt>
                <c:pt idx="76">
                  <c:v>4.5269418811193197E-4</c:v>
                </c:pt>
                <c:pt idx="77">
                  <c:v>4.5536495924842769E-4</c:v>
                </c:pt>
                <c:pt idx="78">
                  <c:v>4.3650895661667905E-4</c:v>
                </c:pt>
                <c:pt idx="79">
                  <c:v>4.352181725302502E-4</c:v>
                </c:pt>
                <c:pt idx="80">
                  <c:v>4.2014796513142557E-4</c:v>
                </c:pt>
                <c:pt idx="81">
                  <c:v>4.1722860739041722E-4</c:v>
                </c:pt>
                <c:pt idx="82">
                  <c:v>4.0352583159742396E-4</c:v>
                </c:pt>
                <c:pt idx="83">
                  <c:v>4.0356343476736573E-4</c:v>
                </c:pt>
                <c:pt idx="84">
                  <c:v>3.9094715579425168E-4</c:v>
                </c:pt>
                <c:pt idx="85">
                  <c:v>3.9157868425919435E-4</c:v>
                </c:pt>
                <c:pt idx="86">
                  <c:v>3.7986046493099012E-4</c:v>
                </c:pt>
                <c:pt idx="87">
                  <c:v>3.8104811145552367E-4</c:v>
                </c:pt>
                <c:pt idx="88">
                  <c:v>3.7215985112263895E-4</c:v>
                </c:pt>
                <c:pt idx="89">
                  <c:v>3.7376555524802694E-4</c:v>
                </c:pt>
                <c:pt idx="90">
                  <c:v>3.615252438602862E-4</c:v>
                </c:pt>
                <c:pt idx="91">
                  <c:v>3.6359395993851377E-4</c:v>
                </c:pt>
                <c:pt idx="92">
                  <c:v>3.5405317729596503E-4</c:v>
                </c:pt>
                <c:pt idx="93">
                  <c:v>3.5648580992089248E-4</c:v>
                </c:pt>
                <c:pt idx="94">
                  <c:v>3.4752811467294871E-4</c:v>
                </c:pt>
                <c:pt idx="95">
                  <c:v>3.5026515530491524E-4</c:v>
                </c:pt>
                <c:pt idx="96">
                  <c:v>3.4369912897900845E-4</c:v>
                </c:pt>
                <c:pt idx="97">
                  <c:v>3.4483939481250289E-4</c:v>
                </c:pt>
                <c:pt idx="98">
                  <c:v>3.3679901324439781E-4</c:v>
                </c:pt>
                <c:pt idx="99">
                  <c:v>3.4376882659702189E-4</c:v>
                </c:pt>
                <c:pt idx="100">
                  <c:v>3.3423641865037832E-4</c:v>
                </c:pt>
                <c:pt idx="101">
                  <c:v>3.3775285155069939E-4</c:v>
                </c:pt>
                <c:pt idx="102">
                  <c:v>3.285927503813224E-4</c:v>
                </c:pt>
                <c:pt idx="103">
                  <c:v>3.3229082966568685E-4</c:v>
                </c:pt>
                <c:pt idx="104">
                  <c:v>3.2705965660703604E-4</c:v>
                </c:pt>
                <c:pt idx="105">
                  <c:v>3.2912564687899708E-4</c:v>
                </c:pt>
                <c:pt idx="106">
                  <c:v>3.2237476598854728E-4</c:v>
                </c:pt>
                <c:pt idx="107">
                  <c:v>3.2638222711574012E-4</c:v>
                </c:pt>
                <c:pt idx="108">
                  <c:v>3.1984759977476219E-4</c:v>
                </c:pt>
                <c:pt idx="109">
                  <c:v>3.2399175690340436E-4</c:v>
                </c:pt>
                <c:pt idx="110">
                  <c:v>3.176470031798623E-4</c:v>
                </c:pt>
                <c:pt idx="111">
                  <c:v>3.2539827576563241E-4</c:v>
                </c:pt>
                <c:pt idx="112">
                  <c:v>3.1746392045468755E-4</c:v>
                </c:pt>
                <c:pt idx="113">
                  <c:v>3.2007476646940341E-4</c:v>
                </c:pt>
                <c:pt idx="114">
                  <c:v>3.1405309494035127E-4</c:v>
                </c:pt>
                <c:pt idx="115">
                  <c:v>3.184973306549213E-4</c:v>
                </c:pt>
                <c:pt idx="116">
                  <c:v>3.1261001155810051E-4</c:v>
                </c:pt>
                <c:pt idx="117">
                  <c:v>3.1712618247160145E-4</c:v>
                </c:pt>
                <c:pt idx="118">
                  <c:v>3.1135545329954924E-4</c:v>
                </c:pt>
                <c:pt idx="119">
                  <c:v>3.1593793211956401E-4</c:v>
                </c:pt>
                <c:pt idx="120">
                  <c:v>3.1197526250109197E-4</c:v>
                </c:pt>
                <c:pt idx="121">
                  <c:v>3.1832318465217628E-4</c:v>
                </c:pt>
                <c:pt idx="122">
                  <c:v>3.1101392997900771E-4</c:v>
                </c:pt>
                <c:pt idx="123">
                  <c:v>3.1570993615900737E-4</c:v>
                </c:pt>
                <c:pt idx="124">
                  <c:v>3.0848359786737992E-4</c:v>
                </c:pt>
                <c:pt idx="125">
                  <c:v>3.1322095832231128E-4</c:v>
                </c:pt>
                <c:pt idx="126">
                  <c:v>3.077698971360833E-4</c:v>
                </c:pt>
                <c:pt idx="127">
                  <c:v>3.1254527387444603E-4</c:v>
                </c:pt>
                <c:pt idx="128">
                  <c:v>3.088487291661358E-4</c:v>
                </c:pt>
                <c:pt idx="129">
                  <c:v>3.1195941391538894E-4</c:v>
                </c:pt>
                <c:pt idx="130">
                  <c:v>3.066157686279904E-4</c:v>
                </c:pt>
                <c:pt idx="131">
                  <c:v>3.1145291467830509E-4</c:v>
                </c:pt>
                <c:pt idx="132">
                  <c:v>3.0615060566604302E-4</c:v>
                </c:pt>
              </c:numCache>
            </c:numRef>
          </c:val>
          <c:smooth val="0"/>
        </c:ser>
        <c:ser>
          <c:idx val="2"/>
          <c:order val="2"/>
          <c:tx>
            <c:v>Simple</c:v>
          </c:tx>
          <c:spPr>
            <a:ln w="28575">
              <a:noFill/>
            </a:ln>
          </c:spPr>
          <c:marker>
            <c:symbol val="triangle"/>
            <c:size val="2"/>
          </c:marker>
          <c:val>
            <c:numRef>
              <c:f>'6M Delta'!$AC$3:$AC$135</c:f>
              <c:numCache>
                <c:formatCode>0.0000%</c:formatCode>
                <c:ptCount val="133"/>
                <c:pt idx="0">
                  <c:v>1.7847647269277822E-3</c:v>
                </c:pt>
                <c:pt idx="1">
                  <c:v>1.8237895579366196E-3</c:v>
                </c:pt>
                <c:pt idx="2">
                  <c:v>1.8579110983240458E-3</c:v>
                </c:pt>
                <c:pt idx="3">
                  <c:v>1.8939896751500658E-3</c:v>
                </c:pt>
                <c:pt idx="4">
                  <c:v>1.9244658991178839E-3</c:v>
                </c:pt>
                <c:pt idx="5">
                  <c:v>1.9567921580517229E-3</c:v>
                </c:pt>
                <c:pt idx="6">
                  <c:v>1.9858854855092705E-3</c:v>
                </c:pt>
                <c:pt idx="7">
                  <c:v>2.0129195524321011E-3</c:v>
                </c:pt>
                <c:pt idx="8">
                  <c:v>2.0424103700005694E-3</c:v>
                </c:pt>
                <c:pt idx="9">
                  <c:v>2.0672348166072023E-3</c:v>
                </c:pt>
                <c:pt idx="10">
                  <c:v>2.0910619711381954E-3</c:v>
                </c:pt>
                <c:pt idx="11">
                  <c:v>2.1169911180058494E-3</c:v>
                </c:pt>
                <c:pt idx="12">
                  <c:v>2.1387610464071258E-3</c:v>
                </c:pt>
                <c:pt idx="13">
                  <c:v>2.1603052366739907E-3</c:v>
                </c:pt>
                <c:pt idx="14">
                  <c:v>2.1822173384101113E-3</c:v>
                </c:pt>
                <c:pt idx="15">
                  <c:v>2.2011454108204105E-3</c:v>
                </c:pt>
                <c:pt idx="16">
                  <c:v>2.2216356031954146E-3</c:v>
                </c:pt>
                <c:pt idx="17">
                  <c:v>2.2393180123059441E-3</c:v>
                </c:pt>
                <c:pt idx="18">
                  <c:v>2.255576459051176E-3</c:v>
                </c:pt>
                <c:pt idx="19">
                  <c:v>2.3396742618252172E-3</c:v>
                </c:pt>
                <c:pt idx="20">
                  <c:v>2.3976031563771841E-3</c:v>
                </c:pt>
                <c:pt idx="21">
                  <c:v>2.4313613223323105E-3</c:v>
                </c:pt>
                <c:pt idx="22">
                  <c:v>2.4456290008358912E-3</c:v>
                </c:pt>
                <c:pt idx="23">
                  <c:v>2.4428001553932796E-3</c:v>
                </c:pt>
                <c:pt idx="24">
                  <c:v>2.4254081664571467E-3</c:v>
                </c:pt>
                <c:pt idx="25">
                  <c:v>2.3964992844745696E-3</c:v>
                </c:pt>
                <c:pt idx="26">
                  <c:v>2.3576560063613386E-3</c:v>
                </c:pt>
                <c:pt idx="27">
                  <c:v>2.3110996366640141E-3</c:v>
                </c:pt>
                <c:pt idx="28">
                  <c:v>2.2582022810599201E-3</c:v>
                </c:pt>
                <c:pt idx="29">
                  <c:v>2.2003204742187237E-3</c:v>
                </c:pt>
                <c:pt idx="30">
                  <c:v>2.1382830936103304E-3</c:v>
                </c:pt>
                <c:pt idx="31">
                  <c:v>2.0741494473277802E-3</c:v>
                </c:pt>
                <c:pt idx="32">
                  <c:v>2.007014904820993E-3</c:v>
                </c:pt>
                <c:pt idx="33">
                  <c:v>1.9394430171193096E-3</c:v>
                </c:pt>
                <c:pt idx="34">
                  <c:v>1.869853809051094E-3</c:v>
                </c:pt>
                <c:pt idx="35">
                  <c:v>1.8021639945659522E-3</c:v>
                </c:pt>
                <c:pt idx="36">
                  <c:v>1.7338465938991621E-3</c:v>
                </c:pt>
                <c:pt idx="37">
                  <c:v>1.6675077704623946E-3</c:v>
                </c:pt>
                <c:pt idx="38">
                  <c:v>1.6016243968595305E-3</c:v>
                </c:pt>
                <c:pt idx="39">
                  <c:v>1.5375431320890768E-3</c:v>
                </c:pt>
                <c:pt idx="40">
                  <c:v>1.4751064619975664E-3</c:v>
                </c:pt>
                <c:pt idx="41">
                  <c:v>1.4144768248911415E-3</c:v>
                </c:pt>
                <c:pt idx="42">
                  <c:v>1.3551449239538099E-3</c:v>
                </c:pt>
                <c:pt idx="43">
                  <c:v>1.2987988280033537E-3</c:v>
                </c:pt>
                <c:pt idx="44">
                  <c:v>1.2430478151334828E-3</c:v>
                </c:pt>
                <c:pt idx="45">
                  <c:v>1.1914931024472677E-3</c:v>
                </c:pt>
                <c:pt idx="46">
                  <c:v>1.1401217885371824E-3</c:v>
                </c:pt>
                <c:pt idx="47">
                  <c:v>1.0922846792720648E-3</c:v>
                </c:pt>
                <c:pt idx="48">
                  <c:v>1.0458178230423843E-3</c:v>
                </c:pt>
                <c:pt idx="49">
                  <c:v>1.001975414143761E-3</c:v>
                </c:pt>
                <c:pt idx="50">
                  <c:v>9.6020458358450937E-4</c:v>
                </c:pt>
                <c:pt idx="51">
                  <c:v>9.204609251003441E-4</c:v>
                </c:pt>
                <c:pt idx="52">
                  <c:v>8.8249118401122163E-4</c:v>
                </c:pt>
                <c:pt idx="53">
                  <c:v>8.4684544491786247E-4</c:v>
                </c:pt>
                <c:pt idx="54">
                  <c:v>8.1249336167721819E-4</c:v>
                </c:pt>
                <c:pt idx="55">
                  <c:v>7.8049178185175621E-4</c:v>
                </c:pt>
                <c:pt idx="56">
                  <c:v>7.4938789341828414E-4</c:v>
                </c:pt>
                <c:pt idx="57">
                  <c:v>7.206329743616657E-4</c:v>
                </c:pt>
                <c:pt idx="58">
                  <c:v>6.9318185116036719E-4</c:v>
                </c:pt>
                <c:pt idx="59">
                  <c:v>6.6769964118739062E-4</c:v>
                </c:pt>
                <c:pt idx="60">
                  <c:v>6.4340181008083687E-4</c:v>
                </c:pt>
                <c:pt idx="61">
                  <c:v>6.2063192095392506E-4</c:v>
                </c:pt>
                <c:pt idx="62">
                  <c:v>5.9918776147058878E-4</c:v>
                </c:pt>
                <c:pt idx="63">
                  <c:v>5.7900520748229919E-4</c:v>
                </c:pt>
                <c:pt idx="64">
                  <c:v>5.5992061559009051E-4</c:v>
                </c:pt>
                <c:pt idx="65">
                  <c:v>5.4208150815330928E-4</c:v>
                </c:pt>
                <c:pt idx="66">
                  <c:v>5.2496481666087515E-4</c:v>
                </c:pt>
                <c:pt idx="67">
                  <c:v>5.094999102215835E-4</c:v>
                </c:pt>
                <c:pt idx="68">
                  <c:v>4.9442057737704957E-4</c:v>
                </c:pt>
                <c:pt idx="69">
                  <c:v>4.8066279157080432E-4</c:v>
                </c:pt>
                <c:pt idx="70">
                  <c:v>4.6755157313340594E-4</c:v>
                </c:pt>
                <c:pt idx="71">
                  <c:v>4.5546620740764354E-4</c:v>
                </c:pt>
                <c:pt idx="72">
                  <c:v>4.4401942553787006E-4</c:v>
                </c:pt>
                <c:pt idx="73">
                  <c:v>4.3336093872217631E-4</c:v>
                </c:pt>
                <c:pt idx="74">
                  <c:v>4.2333104263632876E-4</c:v>
                </c:pt>
                <c:pt idx="75">
                  <c:v>4.1404872060282196E-4</c:v>
                </c:pt>
                <c:pt idx="76">
                  <c:v>4.0522413596115806E-4</c:v>
                </c:pt>
                <c:pt idx="77">
                  <c:v>3.9710901337090354E-4</c:v>
                </c:pt>
                <c:pt idx="78">
                  <c:v>3.8931848417340649E-4</c:v>
                </c:pt>
                <c:pt idx="79">
                  <c:v>3.8231437979743647E-4</c:v>
                </c:pt>
                <c:pt idx="80">
                  <c:v>3.755171383210121E-4</c:v>
                </c:pt>
                <c:pt idx="81">
                  <c:v>3.6931097111884774E-4</c:v>
                </c:pt>
                <c:pt idx="82">
                  <c:v>3.6348650196661497E-4</c:v>
                </c:pt>
                <c:pt idx="83">
                  <c:v>3.580813957834852E-4</c:v>
                </c:pt>
                <c:pt idx="84">
                  <c:v>3.5303831594687908E-4</c:v>
                </c:pt>
                <c:pt idx="85">
                  <c:v>3.4833426274177176E-4</c:v>
                </c:pt>
                <c:pt idx="86">
                  <c:v>3.4392430752505713E-4</c:v>
                </c:pt>
                <c:pt idx="87">
                  <c:v>3.3985784986331801E-4</c:v>
                </c:pt>
                <c:pt idx="88">
                  <c:v>3.3600549778406603E-4</c:v>
                </c:pt>
                <c:pt idx="89">
                  <c:v>3.3245606591273481E-4</c:v>
                </c:pt>
                <c:pt idx="90">
                  <c:v>3.2907917784491964E-4</c:v>
                </c:pt>
                <c:pt idx="91">
                  <c:v>3.2602019484825401E-4</c:v>
                </c:pt>
                <c:pt idx="92">
                  <c:v>3.231248868799841E-4</c:v>
                </c:pt>
                <c:pt idx="93">
                  <c:v>3.2047371717605958E-4</c:v>
                </c:pt>
                <c:pt idx="94">
                  <c:v>3.1797857952705445E-4</c:v>
                </c:pt>
                <c:pt idx="95">
                  <c:v>3.1566957192401425E-4</c:v>
                </c:pt>
                <c:pt idx="96">
                  <c:v>3.1352105030445394E-4</c:v>
                </c:pt>
                <c:pt idx="97">
                  <c:v>3.1152223093503401E-4</c:v>
                </c:pt>
                <c:pt idx="98">
                  <c:v>3.0964332751334578E-4</c:v>
                </c:pt>
                <c:pt idx="99">
                  <c:v>3.0792480926396216E-4</c:v>
                </c:pt>
                <c:pt idx="100">
                  <c:v>3.0628370149292562E-4</c:v>
                </c:pt>
                <c:pt idx="101">
                  <c:v>3.0481574211761546E-4</c:v>
                </c:pt>
                <c:pt idx="102">
                  <c:v>3.0339814028642367E-4</c:v>
                </c:pt>
                <c:pt idx="103">
                  <c:v>3.0211686151767611E-4</c:v>
                </c:pt>
                <c:pt idx="104">
                  <c:v>3.0090675920417612E-4</c:v>
                </c:pt>
                <c:pt idx="105">
                  <c:v>2.9979514012115692E-4</c:v>
                </c:pt>
                <c:pt idx="106">
                  <c:v>2.9876249784485697E-4</c:v>
                </c:pt>
                <c:pt idx="107">
                  <c:v>2.978033590147169E-4</c:v>
                </c:pt>
                <c:pt idx="108">
                  <c:v>2.969079023027346E-4</c:v>
                </c:pt>
                <c:pt idx="109">
                  <c:v>2.9608550620294037E-4</c:v>
                </c:pt>
                <c:pt idx="110">
                  <c:v>2.9530945951017167E-4</c:v>
                </c:pt>
                <c:pt idx="111">
                  <c:v>2.9460093864121088E-4</c:v>
                </c:pt>
                <c:pt idx="112">
                  <c:v>2.9392553095453717E-4</c:v>
                </c:pt>
                <c:pt idx="113">
                  <c:v>2.9331268778193492E-4</c:v>
                </c:pt>
                <c:pt idx="114">
                  <c:v>2.9273797401826296E-4</c:v>
                </c:pt>
                <c:pt idx="115">
                  <c:v>2.922135293694228E-4</c:v>
                </c:pt>
                <c:pt idx="116">
                  <c:v>2.9172159918423673E-4</c:v>
                </c:pt>
                <c:pt idx="117">
                  <c:v>2.9126785358985006E-4</c:v>
                </c:pt>
                <c:pt idx="118">
                  <c:v>2.9084698831066935E-4</c:v>
                </c:pt>
                <c:pt idx="119">
                  <c:v>2.9045666349343454E-4</c:v>
                </c:pt>
                <c:pt idx="120">
                  <c:v>2.9009278754835074E-4</c:v>
                </c:pt>
                <c:pt idx="121">
                  <c:v>2.8975730265632781E-4</c:v>
                </c:pt>
                <c:pt idx="122">
                  <c:v>2.8943968580869901E-4</c:v>
                </c:pt>
                <c:pt idx="123">
                  <c:v>2.8915638570107627E-4</c:v>
                </c:pt>
                <c:pt idx="124">
                  <c:v>2.8888356185599926E-4</c:v>
                </c:pt>
                <c:pt idx="125">
                  <c:v>2.8863764610548846E-4</c:v>
                </c:pt>
                <c:pt idx="126">
                  <c:v>2.8840600658850497E-4</c:v>
                </c:pt>
                <c:pt idx="127">
                  <c:v>2.8819489459229643E-4</c:v>
                </c:pt>
                <c:pt idx="128">
                  <c:v>2.8799711491126189E-4</c:v>
                </c:pt>
                <c:pt idx="129">
                  <c:v>2.8781490806088224E-4</c:v>
                </c:pt>
                <c:pt idx="130">
                  <c:v>2.8764521231439919E-4</c:v>
                </c:pt>
                <c:pt idx="131">
                  <c:v>2.8748973210407282E-4</c:v>
                </c:pt>
                <c:pt idx="132">
                  <c:v>2.8734335656033677E-4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045312"/>
        <c:axId val="734046848"/>
      </c:lineChart>
      <c:dateAx>
        <c:axId val="734045312"/>
        <c:scaling>
          <c:orientation val="minMax"/>
          <c:max val="53088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34046848"/>
        <c:crosses val="autoZero"/>
        <c:auto val="1"/>
        <c:lblOffset val="100"/>
        <c:baseTimeUnit val="days"/>
        <c:majorUnit val="36"/>
        <c:majorTimeUnit val="months"/>
      </c:dateAx>
      <c:valAx>
        <c:axId val="734046848"/>
        <c:scaling>
          <c:orientation val="minMax"/>
          <c:max val="3.000000000000000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34045312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476250</xdr:colOff>
      <xdr:row>0</xdr:row>
      <xdr:rowOff>0</xdr:rowOff>
    </xdr:from>
    <xdr:to>
      <xdr:col>39</xdr:col>
      <xdr:colOff>285750</xdr:colOff>
      <xdr:row>20</xdr:row>
      <xdr:rowOff>9524</xdr:rowOff>
    </xdr:to>
    <xdr:graphicFrame macro="">
      <xdr:nvGraphicFramePr>
        <xdr:cNvPr id="4" name="Delt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9</xdr:row>
          <xdr:rowOff>123825</xdr:rowOff>
        </xdr:from>
        <xdr:to>
          <xdr:col>28</xdr:col>
          <xdr:colOff>361950</xdr:colOff>
          <xdr:row>11</xdr:row>
          <xdr:rowOff>19050</xdr:rowOff>
        </xdr:to>
        <xdr:sp macro="" textlink="">
          <xdr:nvSpPr>
            <xdr:cNvPr id="3075" name="Length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</xdr:row>
          <xdr:rowOff>276225</xdr:rowOff>
        </xdr:from>
        <xdr:to>
          <xdr:col>28</xdr:col>
          <xdr:colOff>361950</xdr:colOff>
          <xdr:row>2</xdr:row>
          <xdr:rowOff>171450</xdr:rowOff>
        </xdr:to>
        <xdr:sp macro="" textlink="">
          <xdr:nvSpPr>
            <xdr:cNvPr id="3076" name="Length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17</xdr:row>
          <xdr:rowOff>152400</xdr:rowOff>
        </xdr:from>
        <xdr:to>
          <xdr:col>28</xdr:col>
          <xdr:colOff>361950</xdr:colOff>
          <xdr:row>19</xdr:row>
          <xdr:rowOff>47625</xdr:rowOff>
        </xdr:to>
        <xdr:sp macro="" textlink="">
          <xdr:nvSpPr>
            <xdr:cNvPr id="3077" name="Length7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4</xdr:row>
          <xdr:rowOff>38100</xdr:rowOff>
        </xdr:from>
        <xdr:to>
          <xdr:col>28</xdr:col>
          <xdr:colOff>361950</xdr:colOff>
          <xdr:row>5</xdr:row>
          <xdr:rowOff>123825</xdr:rowOff>
        </xdr:to>
        <xdr:sp macro="" textlink="">
          <xdr:nvSpPr>
            <xdr:cNvPr id="3078" name="Length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6</xdr:row>
          <xdr:rowOff>171450</xdr:rowOff>
        </xdr:from>
        <xdr:to>
          <xdr:col>28</xdr:col>
          <xdr:colOff>361950</xdr:colOff>
          <xdr:row>8</xdr:row>
          <xdr:rowOff>66675</xdr:rowOff>
        </xdr:to>
        <xdr:sp macro="" textlink="">
          <xdr:nvSpPr>
            <xdr:cNvPr id="3079" name="Length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12</xdr:row>
          <xdr:rowOff>66675</xdr:rowOff>
        </xdr:from>
        <xdr:to>
          <xdr:col>28</xdr:col>
          <xdr:colOff>361950</xdr:colOff>
          <xdr:row>13</xdr:row>
          <xdr:rowOff>152400</xdr:rowOff>
        </xdr:to>
        <xdr:sp macro="" textlink="">
          <xdr:nvSpPr>
            <xdr:cNvPr id="3080" name="Length5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15</xdr:row>
          <xdr:rowOff>19050</xdr:rowOff>
        </xdr:from>
        <xdr:to>
          <xdr:col>28</xdr:col>
          <xdr:colOff>361950</xdr:colOff>
          <xdr:row>16</xdr:row>
          <xdr:rowOff>104775</xdr:rowOff>
        </xdr:to>
        <xdr:sp macro="" textlink="">
          <xdr:nvSpPr>
            <xdr:cNvPr id="3081" name="Length6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495300</xdr:colOff>
      <xdr:row>20</xdr:row>
      <xdr:rowOff>66675</xdr:rowOff>
    </xdr:from>
    <xdr:to>
      <xdr:col>39</xdr:col>
      <xdr:colOff>304800</xdr:colOff>
      <xdr:row>41</xdr:row>
      <xdr:rowOff>76199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9</xdr:row>
          <xdr:rowOff>123825</xdr:rowOff>
        </xdr:from>
        <xdr:to>
          <xdr:col>33</xdr:col>
          <xdr:colOff>361950</xdr:colOff>
          <xdr:row>11</xdr:row>
          <xdr:rowOff>114300</xdr:rowOff>
        </xdr:to>
        <xdr:sp macro="" textlink="">
          <xdr:nvSpPr>
            <xdr:cNvPr id="5121" name="Length4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</xdr:row>
          <xdr:rowOff>276225</xdr:rowOff>
        </xdr:from>
        <xdr:to>
          <xdr:col>33</xdr:col>
          <xdr:colOff>361950</xdr:colOff>
          <xdr:row>3</xdr:row>
          <xdr:rowOff>123825</xdr:rowOff>
        </xdr:to>
        <xdr:sp macro="" textlink="">
          <xdr:nvSpPr>
            <xdr:cNvPr id="5122" name="Length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18</xdr:row>
          <xdr:rowOff>0</xdr:rowOff>
        </xdr:from>
        <xdr:to>
          <xdr:col>33</xdr:col>
          <xdr:colOff>361950</xdr:colOff>
          <xdr:row>19</xdr:row>
          <xdr:rowOff>133350</xdr:rowOff>
        </xdr:to>
        <xdr:sp macro="" textlink="">
          <xdr:nvSpPr>
            <xdr:cNvPr id="5123" name="Length7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4</xdr:row>
          <xdr:rowOff>38100</xdr:rowOff>
        </xdr:from>
        <xdr:to>
          <xdr:col>33</xdr:col>
          <xdr:colOff>361950</xdr:colOff>
          <xdr:row>6</xdr:row>
          <xdr:rowOff>28575</xdr:rowOff>
        </xdr:to>
        <xdr:sp macro="" textlink="">
          <xdr:nvSpPr>
            <xdr:cNvPr id="5124" name="Length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7</xdr:row>
          <xdr:rowOff>0</xdr:rowOff>
        </xdr:from>
        <xdr:to>
          <xdr:col>33</xdr:col>
          <xdr:colOff>361950</xdr:colOff>
          <xdr:row>8</xdr:row>
          <xdr:rowOff>133350</xdr:rowOff>
        </xdr:to>
        <xdr:sp macro="" textlink="">
          <xdr:nvSpPr>
            <xdr:cNvPr id="5125" name="Length3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12</xdr:row>
          <xdr:rowOff>66675</xdr:rowOff>
        </xdr:from>
        <xdr:to>
          <xdr:col>33</xdr:col>
          <xdr:colOff>361950</xdr:colOff>
          <xdr:row>14</xdr:row>
          <xdr:rowOff>57150</xdr:rowOff>
        </xdr:to>
        <xdr:sp macro="" textlink="">
          <xdr:nvSpPr>
            <xdr:cNvPr id="5126" name="Length5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15</xdr:row>
          <xdr:rowOff>19050</xdr:rowOff>
        </xdr:from>
        <xdr:to>
          <xdr:col>33</xdr:col>
          <xdr:colOff>361950</xdr:colOff>
          <xdr:row>17</xdr:row>
          <xdr:rowOff>9525</xdr:rowOff>
        </xdr:to>
        <xdr:sp macro="" textlink="">
          <xdr:nvSpPr>
            <xdr:cNvPr id="5127" name="Length6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9525</xdr:colOff>
      <xdr:row>1</xdr:row>
      <xdr:rowOff>238125</xdr:rowOff>
    </xdr:from>
    <xdr:to>
      <xdr:col>44</xdr:col>
      <xdr:colOff>428625</xdr:colOff>
      <xdr:row>22</xdr:row>
      <xdr:rowOff>104774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18</xdr:row>
          <xdr:rowOff>85725</xdr:rowOff>
        </xdr:from>
        <xdr:to>
          <xdr:col>12</xdr:col>
          <xdr:colOff>714375</xdr:colOff>
          <xdr:row>22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Continuous Basis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37</xdr:row>
          <xdr:rowOff>104775</xdr:rowOff>
        </xdr:from>
        <xdr:to>
          <xdr:col>12</xdr:col>
          <xdr:colOff>790575</xdr:colOff>
          <xdr:row>41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Simple Basis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  <sheetName val="Mx_Deposits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270</v>
          </cell>
        </row>
        <row r="7">
          <cell r="D7">
            <v>1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EUR6M#0000</v>
          </cell>
        </row>
        <row r="7">
          <cell r="D7" t="str">
            <v>EUR6M#0000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6E</v>
          </cell>
        </row>
        <row r="7">
          <cell r="D7" t="str">
            <v>6E</v>
          </cell>
        </row>
      </sheetData>
      <sheetData sheetId="5">
        <row r="6">
          <cell r="D6" t="str">
            <v>3E</v>
          </cell>
        </row>
        <row r="7">
          <cell r="D7" t="str">
            <v>3E</v>
          </cell>
        </row>
      </sheetData>
      <sheetData sheetId="6">
        <row r="6">
          <cell r="D6" t="str">
            <v>12E</v>
          </cell>
        </row>
        <row r="7">
          <cell r="D7" t="str">
            <v>12E</v>
          </cell>
        </row>
      </sheetData>
      <sheetData sheetId="7">
        <row r="6">
          <cell r="D6" t="str">
            <v>EURTND_Quote#0000</v>
          </cell>
        </row>
        <row r="7">
          <cell r="D7" t="str">
            <v>EURSND_Quote#0000</v>
          </cell>
        </row>
      </sheetData>
      <sheetData sheetId="8">
        <row r="6">
          <cell r="D6" t="str">
            <v>EUR2x5F_Quote</v>
          </cell>
        </row>
        <row r="7">
          <cell r="D7" t="str">
            <v>EUR3x6F_Quote</v>
          </cell>
        </row>
      </sheetData>
      <sheetData sheetId="9">
        <row r="6">
          <cell r="D6" t="str">
            <v>K5</v>
          </cell>
        </row>
        <row r="7">
          <cell r="D7" t="str">
            <v>M5</v>
          </cell>
        </row>
      </sheetData>
      <sheetData sheetId="10">
        <row r="6">
          <cell r="D6" t="str">
            <v>Future Code</v>
          </cell>
        </row>
        <row r="7">
          <cell r="D7" t="str">
            <v>K5</v>
          </cell>
        </row>
      </sheetData>
      <sheetData sheetId="11">
        <row r="6">
          <cell r="D6" t="str">
            <v>K5</v>
          </cell>
        </row>
        <row r="7">
          <cell r="D7" t="str">
            <v>M5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  <row r="7">
          <cell r="D7" t="str">
            <v>3W</v>
          </cell>
        </row>
      </sheetData>
      <sheetData sheetId="14">
        <row r="6">
          <cell r="D6" t="str">
            <v>OIS</v>
          </cell>
        </row>
        <row r="7">
          <cell r="D7" t="str">
            <v>OIS</v>
          </cell>
        </row>
      </sheetData>
      <sheetData sheetId="15">
        <row r="6">
          <cell r="D6" t="str">
            <v>Z5</v>
          </cell>
        </row>
        <row r="7">
          <cell r="D7" t="str">
            <v>H6</v>
          </cell>
        </row>
      </sheetData>
      <sheetData sheetId="16">
        <row r="6">
          <cell r="D6" t="str">
            <v>X1S</v>
          </cell>
        </row>
        <row r="7">
          <cell r="D7" t="str">
            <v>X1S</v>
          </cell>
        </row>
      </sheetData>
      <sheetData sheetId="17">
        <row r="6">
          <cell r="D6" t="str">
            <v>1E</v>
          </cell>
        </row>
        <row r="7">
          <cell r="D7" t="str">
            <v>1E</v>
          </cell>
        </row>
      </sheetData>
      <sheetData sheetId="18">
        <row r="6">
          <cell r="D6">
            <v>12</v>
          </cell>
        </row>
        <row r="7">
          <cell r="D7">
            <v>12</v>
          </cell>
        </row>
      </sheetData>
      <sheetData sheetId="19">
        <row r="6">
          <cell r="D6" t="str">
            <v>3E</v>
          </cell>
        </row>
        <row r="7">
          <cell r="D7" t="str">
            <v>3E</v>
          </cell>
        </row>
      </sheetData>
      <sheetData sheetId="20"/>
      <sheetData sheetId="21">
        <row r="6">
          <cell r="D6" t="str">
            <v>6E</v>
          </cell>
        </row>
        <row r="7">
          <cell r="D7" t="str">
            <v>6E</v>
          </cell>
        </row>
      </sheetData>
      <sheetData sheetId="22">
        <row r="6">
          <cell r="D6" t="str">
            <v>EUR1F2Y_Quote</v>
          </cell>
        </row>
        <row r="7">
          <cell r="D7" t="str">
            <v>EUR1F3Y_Quote</v>
          </cell>
        </row>
      </sheetData>
      <sheetData sheetId="23">
        <row r="6">
          <cell r="D6" t="str">
            <v>1E</v>
          </cell>
        </row>
        <row r="7">
          <cell r="D7" t="str">
            <v>1E</v>
          </cell>
        </row>
      </sheetData>
      <sheetData sheetId="24">
        <row r="6">
          <cell r="D6" t="str">
            <v>3E</v>
          </cell>
        </row>
        <row r="7">
          <cell r="D7" t="str">
            <v>3E</v>
          </cell>
        </row>
      </sheetData>
      <sheetData sheetId="25">
        <row r="6">
          <cell r="D6" t="str">
            <v>3E</v>
          </cell>
        </row>
        <row r="7">
          <cell r="D7" t="str">
            <v>3E</v>
          </cell>
        </row>
      </sheetData>
      <sheetData sheetId="26">
        <row r="6">
          <cell r="D6" t="str">
            <v>6E</v>
          </cell>
        </row>
        <row r="7">
          <cell r="D7" t="str">
            <v>6E</v>
          </cell>
        </row>
      </sheetData>
      <sheetData sheetId="27">
        <row r="6">
          <cell r="D6" t="str">
            <v>12E</v>
          </cell>
        </row>
        <row r="7">
          <cell r="D7" t="str">
            <v>12E</v>
          </cell>
        </row>
      </sheetData>
      <sheetData sheetId="28">
        <row r="6">
          <cell r="D6">
            <v>42129</v>
          </cell>
        </row>
        <row r="7">
          <cell r="D7">
            <v>42128</v>
          </cell>
        </row>
      </sheetData>
      <sheetData sheetId="29">
        <row r="6">
          <cell r="D6">
            <v>42129</v>
          </cell>
        </row>
        <row r="7">
          <cell r="D7">
            <v>42128</v>
          </cell>
        </row>
      </sheetData>
      <sheetData sheetId="30">
        <row r="6">
          <cell r="D6">
            <v>42130</v>
          </cell>
        </row>
        <row r="7">
          <cell r="D7">
            <v>42129</v>
          </cell>
        </row>
      </sheetData>
      <sheetData sheetId="31">
        <row r="6">
          <cell r="D6" t="str">
            <v>EURSWD_Mx_Quote#0000</v>
          </cell>
        </row>
        <row r="7">
          <cell r="D7" t="str">
            <v>EUR2WD_Mx_Quote#0000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9"/>
  <sheetViews>
    <sheetView workbookViewId="0">
      <selection activeCell="I4" sqref="I4"/>
    </sheetView>
  </sheetViews>
  <sheetFormatPr defaultColWidth="9.140625" defaultRowHeight="11.25" x14ac:dyDescent="0.2"/>
  <cols>
    <col min="1" max="2" width="2.42578125" style="1" customWidth="1"/>
    <col min="3" max="3" width="20.85546875" style="1" customWidth="1"/>
    <col min="4" max="4" width="30.7109375" style="1" customWidth="1"/>
    <col min="5" max="7" width="2.42578125" style="1" customWidth="1"/>
    <col min="8" max="8" width="23.5703125" style="1" bestFit="1" customWidth="1"/>
    <col min="9" max="9" width="33.7109375" style="1" bestFit="1" customWidth="1"/>
    <col min="10" max="10" width="2.42578125" style="1" customWidth="1"/>
    <col min="11" max="16384" width="9.140625" style="1"/>
  </cols>
  <sheetData>
    <row r="1" spans="1:34" ht="12" thickBot="1" x14ac:dyDescent="0.25">
      <c r="B1" s="1" t="str">
        <f>_xll.qlxlVersion(TRUE,EvaluationDate)</f>
        <v>QuantLibXL 1.6.0 - MS VC++ (version unknown) - Multithreaded Dynamic Runtime library - Release Configuration - Apr 24 2015 16:36:54</v>
      </c>
    </row>
    <row r="2" spans="1:34" ht="19.5" thickBot="1" x14ac:dyDescent="0.25">
      <c r="B2" s="2" t="s">
        <v>3</v>
      </c>
      <c r="C2" s="2"/>
      <c r="D2" s="2"/>
      <c r="E2" s="3"/>
      <c r="G2" s="2" t="s">
        <v>13</v>
      </c>
      <c r="H2" s="2"/>
      <c r="I2" s="2"/>
      <c r="J2" s="3"/>
    </row>
    <row r="3" spans="1:34" x14ac:dyDescent="0.2">
      <c r="B3" s="4"/>
      <c r="C3" s="5"/>
      <c r="D3" s="5"/>
      <c r="E3" s="6"/>
      <c r="G3" s="22"/>
      <c r="H3" s="23"/>
      <c r="I3" s="23"/>
      <c r="J3" s="24"/>
    </row>
    <row r="4" spans="1:34" x14ac:dyDescent="0.2">
      <c r="B4" s="4"/>
      <c r="C4" s="7" t="s">
        <v>4</v>
      </c>
      <c r="D4" s="8" t="s">
        <v>1</v>
      </c>
      <c r="E4" s="6"/>
      <c r="G4" s="15"/>
      <c r="H4" s="7" t="s">
        <v>15</v>
      </c>
      <c r="I4" s="19">
        <v>42130.693912037037</v>
      </c>
      <c r="J4" s="16"/>
    </row>
    <row r="5" spans="1:34" s="10" customFormat="1" x14ac:dyDescent="0.2">
      <c r="A5" s="1"/>
      <c r="B5" s="4"/>
      <c r="C5" s="7" t="s">
        <v>5</v>
      </c>
      <c r="D5" s="9" t="s">
        <v>6</v>
      </c>
      <c r="E5" s="6"/>
      <c r="F5" s="1"/>
      <c r="G5" s="15"/>
      <c r="H5" s="7" t="s">
        <v>16</v>
      </c>
      <c r="I5" s="19">
        <f>_xll.qlSettingsEvaluationDate(Trigger)</f>
        <v>42130</v>
      </c>
      <c r="J5" s="1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s="10" customFormat="1" x14ac:dyDescent="0.2">
      <c r="A6" s="1"/>
      <c r="B6" s="4"/>
      <c r="C6" s="7" t="s">
        <v>2</v>
      </c>
      <c r="D6" s="9" t="str">
        <f>IF(UPPER(Currency)&lt;&gt;"EUR","L","")&amp;"ibor"</f>
        <v>ibor</v>
      </c>
      <c r="E6" s="6"/>
      <c r="F6" s="1"/>
      <c r="G6" s="15"/>
      <c r="H6" s="17" t="s">
        <v>14</v>
      </c>
      <c r="I6" s="18">
        <f>_xll.qlCalendarAdvance(Calendar,EvaluationDate,"2D","f")</f>
        <v>42132</v>
      </c>
      <c r="J6" s="16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x14ac:dyDescent="0.2">
      <c r="B7" s="4"/>
      <c r="C7" s="7" t="s">
        <v>7</v>
      </c>
      <c r="D7" s="11" t="s">
        <v>8</v>
      </c>
      <c r="E7" s="6"/>
      <c r="G7" s="15"/>
      <c r="H7" s="7" t="s">
        <v>17</v>
      </c>
      <c r="I7" s="20">
        <f>[1]!TriggerCounter</f>
        <v>270</v>
      </c>
      <c r="J7" s="16"/>
    </row>
    <row r="8" spans="1:34" x14ac:dyDescent="0.2">
      <c r="B8" s="4"/>
      <c r="C8" s="7" t="s">
        <v>9</v>
      </c>
      <c r="D8" s="12" t="s">
        <v>10</v>
      </c>
      <c r="E8" s="6"/>
      <c r="G8" s="15"/>
      <c r="H8" s="7" t="s">
        <v>18</v>
      </c>
      <c r="I8" s="21">
        <f>[1]!LastFixingsTrigger</f>
        <v>1</v>
      </c>
      <c r="J8" s="16"/>
    </row>
    <row r="9" spans="1:34" ht="12" thickBot="1" x14ac:dyDescent="0.25">
      <c r="B9" s="4"/>
      <c r="C9" s="7" t="s">
        <v>11</v>
      </c>
      <c r="D9" s="12" t="s">
        <v>12</v>
      </c>
      <c r="E9" s="6"/>
      <c r="G9" s="25"/>
      <c r="H9" s="26"/>
      <c r="I9" s="26"/>
      <c r="J9" s="27"/>
    </row>
    <row r="10" spans="1:34" ht="12" thickBot="1" x14ac:dyDescent="0.25">
      <c r="B10" s="82"/>
      <c r="C10" s="83"/>
      <c r="D10" s="83"/>
      <c r="E10" s="13"/>
    </row>
    <row r="11" spans="1:34" x14ac:dyDescent="0.2">
      <c r="C11" s="14"/>
      <c r="D11" s="14"/>
      <c r="E11" s="14"/>
    </row>
    <row r="12" spans="1:34" x14ac:dyDescent="0.2">
      <c r="C12" s="14"/>
      <c r="D12" s="14"/>
      <c r="E12" s="14"/>
    </row>
    <row r="13" spans="1:34" x14ac:dyDescent="0.2">
      <c r="C13" s="14"/>
      <c r="D13" s="14"/>
      <c r="E13" s="14"/>
    </row>
    <row r="14" spans="1:34" x14ac:dyDescent="0.2">
      <c r="C14" s="14"/>
      <c r="D14" s="14"/>
      <c r="E14" s="14"/>
    </row>
    <row r="15" spans="1:34" x14ac:dyDescent="0.2">
      <c r="C15" s="14"/>
      <c r="D15" s="14"/>
      <c r="E15" s="14"/>
    </row>
    <row r="16" spans="1:34" x14ac:dyDescent="0.2">
      <c r="C16" s="14"/>
      <c r="D16" s="14"/>
      <c r="E16" s="14"/>
    </row>
    <row r="17" spans="3:5" x14ac:dyDescent="0.2">
      <c r="C17" s="14"/>
      <c r="D17" s="14"/>
      <c r="E17" s="14"/>
    </row>
    <row r="18" spans="3:5" x14ac:dyDescent="0.2">
      <c r="C18" s="14"/>
      <c r="D18" s="14"/>
      <c r="E18" s="14"/>
    </row>
    <row r="19" spans="3:5" x14ac:dyDescent="0.2">
      <c r="C19" s="14"/>
      <c r="D19" s="14"/>
      <c r="E19" s="14"/>
    </row>
  </sheetData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74"/>
  <sheetViews>
    <sheetView showGridLines="0" topLeftCell="K1" workbookViewId="0">
      <selection activeCell="K1" sqref="K1"/>
    </sheetView>
  </sheetViews>
  <sheetFormatPr defaultRowHeight="15" outlineLevelCol="1" x14ac:dyDescent="0.25"/>
  <cols>
    <col min="1" max="1" width="6" hidden="1" customWidth="1" outlineLevel="1"/>
    <col min="2" max="2" width="17.28515625" hidden="1" customWidth="1" outlineLevel="1"/>
    <col min="3" max="3" width="7" hidden="1" customWidth="1" outlineLevel="1"/>
    <col min="4" max="4" width="17.28515625" hidden="1" customWidth="1" outlineLevel="1"/>
    <col min="5" max="5" width="9.140625" hidden="1" customWidth="1" outlineLevel="1"/>
    <col min="6" max="6" width="9.42578125" hidden="1" customWidth="1" outlineLevel="1"/>
    <col min="7" max="7" width="6" hidden="1" customWidth="1" outlineLevel="1"/>
    <col min="8" max="8" width="7" hidden="1" customWidth="1" outlineLevel="1"/>
    <col min="9" max="9" width="12" hidden="1" customWidth="1" outlineLevel="1"/>
    <col min="10" max="10" width="9.28515625" hidden="1" customWidth="1" outlineLevel="1"/>
    <col min="11" max="11" width="2.7109375" customWidth="1" collapsed="1"/>
    <col min="13" max="13" width="10.140625" bestFit="1" customWidth="1"/>
    <col min="14" max="14" width="2.7109375" customWidth="1"/>
    <col min="15" max="15" width="3.85546875" bestFit="1" customWidth="1"/>
    <col min="16" max="18" width="17.5703125" bestFit="1" customWidth="1"/>
    <col min="19" max="19" width="6.5703125" bestFit="1" customWidth="1"/>
    <col min="20" max="20" width="8.140625" bestFit="1" customWidth="1"/>
    <col min="21" max="22" width="11.5703125" hidden="1" customWidth="1" outlineLevel="1"/>
    <col min="23" max="23" width="8.85546875" bestFit="1" customWidth="1" collapsed="1"/>
    <col min="24" max="24" width="12" bestFit="1" customWidth="1"/>
    <col min="25" max="25" width="8.85546875" customWidth="1"/>
    <col min="26" max="26" width="15.140625" customWidth="1"/>
  </cols>
  <sheetData>
    <row r="1" spans="1:26" x14ac:dyDescent="0.25">
      <c r="A1" s="42" t="s">
        <v>32</v>
      </c>
      <c r="B1" s="42"/>
      <c r="C1" s="42"/>
      <c r="D1" s="42"/>
      <c r="E1" s="42"/>
      <c r="F1" s="42" t="s">
        <v>33</v>
      </c>
      <c r="G1" s="42"/>
      <c r="H1" s="42"/>
      <c r="I1" s="42"/>
      <c r="J1" s="42"/>
    </row>
    <row r="2" spans="1:26" ht="30" x14ac:dyDescent="0.25">
      <c r="A2" s="43" t="s">
        <v>34</v>
      </c>
      <c r="B2" s="43" t="s">
        <v>35</v>
      </c>
      <c r="C2" s="43" t="s">
        <v>36</v>
      </c>
      <c r="D2" s="43" t="s">
        <v>37</v>
      </c>
      <c r="E2" s="43" t="s">
        <v>38</v>
      </c>
      <c r="F2" s="43" t="s">
        <v>35</v>
      </c>
      <c r="G2" s="43" t="s">
        <v>37</v>
      </c>
      <c r="H2" s="43" t="s">
        <v>38</v>
      </c>
      <c r="I2" s="43" t="s">
        <v>39</v>
      </c>
      <c r="J2" s="43" t="s">
        <v>40</v>
      </c>
      <c r="P2" s="30" t="s">
        <v>22</v>
      </c>
      <c r="Q2" s="30" t="s">
        <v>23</v>
      </c>
      <c r="R2" s="30" t="s">
        <v>24</v>
      </c>
      <c r="S2" s="30" t="s">
        <v>28</v>
      </c>
      <c r="T2" s="30" t="s">
        <v>25</v>
      </c>
      <c r="U2" s="30" t="s">
        <v>26</v>
      </c>
      <c r="V2" s="30" t="str">
        <f>"P(d+"&amp;M3&amp;")"</f>
        <v>P(d+3M)</v>
      </c>
      <c r="W2" s="30" t="s">
        <v>27</v>
      </c>
      <c r="X2" s="30" t="s">
        <v>29</v>
      </c>
      <c r="Y2" s="30" t="s">
        <v>43</v>
      </c>
      <c r="Z2" s="54"/>
    </row>
    <row r="3" spans="1:26" x14ac:dyDescent="0.25">
      <c r="A3" s="46" t="str">
        <f>_xll.qlPeriodEquivalent(C3&amp;"M")</f>
        <v>1Y</v>
      </c>
      <c r="B3" s="38">
        <f>_xll.qlDateEndOfMonth(EDATE(_xll.qlSettingsEvaluationDate(Trigger),-1))</f>
        <v>42124</v>
      </c>
      <c r="C3" s="39">
        <v>12</v>
      </c>
      <c r="D3" s="38">
        <f>EDATE($P$3,C3)</f>
        <v>42496</v>
      </c>
      <c r="E3" s="40">
        <f>IF(C3&lt;=12,1,IF(C3&lt;=24,3,IF(C3&lt;=120,6,IF(C3&lt;=240,12,IF(C3&lt;=360,36,60)))))</f>
        <v>1</v>
      </c>
      <c r="F3" s="44">
        <f>ROUNDDOWN(I3*10,2)/10</f>
        <v>0</v>
      </c>
      <c r="G3" s="45">
        <f>IF(J3-I3&gt;1%,(QUOTIENT(J3*10000,50)+1)*0.5%,(QUOTIENT(J3*10000,10)+1)*0.1%)</f>
        <v>1E-3</v>
      </c>
      <c r="H3" s="40">
        <f>IF(G3-F3&lt;0.5%,0.025%,IF(G3-F3&lt;1%,0.1%,IF(G3-F3&lt;2%,0.25%,0.5%)))</f>
        <v>2.5000000000000001E-4</v>
      </c>
      <c r="I3" s="45">
        <f>MIN(_xll.ohPack($X$3:INDEX($X$3:$X$3536,MATCH(D3+1,$Q$3:$Q$3536,1),1)))</f>
        <v>2.6115066241214128E-4</v>
      </c>
      <c r="J3" s="45">
        <f>MAX(_xll.ohPack($X$3:INDEX($X$3:$X$3536,MATCH(D3+1,$Q$3:$Q$3536,1),1)))</f>
        <v>3.666144790927869E-4</v>
      </c>
      <c r="L3" s="28" t="s">
        <v>21</v>
      </c>
      <c r="M3" s="29" t="s">
        <v>0</v>
      </c>
      <c r="O3" s="36" t="s">
        <v>30</v>
      </c>
      <c r="P3" s="31">
        <f>EvaluationDate</f>
        <v>42130</v>
      </c>
      <c r="Q3" s="31">
        <f>_xll.qlInterestRateIndexValueDate(Index,P3,Trigger)</f>
        <v>42132</v>
      </c>
      <c r="R3" s="31">
        <f>_xll.qlInterestRateIndexMaturity(Index,Q3,Trigger)</f>
        <v>42226</v>
      </c>
      <c r="S3" s="32">
        <f>_xll.qlDayCounterYearFraction(DayCounter,Q3,R3,,,Trigger)</f>
        <v>0.26111111111111113</v>
      </c>
      <c r="T3" s="33">
        <f>_xll.qlIndexFixing(Index,P3,,AllTriggers)</f>
        <v>-8.0000000000000007E-5</v>
      </c>
      <c r="U3" s="34">
        <f>_xll.qlYieldTSDiscount(OisCurve,Q3,,AllTriggers)</f>
        <v>1</v>
      </c>
      <c r="V3" s="34">
        <f>_xll.qlYieldTSDiscount(OisCurve,R3,,AllTriggers)</f>
        <v>1.0002820795464322</v>
      </c>
      <c r="W3" s="33">
        <f>(U3/V3-1)/S3</f>
        <v>-1.0800000000004422E-3</v>
      </c>
      <c r="X3" s="35">
        <f>LN((1+T3*S3)/(1+W3*S3))</f>
        <v>2.6115066241214128E-4</v>
      </c>
      <c r="Y3" s="33">
        <f>T3-W3</f>
        <v>1.0000000000004422E-3</v>
      </c>
      <c r="Z3" s="54"/>
    </row>
    <row r="4" spans="1:26" x14ac:dyDescent="0.25">
      <c r="A4" s="46" t="str">
        <f>_xll.qlPeriodEquivalent(C4&amp;"M")</f>
        <v>2Y</v>
      </c>
      <c r="B4" s="38">
        <f>_xll.qlDateEndOfMonth(EDATE(_xll.qlIMMNextDate(_xll.qlSettingsEvaluationDate(Trigger)-1,TRUE),-3))</f>
        <v>42094</v>
      </c>
      <c r="C4" s="39">
        <v>24</v>
      </c>
      <c r="D4" s="38">
        <f t="shared" ref="D4:D9" si="0">EDATE($P$3,C4)</f>
        <v>42861</v>
      </c>
      <c r="E4" s="40">
        <f t="shared" ref="E4:E9" si="1">IF(C4&lt;=12,1,IF(C4&lt;=24,3,IF(C4&lt;=120,6,IF(C4&lt;=240,12,IF(C4&lt;=360,36,60)))))</f>
        <v>3</v>
      </c>
      <c r="F4" s="44">
        <f t="shared" ref="F4:F9" si="2">ROUNDDOWN(I4*10,2)/10</f>
        <v>0</v>
      </c>
      <c r="G4" s="45">
        <f t="shared" ref="G4:G9" si="3">IF(J4-I4&gt;1%,(QUOTIENT(J4*10000,50)+1)*0.5%,(QUOTIENT(J4*10000,10)+1)*0.1%)</f>
        <v>1E-3</v>
      </c>
      <c r="H4" s="40">
        <f t="shared" ref="H4:H9" si="4">IF(G4-F4&lt;0.5%,0.025%,IF(G4-F4&lt;1%,0.1%,IF(G4-F4&lt;2%,0.25%,0.5%)))</f>
        <v>2.5000000000000001E-4</v>
      </c>
      <c r="I4" s="45">
        <f>MIN(_xll.ohPack($X$3:INDEX($X$3:$X$3536,MATCH(D4+1,$Q$3:$Q$3536,1),1)))</f>
        <v>2.6115066241214128E-4</v>
      </c>
      <c r="J4" s="45">
        <f>MAX(_xll.ohPack($X$3:INDEX($X$3:$X$3536,MATCH(D4+1,$Q$3:$Q$3536,1),1)))</f>
        <v>3.8175921210633273E-4</v>
      </c>
      <c r="L4" s="28" t="s">
        <v>20</v>
      </c>
      <c r="M4" s="29" t="str">
        <f>PROPER(Currency)&amp;IborType&amp;M3</f>
        <v>Euribor3M</v>
      </c>
      <c r="O4" s="35" t="s">
        <v>30</v>
      </c>
      <c r="P4" s="31">
        <f>_xll.qlCalendarAdvance(Calendar,P3,O3,"f",,Trigger)</f>
        <v>42131</v>
      </c>
      <c r="Q4" s="31">
        <f>_xll.qlInterestRateIndexValueDate(Index,P4,Trigger)</f>
        <v>42135</v>
      </c>
      <c r="R4" s="31">
        <f>_xll.qlInterestRateIndexMaturity(Index,Q4,Trigger)</f>
        <v>42227</v>
      </c>
      <c r="S4" s="32">
        <f>_xll.qlDayCounterYearFraction(DayCounter,Q4,R4,,,Trigger)</f>
        <v>0.25555555555555554</v>
      </c>
      <c r="T4" s="33">
        <f>_xll.qlIndexFixing(Index,P4,,AllTriggers)</f>
        <v>-2.402350368114131E-5</v>
      </c>
      <c r="U4" s="34">
        <f>_xll.qlYieldTSDiscount(OisCurve,Q4,,AllTriggers)</f>
        <v>1.0000073810218422</v>
      </c>
      <c r="V4" s="34">
        <f>_xll.qlYieldTSDiscount(OisCurve,R4,,AllTriggers)</f>
        <v>1.0002869448460432</v>
      </c>
      <c r="W4" s="33">
        <f t="shared" ref="W4:W67" si="5">(U4/V4-1)/S4</f>
        <v>-1.0936315871001856E-3</v>
      </c>
      <c r="X4" s="35">
        <f t="shared" ref="X4:X67" si="6">LN((1+T4*S4)/(1+W4*S4))</f>
        <v>2.7338333196664513E-4</v>
      </c>
      <c r="Y4" s="33">
        <f t="shared" ref="Y4:Y67" si="7">T4-W4</f>
        <v>1.0696080834190443E-3</v>
      </c>
      <c r="Z4" s="54"/>
    </row>
    <row r="5" spans="1:26" x14ac:dyDescent="0.25">
      <c r="A5" s="46" t="str">
        <f>_xll.qlPeriodEquivalent(C5&amp;"M")</f>
        <v>5Y</v>
      </c>
      <c r="B5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39">
        <v>60</v>
      </c>
      <c r="D5" s="38">
        <f t="shared" si="0"/>
        <v>43957</v>
      </c>
      <c r="E5" s="40">
        <f t="shared" si="1"/>
        <v>6</v>
      </c>
      <c r="F5" s="44">
        <f t="shared" si="2"/>
        <v>0</v>
      </c>
      <c r="G5" s="45">
        <f t="shared" si="3"/>
        <v>1E-3</v>
      </c>
      <c r="H5" s="40">
        <f t="shared" si="4"/>
        <v>2.5000000000000001E-4</v>
      </c>
      <c r="I5" s="45">
        <f>MIN(_xll.ohPack($X$3:INDEX($X$3:$X$3536,MATCH(D5+1,$Q$3:$Q$3536,1),1)))</f>
        <v>2.6115066241214128E-4</v>
      </c>
      <c r="J5" s="45">
        <f>MAX(_xll.ohPack($X$3:INDEX($X$3:$X$3536,MATCH(D5+1,$Q$3:$Q$3536,1),1)))</f>
        <v>4.3856101805038412E-4</v>
      </c>
      <c r="O5" s="35" t="s">
        <v>30</v>
      </c>
      <c r="P5" s="31">
        <f>_xll.qlCalendarAdvance(Calendar,P4,O4,"f",,Trigger)</f>
        <v>42132</v>
      </c>
      <c r="Q5" s="31">
        <f>_xll.qlInterestRateIndexValueDate(Index,P5,Trigger)</f>
        <v>42136</v>
      </c>
      <c r="R5" s="31">
        <f>_xll.qlInterestRateIndexMaturity(Index,Q5,Trigger)</f>
        <v>42228</v>
      </c>
      <c r="S5" s="32">
        <f>_xll.qlDayCounterYearFraction(DayCounter,Q5,R5,,,Trigger)</f>
        <v>0.25555555555555554</v>
      </c>
      <c r="T5" s="33">
        <f>_xll.qlIndexFixing(Index,P5,,AllTriggers)</f>
        <v>-2.5805938602975054E-5</v>
      </c>
      <c r="U5" s="34">
        <f>_xll.qlYieldTSDiscount(OisCurve,Q5,,AllTriggers)</f>
        <v>1.0000098691580765</v>
      </c>
      <c r="V5" s="34">
        <f>_xll.qlYieldTSDiscount(OisCurve,R5,,AllTriggers)</f>
        <v>1.0002916410691556</v>
      </c>
      <c r="W5" s="33">
        <f t="shared" si="5"/>
        <v>-1.1022642734737559E-3</v>
      </c>
      <c r="X5" s="35">
        <f t="shared" si="6"/>
        <v>2.7513456806649002E-4</v>
      </c>
      <c r="Y5" s="33">
        <f t="shared" si="7"/>
        <v>1.0764583348707808E-3</v>
      </c>
      <c r="Z5" s="54"/>
    </row>
    <row r="6" spans="1:26" x14ac:dyDescent="0.25">
      <c r="A6" s="46" t="str">
        <f>_xll.qlPeriodEquivalent(C6&amp;"M")</f>
        <v>10Y</v>
      </c>
      <c r="B6" s="38">
        <f t="shared" ref="B6:B9" si="8">B5</f>
        <v>42004</v>
      </c>
      <c r="C6" s="39">
        <v>120</v>
      </c>
      <c r="D6" s="38">
        <f t="shared" si="0"/>
        <v>45783</v>
      </c>
      <c r="E6" s="40">
        <f t="shared" si="1"/>
        <v>6</v>
      </c>
      <c r="F6" s="44">
        <f t="shared" si="2"/>
        <v>0</v>
      </c>
      <c r="G6" s="45">
        <f t="shared" si="3"/>
        <v>1E-3</v>
      </c>
      <c r="H6" s="40">
        <f t="shared" si="4"/>
        <v>2.5000000000000001E-4</v>
      </c>
      <c r="I6" s="45">
        <f>MIN(_xll.ohPack($X$3:INDEX($X$3:$X$3536,MATCH(D6+1,$Q$3:$Q$3536,1),1)))</f>
        <v>2.6115066241214128E-4</v>
      </c>
      <c r="J6" s="45">
        <f>MAX(_xll.ohPack($X$3:INDEX($X$3:$X$3536,MATCH(D6+1,$Q$3:$Q$3536,1),1)))</f>
        <v>4.3856101805038412E-4</v>
      </c>
      <c r="O6" s="35" t="s">
        <v>30</v>
      </c>
      <c r="P6" s="31">
        <f>_xll.qlCalendarAdvance(Calendar,P5,O5,"f",,Trigger)</f>
        <v>42135</v>
      </c>
      <c r="Q6" s="31">
        <f>_xll.qlInterestRateIndexValueDate(Index,P6,Trigger)</f>
        <v>42137</v>
      </c>
      <c r="R6" s="31">
        <f>_xll.qlInterestRateIndexMaturity(Index,Q6,Trigger)</f>
        <v>42229</v>
      </c>
      <c r="S6" s="32">
        <f>_xll.qlDayCounterYearFraction(DayCounter,Q6,R6,,,Trigger)</f>
        <v>0.25555555555555554</v>
      </c>
      <c r="T6" s="33">
        <f>_xll.qlIndexFixing(Index,P6,,AllTriggers)</f>
        <v>-2.7468074717805916E-5</v>
      </c>
      <c r="U6" s="34">
        <f>_xll.qlYieldTSDiscount(OisCurve,Q6,,AllTriggers)</f>
        <v>1.0000123811150019</v>
      </c>
      <c r="V6" s="34">
        <f>_xll.qlYieldTSDiscount(OisCurve,R6,,AllTriggers)</f>
        <v>1.0002961795997813</v>
      </c>
      <c r="W6" s="33">
        <f t="shared" si="5"/>
        <v>-1.1101869952667228E-3</v>
      </c>
      <c r="X6" s="35">
        <f t="shared" si="6"/>
        <v>2.767350651735384E-4</v>
      </c>
      <c r="Y6" s="33">
        <f t="shared" si="7"/>
        <v>1.0827189205489169E-3</v>
      </c>
      <c r="Z6" s="54"/>
    </row>
    <row r="7" spans="1:26" x14ac:dyDescent="0.25">
      <c r="A7" s="46" t="str">
        <f>_xll.qlPeriodEquivalent(C7&amp;"M")</f>
        <v>20Y</v>
      </c>
      <c r="B7" s="38">
        <f>IF(AND(MONTH(B6)=12),B6,_xll.qlDateEndOfMonth(EDATE(B6,-6)))</f>
        <v>42004</v>
      </c>
      <c r="C7" s="39">
        <v>240</v>
      </c>
      <c r="D7" s="38">
        <f t="shared" si="0"/>
        <v>49435</v>
      </c>
      <c r="E7" s="41">
        <f t="shared" si="1"/>
        <v>12</v>
      </c>
      <c r="F7" s="44">
        <f t="shared" si="2"/>
        <v>0</v>
      </c>
      <c r="G7" s="45">
        <f t="shared" si="3"/>
        <v>1E-3</v>
      </c>
      <c r="H7" s="40">
        <f t="shared" si="4"/>
        <v>2.5000000000000001E-4</v>
      </c>
      <c r="I7" s="45">
        <f>MIN(_xll.ohPack($X$3:INDEX($X$3:$X$3536,MATCH(D7+1,$Q$3:$Q$3536,1),1)))</f>
        <v>1.5040389839425991E-4</v>
      </c>
      <c r="J7" s="45">
        <f>MAX(_xll.ohPack($X$3:INDEX($X$3:$X$3536,MATCH(D7+1,$Q$3:$Q$3536,1),1)))</f>
        <v>4.3856101805038412E-4</v>
      </c>
      <c r="O7" s="35" t="s">
        <v>30</v>
      </c>
      <c r="P7" s="31">
        <f>_xll.qlCalendarAdvance(Calendar,P6,O6,"f",,Trigger)</f>
        <v>42136</v>
      </c>
      <c r="Q7" s="31">
        <f>_xll.qlInterestRateIndexValueDate(Index,P7,Trigger)</f>
        <v>42138</v>
      </c>
      <c r="R7" s="31">
        <f>_xll.qlInterestRateIndexMaturity(Index,Q7,Trigger)</f>
        <v>42230</v>
      </c>
      <c r="S7" s="32">
        <f>_xll.qlDayCounterYearFraction(DayCounter,Q7,R7,,,Trigger)</f>
        <v>0.25555555555555554</v>
      </c>
      <c r="T7" s="33">
        <f>_xll.qlIndexFixing(Index,P7,,AllTriggers)</f>
        <v>-2.9011782406875081E-5</v>
      </c>
      <c r="U7" s="34">
        <f>_xll.qlYieldTSDiscount(OisCurve,Q7,,AllTriggers)</f>
        <v>1.0000149228464379</v>
      </c>
      <c r="V7" s="34">
        <f>_xll.qlYieldTSDiscount(OisCurve,R7,,AllTriggers)</f>
        <v>1.0003005718222171</v>
      </c>
      <c r="W7" s="33">
        <f t="shared" si="5"/>
        <v>-1.1174209964795578E-3</v>
      </c>
      <c r="X7" s="35">
        <f t="shared" si="6"/>
        <v>2.7818977480767649E-4</v>
      </c>
      <c r="Y7" s="33">
        <f t="shared" si="7"/>
        <v>1.0884092140726828E-3</v>
      </c>
      <c r="Z7" s="54"/>
    </row>
    <row r="8" spans="1:26" x14ac:dyDescent="0.25">
      <c r="A8" s="46" t="str">
        <f>_xll.qlPeriodEquivalent(C8&amp;"M")</f>
        <v>30Y</v>
      </c>
      <c r="B8" s="38">
        <f t="shared" si="8"/>
        <v>42004</v>
      </c>
      <c r="C8" s="39">
        <v>360</v>
      </c>
      <c r="D8" s="38">
        <f t="shared" si="0"/>
        <v>53088</v>
      </c>
      <c r="E8" s="41">
        <f t="shared" si="1"/>
        <v>36</v>
      </c>
      <c r="F8" s="44">
        <f t="shared" si="2"/>
        <v>0</v>
      </c>
      <c r="G8" s="45">
        <f t="shared" si="3"/>
        <v>1E-3</v>
      </c>
      <c r="H8" s="40">
        <f t="shared" si="4"/>
        <v>2.5000000000000001E-4</v>
      </c>
      <c r="I8" s="45">
        <f>MIN(_xll.ohPack($X$3:INDEX($X$3:$X$3536,MATCH(D8+1,$Q$3:$Q$3536,1),1)))</f>
        <v>1.1640598083297033E-4</v>
      </c>
      <c r="J8" s="45">
        <f>MAX(_xll.ohPack($X$3:INDEX($X$3:$X$3536,MATCH(D8+1,$Q$3:$Q$3536,1),1)))</f>
        <v>4.3856101805038412E-4</v>
      </c>
      <c r="O8" s="35" t="s">
        <v>30</v>
      </c>
      <c r="P8" s="31">
        <f>_xll.qlCalendarAdvance(Calendar,P7,O7,"f",,Trigger)</f>
        <v>42137</v>
      </c>
      <c r="Q8" s="31">
        <f>_xll.qlInterestRateIndexValueDate(Index,P8,Trigger)</f>
        <v>42139</v>
      </c>
      <c r="R8" s="31">
        <f>_xll.qlInterestRateIndexMaturity(Index,Q8,Trigger)</f>
        <v>42233</v>
      </c>
      <c r="S8" s="32">
        <f>_xll.qlDayCounterYearFraction(DayCounter,Q8,R8,,,Trigger)</f>
        <v>0.26111111111111113</v>
      </c>
      <c r="T8" s="33">
        <f>_xll.qlIndexFixing(Index,P8,,AllTriggers)</f>
        <v>-2.8788541830840872E-5</v>
      </c>
      <c r="U8" s="34">
        <f>_xll.qlYieldTSDiscount(OisCurve,Q8,,AllTriggers)</f>
        <v>1.000017500306267</v>
      </c>
      <c r="V8" s="34">
        <f>_xll.qlYieldTSDiscount(OisCurve,R8,,AllTriggers)</f>
        <v>1.0003129844872716</v>
      </c>
      <c r="W8" s="33">
        <f t="shared" si="5"/>
        <v>-1.1312874688442207E-3</v>
      </c>
      <c r="X8" s="35">
        <f t="shared" si="6"/>
        <v>2.8791832830846501E-4</v>
      </c>
      <c r="Y8" s="33">
        <f t="shared" si="7"/>
        <v>1.1024989270133798E-3</v>
      </c>
      <c r="Z8" s="54"/>
    </row>
    <row r="9" spans="1:26" x14ac:dyDescent="0.25">
      <c r="A9" s="47" t="str">
        <f>_xll.qlPeriodEquivalent(C9&amp;"M")</f>
        <v>60Y</v>
      </c>
      <c r="B9" s="48">
        <f t="shared" si="8"/>
        <v>42004</v>
      </c>
      <c r="C9" s="49">
        <v>720</v>
      </c>
      <c r="D9" s="48">
        <f t="shared" si="0"/>
        <v>64045</v>
      </c>
      <c r="E9" s="50">
        <f t="shared" si="1"/>
        <v>60</v>
      </c>
      <c r="F9" s="51">
        <f t="shared" si="2"/>
        <v>0</v>
      </c>
      <c r="G9" s="52">
        <f t="shared" si="3"/>
        <v>1E-3</v>
      </c>
      <c r="H9" s="53">
        <f t="shared" si="4"/>
        <v>2.5000000000000001E-4</v>
      </c>
      <c r="I9" s="52">
        <f>MIN(_xll.ohPack($X$3:INDEX($X$3:$X$3536,MATCH(D9+1,$Q$3:$Q$3536,1),1)))</f>
        <v>5.3214699111839718E-5</v>
      </c>
      <c r="J9" s="52">
        <f>MAX(_xll.ohPack($X$3:INDEX($X$3:$X$3536,MATCH(D9+1,$Q$3:$Q$3536,1),1)))</f>
        <v>4.3856101805038412E-4</v>
      </c>
      <c r="O9" s="35" t="s">
        <v>30</v>
      </c>
      <c r="P9" s="31">
        <f>_xll.qlCalendarAdvance(Calendar,P8,O8,"f",,Trigger)</f>
        <v>42138</v>
      </c>
      <c r="Q9" s="31">
        <f>_xll.qlInterestRateIndexValueDate(Index,P9,Trigger)</f>
        <v>42142</v>
      </c>
      <c r="R9" s="31">
        <f>_xll.qlInterestRateIndexMaturity(Index,Q9,Trigger)</f>
        <v>42234</v>
      </c>
      <c r="S9" s="32">
        <f>_xll.qlDayCounterYearFraction(DayCounter,Q9,R9,,,Trigger)</f>
        <v>0.25555555555555554</v>
      </c>
      <c r="T9" s="33">
        <f>_xll.qlIndexFixing(Index,P9,,AllTriggers)</f>
        <v>-3.4039736034233762E-5</v>
      </c>
      <c r="U9" s="34">
        <f>_xll.qlYieldTSDiscount(OisCurve,Q9,,AllTriggers)</f>
        <v>1.000025468326589</v>
      </c>
      <c r="V9" s="34">
        <f>_xll.qlYieldTSDiscount(OisCurve,R9,,AllTriggers)</f>
        <v>1.0003169053250351</v>
      </c>
      <c r="W9" s="33">
        <f t="shared" si="5"/>
        <v>-1.1400443599651755E-3</v>
      </c>
      <c r="X9" s="35">
        <f t="shared" si="6"/>
        <v>2.8268803738213408E-4</v>
      </c>
      <c r="Y9" s="33">
        <f t="shared" si="7"/>
        <v>1.1060046239309417E-3</v>
      </c>
      <c r="Z9" s="54"/>
    </row>
    <row r="10" spans="1:26" x14ac:dyDescent="0.25">
      <c r="A10" s="46" t="str">
        <f>_xll.qlPeriodEquivalent(C10&amp;"M")</f>
        <v>1Y</v>
      </c>
      <c r="B10" s="38">
        <f>_xll.qlDateEndOfMonth(EDATE(_xll.qlSettingsEvaluationDate(Trigger),-1))</f>
        <v>42124</v>
      </c>
      <c r="C10" s="39">
        <v>12</v>
      </c>
      <c r="D10" s="38">
        <f>EDATE($P$3,C10)</f>
        <v>42496</v>
      </c>
      <c r="E10" s="40">
        <f>IF(C10&lt;=12,1,IF(C10&lt;=24,3,IF(C10&lt;=120,6,IF(C10&lt;=240,12,IF(C10&lt;=360,36,60)))))</f>
        <v>1</v>
      </c>
      <c r="F10" s="44">
        <f>ROUNDDOWN(I10*10,2)/10</f>
        <v>1E-3</v>
      </c>
      <c r="G10" s="45">
        <f>IF(J10-I10&gt;1%,(QUOTIENT(J10*10000,50)+1)*0.5%,(QUOTIENT(J10*10000,10)+1)*0.1%)</f>
        <v>2E-3</v>
      </c>
      <c r="H10" s="40">
        <f>IF(G10-F10&lt;0.5%,0.025%,IF(G10-F10&lt;1%,0.1%,IF(G10-F10&lt;2%,0.25%,0.5%)))</f>
        <v>2.5000000000000001E-4</v>
      </c>
      <c r="I10" s="45">
        <f>MIN(_xll.ohPack($Y$3:INDEX($Y$3:$Y$3536,MATCH(D10+1,$Q$3:$Q$3536,1),1)))</f>
        <v>1.0000000000004422E-3</v>
      </c>
      <c r="J10" s="45">
        <f>MAX(_xll.ohPack($Y$3:INDEX($Y$3:$Y$3536,MATCH(D10+1,$Q$3:$Q$3536,1),1)))</f>
        <v>1.4465461307053131E-3</v>
      </c>
      <c r="O10" s="35" t="s">
        <v>30</v>
      </c>
      <c r="P10" s="31">
        <f>_xll.qlCalendarAdvance(Calendar,P9,O9,"f",,Trigger)</f>
        <v>42139</v>
      </c>
      <c r="Q10" s="31">
        <f>_xll.qlInterestRateIndexValueDate(Index,P10,Trigger)</f>
        <v>42143</v>
      </c>
      <c r="R10" s="31">
        <f>_xll.qlInterestRateIndexMaturity(Index,Q10,Trigger)</f>
        <v>42235</v>
      </c>
      <c r="S10" s="32">
        <f>_xll.qlDayCounterYearFraction(DayCounter,Q10,R10,,,Trigger)</f>
        <v>0.25555555555555554</v>
      </c>
      <c r="T10" s="33">
        <f>_xll.qlIndexFixing(Index,P10,,AllTriggers)</f>
        <v>-3.5019356831758251E-5</v>
      </c>
      <c r="U10" s="34">
        <f>_xll.qlYieldTSDiscount(OisCurve,Q10,,AllTriggers)</f>
        <v>1.0000281957967341</v>
      </c>
      <c r="V10" s="34">
        <f>_xll.qlYieldTSDiscount(OisCurve,R10,,AllTriggers)</f>
        <v>1.0003207367798064</v>
      </c>
      <c r="W10" s="33">
        <f t="shared" si="5"/>
        <v>-1.1443585480593347E-3</v>
      </c>
      <c r="X10" s="35">
        <f t="shared" si="6"/>
        <v>2.8354052428450864E-4</v>
      </c>
      <c r="Y10" s="33">
        <f t="shared" si="7"/>
        <v>1.1093391912275765E-3</v>
      </c>
      <c r="Z10" s="54"/>
    </row>
    <row r="11" spans="1:26" x14ac:dyDescent="0.25">
      <c r="A11" s="46" t="str">
        <f>_xll.qlPeriodEquivalent(C11&amp;"M")</f>
        <v>2Y</v>
      </c>
      <c r="B11" s="38">
        <f>_xll.qlDateEndOfMonth(EDATE(_xll.qlIMMNextDate(_xll.qlSettingsEvaluationDate(Trigger)-1,TRUE),-3))</f>
        <v>42094</v>
      </c>
      <c r="C11" s="39">
        <v>24</v>
      </c>
      <c r="D11" s="38">
        <f t="shared" ref="D11:D16" si="9">EDATE($P$3,C11)</f>
        <v>42861</v>
      </c>
      <c r="E11" s="40">
        <f t="shared" ref="E11:E16" si="10">IF(C11&lt;=12,1,IF(C11&lt;=24,3,IF(C11&lt;=120,6,IF(C11&lt;=240,12,IF(C11&lt;=360,36,60)))))</f>
        <v>3</v>
      </c>
      <c r="F11" s="44">
        <f t="shared" ref="F11:F16" si="11">ROUNDDOWN(I11*10,2)/10</f>
        <v>1E-3</v>
      </c>
      <c r="G11" s="45">
        <f t="shared" ref="G11:G16" si="12">IF(J11-I11&gt;1%,(QUOTIENT(J11*10000,50)+1)*0.5%,(QUOTIENT(J11*10000,10)+1)*0.1%)</f>
        <v>2E-3</v>
      </c>
      <c r="H11" s="40">
        <f t="shared" ref="H11:H16" si="13">IF(G11-F11&lt;0.5%,0.025%,IF(G11-F11&lt;1%,0.1%,IF(G11-F11&lt;2%,0.25%,0.5%)))</f>
        <v>2.5000000000000001E-4</v>
      </c>
      <c r="I11" s="45">
        <f>MIN(_xll.ohPack($Y$3:INDEX($Y$3:$Y$3536,MATCH(D11+1,$Q$3:$Q$3536,1),1)))</f>
        <v>1.0000000000004422E-3</v>
      </c>
      <c r="J11" s="45">
        <f>MAX(_xll.ohPack($Y$3:INDEX($Y$3:$Y$3536,MATCH(D11+1,$Q$3:$Q$3536,1),1)))</f>
        <v>1.510199024298239E-3</v>
      </c>
      <c r="O11" s="35" t="s">
        <v>30</v>
      </c>
      <c r="P11" s="31">
        <f>_xll.qlCalendarAdvance(Calendar,P10,O10,"f",,Trigger)</f>
        <v>42142</v>
      </c>
      <c r="Q11" s="31">
        <f>_xll.qlInterestRateIndexValueDate(Index,P11,Trigger)</f>
        <v>42144</v>
      </c>
      <c r="R11" s="31">
        <f>_xll.qlInterestRateIndexMaturity(Index,Q11,Trigger)</f>
        <v>42236</v>
      </c>
      <c r="S11" s="32">
        <f>_xll.qlDayCounterYearFraction(DayCounter,Q11,R11,,,Trigger)</f>
        <v>0.25555555555555554</v>
      </c>
      <c r="T11" s="33">
        <f>_xll.qlIndexFixing(Index,P11,,AllTriggers)</f>
        <v>-3.5891771213798592E-5</v>
      </c>
      <c r="U11" s="34">
        <f>_xll.qlYieldTSDiscount(OisCurve,Q11,,AllTriggers)</f>
        <v>1.0000309547480353</v>
      </c>
      <c r="V11" s="34">
        <f>_xll.qlYieldTSDiscount(OisCurve,R11,,AllTriggers)</f>
        <v>1.0003244902372739</v>
      </c>
      <c r="W11" s="33">
        <f t="shared" si="5"/>
        <v>-1.1482445376607433E-3</v>
      </c>
      <c r="X11" s="35">
        <f t="shared" si="6"/>
        <v>2.843109491575655E-4</v>
      </c>
      <c r="Y11" s="33">
        <f t="shared" si="7"/>
        <v>1.1123527664469446E-3</v>
      </c>
      <c r="Z11" s="54"/>
    </row>
    <row r="12" spans="1:26" x14ac:dyDescent="0.25">
      <c r="A12" s="46" t="str">
        <f>_xll.qlPeriodEquivalent(C12&amp;"M")</f>
        <v>5Y</v>
      </c>
      <c r="B12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39">
        <v>60</v>
      </c>
      <c r="D12" s="38">
        <f t="shared" si="9"/>
        <v>43957</v>
      </c>
      <c r="E12" s="40">
        <f t="shared" si="10"/>
        <v>6</v>
      </c>
      <c r="F12" s="44">
        <f t="shared" si="11"/>
        <v>1E-3</v>
      </c>
      <c r="G12" s="45">
        <f t="shared" si="12"/>
        <v>2E-3</v>
      </c>
      <c r="H12" s="40">
        <f t="shared" si="13"/>
        <v>2.5000000000000001E-4</v>
      </c>
      <c r="I12" s="45">
        <f>MIN(_xll.ohPack($Y$3:INDEX($Y$3:$Y$3536,MATCH(D12+1,$Q$3:$Q$3536,1),1)))</f>
        <v>1.0000000000004422E-3</v>
      </c>
      <c r="J12" s="45">
        <f>MAX(_xll.ohPack($Y$3:INDEX($Y$3:$Y$3536,MATCH(D12+1,$Q$3:$Q$3536,1),1)))</f>
        <v>1.7189168689363508E-3</v>
      </c>
      <c r="O12" s="35" t="s">
        <v>30</v>
      </c>
      <c r="P12" s="31">
        <f>_xll.qlCalendarAdvance(Calendar,P11,O11,"f",,Trigger)</f>
        <v>42143</v>
      </c>
      <c r="Q12" s="31">
        <f>_xll.qlInterestRateIndexValueDate(Index,P12,Trigger)</f>
        <v>42145</v>
      </c>
      <c r="R12" s="31">
        <f>_xll.qlInterestRateIndexMaturity(Index,Q12,Trigger)</f>
        <v>42237</v>
      </c>
      <c r="S12" s="32">
        <f>_xll.qlDayCounterYearFraction(DayCounter,Q12,R12,,,Trigger)</f>
        <v>0.25555555555555554</v>
      </c>
      <c r="T12" s="33">
        <f>_xll.qlIndexFixing(Index,P12,,AllTriggers)</f>
        <v>-3.6658849475577845E-5</v>
      </c>
      <c r="U12" s="34">
        <f>_xll.qlYieldTSDiscount(OisCurve,Q12,,AllTriggers)</f>
        <v>1.000033742630138</v>
      </c>
      <c r="V12" s="34">
        <f>_xll.qlYieldTSDiscount(OisCurve,R12,,AllTriggers)</f>
        <v>1.000328177083317</v>
      </c>
      <c r="W12" s="33">
        <f t="shared" si="5"/>
        <v>-1.1517568365880949E-3</v>
      </c>
      <c r="X12" s="35">
        <f t="shared" si="6"/>
        <v>2.8501276760127016E-4</v>
      </c>
      <c r="Y12" s="33">
        <f t="shared" si="7"/>
        <v>1.1150979871125169E-3</v>
      </c>
      <c r="Z12" s="54"/>
    </row>
    <row r="13" spans="1:26" x14ac:dyDescent="0.25">
      <c r="A13" s="46" t="str">
        <f>_xll.qlPeriodEquivalent(C13&amp;"M")</f>
        <v>10Y</v>
      </c>
      <c r="B13" s="38">
        <f t="shared" ref="B13:B16" si="14">B12</f>
        <v>42004</v>
      </c>
      <c r="C13" s="39">
        <v>120</v>
      </c>
      <c r="D13" s="38">
        <f t="shared" si="9"/>
        <v>45783</v>
      </c>
      <c r="E13" s="40">
        <f t="shared" si="10"/>
        <v>6</v>
      </c>
      <c r="F13" s="44">
        <f t="shared" si="11"/>
        <v>1E-3</v>
      </c>
      <c r="G13" s="45">
        <f t="shared" si="12"/>
        <v>2E-3</v>
      </c>
      <c r="H13" s="40">
        <f t="shared" si="13"/>
        <v>2.5000000000000001E-4</v>
      </c>
      <c r="I13" s="45">
        <f>MIN(_xll.ohPack($Y$3:INDEX($Y$3:$Y$3536,MATCH(D13+1,$Q$3:$Q$3536,1),1)))</f>
        <v>1.0000000000004422E-3</v>
      </c>
      <c r="J13" s="45">
        <f>MAX(_xll.ohPack($Y$3:INDEX($Y$3:$Y$3536,MATCH(D13+1,$Q$3:$Q$3536,1),1)))</f>
        <v>1.7189168689363508E-3</v>
      </c>
      <c r="O13" s="35" t="s">
        <v>30</v>
      </c>
      <c r="P13" s="31">
        <f>_xll.qlCalendarAdvance(Calendar,P12,O12,"f",,Trigger)</f>
        <v>42144</v>
      </c>
      <c r="Q13" s="31">
        <f>_xll.qlInterestRateIndexValueDate(Index,P13,Trigger)</f>
        <v>42146</v>
      </c>
      <c r="R13" s="31">
        <f>_xll.qlInterestRateIndexMaturity(Index,Q13,Trigger)</f>
        <v>42240</v>
      </c>
      <c r="S13" s="32">
        <f>_xll.qlDayCounterYearFraction(DayCounter,Q13,R13,,,Trigger)</f>
        <v>0.26111111111111113</v>
      </c>
      <c r="T13" s="33">
        <f>_xll.qlIndexFixing(Index,P13,,AllTriggers)</f>
        <v>-3.4547015871426535E-5</v>
      </c>
      <c r="U13" s="34">
        <f>_xll.qlYieldTSDiscount(OisCurve,Q13,,AllTriggers)</f>
        <v>1.0000365568926619</v>
      </c>
      <c r="V13" s="34">
        <f>_xll.qlYieldTSDiscount(OisCurve,R13,,AllTriggers)</f>
        <v>1.000338951814397</v>
      </c>
      <c r="W13" s="33">
        <f t="shared" si="5"/>
        <v>-1.1577158010290397E-3</v>
      </c>
      <c r="X13" s="35">
        <f t="shared" si="6"/>
        <v>2.9331750834724957E-4</v>
      </c>
      <c r="Y13" s="33">
        <f t="shared" si="7"/>
        <v>1.1231687851576131E-3</v>
      </c>
      <c r="Z13" s="54"/>
    </row>
    <row r="14" spans="1:26" x14ac:dyDescent="0.25">
      <c r="A14" s="46" t="str">
        <f>_xll.qlPeriodEquivalent(C14&amp;"M")</f>
        <v>20Y</v>
      </c>
      <c r="B14" s="38">
        <f>IF(AND(MONTH(B13)=12),B13,_xll.qlDateEndOfMonth(EDATE(B13,-6)))</f>
        <v>42004</v>
      </c>
      <c r="C14" s="39">
        <v>240</v>
      </c>
      <c r="D14" s="38">
        <f t="shared" si="9"/>
        <v>49435</v>
      </c>
      <c r="E14" s="41">
        <f t="shared" si="10"/>
        <v>12</v>
      </c>
      <c r="F14" s="44">
        <f t="shared" si="11"/>
        <v>0</v>
      </c>
      <c r="G14" s="45">
        <f t="shared" si="12"/>
        <v>2E-3</v>
      </c>
      <c r="H14" s="40">
        <f t="shared" si="13"/>
        <v>2.5000000000000001E-4</v>
      </c>
      <c r="I14" s="45">
        <f>MIN(_xll.ohPack($Y$3:INDEX($Y$3:$Y$3536,MATCH(D14+1,$Q$3:$Q$3536,1),1)))</f>
        <v>5.992326204216341E-4</v>
      </c>
      <c r="J14" s="45">
        <f>MAX(_xll.ohPack($Y$3:INDEX($Y$3:$Y$3536,MATCH(D14+1,$Q$3:$Q$3536,1),1)))</f>
        <v>1.7189168689363508E-3</v>
      </c>
      <c r="O14" s="35" t="s">
        <v>30</v>
      </c>
      <c r="P14" s="31">
        <f>_xll.qlCalendarAdvance(Calendar,P13,O13,"f",,Trigger)</f>
        <v>42145</v>
      </c>
      <c r="Q14" s="31">
        <f>_xll.qlInterestRateIndexValueDate(Index,P14,Trigger)</f>
        <v>42149</v>
      </c>
      <c r="R14" s="31">
        <f>_xll.qlInterestRateIndexMaturity(Index,Q14,Trigger)</f>
        <v>42241</v>
      </c>
      <c r="S14" s="32">
        <f>_xll.qlDayCounterYearFraction(DayCounter,Q14,R14,,,Trigger)</f>
        <v>0.25555555555555554</v>
      </c>
      <c r="T14" s="33">
        <f>_xll.qlIndexFixing(Index,P14,,AllTriggers)</f>
        <v>-3.8711206875258924E-5</v>
      </c>
      <c r="U14" s="34">
        <f>_xll.qlYieldTSDiscount(OisCurve,Q14,,AllTriggers)</f>
        <v>1.0000450712166375</v>
      </c>
      <c r="V14" s="34">
        <f>_xll.qlYieldTSDiscount(OisCurve,R14,,AllTriggers)</f>
        <v>1.000342486077098</v>
      </c>
      <c r="W14" s="33">
        <f t="shared" si="5"/>
        <v>-1.1633988321604531E-3</v>
      </c>
      <c r="X14" s="35">
        <f t="shared" si="6"/>
        <v>2.8746432825407651E-4</v>
      </c>
      <c r="Y14" s="33">
        <f t="shared" si="7"/>
        <v>1.1246876252851941E-3</v>
      </c>
      <c r="Z14" s="54"/>
    </row>
    <row r="15" spans="1:26" x14ac:dyDescent="0.25">
      <c r="A15" s="46" t="str">
        <f>_xll.qlPeriodEquivalent(C15&amp;"M")</f>
        <v>30Y</v>
      </c>
      <c r="B15" s="38">
        <f t="shared" si="14"/>
        <v>42004</v>
      </c>
      <c r="C15" s="39">
        <v>360</v>
      </c>
      <c r="D15" s="38">
        <f t="shared" si="9"/>
        <v>53088</v>
      </c>
      <c r="E15" s="41">
        <f t="shared" si="10"/>
        <v>36</v>
      </c>
      <c r="F15" s="44">
        <f t="shared" si="11"/>
        <v>0</v>
      </c>
      <c r="G15" s="45">
        <f t="shared" si="12"/>
        <v>2E-3</v>
      </c>
      <c r="H15" s="40">
        <f t="shared" si="13"/>
        <v>2.5000000000000001E-4</v>
      </c>
      <c r="I15" s="45">
        <f>MIN(_xll.ohPack($Y$3:INDEX($Y$3:$Y$3536,MATCH(D15+1,$Q$3:$Q$3536,1),1)))</f>
        <v>4.6114311676617378E-4</v>
      </c>
      <c r="J15" s="45">
        <f>MAX(_xll.ohPack($Y$3:INDEX($Y$3:$Y$3536,MATCH(D15+1,$Q$3:$Q$3536,1),1)))</f>
        <v>1.7189168689363508E-3</v>
      </c>
      <c r="O15" s="35" t="s">
        <v>30</v>
      </c>
      <c r="P15" s="31">
        <f>_xll.qlCalendarAdvance(Calendar,P14,O14,"f",,Trigger)</f>
        <v>42146</v>
      </c>
      <c r="Q15" s="31">
        <f>_xll.qlInterestRateIndexValueDate(Index,P15,Trigger)</f>
        <v>42150</v>
      </c>
      <c r="R15" s="31">
        <f>_xll.qlInterestRateIndexMaturity(Index,Q15,Trigger)</f>
        <v>42242</v>
      </c>
      <c r="S15" s="32">
        <f>_xll.qlDayCounterYearFraction(DayCounter,Q15,R15,,,Trigger)</f>
        <v>0.25555555555555554</v>
      </c>
      <c r="T15" s="33">
        <f>_xll.qlIndexFixing(Index,P15,,AllTriggers)</f>
        <v>-3.8979658623915654E-5</v>
      </c>
      <c r="U15" s="34">
        <f>_xll.qlYieldTSDiscount(OisCurve,Q15,,AllTriggers)</f>
        <v>1.0000478815719798</v>
      </c>
      <c r="V15" s="34">
        <f>_xll.qlYieldTSDiscount(OisCurve,R15,,AllTriggers)</f>
        <v>1.0003460106603952</v>
      </c>
      <c r="W15" s="33">
        <f t="shared" si="5"/>
        <v>-1.1661885714261363E-3</v>
      </c>
      <c r="X15" s="35">
        <f t="shared" si="6"/>
        <v>2.8810886888702778E-4</v>
      </c>
      <c r="Y15" s="33">
        <f t="shared" si="7"/>
        <v>1.1272089128022207E-3</v>
      </c>
      <c r="Z15" s="54"/>
    </row>
    <row r="16" spans="1:26" x14ac:dyDescent="0.25">
      <c r="A16" s="47" t="str">
        <f>_xll.qlPeriodEquivalent(C16&amp;"M")</f>
        <v>60Y</v>
      </c>
      <c r="B16" s="48">
        <f t="shared" si="14"/>
        <v>42004</v>
      </c>
      <c r="C16" s="49">
        <v>720</v>
      </c>
      <c r="D16" s="48">
        <f t="shared" si="9"/>
        <v>64045</v>
      </c>
      <c r="E16" s="50">
        <f t="shared" si="10"/>
        <v>60</v>
      </c>
      <c r="F16" s="51">
        <f t="shared" si="11"/>
        <v>0</v>
      </c>
      <c r="G16" s="52">
        <f t="shared" si="12"/>
        <v>2E-3</v>
      </c>
      <c r="H16" s="53">
        <f t="shared" si="13"/>
        <v>2.5000000000000001E-4</v>
      </c>
      <c r="I16" s="52">
        <f>MIN(_xll.ohPack($Y$3:INDEX($Y$3:$Y$3536,MATCH(D16+1,$Q$3:$Q$3536,1),1)))</f>
        <v>2.2071777183274577E-4</v>
      </c>
      <c r="J16" s="52">
        <f>MAX(_xll.ohPack($Y$3:INDEX($Y$3:$Y$3536,MATCH(D16+1,$Q$3:$Q$3536,1),1)))</f>
        <v>1.7189168689363508E-3</v>
      </c>
      <c r="O16" s="35" t="s">
        <v>30</v>
      </c>
      <c r="P16" s="31">
        <f>_xll.qlCalendarAdvance(Calendar,P15,O15,"f",,Trigger)</f>
        <v>42149</v>
      </c>
      <c r="Q16" s="31">
        <f>_xll.qlInterestRateIndexValueDate(Index,P16,Trigger)</f>
        <v>42151</v>
      </c>
      <c r="R16" s="31">
        <f>_xll.qlInterestRateIndexMaturity(Index,Q16,Trigger)</f>
        <v>42243</v>
      </c>
      <c r="S16" s="32">
        <f>_xll.qlDayCounterYearFraction(DayCounter,Q16,R16,,,Trigger)</f>
        <v>0.25555555555555554</v>
      </c>
      <c r="T16" s="33">
        <f>_xll.qlIndexFixing(Index,P16,,AllTriggers)</f>
        <v>-3.9153995827719306E-5</v>
      </c>
      <c r="U16" s="34">
        <f>_xll.qlYieldTSDiscount(OisCurve,Q16,,AllTriggers)</f>
        <v>1.0000506511173863</v>
      </c>
      <c r="V16" s="34">
        <f>_xll.qlYieldTSDiscount(OisCurve,R16,,AllTriggers)</f>
        <v>1.0003495369511868</v>
      </c>
      <c r="W16" s="33">
        <f t="shared" si="5"/>
        <v>-1.1691446034570296E-3</v>
      </c>
      <c r="X16" s="35">
        <f t="shared" si="6"/>
        <v>2.8881997149965432E-4</v>
      </c>
      <c r="Y16" s="33">
        <f t="shared" si="7"/>
        <v>1.1299906076293104E-3</v>
      </c>
      <c r="Z16" s="54"/>
    </row>
    <row r="17" spans="15:26" x14ac:dyDescent="0.25">
      <c r="O17" s="35" t="s">
        <v>30</v>
      </c>
      <c r="P17" s="31">
        <f>_xll.qlCalendarAdvance(Calendar,P16,O16,"f",,Trigger)</f>
        <v>42150</v>
      </c>
      <c r="Q17" s="31">
        <f>_xll.qlInterestRateIndexValueDate(Index,P17,Trigger)</f>
        <v>42152</v>
      </c>
      <c r="R17" s="31">
        <f>_xll.qlInterestRateIndexMaturity(Index,Q17,Trigger)</f>
        <v>42244</v>
      </c>
      <c r="S17" s="32">
        <f>_xll.qlDayCounterYearFraction(DayCounter,Q17,R17,,,Trigger)</f>
        <v>0.25555555555555554</v>
      </c>
      <c r="T17" s="33">
        <f>_xll.qlIndexFixing(Index,P17,,AllTriggers)</f>
        <v>-3.9236088721940888E-5</v>
      </c>
      <c r="U17" s="34">
        <f>_xll.qlYieldTSDiscount(OisCurve,Q17,,AllTriggers)</f>
        <v>1.0000533636924256</v>
      </c>
      <c r="V17" s="34">
        <f>_xll.qlYieldTSDiscount(OisCurve,R17,,AllTriggers)</f>
        <v>1.000353076336532</v>
      </c>
      <c r="W17" s="33">
        <f t="shared" si="5"/>
        <v>-1.1723746696198308E-3</v>
      </c>
      <c r="X17" s="35">
        <f t="shared" si="6"/>
        <v>2.8962470039396233E-4</v>
      </c>
      <c r="Y17" s="33">
        <f t="shared" si="7"/>
        <v>1.13313858089789E-3</v>
      </c>
      <c r="Z17" s="54"/>
    </row>
    <row r="18" spans="15:26" x14ac:dyDescent="0.25">
      <c r="O18" s="35" t="s">
        <v>30</v>
      </c>
      <c r="P18" s="31">
        <f>_xll.qlCalendarAdvance(Calendar,P17,O17,"f",,Trigger)</f>
        <v>42151</v>
      </c>
      <c r="Q18" s="31">
        <f>_xll.qlInterestRateIndexValueDate(Index,P18,Trigger)</f>
        <v>42153</v>
      </c>
      <c r="R18" s="31">
        <f>_xll.qlInterestRateIndexMaturity(Index,Q18,Trigger)</f>
        <v>42247</v>
      </c>
      <c r="S18" s="32">
        <f>_xll.qlDayCounterYearFraction(DayCounter,Q18,R18,,,Trigger)</f>
        <v>0.26111111111111113</v>
      </c>
      <c r="T18" s="33">
        <f>_xll.qlIndexFixing(Index,P18,,AllTriggers)</f>
        <v>-3.590328276723895E-5</v>
      </c>
      <c r="U18" s="34">
        <f>_xll.qlYieldTSDiscount(OisCurve,Q18,,AllTriggers)</f>
        <v>1.0000560031364982</v>
      </c>
      <c r="V18" s="34">
        <f>_xll.qlYieldTSDiscount(OisCurve,R18,,AllTriggers)</f>
        <v>1.0003638869329163</v>
      </c>
      <c r="W18" s="33">
        <f t="shared" si="5"/>
        <v>-1.1787005193737384E-3</v>
      </c>
      <c r="X18" s="35">
        <f t="shared" si="6"/>
        <v>2.9844438374289681E-4</v>
      </c>
      <c r="Y18" s="33">
        <f t="shared" si="7"/>
        <v>1.1427972366064995E-3</v>
      </c>
      <c r="Z18" s="54"/>
    </row>
    <row r="19" spans="15:26" x14ac:dyDescent="0.25">
      <c r="O19" s="35" t="s">
        <v>30</v>
      </c>
      <c r="P19" s="31">
        <f>_xll.qlCalendarAdvance(Calendar,P18,O18,"f",,Trigger)</f>
        <v>42152</v>
      </c>
      <c r="Q19" s="31">
        <f>_xll.qlInterestRateIndexValueDate(Index,P19,Trigger)</f>
        <v>42156</v>
      </c>
      <c r="R19" s="31">
        <f>_xll.qlInterestRateIndexMaturity(Index,Q19,Trigger)</f>
        <v>42248</v>
      </c>
      <c r="S19" s="32">
        <f>_xll.qlDayCounterYearFraction(DayCounter,Q19,R19,,,Trigger)</f>
        <v>0.25555555555555554</v>
      </c>
      <c r="T19" s="33">
        <f>_xll.qlIndexFixing(Index,P19,,AllTriggers)</f>
        <v>-3.8679421659060729E-5</v>
      </c>
      <c r="U19" s="34">
        <f>_xll.qlYieldTSDiscount(OisCurve,Q19,,AllTriggers)</f>
        <v>1.0000612020617821</v>
      </c>
      <c r="V19" s="34">
        <f>_xll.qlYieldTSDiscount(OisCurve,R19,,AllTriggers)</f>
        <v>1.0003540876078363</v>
      </c>
      <c r="W19" s="33">
        <f t="shared" si="5"/>
        <v>-1.1456682089490714E-3</v>
      </c>
      <c r="X19" s="35">
        <f t="shared" si="6"/>
        <v>2.8293995465636975E-4</v>
      </c>
      <c r="Y19" s="33">
        <f t="shared" si="7"/>
        <v>1.1069887872900107E-3</v>
      </c>
      <c r="Z19" s="54"/>
    </row>
    <row r="20" spans="15:26" x14ac:dyDescent="0.25">
      <c r="O20" s="35" t="s">
        <v>30</v>
      </c>
      <c r="P20" s="31">
        <f>_xll.qlCalendarAdvance(Calendar,P19,O19,"f",,Trigger)</f>
        <v>42153</v>
      </c>
      <c r="Q20" s="31">
        <f>_xll.qlInterestRateIndexValueDate(Index,P20,Trigger)</f>
        <v>42157</v>
      </c>
      <c r="R20" s="31">
        <f>_xll.qlInterestRateIndexMaturity(Index,Q20,Trigger)</f>
        <v>42249</v>
      </c>
      <c r="S20" s="32">
        <f>_xll.qlDayCounterYearFraction(DayCounter,Q20,R20,,,Trigger)</f>
        <v>0.25555555555555554</v>
      </c>
      <c r="T20" s="33">
        <f>_xll.qlIndexFixing(Index,P20,,AllTriggers)</f>
        <v>-3.8328346299407542E-5</v>
      </c>
      <c r="U20" s="34">
        <f>_xll.qlYieldTSDiscount(OisCurve,Q20,,AllTriggers)</f>
        <v>1.000063635588013</v>
      </c>
      <c r="V20" s="34">
        <f>_xll.qlYieldTSDiscount(OisCurve,R20,,AllTriggers)</f>
        <v>1.0003578632266177</v>
      </c>
      <c r="W20" s="33">
        <f t="shared" si="5"/>
        <v>-1.1509136726854845E-3</v>
      </c>
      <c r="X20" s="35">
        <f t="shared" si="6"/>
        <v>2.8437057568727399E-4</v>
      </c>
      <c r="Y20" s="33">
        <f t="shared" si="7"/>
        <v>1.1125853263860769E-3</v>
      </c>
      <c r="Z20" s="54"/>
    </row>
    <row r="21" spans="15:26" x14ac:dyDescent="0.25">
      <c r="O21" s="35" t="s">
        <v>30</v>
      </c>
      <c r="P21" s="31">
        <f>_xll.qlCalendarAdvance(Calendar,P20,O20,"f",,Trigger)</f>
        <v>42156</v>
      </c>
      <c r="Q21" s="31">
        <f>_xll.qlInterestRateIndexValueDate(Index,P21,Trigger)</f>
        <v>42158</v>
      </c>
      <c r="R21" s="31">
        <f>_xll.qlInterestRateIndexMaturity(Index,Q21,Trigger)</f>
        <v>42250</v>
      </c>
      <c r="S21" s="32">
        <f>_xll.qlDayCounterYearFraction(DayCounter,Q21,R21,,,Trigger)</f>
        <v>0.25555555555555554</v>
      </c>
      <c r="T21" s="33">
        <f>_xll.qlIndexFixing(Index,P21,,AllTriggers)</f>
        <v>-3.7896247910164447E-5</v>
      </c>
      <c r="U21" s="34">
        <f>_xll.qlYieldTSDiscount(OisCurve,Q21,,AllTriggers)</f>
        <v>1.0000660761873161</v>
      </c>
      <c r="V21" s="34">
        <f>_xll.qlYieldTSDiscount(OisCurve,R21,,AllTriggers)</f>
        <v>1.0003617202647193</v>
      </c>
      <c r="W21" s="33">
        <f t="shared" si="5"/>
        <v>-1.1564498176344761E-3</v>
      </c>
      <c r="X21" s="35">
        <f t="shared" si="6"/>
        <v>2.8589621175092192E-4</v>
      </c>
      <c r="Y21" s="33">
        <f t="shared" si="7"/>
        <v>1.1185535697243116E-3</v>
      </c>
      <c r="Z21" s="54"/>
    </row>
    <row r="22" spans="15:26" x14ac:dyDescent="0.25">
      <c r="O22" s="35" t="s">
        <v>30</v>
      </c>
      <c r="P22" s="31">
        <f>_xll.qlCalendarAdvance(Calendar,P21,O21,"f",,Trigger)</f>
        <v>42157</v>
      </c>
      <c r="Q22" s="31">
        <f>_xll.qlInterestRateIndexValueDate(Index,P22,Trigger)</f>
        <v>42159</v>
      </c>
      <c r="R22" s="31">
        <f>_xll.qlInterestRateIndexMaturity(Index,Q22,Trigger)</f>
        <v>42251</v>
      </c>
      <c r="S22" s="32">
        <f>_xll.qlDayCounterYearFraction(DayCounter,Q22,R22,,,Trigger)</f>
        <v>0.25555555555555554</v>
      </c>
      <c r="T22" s="33">
        <f>_xll.qlIndexFixing(Index,P22,,AllTriggers)</f>
        <v>-3.7384996687503275E-5</v>
      </c>
      <c r="U22" s="34">
        <f>_xll.qlYieldTSDiscount(OisCurve,Q22,,AllTriggers)</f>
        <v>1.0000685479514286</v>
      </c>
      <c r="V22" s="34">
        <f>_xll.qlYieldTSDiscount(OisCurve,R22,,AllTriggers)</f>
        <v>1.000365670110267</v>
      </c>
      <c r="W22" s="33">
        <f t="shared" si="5"/>
        <v>-1.162226934238272E-3</v>
      </c>
      <c r="X22" s="35">
        <f t="shared" si="6"/>
        <v>2.875036778838988E-4</v>
      </c>
      <c r="Y22" s="33">
        <f t="shared" si="7"/>
        <v>1.1248419375507687E-3</v>
      </c>
      <c r="Z22" s="54"/>
    </row>
    <row r="23" spans="15:26" x14ac:dyDescent="0.25">
      <c r="O23" s="35" t="s">
        <v>30</v>
      </c>
      <c r="P23" s="31">
        <f>_xll.qlCalendarAdvance(Calendar,P22,O22,"f",,Trigger)</f>
        <v>42158</v>
      </c>
      <c r="Q23" s="31">
        <f>_xll.qlInterestRateIndexValueDate(Index,P23,Trigger)</f>
        <v>42160</v>
      </c>
      <c r="R23" s="31">
        <f>_xll.qlInterestRateIndexMaturity(Index,Q23,Trigger)</f>
        <v>42254</v>
      </c>
      <c r="S23" s="32">
        <f>_xll.qlDayCounterYearFraction(DayCounter,Q23,R23,,,Trigger)</f>
        <v>0.26111111111111113</v>
      </c>
      <c r="T23" s="33">
        <f>_xll.qlIndexFixing(Index,P23,,AllTriggers)</f>
        <v>-3.3485185579648337E-5</v>
      </c>
      <c r="U23" s="34">
        <f>_xll.qlYieldTSDiscount(OisCurve,Q23,,AllTriggers)</f>
        <v>1.0000710749723289</v>
      </c>
      <c r="V23" s="34">
        <f>_xll.qlYieldTSDiscount(OisCurve,R23,,AllTriggers)</f>
        <v>1.0003781903759732</v>
      </c>
      <c r="W23" s="33">
        <f t="shared" si="5"/>
        <v>-1.175741997946321E-3</v>
      </c>
      <c r="X23" s="35">
        <f t="shared" si="6"/>
        <v>2.983030411597582E-4</v>
      </c>
      <c r="Y23" s="33">
        <f t="shared" si="7"/>
        <v>1.1422568123666725E-3</v>
      </c>
      <c r="Z23" s="54"/>
    </row>
    <row r="24" spans="15:26" x14ac:dyDescent="0.25">
      <c r="O24" s="35" t="s">
        <v>30</v>
      </c>
      <c r="P24" s="31">
        <f>_xll.qlCalendarAdvance(Calendar,P23,O23,"f",,Trigger)</f>
        <v>42159</v>
      </c>
      <c r="Q24" s="31">
        <f>_xll.qlInterestRateIndexValueDate(Index,P24,Trigger)</f>
        <v>42163</v>
      </c>
      <c r="R24" s="31">
        <f>_xll.qlInterestRateIndexMaturity(Index,Q24,Trigger)</f>
        <v>42255</v>
      </c>
      <c r="S24" s="32">
        <f>_xll.qlDayCounterYearFraction(DayCounter,Q24,R24,,,Trigger)</f>
        <v>0.25555555555555554</v>
      </c>
      <c r="T24" s="33">
        <f>_xll.qlIndexFixing(Index,P24,,AllTriggers)</f>
        <v>-3.4585867255349683E-5</v>
      </c>
      <c r="U24" s="34">
        <f>_xll.qlYieldTSDiscount(OisCurve,Q24,,AllTriggers)</f>
        <v>1.0000792284993945</v>
      </c>
      <c r="V24" s="34">
        <f>_xll.qlYieldTSDiscount(OisCurve,R24,,AllTriggers)</f>
        <v>1.0003826253368167</v>
      </c>
      <c r="W24" s="33">
        <f t="shared" si="5"/>
        <v>-1.186750935023609E-3</v>
      </c>
      <c r="X24" s="35">
        <f t="shared" si="6"/>
        <v>2.9448814384533205E-4</v>
      </c>
      <c r="Y24" s="33">
        <f t="shared" si="7"/>
        <v>1.1521650677682592E-3</v>
      </c>
      <c r="Z24" s="54"/>
    </row>
    <row r="25" spans="15:26" x14ac:dyDescent="0.25">
      <c r="O25" s="35" t="s">
        <v>30</v>
      </c>
      <c r="P25" s="31">
        <f>_xll.qlCalendarAdvance(Calendar,P24,O24,"f",,Trigger)</f>
        <v>42160</v>
      </c>
      <c r="Q25" s="31">
        <f>_xll.qlInterestRateIndexValueDate(Index,P25,Trigger)</f>
        <v>42164</v>
      </c>
      <c r="R25" s="31">
        <f>_xll.qlInterestRateIndexMaturity(Index,Q25,Trigger)</f>
        <v>42256</v>
      </c>
      <c r="S25" s="32">
        <f>_xll.qlDayCounterYearFraction(DayCounter,Q25,R25,,,Trigger)</f>
        <v>0.25555555555555554</v>
      </c>
      <c r="T25" s="33">
        <f>_xll.qlIndexFixing(Index,P25,,AllTriggers)</f>
        <v>-3.3707745892334586E-5</v>
      </c>
      <c r="U25" s="34">
        <f>_xll.qlYieldTSDiscount(OisCurve,Q25,,AllTriggers)</f>
        <v>1.000082211936234</v>
      </c>
      <c r="V25" s="34">
        <f>_xll.qlYieldTSDiscount(OisCurve,R25,,AllTriggers)</f>
        <v>1.0003872100490354</v>
      </c>
      <c r="W25" s="33">
        <f t="shared" si="5"/>
        <v>-1.1930089311327509E-3</v>
      </c>
      <c r="X25" s="35">
        <f t="shared" si="6"/>
        <v>2.9631230672192235E-4</v>
      </c>
      <c r="Y25" s="33">
        <f t="shared" si="7"/>
        <v>1.1593011852404163E-3</v>
      </c>
      <c r="Z25" s="54"/>
    </row>
    <row r="26" spans="15:26" x14ac:dyDescent="0.25">
      <c r="O26" s="35" t="s">
        <v>30</v>
      </c>
      <c r="P26" s="31">
        <f>_xll.qlCalendarAdvance(Calendar,P25,O25,"f",,Trigger)</f>
        <v>42163</v>
      </c>
      <c r="Q26" s="31">
        <f>_xll.qlInterestRateIndexValueDate(Index,P26,Trigger)</f>
        <v>42165</v>
      </c>
      <c r="R26" s="31">
        <f>_xll.qlInterestRateIndexMaturity(Index,Q26,Trigger)</f>
        <v>42257</v>
      </c>
      <c r="S26" s="32">
        <f>_xll.qlDayCounterYearFraction(DayCounter,Q26,R26,,,Trigger)</f>
        <v>0.25555555555555554</v>
      </c>
      <c r="T26" s="33">
        <f>_xll.qlIndexFixing(Index,P26,,AllTriggers)</f>
        <v>-3.2766740057341998E-5</v>
      </c>
      <c r="U26" s="34">
        <f>_xll.qlYieldTSDiscount(OisCurve,Q26,,AllTriggers)</f>
        <v>1.000085337876109</v>
      </c>
      <c r="V26" s="34">
        <f>_xll.qlYieldTSDiscount(OisCurve,R26,,AllTriggers)</f>
        <v>1.0003919518559479</v>
      </c>
      <c r="W26" s="33">
        <f t="shared" si="5"/>
        <v>-1.1993237569797649E-3</v>
      </c>
      <c r="X26" s="35">
        <f t="shared" si="6"/>
        <v>2.9816707032625817E-4</v>
      </c>
      <c r="Y26" s="33">
        <f t="shared" si="7"/>
        <v>1.1665570169224228E-3</v>
      </c>
      <c r="Z26" s="54"/>
    </row>
    <row r="27" spans="15:26" x14ac:dyDescent="0.25">
      <c r="O27" s="35" t="s">
        <v>30</v>
      </c>
      <c r="P27" s="31">
        <f>_xll.qlCalendarAdvance(Calendar,P26,O26,"f",,Trigger)</f>
        <v>42164</v>
      </c>
      <c r="Q27" s="31">
        <f>_xll.qlInterestRateIndexValueDate(Index,P27,Trigger)</f>
        <v>42166</v>
      </c>
      <c r="R27" s="31">
        <f>_xll.qlInterestRateIndexMaturity(Index,Q27,Trigger)</f>
        <v>42258</v>
      </c>
      <c r="S27" s="32">
        <f>_xll.qlDayCounterYearFraction(DayCounter,Q27,R27,,,Trigger)</f>
        <v>0.25555555555555554</v>
      </c>
      <c r="T27" s="33">
        <f>_xll.qlIndexFixing(Index,P27,,AllTriggers)</f>
        <v>-3.1769767185257685E-5</v>
      </c>
      <c r="U27" s="34">
        <f>_xll.qlYieldTSDiscount(OisCurve,Q27,,AllTriggers)</f>
        <v>1.0000885971946416</v>
      </c>
      <c r="V27" s="34">
        <f>_xll.qlYieldTSDiscount(OisCurve,R27,,AllTriggers)</f>
        <v>1.0003968419161056</v>
      </c>
      <c r="W27" s="33">
        <f t="shared" si="5"/>
        <v>-1.2056965261130349E-3</v>
      </c>
      <c r="X27" s="35">
        <f t="shared" si="6"/>
        <v>3.0005095157453261E-4</v>
      </c>
      <c r="Y27" s="33">
        <f t="shared" si="7"/>
        <v>1.1739267589277772E-3</v>
      </c>
      <c r="Z27" s="54"/>
    </row>
    <row r="28" spans="15:26" x14ac:dyDescent="0.25">
      <c r="O28" s="35" t="s">
        <v>30</v>
      </c>
      <c r="P28" s="31">
        <f>_xll.qlCalendarAdvance(Calendar,P27,O27,"f",,Trigger)</f>
        <v>42165</v>
      </c>
      <c r="Q28" s="31">
        <f>_xll.qlInterestRateIndexValueDate(Index,P28,Trigger)</f>
        <v>42167</v>
      </c>
      <c r="R28" s="31">
        <f>_xll.qlInterestRateIndexMaturity(Index,Q28,Trigger)</f>
        <v>42261</v>
      </c>
      <c r="S28" s="32">
        <f>_xll.qlDayCounterYearFraction(DayCounter,Q28,R28,,,Trigger)</f>
        <v>0.26111111111111113</v>
      </c>
      <c r="T28" s="33">
        <f>_xll.qlIndexFixing(Index,P28,,AllTriggers)</f>
        <v>-2.7973248408705238E-5</v>
      </c>
      <c r="U28" s="34">
        <f>_xll.qlYieldTSDiscount(OisCurve,Q28,,AllTriggers)</f>
        <v>1.0000919807673907</v>
      </c>
      <c r="V28" s="34">
        <f>_xll.qlYieldTSDiscount(OisCurve,R28,,AllTriggers)</f>
        <v>1.0004122727368554</v>
      </c>
      <c r="W28" s="33">
        <f t="shared" si="5"/>
        <v>-1.2261445898362612E-3</v>
      </c>
      <c r="X28" s="35">
        <f t="shared" si="6"/>
        <v>3.1290708573330844E-4</v>
      </c>
      <c r="Y28" s="33">
        <f t="shared" si="7"/>
        <v>1.198171341427556E-3</v>
      </c>
      <c r="Z28" s="54"/>
    </row>
    <row r="29" spans="15:26" x14ac:dyDescent="0.25">
      <c r="O29" s="35" t="s">
        <v>30</v>
      </c>
      <c r="P29" s="31">
        <f>_xll.qlCalendarAdvance(Calendar,P28,O28,"f",,Trigger)</f>
        <v>42166</v>
      </c>
      <c r="Q29" s="31">
        <f>_xll.qlInterestRateIndexValueDate(Index,P29,Trigger)</f>
        <v>42170</v>
      </c>
      <c r="R29" s="31">
        <f>_xll.qlInterestRateIndexMaturity(Index,Q29,Trigger)</f>
        <v>42262</v>
      </c>
      <c r="S29" s="32">
        <f>_xll.qlDayCounterYearFraction(DayCounter,Q29,R29,,,Trigger)</f>
        <v>0.25555555555555554</v>
      </c>
      <c r="T29" s="33">
        <f>_xll.qlIndexFixing(Index,P29,,AllTriggers)</f>
        <v>-2.7360554207050246E-5</v>
      </c>
      <c r="U29" s="34">
        <f>_xll.qlYieldTSDiscount(OisCurve,Q29,,AllTriggers)</f>
        <v>1.0001027857653337</v>
      </c>
      <c r="V29" s="34">
        <f>_xll.qlYieldTSDiscount(OisCurve,R29,,AllTriggers)</f>
        <v>1.0004176269297336</v>
      </c>
      <c r="W29" s="33">
        <f t="shared" si="5"/>
        <v>-1.231472868809415E-3</v>
      </c>
      <c r="X29" s="35">
        <f t="shared" si="6"/>
        <v>3.0776709856469311E-4</v>
      </c>
      <c r="Y29" s="33">
        <f t="shared" si="7"/>
        <v>1.2041123146023648E-3</v>
      </c>
      <c r="Z29" s="54"/>
    </row>
    <row r="30" spans="15:26" x14ac:dyDescent="0.25">
      <c r="O30" s="35" t="s">
        <v>30</v>
      </c>
      <c r="P30" s="31">
        <f>_xll.qlCalendarAdvance(Calendar,P29,O29,"f",,Trigger)</f>
        <v>42167</v>
      </c>
      <c r="Q30" s="31">
        <f>_xll.qlInterestRateIndexValueDate(Index,P30,Trigger)</f>
        <v>42171</v>
      </c>
      <c r="R30" s="31">
        <f>_xll.qlInterestRateIndexMaturity(Index,Q30,Trigger)</f>
        <v>42263</v>
      </c>
      <c r="S30" s="32">
        <f>_xll.qlDayCounterYearFraction(DayCounter,Q30,R30,,,Trigger)</f>
        <v>0.25555555555555554</v>
      </c>
      <c r="T30" s="33">
        <f>_xll.qlIndexFixing(Index,P30,,AllTriggers)</f>
        <v>-2.6187507864814194E-5</v>
      </c>
      <c r="U30" s="34">
        <f>_xll.qlYieldTSDiscount(OisCurve,Q30,,AllTriggers)</f>
        <v>1.0001065751088782</v>
      </c>
      <c r="V30" s="34">
        <f>_xll.qlYieldTSDiscount(OisCurve,R30,,AllTriggers)</f>
        <v>1.0004230649346082</v>
      </c>
      <c r="W30" s="33">
        <f t="shared" si="5"/>
        <v>-1.2379147301941702E-3</v>
      </c>
      <c r="X30" s="35">
        <f t="shared" si="6"/>
        <v>3.0971365220167893E-4</v>
      </c>
      <c r="Y30" s="33">
        <f t="shared" si="7"/>
        <v>1.211727222329356E-3</v>
      </c>
      <c r="Z30" s="54"/>
    </row>
    <row r="31" spans="15:26" x14ac:dyDescent="0.25">
      <c r="O31" s="35" t="s">
        <v>30</v>
      </c>
      <c r="P31" s="31">
        <f>_xll.qlCalendarAdvance(Calendar,P30,O30,"f",,Trigger)</f>
        <v>42170</v>
      </c>
      <c r="Q31" s="31">
        <f>_xll.qlInterestRateIndexValueDate(Index,P31,Trigger)</f>
        <v>42172</v>
      </c>
      <c r="R31" s="31">
        <f>_xll.qlInterestRateIndexMaturity(Index,Q31,Trigger)</f>
        <v>42264</v>
      </c>
      <c r="S31" s="32">
        <f>_xll.qlDayCounterYearFraction(DayCounter,Q31,R31,,,Trigger)</f>
        <v>0.25555555555555554</v>
      </c>
      <c r="T31" s="33">
        <f>_xll.qlIndexFixing(Index,P31,,AllTriggers)</f>
        <v>-2.4999999216877303E-5</v>
      </c>
      <c r="U31" s="34">
        <f>_xll.qlYieldTSDiscount(OisCurve,Q31,,AllTriggers)</f>
        <v>1.0001104430831038</v>
      </c>
      <c r="V31" s="34">
        <f>_xll.qlYieldTSDiscount(OisCurve,R31,,AllTriggers)</f>
        <v>1.0004285738625098</v>
      </c>
      <c r="W31" s="33">
        <f t="shared" si="5"/>
        <v>-1.2443262858662038E-3</v>
      </c>
      <c r="X31" s="35">
        <f t="shared" si="6"/>
        <v>3.1165615714968384E-4</v>
      </c>
      <c r="Y31" s="33">
        <f t="shared" si="7"/>
        <v>1.2193262866493264E-3</v>
      </c>
      <c r="Z31" s="54"/>
    </row>
    <row r="32" spans="15:26" x14ac:dyDescent="0.25">
      <c r="O32" s="35" t="s">
        <v>30</v>
      </c>
      <c r="P32" s="31">
        <f>_xll.qlCalendarAdvance(Calendar,P31,O31,"f",,Trigger)</f>
        <v>42171</v>
      </c>
      <c r="Q32" s="31">
        <f>_xll.qlInterestRateIndexValueDate(Index,P32,Trigger)</f>
        <v>42173</v>
      </c>
      <c r="R32" s="31">
        <f>_xll.qlInterestRateIndexMaturity(Index,Q32,Trigger)</f>
        <v>42265</v>
      </c>
      <c r="S32" s="32">
        <f>_xll.qlDayCounterYearFraction(DayCounter,Q32,R32,,,Trigger)</f>
        <v>0.25555555555555554</v>
      </c>
      <c r="T32" s="33">
        <f>_xll.qlIndexFixing(Index,P32,,AllTriggers)</f>
        <v>-2.3806980993101376E-5</v>
      </c>
      <c r="U32" s="34">
        <f>_xll.qlYieldTSDiscount(OisCurve,Q32,,AllTriggers)</f>
        <v>1.0001143805629729</v>
      </c>
      <c r="V32" s="34">
        <f>_xll.qlYieldTSDiscount(OisCurve,R32,,AllTriggers)</f>
        <v>1.0004341408242032</v>
      </c>
      <c r="W32" s="33">
        <f t="shared" si="5"/>
        <v>-1.2506928279992539E-3</v>
      </c>
      <c r="X32" s="35">
        <f t="shared" si="6"/>
        <v>3.135885655655729E-4</v>
      </c>
      <c r="Y32" s="33">
        <f t="shared" si="7"/>
        <v>1.2268858470061525E-3</v>
      </c>
      <c r="Z32" s="54"/>
    </row>
    <row r="33" spans="15:26" x14ac:dyDescent="0.25">
      <c r="O33" s="35" t="s">
        <v>30</v>
      </c>
      <c r="P33" s="31">
        <f>_xll.qlCalendarAdvance(Calendar,P32,O32,"f",,Trigger)</f>
        <v>42172</v>
      </c>
      <c r="Q33" s="31">
        <f>_xll.qlInterestRateIndexValueDate(Index,P33,Trigger)</f>
        <v>42174</v>
      </c>
      <c r="R33" s="31">
        <f>_xll.qlInterestRateIndexMaturity(Index,Q33,Trigger)</f>
        <v>42268</v>
      </c>
      <c r="S33" s="32">
        <f>_xll.qlDayCounterYearFraction(DayCounter,Q33,R33,,,Trigger)</f>
        <v>0.26111111111111113</v>
      </c>
      <c r="T33" s="33">
        <f>_xll.qlIndexFixing(Index,P33,,AllTriggers)</f>
        <v>-2.09168392665956E-5</v>
      </c>
      <c r="U33" s="34">
        <f>_xll.qlYieldTSDiscount(OisCurve,Q33,,AllTriggers)</f>
        <v>1.0001183784233201</v>
      </c>
      <c r="V33" s="34">
        <f>_xll.qlYieldTSDiscount(OisCurve,R33,,AllTriggers)</f>
        <v>1.0004510610155102</v>
      </c>
      <c r="W33" s="33">
        <f t="shared" si="5"/>
        <v>-1.2735291052264211E-3</v>
      </c>
      <c r="X33" s="35">
        <f t="shared" si="6"/>
        <v>3.2712626686640063E-4</v>
      </c>
      <c r="Y33" s="33">
        <f t="shared" si="7"/>
        <v>1.2526122659598255E-3</v>
      </c>
      <c r="Z33" s="54"/>
    </row>
    <row r="34" spans="15:26" x14ac:dyDescent="0.25">
      <c r="O34" s="35" t="s">
        <v>30</v>
      </c>
      <c r="P34" s="31">
        <f>_xll.qlCalendarAdvance(Calendar,P33,O33,"f",,Trigger)</f>
        <v>42173</v>
      </c>
      <c r="Q34" s="31">
        <f>_xll.qlInterestRateIndexValueDate(Index,P34,Trigger)</f>
        <v>42177</v>
      </c>
      <c r="R34" s="31">
        <f>_xll.qlInterestRateIndexMaturity(Index,Q34,Trigger)</f>
        <v>42269</v>
      </c>
      <c r="S34" s="32">
        <f>_xll.qlDayCounterYearFraction(DayCounter,Q34,R34,,,Trigger)</f>
        <v>0.25555555555555554</v>
      </c>
      <c r="T34" s="33">
        <f>_xll.qlIndexFixing(Index,P34,,AllTriggers)</f>
        <v>-1.9036161440210289E-5</v>
      </c>
      <c r="U34" s="34">
        <f>_xll.qlYieldTSDiscount(OisCurve,Q34,,AllTriggers)</f>
        <v>1.0001306430335397</v>
      </c>
      <c r="V34" s="34">
        <f>_xll.qlYieldTSDiscount(OisCurve,R34,,AllTriggers)</f>
        <v>1.0004567312144197</v>
      </c>
      <c r="W34" s="33">
        <f t="shared" si="5"/>
        <v>-1.2754147078220947E-3</v>
      </c>
      <c r="X34" s="35">
        <f t="shared" si="6"/>
        <v>3.2112763533884717E-4</v>
      </c>
      <c r="Y34" s="33">
        <f t="shared" si="7"/>
        <v>1.2563785463818844E-3</v>
      </c>
      <c r="Z34" s="54"/>
    </row>
    <row r="35" spans="15:26" x14ac:dyDescent="0.25">
      <c r="O35" s="35" t="s">
        <v>30</v>
      </c>
      <c r="P35" s="31">
        <f>_xll.qlCalendarAdvance(Calendar,P34,O34,"f",,Trigger)</f>
        <v>42174</v>
      </c>
      <c r="Q35" s="31">
        <f>_xll.qlInterestRateIndexValueDate(Index,P35,Trigger)</f>
        <v>42178</v>
      </c>
      <c r="R35" s="31">
        <f>_xll.qlInterestRateIndexMaturity(Index,Q35,Trigger)</f>
        <v>42270</v>
      </c>
      <c r="S35" s="32">
        <f>_xll.qlDayCounterYearFraction(DayCounter,Q35,R35,,,Trigger)</f>
        <v>0.25555555555555554</v>
      </c>
      <c r="T35" s="33">
        <f>_xll.qlIndexFixing(Index,P35,,AllTriggers)</f>
        <v>-1.7847651400695042E-5</v>
      </c>
      <c r="U35" s="34">
        <f>_xll.qlYieldTSDiscount(OisCurve,Q35,,AllTriggers)</f>
        <v>1.000134791161398</v>
      </c>
      <c r="V35" s="34">
        <f>_xll.qlYieldTSDiscount(OisCurve,R35,,AllTriggers)</f>
        <v>1.0004623949967069</v>
      </c>
      <c r="W35" s="33">
        <f t="shared" si="5"/>
        <v>-1.2813355680528916E-3</v>
      </c>
      <c r="X35" s="35">
        <f t="shared" si="6"/>
        <v>3.2294497032725412E-4</v>
      </c>
      <c r="Y35" s="33">
        <f t="shared" si="7"/>
        <v>1.2634879166521966E-3</v>
      </c>
      <c r="Z35" s="54"/>
    </row>
    <row r="36" spans="15:26" x14ac:dyDescent="0.25">
      <c r="O36" s="35" t="s">
        <v>30</v>
      </c>
      <c r="P36" s="31">
        <f>_xll.qlCalendarAdvance(Calendar,P35,O35,"f",,Trigger)</f>
        <v>42177</v>
      </c>
      <c r="Q36" s="31">
        <f>_xll.qlInterestRateIndexValueDate(Index,P36,Trigger)</f>
        <v>42179</v>
      </c>
      <c r="R36" s="31">
        <f>_xll.qlInterestRateIndexMaturity(Index,Q36,Trigger)</f>
        <v>42271</v>
      </c>
      <c r="S36" s="32">
        <f>_xll.qlDayCounterYearFraction(DayCounter,Q36,R36,,,Trigger)</f>
        <v>0.25555555555555554</v>
      </c>
      <c r="T36" s="33">
        <f>_xll.qlIndexFixing(Index,P36,,AllTriggers)</f>
        <v>-1.6662371909182816E-5</v>
      </c>
      <c r="U36" s="34">
        <f>_xll.qlYieldTSDiscount(OisCurve,Q36,,AllTriggers)</f>
        <v>1.0001389540418111</v>
      </c>
      <c r="V36" s="34">
        <f>_xll.qlYieldTSDiscount(OisCurve,R36,,AllTriggers)</f>
        <v>1.0004680394714183</v>
      </c>
      <c r="W36" s="33">
        <f t="shared" si="5"/>
        <v>-1.2871231696669387E-3</v>
      </c>
      <c r="X36" s="35">
        <f t="shared" si="6"/>
        <v>3.2472741574068637E-4</v>
      </c>
      <c r="Y36" s="33">
        <f t="shared" si="7"/>
        <v>1.2704607977577559E-3</v>
      </c>
      <c r="Z36" s="54"/>
    </row>
    <row r="37" spans="15:26" x14ac:dyDescent="0.25">
      <c r="O37" s="35" t="s">
        <v>30</v>
      </c>
      <c r="P37" s="31">
        <f>_xll.qlCalendarAdvance(Calendar,P36,O36,"f",,Trigger)</f>
        <v>42178</v>
      </c>
      <c r="Q37" s="31">
        <f>_xll.qlInterestRateIndexValueDate(Index,P37,Trigger)</f>
        <v>42180</v>
      </c>
      <c r="R37" s="31">
        <f>_xll.qlInterestRateIndexMaturity(Index,Q37,Trigger)</f>
        <v>42272</v>
      </c>
      <c r="S37" s="32">
        <f>_xll.qlDayCounterYearFraction(DayCounter,Q37,R37,,,Trigger)</f>
        <v>0.25555555555555554</v>
      </c>
      <c r="T37" s="33">
        <f>_xll.qlIndexFixing(Index,P37,,AllTriggers)</f>
        <v>-1.5481099272952942E-5</v>
      </c>
      <c r="U37" s="34">
        <f>_xll.qlYieldTSDiscount(OisCurve,Q37,,AllTriggers)</f>
        <v>1.0001431225487509</v>
      </c>
      <c r="V37" s="34">
        <f>_xll.qlYieldTSDiscount(OisCurve,R37,,AllTriggers)</f>
        <v>1.0004736517473107</v>
      </c>
      <c r="W37" s="33">
        <f t="shared" si="5"/>
        <v>-1.2927628054374949E-3</v>
      </c>
      <c r="X37" s="35">
        <f t="shared" si="6"/>
        <v>3.2647101328241233E-4</v>
      </c>
      <c r="Y37" s="33">
        <f t="shared" si="7"/>
        <v>1.2772817061645421E-3</v>
      </c>
      <c r="Z37" s="54"/>
    </row>
    <row r="38" spans="15:26" x14ac:dyDescent="0.25">
      <c r="O38" s="35" t="s">
        <v>30</v>
      </c>
      <c r="P38" s="31">
        <f>_xll.qlCalendarAdvance(Calendar,P37,O37,"f",,Trigger)</f>
        <v>42179</v>
      </c>
      <c r="Q38" s="31">
        <f>_xll.qlInterestRateIndexValueDate(Index,P38,Trigger)</f>
        <v>42181</v>
      </c>
      <c r="R38" s="31">
        <f>_xll.qlInterestRateIndexMaturity(Index,Q38,Trigger)</f>
        <v>42275</v>
      </c>
      <c r="S38" s="32">
        <f>_xll.qlDayCounterYearFraction(DayCounter,Q38,R38,,,Trigger)</f>
        <v>0.26111111111111113</v>
      </c>
      <c r="T38" s="33">
        <f>_xll.qlIndexFixing(Index,P38,,AllTriggers)</f>
        <v>-1.3693482655870553E-5</v>
      </c>
      <c r="U38" s="34">
        <f>_xll.qlYieldTSDiscount(OisCurve,Q38,,AllTriggers)</f>
        <v>1.0001472875560382</v>
      </c>
      <c r="V38" s="34">
        <f>_xll.qlYieldTSDiscount(OisCurve,R38,,AllTriggers)</f>
        <v>1.0004901664653711</v>
      </c>
      <c r="W38" s="33">
        <f t="shared" si="5"/>
        <v>-1.3125099214366391E-3</v>
      </c>
      <c r="X38" s="35">
        <f t="shared" si="6"/>
        <v>3.3919413587652549E-4</v>
      </c>
      <c r="Y38" s="33">
        <f t="shared" si="7"/>
        <v>1.2988164387807686E-3</v>
      </c>
      <c r="Z38" s="54"/>
    </row>
    <row r="39" spans="15:26" x14ac:dyDescent="0.25">
      <c r="O39" s="35" t="s">
        <v>30</v>
      </c>
      <c r="P39" s="31">
        <f>_xll.qlCalendarAdvance(Calendar,P38,O38,"f",,Trigger)</f>
        <v>42180</v>
      </c>
      <c r="Q39" s="31">
        <f>_xll.qlInterestRateIndexValueDate(Index,P39,Trigger)</f>
        <v>42184</v>
      </c>
      <c r="R39" s="31">
        <f>_xll.qlInterestRateIndexMaturity(Index,Q39,Trigger)</f>
        <v>42276</v>
      </c>
      <c r="S39" s="32">
        <f>_xll.qlDayCounterYearFraction(DayCounter,Q39,R39,,,Trigger)</f>
        <v>0.25555555555555554</v>
      </c>
      <c r="T39" s="33">
        <f>_xll.qlIndexFixing(Index,P39,,AllTriggers)</f>
        <v>-1.0811603419492577E-5</v>
      </c>
      <c r="U39" s="34">
        <f>_xll.qlYieldTSDiscount(OisCurve,Q39,,AllTriggers)</f>
        <v>1.0001596703159092</v>
      </c>
      <c r="V39" s="34">
        <f>_xll.qlYieldTSDiscount(OisCurve,R39,,AllTriggers)</f>
        <v>1.0004955210279034</v>
      </c>
      <c r="W39" s="33">
        <f t="shared" si="5"/>
        <v>-1.3135475478068864E-3</v>
      </c>
      <c r="X39" s="35">
        <f t="shared" si="6"/>
        <v>3.3297775880436546E-4</v>
      </c>
      <c r="Y39" s="33">
        <f t="shared" si="7"/>
        <v>1.3027359443873938E-3</v>
      </c>
      <c r="Z39" s="54"/>
    </row>
    <row r="40" spans="15:26" x14ac:dyDescent="0.25">
      <c r="O40" s="35" t="s">
        <v>30</v>
      </c>
      <c r="P40" s="31">
        <f>_xll.qlCalendarAdvance(Calendar,P39,O39,"f",,Trigger)</f>
        <v>42181</v>
      </c>
      <c r="Q40" s="31">
        <f>_xll.qlInterestRateIndexValueDate(Index,P40,Trigger)</f>
        <v>42185</v>
      </c>
      <c r="R40" s="31">
        <f>_xll.qlInterestRateIndexMaturity(Index,Q40,Trigger)</f>
        <v>42277</v>
      </c>
      <c r="S40" s="32">
        <f>_xll.qlDayCounterYearFraction(DayCounter,Q40,R40,,,Trigger)</f>
        <v>0.25555555555555554</v>
      </c>
      <c r="T40" s="33">
        <f>_xll.qlIndexFixing(Index,P40,,AllTriggers)</f>
        <v>-9.6620096758153586E-6</v>
      </c>
      <c r="U40" s="34">
        <f>_xll.qlYieldTSDiscount(OisCurve,Q40,,AllTriggers)</f>
        <v>1.0001637300597634</v>
      </c>
      <c r="V40" s="34">
        <f>_xll.qlYieldTSDiscount(OisCurve,R40,,AllTriggers)</f>
        <v>1.0005007789312228</v>
      </c>
      <c r="W40" s="33">
        <f t="shared" si="5"/>
        <v>-1.3182267481371341E-3</v>
      </c>
      <c r="X40" s="35">
        <f t="shared" si="6"/>
        <v>3.3446774254070993E-4</v>
      </c>
      <c r="Y40" s="33">
        <f t="shared" si="7"/>
        <v>1.3085647384613187E-3</v>
      </c>
      <c r="Z40" s="54"/>
    </row>
    <row r="41" spans="15:26" x14ac:dyDescent="0.25">
      <c r="O41" s="35" t="s">
        <v>30</v>
      </c>
      <c r="P41" s="31">
        <f>_xll.qlCalendarAdvance(Calendar,P40,O40,"f",,Trigger)</f>
        <v>42184</v>
      </c>
      <c r="Q41" s="31">
        <f>_xll.qlInterestRateIndexValueDate(Index,P41,Trigger)</f>
        <v>42186</v>
      </c>
      <c r="R41" s="31">
        <f>_xll.qlInterestRateIndexMaturity(Index,Q41,Trigger)</f>
        <v>42278</v>
      </c>
      <c r="S41" s="32">
        <f>_xll.qlDayCounterYearFraction(DayCounter,Q41,R41,,,Trigger)</f>
        <v>0.25555555555555554</v>
      </c>
      <c r="T41" s="33">
        <f>_xll.qlIndexFixing(Index,P41,,AllTriggers)</f>
        <v>-8.5210806415229107E-6</v>
      </c>
      <c r="U41" s="34">
        <f>_xll.qlYieldTSDiscount(OisCurve,Q41,,AllTriggers)</f>
        <v>1.0001452368966484</v>
      </c>
      <c r="V41" s="34">
        <f>_xll.qlYieldTSDiscount(OisCurve,R41,,AllTriggers)</f>
        <v>1.0004571025932214</v>
      </c>
      <c r="W41" s="33">
        <f t="shared" si="5"/>
        <v>-1.2197864625132625E-3</v>
      </c>
      <c r="X41" s="35">
        <f t="shared" si="6"/>
        <v>3.0959419099659306E-4</v>
      </c>
      <c r="Y41" s="33">
        <f t="shared" si="7"/>
        <v>1.2112653818717397E-3</v>
      </c>
      <c r="Z41" s="54"/>
    </row>
    <row r="42" spans="15:26" x14ac:dyDescent="0.25">
      <c r="O42" s="35" t="s">
        <v>30</v>
      </c>
      <c r="P42" s="31">
        <f>_xll.qlCalendarAdvance(Calendar,P41,O41,"f",,Trigger)</f>
        <v>42185</v>
      </c>
      <c r="Q42" s="31">
        <f>_xll.qlInterestRateIndexValueDate(Index,P42,Trigger)</f>
        <v>42187</v>
      </c>
      <c r="R42" s="31">
        <f>_xll.qlInterestRateIndexMaturity(Index,Q42,Trigger)</f>
        <v>42279</v>
      </c>
      <c r="S42" s="32">
        <f>_xll.qlDayCounterYearFraction(DayCounter,Q42,R42,,,Trigger)</f>
        <v>0.25555555555555554</v>
      </c>
      <c r="T42" s="33">
        <f>_xll.qlIndexFixing(Index,P42,,AllTriggers)</f>
        <v>-7.3895926286733466E-6</v>
      </c>
      <c r="U42" s="34">
        <f>_xll.qlYieldTSDiscount(OisCurve,Q42,,AllTriggers)</f>
        <v>1.0001491891589023</v>
      </c>
      <c r="V42" s="34">
        <f>_xll.qlYieldTSDiscount(OisCurve,R42,,AllTriggers)</f>
        <v>1.0004621282540498</v>
      </c>
      <c r="W42" s="33">
        <f t="shared" si="5"/>
        <v>-1.2239786502432626E-3</v>
      </c>
      <c r="X42" s="35">
        <f t="shared" si="6"/>
        <v>3.1095502113548607E-4</v>
      </c>
      <c r="Y42" s="33">
        <f t="shared" si="7"/>
        <v>1.2165890576145892E-3</v>
      </c>
      <c r="Z42" s="54"/>
    </row>
    <row r="43" spans="15:26" x14ac:dyDescent="0.25">
      <c r="O43" s="35" t="s">
        <v>30</v>
      </c>
      <c r="P43" s="31">
        <f>_xll.qlCalendarAdvance(Calendar,P42,O42,"f",,Trigger)</f>
        <v>42186</v>
      </c>
      <c r="Q43" s="31">
        <f>_xll.qlInterestRateIndexValueDate(Index,P43,Trigger)</f>
        <v>42188</v>
      </c>
      <c r="R43" s="31">
        <f>_xll.qlInterestRateIndexMaturity(Index,Q43,Trigger)</f>
        <v>42282</v>
      </c>
      <c r="S43" s="32">
        <f>_xll.qlDayCounterYearFraction(DayCounter,Q43,R43,,,Trigger)</f>
        <v>0.26111111111111113</v>
      </c>
      <c r="T43" s="33">
        <f>_xll.qlIndexFixing(Index,P43,,AllTriggers)</f>
        <v>-6.617775715082726E-6</v>
      </c>
      <c r="U43" s="34">
        <f>_xll.qlYieldTSDiscount(OisCurve,Q43,,AllTriggers)</f>
        <v>1.0001530740356055</v>
      </c>
      <c r="V43" s="34">
        <f>_xll.qlYieldTSDiscount(OisCurve,R43,,AllTriggers)</f>
        <v>1.0004763416736973</v>
      </c>
      <c r="W43" s="33">
        <f t="shared" si="5"/>
        <v>-1.2374568212895278E-3</v>
      </c>
      <c r="X43" s="35">
        <f t="shared" si="6"/>
        <v>3.2143796178305575E-4</v>
      </c>
      <c r="Y43" s="33">
        <f t="shared" si="7"/>
        <v>1.2308390455744451E-3</v>
      </c>
      <c r="Z43" s="54"/>
    </row>
    <row r="44" spans="15:26" x14ac:dyDescent="0.25">
      <c r="O44" s="35" t="s">
        <v>30</v>
      </c>
      <c r="P44" s="31">
        <f>_xll.qlCalendarAdvance(Calendar,P43,O43,"f",,Trigger)</f>
        <v>42187</v>
      </c>
      <c r="Q44" s="31">
        <f>_xll.qlInterestRateIndexValueDate(Index,P44,Trigger)</f>
        <v>42191</v>
      </c>
      <c r="R44" s="31">
        <f>_xll.qlInterestRateIndexMaturity(Index,Q44,Trigger)</f>
        <v>42283</v>
      </c>
      <c r="S44" s="32">
        <f>_xll.qlDayCounterYearFraction(DayCounter,Q44,R44,,,Trigger)</f>
        <v>0.25555555555555554</v>
      </c>
      <c r="T44" s="33">
        <f>_xll.qlIndexFixing(Index,P44,,AllTriggers)</f>
        <v>-2.9735770654488833E-6</v>
      </c>
      <c r="U44" s="34">
        <f>_xll.qlYieldTSDiscount(OisCurve,Q44,,AllTriggers)</f>
        <v>1.0001642330805742</v>
      </c>
      <c r="V44" s="34">
        <f>_xll.qlYieldTSDiscount(OisCurve,R44,,AllTriggers)</f>
        <v>1.0004807486491245</v>
      </c>
      <c r="W44" s="33">
        <f t="shared" si="5"/>
        <v>-1.2379440413581011E-3</v>
      </c>
      <c r="X44" s="35">
        <f t="shared" si="6"/>
        <v>3.15653616290136E-4</v>
      </c>
      <c r="Y44" s="33">
        <f t="shared" si="7"/>
        <v>1.2349704642926522E-3</v>
      </c>
      <c r="Z44" s="54"/>
    </row>
    <row r="45" spans="15:26" x14ac:dyDescent="0.25">
      <c r="O45" s="35" t="s">
        <v>30</v>
      </c>
      <c r="P45" s="31">
        <f>_xll.qlCalendarAdvance(Calendar,P44,O44,"f",,Trigger)</f>
        <v>42188</v>
      </c>
      <c r="Q45" s="31">
        <f>_xll.qlInterestRateIndexValueDate(Index,P45,Trigger)</f>
        <v>42192</v>
      </c>
      <c r="R45" s="31">
        <f>_xll.qlInterestRateIndexMaturity(Index,Q45,Trigger)</f>
        <v>42284</v>
      </c>
      <c r="S45" s="32">
        <f>_xll.qlDayCounterYearFraction(DayCounter,Q45,R45,,,Trigger)</f>
        <v>0.25555555555555554</v>
      </c>
      <c r="T45" s="33">
        <f>_xll.qlIndexFixing(Index,P45,,AllTriggers)</f>
        <v>-1.9009388719648042E-6</v>
      </c>
      <c r="U45" s="34">
        <f>_xll.qlYieldTSDiscount(OisCurve,Q45,,AllTriggers)</f>
        <v>1.0001677571426553</v>
      </c>
      <c r="V45" s="34">
        <f>_xll.qlYieldTSDiscount(OisCurve,R45,,AllTriggers)</f>
        <v>1.0004849687201756</v>
      </c>
      <c r="W45" s="33">
        <f t="shared" si="5"/>
        <v>-1.2406610128610992E-3</v>
      </c>
      <c r="X45" s="35">
        <f t="shared" si="6"/>
        <v>3.1662229224582505E-4</v>
      </c>
      <c r="Y45" s="33">
        <f t="shared" si="7"/>
        <v>1.2387600739891345E-3</v>
      </c>
      <c r="Z45" s="54"/>
    </row>
    <row r="46" spans="15:26" x14ac:dyDescent="0.25">
      <c r="O46" s="35" t="s">
        <v>30</v>
      </c>
      <c r="P46" s="31">
        <f>_xll.qlCalendarAdvance(Calendar,P45,O45,"f",,Trigger)</f>
        <v>42191</v>
      </c>
      <c r="Q46" s="31">
        <f>_xll.qlInterestRateIndexValueDate(Index,P46,Trigger)</f>
        <v>42193</v>
      </c>
      <c r="R46" s="31">
        <f>_xll.qlInterestRateIndexMaturity(Index,Q46,Trigger)</f>
        <v>42285</v>
      </c>
      <c r="S46" s="32">
        <f>_xll.qlDayCounterYearFraction(DayCounter,Q46,R46,,,Trigger)</f>
        <v>0.25555555555555554</v>
      </c>
      <c r="T46" s="33">
        <f>_xll.qlIndexFixing(Index,P46,,AllTriggers)</f>
        <v>-8.4239959051857704E-7</v>
      </c>
      <c r="U46" s="34">
        <f>_xll.qlYieldTSDiscount(OisCurve,Q46,,AllTriggers)</f>
        <v>1.0001711681824215</v>
      </c>
      <c r="V46" s="34">
        <f>_xll.qlYieldTSDiscount(OisCurve,R46,,AllTriggers)</f>
        <v>1.0004889889933717</v>
      </c>
      <c r="W46" s="33">
        <f t="shared" si="5"/>
        <v>-1.2430388192433261E-3</v>
      </c>
      <c r="X46" s="35">
        <f t="shared" si="6"/>
        <v>3.1750066247560364E-4</v>
      </c>
      <c r="Y46" s="33">
        <f t="shared" si="7"/>
        <v>1.2421964196528076E-3</v>
      </c>
      <c r="Z46" s="54"/>
    </row>
    <row r="47" spans="15:26" x14ac:dyDescent="0.25">
      <c r="O47" s="35" t="s">
        <v>30</v>
      </c>
      <c r="P47" s="31">
        <f>_xll.qlCalendarAdvance(Calendar,P46,O46,"f",,Trigger)</f>
        <v>42192</v>
      </c>
      <c r="Q47" s="31">
        <f>_xll.qlInterestRateIndexValueDate(Index,P47,Trigger)</f>
        <v>42194</v>
      </c>
      <c r="R47" s="31">
        <f>_xll.qlInterestRateIndexMaturity(Index,Q47,Trigger)</f>
        <v>42286</v>
      </c>
      <c r="S47" s="32">
        <f>_xll.qlDayCounterYearFraction(DayCounter,Q47,R47,,,Trigger)</f>
        <v>0.25555555555555554</v>
      </c>
      <c r="T47" s="33">
        <f>_xll.qlIndexFixing(Index,P47,,AllTriggers)</f>
        <v>2.0083580277091323E-7</v>
      </c>
      <c r="U47" s="34">
        <f>_xll.qlYieldTSDiscount(OisCurve,Q47,,AllTriggers)</f>
        <v>1.000174463057097</v>
      </c>
      <c r="V47" s="34">
        <f>_xll.qlYieldTSDiscount(OisCurve,R47,,AllTriggers)</f>
        <v>1.0004928033184732</v>
      </c>
      <c r="W47" s="33">
        <f t="shared" si="5"/>
        <v>-1.245065711132003E-3</v>
      </c>
      <c r="X47" s="35">
        <f t="shared" si="6"/>
        <v>3.1828541531250039E-4</v>
      </c>
      <c r="Y47" s="33">
        <f t="shared" si="7"/>
        <v>1.2452665469347738E-3</v>
      </c>
      <c r="Z47" s="54"/>
    </row>
    <row r="48" spans="15:26" x14ac:dyDescent="0.25">
      <c r="O48" s="35" t="s">
        <v>30</v>
      </c>
      <c r="P48" s="31">
        <f>_xll.qlCalendarAdvance(Calendar,P47,O47,"f",,Trigger)</f>
        <v>42193</v>
      </c>
      <c r="Q48" s="31">
        <f>_xll.qlInterestRateIndexValueDate(Index,P48,Trigger)</f>
        <v>42195</v>
      </c>
      <c r="R48" s="31">
        <f>_xll.qlInterestRateIndexMaturity(Index,Q48,Trigger)</f>
        <v>42289</v>
      </c>
      <c r="S48" s="32">
        <f>_xll.qlDayCounterYearFraction(DayCounter,Q48,R48,,,Trigger)</f>
        <v>0.26111111111111113</v>
      </c>
      <c r="T48" s="33">
        <f>_xll.qlIndexFixing(Index,P48,,AllTriggers)</f>
        <v>4.6316797206080253E-8</v>
      </c>
      <c r="U48" s="34">
        <f>_xll.qlYieldTSDiscount(OisCurve,Q48,,AllTriggers)</f>
        <v>1.0001776625634953</v>
      </c>
      <c r="V48" s="34">
        <f>_xll.qlYieldTSDiscount(OisCurve,R48,,AllTriggers)</f>
        <v>1.0005032458130314</v>
      </c>
      <c r="W48" s="33">
        <f t="shared" si="5"/>
        <v>-1.2462873837839521E-3</v>
      </c>
      <c r="X48" s="35">
        <f t="shared" si="6"/>
        <v>3.2548453778390157E-4</v>
      </c>
      <c r="Y48" s="33">
        <f t="shared" si="7"/>
        <v>1.2463337005811583E-3</v>
      </c>
      <c r="Z48" s="54"/>
    </row>
    <row r="49" spans="15:26" x14ac:dyDescent="0.25">
      <c r="O49" s="35" t="s">
        <v>30</v>
      </c>
      <c r="P49" s="31">
        <f>_xll.qlCalendarAdvance(Calendar,P48,O48,"f",,Trigger)</f>
        <v>42194</v>
      </c>
      <c r="Q49" s="31">
        <f>_xll.qlInterestRateIndexValueDate(Index,P49,Trigger)</f>
        <v>42198</v>
      </c>
      <c r="R49" s="31">
        <f>_xll.qlInterestRateIndexMaturity(Index,Q49,Trigger)</f>
        <v>42290</v>
      </c>
      <c r="S49" s="32">
        <f>_xll.qlDayCounterYearFraction(DayCounter,Q49,R49,,,Trigger)</f>
        <v>0.25555555555555554</v>
      </c>
      <c r="T49" s="33">
        <f>_xll.qlIndexFixing(Index,P49,,AllTriggers)</f>
        <v>4.1580595601447392E-6</v>
      </c>
      <c r="U49" s="34">
        <f>_xll.qlYieldTSDiscount(OisCurve,Q49,,AllTriggers)</f>
        <v>1.0001869566950548</v>
      </c>
      <c r="V49" s="34">
        <f>_xll.qlYieldTSDiscount(OisCurve,R49,,AllTriggers)</f>
        <v>1.0005064850425214</v>
      </c>
      <c r="W49" s="33">
        <f t="shared" si="5"/>
        <v>-1.249695364164247E-3</v>
      </c>
      <c r="X49" s="35">
        <f t="shared" si="6"/>
        <v>3.2048021609142074E-4</v>
      </c>
      <c r="Y49" s="33">
        <f t="shared" si="7"/>
        <v>1.2538534237243918E-3</v>
      </c>
      <c r="Z49" s="54"/>
    </row>
    <row r="50" spans="15:26" x14ac:dyDescent="0.25">
      <c r="O50" s="35" t="s">
        <v>30</v>
      </c>
      <c r="P50" s="31">
        <f>_xll.qlCalendarAdvance(Calendar,P49,O49,"f",,Trigger)</f>
        <v>42195</v>
      </c>
      <c r="Q50" s="31">
        <f>_xll.qlInterestRateIndexValueDate(Index,P50,Trigger)</f>
        <v>42199</v>
      </c>
      <c r="R50" s="31">
        <f>_xll.qlInterestRateIndexMaturity(Index,Q50,Trigger)</f>
        <v>42291</v>
      </c>
      <c r="S50" s="32">
        <f>_xll.qlDayCounterYearFraction(DayCounter,Q50,R50,,,Trigger)</f>
        <v>0.25555555555555554</v>
      </c>
      <c r="T50" s="33">
        <f>_xll.qlIndexFixing(Index,P50,,AllTriggers)</f>
        <v>5.0766946385857761E-6</v>
      </c>
      <c r="U50" s="34">
        <f>_xll.qlYieldTSDiscount(OisCurve,Q50,,AllTriggers)</f>
        <v>1.0001900425520902</v>
      </c>
      <c r="V50" s="34">
        <f>_xll.qlYieldTSDiscount(OisCurve,R50,,AllTriggers)</f>
        <v>1.0005096494178287</v>
      </c>
      <c r="W50" s="33">
        <f t="shared" si="5"/>
        <v>-1.249998500577175E-3</v>
      </c>
      <c r="X50" s="35">
        <f t="shared" si="6"/>
        <v>3.2079247105841496E-4</v>
      </c>
      <c r="Y50" s="33">
        <f t="shared" si="7"/>
        <v>1.2550751952157607E-3</v>
      </c>
      <c r="Z50" s="54"/>
    </row>
    <row r="51" spans="15:26" x14ac:dyDescent="0.25">
      <c r="O51" s="35" t="s">
        <v>30</v>
      </c>
      <c r="P51" s="31">
        <f>_xll.qlCalendarAdvance(Calendar,P50,O50,"f",,Trigger)</f>
        <v>42198</v>
      </c>
      <c r="Q51" s="31">
        <f>_xll.qlInterestRateIndexValueDate(Index,P51,Trigger)</f>
        <v>42200</v>
      </c>
      <c r="R51" s="31">
        <f>_xll.qlInterestRateIndexMaturity(Index,Q51,Trigger)</f>
        <v>42292</v>
      </c>
      <c r="S51" s="32">
        <f>_xll.qlDayCounterYearFraction(DayCounter,Q51,R51,,,Trigger)</f>
        <v>0.25555555555555554</v>
      </c>
      <c r="T51" s="33">
        <f>_xll.qlIndexFixing(Index,P51,,AllTriggers)</f>
        <v>5.9603648008470422E-6</v>
      </c>
      <c r="U51" s="34">
        <f>_xll.qlYieldTSDiscount(OisCurve,Q51,,AllTriggers)</f>
        <v>1.0001931669544124</v>
      </c>
      <c r="V51" s="34">
        <f>_xll.qlYieldTSDiscount(OisCurve,R51,,AllTriggers)</f>
        <v>1.000512766507623</v>
      </c>
      <c r="W51" s="33">
        <f t="shared" si="5"/>
        <v>-1.2499660066418064E-3</v>
      </c>
      <c r="X51" s="35">
        <f t="shared" si="6"/>
        <v>3.210099909000116E-4</v>
      </c>
      <c r="Y51" s="33">
        <f t="shared" si="7"/>
        <v>1.2559263714426534E-3</v>
      </c>
      <c r="Z51" s="54"/>
    </row>
    <row r="52" spans="15:26" x14ac:dyDescent="0.25">
      <c r="O52" s="35" t="s">
        <v>30</v>
      </c>
      <c r="P52" s="31">
        <f>_xll.qlCalendarAdvance(Calendar,P51,O51,"f",,Trigger)</f>
        <v>42199</v>
      </c>
      <c r="Q52" s="31">
        <f>_xll.qlInterestRateIndexValueDate(Index,P52,Trigger)</f>
        <v>42201</v>
      </c>
      <c r="R52" s="31">
        <f>_xll.qlInterestRateIndexMaturity(Index,Q52,Trigger)</f>
        <v>42293</v>
      </c>
      <c r="S52" s="32">
        <f>_xll.qlDayCounterYearFraction(DayCounter,Q52,R52,,,Trigger)</f>
        <v>0.25555555555555554</v>
      </c>
      <c r="T52" s="33">
        <f>_xll.qlIndexFixing(Index,P52,,AllTriggers)</f>
        <v>6.8057217565878956E-6</v>
      </c>
      <c r="U52" s="34">
        <f>_xll.qlYieldTSDiscount(OisCurve,Q52,,AllTriggers)</f>
        <v>1.0001963566857419</v>
      </c>
      <c r="V52" s="34">
        <f>_xll.qlYieldTSDiscount(OisCurve,R52,,AllTriggers)</f>
        <v>1.0005158638809279</v>
      </c>
      <c r="W52" s="33">
        <f t="shared" si="5"/>
        <v>-1.249600922398535E-3</v>
      </c>
      <c r="X52" s="35">
        <f t="shared" si="6"/>
        <v>3.2113269709903503E-4</v>
      </c>
      <c r="Y52" s="33">
        <f t="shared" si="7"/>
        <v>1.2564066441551227E-3</v>
      </c>
      <c r="Z52" s="54"/>
    </row>
    <row r="53" spans="15:26" x14ac:dyDescent="0.25">
      <c r="O53" s="35" t="s">
        <v>30</v>
      </c>
      <c r="P53" s="31">
        <f>_xll.qlCalendarAdvance(Calendar,P52,O52,"f",,Trigger)</f>
        <v>42200</v>
      </c>
      <c r="Q53" s="31">
        <f>_xll.qlInterestRateIndexValueDate(Index,P53,Trigger)</f>
        <v>42202</v>
      </c>
      <c r="R53" s="31">
        <f>_xll.qlInterestRateIndexMaturity(Index,Q53,Trigger)</f>
        <v>42296</v>
      </c>
      <c r="S53" s="32">
        <f>_xll.qlDayCounterYearFraction(DayCounter,Q53,R53,,,Trigger)</f>
        <v>0.26111111111111113</v>
      </c>
      <c r="T53" s="33">
        <f>_xll.qlIndexFixing(Index,P53,,AllTriggers)</f>
        <v>5.7424094696355727E-6</v>
      </c>
      <c r="U53" s="34">
        <f>_xll.qlYieldTSDiscount(OisCurve,Q53,,AllTriggers)</f>
        <v>1.0001996385301513</v>
      </c>
      <c r="V53" s="34">
        <f>_xll.qlYieldTSDiscount(OisCurve,R53,,AllTriggers)</f>
        <v>1.0005253133973078</v>
      </c>
      <c r="W53" s="33">
        <f t="shared" si="5"/>
        <v>-1.2466105874418317E-3</v>
      </c>
      <c r="X53" s="35">
        <f t="shared" si="6"/>
        <v>3.2705626928810385E-4</v>
      </c>
      <c r="Y53" s="33">
        <f t="shared" si="7"/>
        <v>1.2523529969114672E-3</v>
      </c>
      <c r="Z53" s="54"/>
    </row>
    <row r="54" spans="15:26" x14ac:dyDescent="0.25">
      <c r="O54" s="35" t="s">
        <v>30</v>
      </c>
      <c r="P54" s="31">
        <f>_xll.qlCalendarAdvance(Calendar,P53,O53,"f",,Trigger)</f>
        <v>42201</v>
      </c>
      <c r="Q54" s="31">
        <f>_xll.qlInterestRateIndexValueDate(Index,P54,Trigger)</f>
        <v>42205</v>
      </c>
      <c r="R54" s="31">
        <f>_xll.qlInterestRateIndexMaturity(Index,Q54,Trigger)</f>
        <v>42297</v>
      </c>
      <c r="S54" s="32">
        <f>_xll.qlDayCounterYearFraction(DayCounter,Q54,R54,,,Trigger)</f>
        <v>0.25555555555555554</v>
      </c>
      <c r="T54" s="33">
        <f>_xll.qlIndexFixing(Index,P54,,AllTriggers)</f>
        <v>9.7370516510578273E-6</v>
      </c>
      <c r="U54" s="34">
        <f>_xll.qlYieldTSDiscount(OisCurve,Q54,,AllTriggers)</f>
        <v>1.0002103045883508</v>
      </c>
      <c r="V54" s="34">
        <f>_xll.qlYieldTSDiscount(OisCurve,R54,,AllTriggers)</f>
        <v>1.0005286076018021</v>
      </c>
      <c r="W54" s="33">
        <f t="shared" si="5"/>
        <v>-1.2448754802539964E-3</v>
      </c>
      <c r="X54" s="35">
        <f t="shared" si="6"/>
        <v>3.2067381512721957E-4</v>
      </c>
      <c r="Y54" s="33">
        <f t="shared" si="7"/>
        <v>1.2546125319050543E-3</v>
      </c>
      <c r="Z54" s="54"/>
    </row>
    <row r="55" spans="15:26" x14ac:dyDescent="0.25">
      <c r="O55" s="35" t="s">
        <v>30</v>
      </c>
      <c r="P55" s="31">
        <f>_xll.qlCalendarAdvance(Calendar,P54,O54,"f",,Trigger)</f>
        <v>42202</v>
      </c>
      <c r="Q55" s="31">
        <f>_xll.qlInterestRateIndexValueDate(Index,P55,Trigger)</f>
        <v>42206</v>
      </c>
      <c r="R55" s="31">
        <f>_xll.qlInterestRateIndexMaturity(Index,Q55,Trigger)</f>
        <v>42298</v>
      </c>
      <c r="S55" s="32">
        <f>_xll.qlDayCounterYearFraction(DayCounter,Q55,R55,,,Trigger)</f>
        <v>0.25555555555555554</v>
      </c>
      <c r="T55" s="33">
        <f>_xll.qlIndexFixing(Index,P55,,AllTriggers)</f>
        <v>1.034061816956142E-5</v>
      </c>
      <c r="U55" s="34">
        <f>_xll.qlYieldTSDiscount(OisCurve,Q55,,AllTriggers)</f>
        <v>1.0002142227337254</v>
      </c>
      <c r="V55" s="34">
        <f>_xll.qlYieldTSDiscount(OisCurve,R55,,AllTriggers)</f>
        <v>1.0005320199401726</v>
      </c>
      <c r="W55" s="33">
        <f t="shared" si="5"/>
        <v>-1.2428930422159201E-3</v>
      </c>
      <c r="X55" s="35">
        <f t="shared" si="6"/>
        <v>3.2032127535692242E-4</v>
      </c>
      <c r="Y55" s="33">
        <f t="shared" si="7"/>
        <v>1.2532336603854816E-3</v>
      </c>
      <c r="Z55" s="54"/>
    </row>
    <row r="56" spans="15:26" x14ac:dyDescent="0.25">
      <c r="O56" s="35" t="s">
        <v>30</v>
      </c>
      <c r="P56" s="31">
        <f>_xll.qlCalendarAdvance(Calendar,P55,O55,"f",,Trigger)</f>
        <v>42205</v>
      </c>
      <c r="Q56" s="31">
        <f>_xll.qlInterestRateIndexValueDate(Index,P56,Trigger)</f>
        <v>42207</v>
      </c>
      <c r="R56" s="31">
        <f>_xll.qlInterestRateIndexMaturity(Index,Q56,Trigger)</f>
        <v>42299</v>
      </c>
      <c r="S56" s="32">
        <f>_xll.qlDayCounterYearFraction(DayCounter,Q56,R56,,,Trigger)</f>
        <v>0.25555555555555554</v>
      </c>
      <c r="T56" s="33">
        <f>_xll.qlIndexFixing(Index,P56,,AllTriggers)</f>
        <v>1.0885781714303526E-5</v>
      </c>
      <c r="U56" s="34">
        <f>_xll.qlYieldTSDiscount(OisCurve,Q56,,AllTriggers)</f>
        <v>1.0002183669188061</v>
      </c>
      <c r="V56" s="34">
        <f>_xll.qlYieldTSDiscount(OisCurve,R56,,AllTriggers)</f>
        <v>1.0005355779836371</v>
      </c>
      <c r="W56" s="33">
        <f t="shared" si="5"/>
        <v>-1.2405962524301682E-3</v>
      </c>
      <c r="X56" s="35">
        <f t="shared" si="6"/>
        <v>3.1987345084075099E-4</v>
      </c>
      <c r="Y56" s="33">
        <f t="shared" si="7"/>
        <v>1.2514820341444717E-3</v>
      </c>
      <c r="Z56" s="54"/>
    </row>
    <row r="57" spans="15:26" x14ac:dyDescent="0.25">
      <c r="O57" s="35" t="s">
        <v>30</v>
      </c>
      <c r="P57" s="31">
        <f>_xll.qlCalendarAdvance(Calendar,P56,O56,"f",,Trigger)</f>
        <v>42206</v>
      </c>
      <c r="Q57" s="31">
        <f>_xll.qlInterestRateIndexValueDate(Index,P57,Trigger)</f>
        <v>42208</v>
      </c>
      <c r="R57" s="31">
        <f>_xll.qlInterestRateIndexMaturity(Index,Q57,Trigger)</f>
        <v>42300</v>
      </c>
      <c r="S57" s="32">
        <f>_xll.qlDayCounterYearFraction(DayCounter,Q57,R57,,,Trigger)</f>
        <v>0.25555555555555554</v>
      </c>
      <c r="T57" s="33">
        <f>_xll.qlIndexFixing(Index,P57,,AllTriggers)</f>
        <v>1.1369193991468022E-5</v>
      </c>
      <c r="U57" s="34">
        <f>_xll.qlYieldTSDiscount(OisCurve,Q57,,AllTriggers)</f>
        <v>1.0002227556657248</v>
      </c>
      <c r="V57" s="34">
        <f>_xll.qlYieldTSDiscount(OisCurve,R57,,AllTriggers)</f>
        <v>1.0005393093038621</v>
      </c>
      <c r="W57" s="33">
        <f t="shared" si="5"/>
        <v>-1.2380204732732459E-3</v>
      </c>
      <c r="X57" s="35">
        <f t="shared" si="6"/>
        <v>3.1933852596587471E-4</v>
      </c>
      <c r="Y57" s="33">
        <f t="shared" si="7"/>
        <v>1.249389667264714E-3</v>
      </c>
      <c r="Z57" s="54"/>
    </row>
    <row r="58" spans="15:26" x14ac:dyDescent="0.25">
      <c r="O58" s="35" t="s">
        <v>30</v>
      </c>
      <c r="P58" s="31">
        <f>_xll.qlCalendarAdvance(Calendar,P57,O57,"f",,Trigger)</f>
        <v>42207</v>
      </c>
      <c r="Q58" s="31">
        <f>_xll.qlInterestRateIndexValueDate(Index,P58,Trigger)</f>
        <v>42209</v>
      </c>
      <c r="R58" s="31">
        <f>_xll.qlInterestRateIndexMaturity(Index,Q58,Trigger)</f>
        <v>42303</v>
      </c>
      <c r="S58" s="32">
        <f>_xll.qlDayCounterYearFraction(DayCounter,Q58,R58,,,Trigger)</f>
        <v>0.26111111111111113</v>
      </c>
      <c r="T58" s="33">
        <f>_xll.qlIndexFixing(Index,P58,,AllTriggers)</f>
        <v>9.3989193160308075E-6</v>
      </c>
      <c r="U58" s="34">
        <f>_xll.qlYieldTSDiscount(OisCurve,Q58,,AllTriggers)</f>
        <v>1.0002273744379828</v>
      </c>
      <c r="V58" s="34">
        <f>_xll.qlYieldTSDiscount(OisCurve,R58,,AllTriggers)</f>
        <v>1.0005518186494642</v>
      </c>
      <c r="W58" s="33">
        <f t="shared" si="5"/>
        <v>-1.2418670139121119E-3</v>
      </c>
      <c r="X58" s="35">
        <f t="shared" si="6"/>
        <v>3.2677202046190221E-4</v>
      </c>
      <c r="Y58" s="33">
        <f t="shared" si="7"/>
        <v>1.2512659332281427E-3</v>
      </c>
      <c r="Z58" s="54"/>
    </row>
    <row r="59" spans="15:26" x14ac:dyDescent="0.25">
      <c r="O59" s="35" t="s">
        <v>30</v>
      </c>
      <c r="P59" s="31">
        <f>_xll.qlCalendarAdvance(Calendar,P58,O58,"f",,Trigger)</f>
        <v>42208</v>
      </c>
      <c r="Q59" s="31">
        <f>_xll.qlInterestRateIndexValueDate(Index,P59,Trigger)</f>
        <v>42212</v>
      </c>
      <c r="R59" s="31">
        <f>_xll.qlInterestRateIndexMaturity(Index,Q59,Trigger)</f>
        <v>42304</v>
      </c>
      <c r="S59" s="32">
        <f>_xll.qlDayCounterYearFraction(DayCounter,Q59,R59,,,Trigger)</f>
        <v>0.25555555555555554</v>
      </c>
      <c r="T59" s="33">
        <f>_xll.qlIndexFixing(Index,P59,,AllTriggers)</f>
        <v>1.2618364579306831E-5</v>
      </c>
      <c r="U59" s="34">
        <f>_xll.qlYieldTSDiscount(OisCurve,Q59,,AllTriggers)</f>
        <v>1.0002423828909985</v>
      </c>
      <c r="V59" s="34">
        <f>_xll.qlYieldTSDiscount(OisCurve,R59,,AllTriggers)</f>
        <v>1.0005565188040602</v>
      </c>
      <c r="W59" s="33">
        <f t="shared" si="5"/>
        <v>-1.2285437781789366E-3</v>
      </c>
      <c r="X59" s="35">
        <f t="shared" si="6"/>
        <v>3.1723517185976456E-4</v>
      </c>
      <c r="Y59" s="33">
        <f t="shared" si="7"/>
        <v>1.2411621427582435E-3</v>
      </c>
      <c r="Z59" s="54"/>
    </row>
    <row r="60" spans="15:26" x14ac:dyDescent="0.25">
      <c r="O60" s="35" t="s">
        <v>30</v>
      </c>
      <c r="P60" s="31">
        <f>_xll.qlCalendarAdvance(Calendar,P59,O59,"f",,Trigger)</f>
        <v>42209</v>
      </c>
      <c r="Q60" s="31">
        <f>_xll.qlInterestRateIndexValueDate(Index,P60,Trigger)</f>
        <v>42213</v>
      </c>
      <c r="R60" s="31">
        <f>_xll.qlInterestRateIndexMaturity(Index,Q60,Trigger)</f>
        <v>42305</v>
      </c>
      <c r="S60" s="32">
        <f>_xll.qlDayCounterYearFraction(DayCounter,Q60,R60,,,Trigger)</f>
        <v>0.25555555555555554</v>
      </c>
      <c r="T60" s="33">
        <f>_xll.qlIndexFixing(Index,P60,,AllTriggers)</f>
        <v>1.2742796155653851E-5</v>
      </c>
      <c r="U60" s="34">
        <f>_xll.qlYieldTSDiscount(OisCurve,Q60,,AllTriggers)</f>
        <v>1.0002476937471405</v>
      </c>
      <c r="V60" s="34">
        <f>_xll.qlYieldTSDiscount(OisCurve,R60,,AllTriggers)</f>
        <v>1.0005615301022797</v>
      </c>
      <c r="W60" s="33">
        <f t="shared" si="5"/>
        <v>-1.2273660997068035E-3</v>
      </c>
      <c r="X60" s="35">
        <f t="shared" si="6"/>
        <v>3.1696591418632045E-4</v>
      </c>
      <c r="Y60" s="33">
        <f t="shared" si="7"/>
        <v>1.2401088958624573E-3</v>
      </c>
      <c r="Z60" s="54"/>
    </row>
    <row r="61" spans="15:26" x14ac:dyDescent="0.25">
      <c r="O61" s="35" t="s">
        <v>30</v>
      </c>
      <c r="P61" s="31">
        <f>_xll.qlCalendarAdvance(Calendar,P60,O60,"f",,Trigger)</f>
        <v>42212</v>
      </c>
      <c r="Q61" s="31">
        <f>_xll.qlInterestRateIndexValueDate(Index,P61,Trigger)</f>
        <v>42214</v>
      </c>
      <c r="R61" s="31">
        <f>_xll.qlInterestRateIndexMaturity(Index,Q61,Trigger)</f>
        <v>42306</v>
      </c>
      <c r="S61" s="32">
        <f>_xll.qlDayCounterYearFraction(DayCounter,Q61,R61,,,Trigger)</f>
        <v>0.25555555555555554</v>
      </c>
      <c r="T61" s="33">
        <f>_xll.qlIndexFixing(Index,P61,,AllTriggers)</f>
        <v>1.2785386739756827E-5</v>
      </c>
      <c r="U61" s="34">
        <f>_xll.qlYieldTSDiscount(OisCurve,Q61,,AllTriggers)</f>
        <v>1.0002531206180669</v>
      </c>
      <c r="V61" s="34">
        <f>_xll.qlYieldTSDiscount(OisCurve,R61,,AllTriggers)</f>
        <v>1.0005668674231749</v>
      </c>
      <c r="W61" s="33">
        <f t="shared" si="5"/>
        <v>-1.2270093379314643E-3</v>
      </c>
      <c r="X61" s="35">
        <f t="shared" si="6"/>
        <v>3.1688559735556089E-4</v>
      </c>
      <c r="Y61" s="33">
        <f t="shared" si="7"/>
        <v>1.239794724671221E-3</v>
      </c>
      <c r="Z61" s="54"/>
    </row>
    <row r="62" spans="15:26" x14ac:dyDescent="0.25">
      <c r="O62" s="35" t="s">
        <v>30</v>
      </c>
      <c r="P62" s="31">
        <f>_xll.qlCalendarAdvance(Calendar,P61,O61,"f",,Trigger)</f>
        <v>42213</v>
      </c>
      <c r="Q62" s="31">
        <f>_xll.qlInterestRateIndexValueDate(Index,P62,Trigger)</f>
        <v>42215</v>
      </c>
      <c r="R62" s="31">
        <f>_xll.qlInterestRateIndexMaturity(Index,Q62,Trigger)</f>
        <v>42307</v>
      </c>
      <c r="S62" s="32">
        <f>_xll.qlDayCounterYearFraction(DayCounter,Q62,R62,,,Trigger)</f>
        <v>0.25555555555555554</v>
      </c>
      <c r="T62" s="33">
        <f>_xll.qlIndexFixing(Index,P62,,AllTriggers)</f>
        <v>1.2742788057783651E-5</v>
      </c>
      <c r="U62" s="34">
        <f>_xll.qlYieldTSDiscount(OisCurve,Q62,,AllTriggers)</f>
        <v>1.000258640700453</v>
      </c>
      <c r="V62" s="34">
        <f>_xll.qlYieldTSDiscount(OisCurve,R62,,AllTriggers)</f>
        <v>1.0005724948601624</v>
      </c>
      <c r="W62" s="33">
        <f t="shared" si="5"/>
        <v>-1.2274222798295314E-3</v>
      </c>
      <c r="X62" s="35">
        <f t="shared" si="6"/>
        <v>3.1698027376410678E-4</v>
      </c>
      <c r="Y62" s="33">
        <f t="shared" si="7"/>
        <v>1.240165067887315E-3</v>
      </c>
      <c r="Z62" s="54"/>
    </row>
    <row r="63" spans="15:26" x14ac:dyDescent="0.25">
      <c r="O63" s="35" t="s">
        <v>30</v>
      </c>
      <c r="P63" s="31">
        <f>_xll.qlCalendarAdvance(Calendar,P62,O62,"f",,Trigger)</f>
        <v>42214</v>
      </c>
      <c r="Q63" s="31">
        <f>_xll.qlInterestRateIndexValueDate(Index,P63,Trigger)</f>
        <v>42216</v>
      </c>
      <c r="R63" s="31">
        <f>_xll.qlInterestRateIndexMaturity(Index,Q63,Trigger)</f>
        <v>42307</v>
      </c>
      <c r="S63" s="32">
        <f>_xll.qlDayCounterYearFraction(DayCounter,Q63,R63,,,Trigger)</f>
        <v>0.25277777777777777</v>
      </c>
      <c r="T63" s="33">
        <f>_xll.qlIndexFixing(Index,P63,,AllTriggers)</f>
        <v>1.3987010922664891E-5</v>
      </c>
      <c r="U63" s="34">
        <f>_xll.qlYieldTSDiscount(OisCurve,Q63,,AllTriggers)</f>
        <v>1.0002642311905008</v>
      </c>
      <c r="V63" s="34">
        <f>_xll.qlYieldTSDiscount(OisCurve,R63,,AllTriggers)</f>
        <v>1.0005724948601624</v>
      </c>
      <c r="W63" s="33">
        <f t="shared" si="5"/>
        <v>-1.2188068665660128E-3</v>
      </c>
      <c r="X63" s="35">
        <f t="shared" si="6"/>
        <v>3.1167035919873272E-4</v>
      </c>
      <c r="Y63" s="33">
        <f t="shared" si="7"/>
        <v>1.2327938774886777E-3</v>
      </c>
      <c r="Z63" s="54"/>
    </row>
    <row r="64" spans="15:26" x14ac:dyDescent="0.25">
      <c r="O64" s="35" t="s">
        <v>30</v>
      </c>
      <c r="P64" s="31">
        <f>_xll.qlCalendarAdvance(Calendar,P63,O63,"f",,Trigger)</f>
        <v>42215</v>
      </c>
      <c r="Q64" s="31">
        <f>_xll.qlInterestRateIndexValueDate(Index,P64,Trigger)</f>
        <v>42219</v>
      </c>
      <c r="R64" s="31">
        <f>_xll.qlInterestRateIndexMaturity(Index,Q64,Trigger)</f>
        <v>42311</v>
      </c>
      <c r="S64" s="32">
        <f>_xll.qlDayCounterYearFraction(DayCounter,Q64,R64,,,Trigger)</f>
        <v>0.25555555555555554</v>
      </c>
      <c r="T64" s="33">
        <f>_xll.qlIndexFixing(Index,P64,,AllTriggers)</f>
        <v>1.1653535392327448E-5</v>
      </c>
      <c r="U64" s="34">
        <f>_xll.qlYieldTSDiscount(OisCurve,Q64,,AllTriggers)</f>
        <v>1.0002442866850194</v>
      </c>
      <c r="V64" s="34">
        <f>_xll.qlYieldTSDiscount(OisCurve,R64,,AllTriggers)</f>
        <v>1.0005645143385427</v>
      </c>
      <c r="W64" s="33">
        <f t="shared" si="5"/>
        <v>-1.2523577572667503E-3</v>
      </c>
      <c r="X64" s="35">
        <f t="shared" si="6"/>
        <v>3.2307632965496332E-4</v>
      </c>
      <c r="Y64" s="33">
        <f t="shared" si="7"/>
        <v>1.2640112926590777E-3</v>
      </c>
      <c r="Z64" s="54"/>
    </row>
    <row r="65" spans="15:26" x14ac:dyDescent="0.25">
      <c r="O65" s="35" t="s">
        <v>30</v>
      </c>
      <c r="P65" s="31">
        <f>_xll.qlCalendarAdvance(Calendar,P64,O64,"f",,Trigger)</f>
        <v>42216</v>
      </c>
      <c r="Q65" s="31">
        <f>_xll.qlInterestRateIndexValueDate(Index,P65,Trigger)</f>
        <v>42220</v>
      </c>
      <c r="R65" s="31">
        <f>_xll.qlInterestRateIndexMaturity(Index,Q65,Trigger)</f>
        <v>42312</v>
      </c>
      <c r="S65" s="32">
        <f>_xll.qlDayCounterYearFraction(DayCounter,Q65,R65,,,Trigger)</f>
        <v>0.25555555555555554</v>
      </c>
      <c r="T65" s="33">
        <f>_xll.qlIndexFixing(Index,P65,,AllTriggers)</f>
        <v>1.1134766487971728E-5</v>
      </c>
      <c r="U65" s="34">
        <f>_xll.qlYieldTSDiscount(OisCurve,Q65,,AllTriggers)</f>
        <v>1.0002499305494734</v>
      </c>
      <c r="V65" s="34">
        <f>_xll.qlYieldTSDiscount(OisCurve,R65,,AllTriggers)</f>
        <v>1.0005708630736982</v>
      </c>
      <c r="W65" s="33">
        <f t="shared" si="5"/>
        <v>-1.2551064269668592E-3</v>
      </c>
      <c r="X65" s="35">
        <f t="shared" si="6"/>
        <v>3.2364641870952075E-4</v>
      </c>
      <c r="Y65" s="33">
        <f t="shared" si="7"/>
        <v>1.2662411934548309E-3</v>
      </c>
      <c r="Z65" s="54"/>
    </row>
    <row r="66" spans="15:26" x14ac:dyDescent="0.25">
      <c r="O66" s="35" t="s">
        <v>30</v>
      </c>
      <c r="P66" s="31">
        <f>_xll.qlCalendarAdvance(Calendar,P65,O65,"f",,Trigger)</f>
        <v>42219</v>
      </c>
      <c r="Q66" s="31">
        <f>_xll.qlInterestRateIndexValueDate(Index,P66,Trigger)</f>
        <v>42221</v>
      </c>
      <c r="R66" s="31">
        <f>_xll.qlInterestRateIndexMaturity(Index,Q66,Trigger)</f>
        <v>42313</v>
      </c>
      <c r="S66" s="32">
        <f>_xll.qlDayCounterYearFraction(DayCounter,Q66,R66,,,Trigger)</f>
        <v>0.25555555555555554</v>
      </c>
      <c r="T66" s="33">
        <f>_xll.qlIndexFixing(Index,P66,,AllTriggers)</f>
        <v>1.0510718814435318E-5</v>
      </c>
      <c r="U66" s="34">
        <f>_xll.qlYieldTSDiscount(OisCurve,Q66,,AllTriggers)</f>
        <v>1.0002555307966496</v>
      </c>
      <c r="V66" s="34">
        <f>_xll.qlYieldTSDiscount(OisCurve,R66,,AllTriggers)</f>
        <v>1.000577210286602</v>
      </c>
      <c r="W66" s="33">
        <f t="shared" si="5"/>
        <v>-1.2580196883433428E-3</v>
      </c>
      <c r="X66" s="35">
        <f t="shared" si="6"/>
        <v>3.2423167958226667E-4</v>
      </c>
      <c r="Y66" s="33">
        <f t="shared" si="7"/>
        <v>1.2685304071577781E-3</v>
      </c>
      <c r="Z66" s="54"/>
    </row>
    <row r="67" spans="15:26" x14ac:dyDescent="0.25">
      <c r="O67" s="35" t="s">
        <v>30</v>
      </c>
      <c r="P67" s="31">
        <f>_xll.qlCalendarAdvance(Calendar,P66,O66,"f",,Trigger)</f>
        <v>42220</v>
      </c>
      <c r="Q67" s="31">
        <f>_xll.qlInterestRateIndexValueDate(Index,P67,Trigger)</f>
        <v>42222</v>
      </c>
      <c r="R67" s="31">
        <f>_xll.qlInterestRateIndexMaturity(Index,Q67,Trigger)</f>
        <v>42314</v>
      </c>
      <c r="S67" s="32">
        <f>_xll.qlDayCounterYearFraction(DayCounter,Q67,R67,,,Trigger)</f>
        <v>0.25555555555555554</v>
      </c>
      <c r="T67" s="33">
        <f>_xll.qlIndexFixing(Index,P67,,AllTriggers)</f>
        <v>9.778044154362675E-6</v>
      </c>
      <c r="U67" s="34">
        <f>_xll.qlYieldTSDiscount(OisCurve,Q67,,AllTriggers)</f>
        <v>1.0002610646205465</v>
      </c>
      <c r="V67" s="34">
        <f>_xll.qlYieldTSDiscount(OisCurve,R67,,AllTriggers)</f>
        <v>1.0005835073683236</v>
      </c>
      <c r="W67" s="33">
        <f t="shared" si="5"/>
        <v>-1.2609966904412234E-3</v>
      </c>
      <c r="X67" s="35">
        <f t="shared" si="6"/>
        <v>3.2480547537034335E-4</v>
      </c>
      <c r="Y67" s="33">
        <f t="shared" si="7"/>
        <v>1.2707747345955861E-3</v>
      </c>
      <c r="Z67" s="54"/>
    </row>
    <row r="68" spans="15:26" x14ac:dyDescent="0.25">
      <c r="O68" s="35" t="s">
        <v>30</v>
      </c>
      <c r="P68" s="31">
        <f>_xll.qlCalendarAdvance(Calendar,P67,O67,"f",,Trigger)</f>
        <v>42221</v>
      </c>
      <c r="Q68" s="31">
        <f>_xll.qlInterestRateIndexValueDate(Index,P68,Trigger)</f>
        <v>42223</v>
      </c>
      <c r="R68" s="31">
        <f>_xll.qlInterestRateIndexMaturity(Index,Q68,Trigger)</f>
        <v>42317</v>
      </c>
      <c r="S68" s="32">
        <f>_xll.qlDayCounterYearFraction(DayCounter,Q68,R68,,,Trigger)</f>
        <v>0.26111111111111113</v>
      </c>
      <c r="T68" s="33">
        <f>_xll.qlIndexFixing(Index,P68,,AllTriggers)</f>
        <v>6.0970877308643605E-6</v>
      </c>
      <c r="U68" s="34">
        <f>_xll.qlYieldTSDiscount(OisCurve,Q68,,AllTriggers)</f>
        <v>1.000266509214669</v>
      </c>
      <c r="V68" s="34">
        <f>_xll.qlYieldTSDiscount(OisCurve,R68,,AllTriggers)</f>
        <v>1.0006016117190466</v>
      </c>
      <c r="W68" s="33">
        <f t="shared" ref="W68:W131" si="15">(U68/V68-1)/S68</f>
        <v>-1.2825996663711604E-3</v>
      </c>
      <c r="X68" s="35">
        <f t="shared" ref="X68:X131" si="16">LN((1+T68*S68)/(1+W68*S68))</f>
        <v>3.365491319533017E-4</v>
      </c>
      <c r="Y68" s="33">
        <f t="shared" ref="Y68:Y131" si="17">T68-W68</f>
        <v>1.2886967541020247E-3</v>
      </c>
      <c r="Z68" s="54"/>
    </row>
    <row r="69" spans="15:26" x14ac:dyDescent="0.25">
      <c r="O69" s="35" t="s">
        <v>30</v>
      </c>
      <c r="P69" s="31">
        <f>_xll.qlCalendarAdvance(Calendar,P68,O68,"f",,Trigger)</f>
        <v>42222</v>
      </c>
      <c r="Q69" s="31">
        <f>_xll.qlInterestRateIndexValueDate(Index,P69,Trigger)</f>
        <v>42226</v>
      </c>
      <c r="R69" s="31">
        <f>_xll.qlInterestRateIndexMaturity(Index,Q69,Trigger)</f>
        <v>42318</v>
      </c>
      <c r="S69" s="32">
        <f>_xll.qlDayCounterYearFraction(DayCounter,Q69,R69,,,Trigger)</f>
        <v>0.25555555555555554</v>
      </c>
      <c r="T69" s="33">
        <f>_xll.qlIndexFixing(Index,P69,,AllTriggers)</f>
        <v>5.6941116978037129E-6</v>
      </c>
      <c r="U69" s="34">
        <f>_xll.qlYieldTSDiscount(OisCurve,Q69,,AllTriggers)</f>
        <v>1.0002820795464322</v>
      </c>
      <c r="V69" s="34">
        <f>_xll.qlYieldTSDiscount(OisCurve,R69,,AllTriggers)</f>
        <v>1.0006072321340167</v>
      </c>
      <c r="W69" s="33">
        <f t="shared" si="15"/>
        <v>-1.2715640777186243E-3</v>
      </c>
      <c r="X69" s="35">
        <f t="shared" si="16"/>
        <v>3.2646323452805885E-4</v>
      </c>
      <c r="Y69" s="33">
        <f t="shared" si="17"/>
        <v>1.2772581894164279E-3</v>
      </c>
      <c r="Z69" s="54"/>
    </row>
    <row r="70" spans="15:26" x14ac:dyDescent="0.25">
      <c r="O70" s="35" t="s">
        <v>30</v>
      </c>
      <c r="P70" s="31">
        <f>_xll.qlCalendarAdvance(Calendar,P69,O69,"f",,Trigger)</f>
        <v>42223</v>
      </c>
      <c r="Q70" s="31">
        <f>_xll.qlInterestRateIndexValueDate(Index,P70,Trigger)</f>
        <v>42227</v>
      </c>
      <c r="R70" s="31">
        <f>_xll.qlInterestRateIndexMaturity(Index,Q70,Trigger)</f>
        <v>42319</v>
      </c>
      <c r="S70" s="32">
        <f>_xll.qlDayCounterYearFraction(DayCounter,Q70,R70,,,Trigger)</f>
        <v>0.25555555555555554</v>
      </c>
      <c r="T70" s="33">
        <f>_xll.qlIndexFixing(Index,P70,,AllTriggers)</f>
        <v>4.3696608418587326E-6</v>
      </c>
      <c r="U70" s="34">
        <f>_xll.qlYieldTSDiscount(OisCurve,Q70,,AllTriggers)</f>
        <v>1.0002869448460432</v>
      </c>
      <c r="V70" s="34">
        <f>_xll.qlYieldTSDiscount(OisCurve,R70,,AllTriggers)</f>
        <v>1.0006126191822273</v>
      </c>
      <c r="W70" s="33">
        <f t="shared" si="15"/>
        <v>-1.2735976069180022E-3</v>
      </c>
      <c r="X70" s="35">
        <f t="shared" si="16"/>
        <v>3.2664461293612895E-4</v>
      </c>
      <c r="Y70" s="33">
        <f t="shared" si="17"/>
        <v>1.277967267759861E-3</v>
      </c>
      <c r="Z70" s="54"/>
    </row>
    <row r="71" spans="15:26" x14ac:dyDescent="0.25">
      <c r="O71" s="35" t="s">
        <v>30</v>
      </c>
      <c r="P71" s="31">
        <f>_xll.qlCalendarAdvance(Calendar,P70,O70,"f",,Trigger)</f>
        <v>42226</v>
      </c>
      <c r="Q71" s="31">
        <f>_xll.qlInterestRateIndexValueDate(Index,P71,Trigger)</f>
        <v>42228</v>
      </c>
      <c r="R71" s="31">
        <f>_xll.qlInterestRateIndexMaturity(Index,Q71,Trigger)</f>
        <v>42320</v>
      </c>
      <c r="S71" s="32">
        <f>_xll.qlDayCounterYearFraction(DayCounter,Q71,R71,,,Trigger)</f>
        <v>0.25555555555555554</v>
      </c>
      <c r="T71" s="33">
        <f>_xll.qlIndexFixing(Index,P71,,AllTriggers)</f>
        <v>2.9259834572639338E-6</v>
      </c>
      <c r="U71" s="34">
        <f>_xll.qlYieldTSDiscount(OisCurve,Q71,,AllTriggers)</f>
        <v>1.0002916410691556</v>
      </c>
      <c r="V71" s="34">
        <f>_xll.qlYieldTSDiscount(OisCurve,R71,,AllTriggers)</f>
        <v>1.0006177840758264</v>
      </c>
      <c r="W71" s="33">
        <f t="shared" si="15"/>
        <v>-1.2754238287022326E-3</v>
      </c>
      <c r="X71" s="35">
        <f t="shared" si="16"/>
        <v>3.2674252668440663E-4</v>
      </c>
      <c r="Y71" s="33">
        <f t="shared" si="17"/>
        <v>1.2783498121594966E-3</v>
      </c>
      <c r="Z71" s="54"/>
    </row>
    <row r="72" spans="15:26" x14ac:dyDescent="0.25">
      <c r="O72" s="35" t="s">
        <v>30</v>
      </c>
      <c r="P72" s="31">
        <f>_xll.qlCalendarAdvance(Calendar,P71,O71,"f",,Trigger)</f>
        <v>42227</v>
      </c>
      <c r="Q72" s="31">
        <f>_xll.qlInterestRateIndexValueDate(Index,P72,Trigger)</f>
        <v>42229</v>
      </c>
      <c r="R72" s="31">
        <f>_xll.qlInterestRateIndexMaturity(Index,Q72,Trigger)</f>
        <v>42321</v>
      </c>
      <c r="S72" s="32">
        <f>_xll.qlDayCounterYearFraction(DayCounter,Q72,R72,,,Trigger)</f>
        <v>0.25555555555555554</v>
      </c>
      <c r="T72" s="33">
        <f>_xll.qlIndexFixing(Index,P72,,AllTriggers)</f>
        <v>1.36922090969619E-6</v>
      </c>
      <c r="U72" s="34">
        <f>_xll.qlYieldTSDiscount(OisCurve,Q72,,AllTriggers)</f>
        <v>1.0002961795997813</v>
      </c>
      <c r="V72" s="34">
        <f>_xll.qlYieldTSDiscount(OisCurve,R72,,AllTriggers)</f>
        <v>1.0006227380273465</v>
      </c>
      <c r="W72" s="33">
        <f t="shared" si="15"/>
        <v>-1.2770420625999844E-3</v>
      </c>
      <c r="X72" s="35">
        <f t="shared" si="16"/>
        <v>3.2675837117017149E-4</v>
      </c>
      <c r="Y72" s="33">
        <f t="shared" si="17"/>
        <v>1.2784112835096805E-3</v>
      </c>
      <c r="Z72" s="54"/>
    </row>
    <row r="73" spans="15:26" x14ac:dyDescent="0.25">
      <c r="O73" s="35" t="s">
        <v>30</v>
      </c>
      <c r="P73" s="31">
        <f>_xll.qlCalendarAdvance(Calendar,P72,O72,"f",,Trigger)</f>
        <v>42228</v>
      </c>
      <c r="Q73" s="31">
        <f>_xll.qlInterestRateIndexValueDate(Index,P73,Trigger)</f>
        <v>42230</v>
      </c>
      <c r="R73" s="31">
        <f>_xll.qlInterestRateIndexMaturity(Index,Q73,Trigger)</f>
        <v>42324</v>
      </c>
      <c r="S73" s="32">
        <f>_xll.qlDayCounterYearFraction(DayCounter,Q73,R73,,,Trigger)</f>
        <v>0.26111111111111113</v>
      </c>
      <c r="T73" s="33">
        <f>_xll.qlIndexFixing(Index,P73,,AllTriggers)</f>
        <v>-3.0102123121815278E-6</v>
      </c>
      <c r="U73" s="34">
        <f>_xll.qlYieldTSDiscount(OisCurve,Q73,,AllTriggers)</f>
        <v>1.0003005718222171</v>
      </c>
      <c r="V73" s="34">
        <f>_xll.qlYieldTSDiscount(OisCurve,R73,,AllTriggers)</f>
        <v>1.0006364463600359</v>
      </c>
      <c r="W73" s="33">
        <f t="shared" si="15"/>
        <v>-1.2855098591077413E-3</v>
      </c>
      <c r="X73" s="35">
        <f t="shared" si="16"/>
        <v>3.3493125419723158E-4</v>
      </c>
      <c r="Y73" s="33">
        <f t="shared" si="17"/>
        <v>1.2824996467955597E-3</v>
      </c>
      <c r="Z73" s="54"/>
    </row>
    <row r="74" spans="15:26" x14ac:dyDescent="0.25">
      <c r="O74" s="35" t="s">
        <v>30</v>
      </c>
      <c r="P74" s="31">
        <f>_xll.qlCalendarAdvance(Calendar,P73,O73,"f",,Trigger)</f>
        <v>42229</v>
      </c>
      <c r="Q74" s="31">
        <f>_xll.qlInterestRateIndexValueDate(Index,P74,Trigger)</f>
        <v>42233</v>
      </c>
      <c r="R74" s="31">
        <f>_xll.qlInterestRateIndexMaturity(Index,Q74,Trigger)</f>
        <v>42325</v>
      </c>
      <c r="S74" s="32">
        <f>_xll.qlDayCounterYearFraction(DayCounter,Q74,R74,,,Trigger)</f>
        <v>0.25555555555555554</v>
      </c>
      <c r="T74" s="33">
        <f>_xll.qlIndexFixing(Index,P74,,AllTriggers)</f>
        <v>-5.8658536471612388E-6</v>
      </c>
      <c r="U74" s="34">
        <f>_xll.qlYieldTSDiscount(OisCurve,Q74,,AllTriggers)</f>
        <v>1.0003129844872716</v>
      </c>
      <c r="V74" s="34">
        <f>_xll.qlYieldTSDiscount(OisCurve,R74,,AllTriggers)</f>
        <v>1.0006406686754423</v>
      </c>
      <c r="W74" s="33">
        <f t="shared" si="15"/>
        <v>-1.2814215088299951E-3</v>
      </c>
      <c r="X74" s="35">
        <f t="shared" si="16"/>
        <v>3.2602896442423916E-4</v>
      </c>
      <c r="Y74" s="33">
        <f t="shared" si="17"/>
        <v>1.2755556551828338E-3</v>
      </c>
      <c r="Z74" s="54"/>
    </row>
    <row r="75" spans="15:26" x14ac:dyDescent="0.25">
      <c r="O75" s="35" t="s">
        <v>30</v>
      </c>
      <c r="P75" s="31">
        <f>_xll.qlCalendarAdvance(Calendar,P74,O74,"f",,Trigger)</f>
        <v>42230</v>
      </c>
      <c r="Q75" s="31">
        <f>_xll.qlInterestRateIndexValueDate(Index,P75,Trigger)</f>
        <v>42234</v>
      </c>
      <c r="R75" s="31">
        <f>_xll.qlInterestRateIndexMaturity(Index,Q75,Trigger)</f>
        <v>42326</v>
      </c>
      <c r="S75" s="32">
        <f>_xll.qlDayCounterYearFraction(DayCounter,Q75,R75,,,Trigger)</f>
        <v>0.25555555555555554</v>
      </c>
      <c r="T75" s="33">
        <f>_xll.qlIndexFixing(Index,P75,,AllTriggers)</f>
        <v>-7.8959215874336958E-6</v>
      </c>
      <c r="U75" s="34">
        <f>_xll.qlYieldTSDiscount(OisCurve,Q75,,AllTriggers)</f>
        <v>1.0003169053250351</v>
      </c>
      <c r="V75" s="34">
        <f>_xll.qlYieldTSDiscount(OisCurve,R75,,AllTriggers)</f>
        <v>1.0006447361163997</v>
      </c>
      <c r="W75" s="33">
        <f t="shared" si="15"/>
        <v>-1.2819895951293014E-3</v>
      </c>
      <c r="X75" s="35">
        <f t="shared" si="16"/>
        <v>3.2565539354948347E-4</v>
      </c>
      <c r="Y75" s="33">
        <f t="shared" si="17"/>
        <v>1.2740936735418677E-3</v>
      </c>
      <c r="Z75" s="54"/>
    </row>
    <row r="76" spans="15:26" x14ac:dyDescent="0.25">
      <c r="O76" s="35" t="s">
        <v>30</v>
      </c>
      <c r="P76" s="31">
        <f>_xll.qlCalendarAdvance(Calendar,P75,O75,"f",,Trigger)</f>
        <v>42233</v>
      </c>
      <c r="Q76" s="31">
        <f>_xll.qlInterestRateIndexValueDate(Index,P76,Trigger)</f>
        <v>42235</v>
      </c>
      <c r="R76" s="31">
        <f>_xll.qlInterestRateIndexMaturity(Index,Q76,Trigger)</f>
        <v>42327</v>
      </c>
      <c r="S76" s="32">
        <f>_xll.qlDayCounterYearFraction(DayCounter,Q76,R76,,,Trigger)</f>
        <v>0.25555555555555554</v>
      </c>
      <c r="T76" s="33">
        <f>_xll.qlIndexFixing(Index,P76,,AllTriggers)</f>
        <v>-1.0002226552659984E-5</v>
      </c>
      <c r="U76" s="34">
        <f>_xll.qlYieldTSDiscount(OisCurve,Q76,,AllTriggers)</f>
        <v>1.0003207367798064</v>
      </c>
      <c r="V76" s="34">
        <f>_xll.qlYieldTSDiscount(OisCurve,R76,,AllTriggers)</f>
        <v>1.0006486598972832</v>
      </c>
      <c r="W76" s="33">
        <f t="shared" si="15"/>
        <v>-1.2823456100420688E-3</v>
      </c>
      <c r="X76" s="35">
        <f t="shared" si="16"/>
        <v>3.2520812579303377E-4</v>
      </c>
      <c r="Y76" s="33">
        <f t="shared" si="17"/>
        <v>1.2723433834894088E-3</v>
      </c>
      <c r="Z76" s="54"/>
    </row>
    <row r="77" spans="15:26" x14ac:dyDescent="0.25">
      <c r="O77" s="35" t="s">
        <v>30</v>
      </c>
      <c r="P77" s="31">
        <f>_xll.qlCalendarAdvance(Calendar,P76,O76,"f",,Trigger)</f>
        <v>42234</v>
      </c>
      <c r="Q77" s="31">
        <f>_xll.qlInterestRateIndexValueDate(Index,P77,Trigger)</f>
        <v>42236</v>
      </c>
      <c r="R77" s="31">
        <f>_xll.qlInterestRateIndexMaturity(Index,Q77,Trigger)</f>
        <v>42328</v>
      </c>
      <c r="S77" s="32">
        <f>_xll.qlDayCounterYearFraction(DayCounter,Q77,R77,,,Trigger)</f>
        <v>0.25555555555555554</v>
      </c>
      <c r="T77" s="33">
        <f>_xll.qlIndexFixing(Index,P77,,AllTriggers)</f>
        <v>-1.2178627207139254E-5</v>
      </c>
      <c r="U77" s="34">
        <f>_xll.qlYieldTSDiscount(OisCurve,Q77,,AllTriggers)</f>
        <v>1.0003244902372739</v>
      </c>
      <c r="V77" s="34">
        <f>_xll.qlYieldTSDiscount(OisCurve,R77,,AllTriggers)</f>
        <v>1.0006524512327091</v>
      </c>
      <c r="W77" s="33">
        <f t="shared" si="15"/>
        <v>-1.2824888728654124E-3</v>
      </c>
      <c r="X77" s="35">
        <f t="shared" si="16"/>
        <v>3.2468855655129735E-4</v>
      </c>
      <c r="Y77" s="33">
        <f t="shared" si="17"/>
        <v>1.2703102456582732E-3</v>
      </c>
      <c r="Z77" s="54"/>
    </row>
    <row r="78" spans="15:26" x14ac:dyDescent="0.25">
      <c r="O78" s="35" t="s">
        <v>30</v>
      </c>
      <c r="P78" s="31">
        <f>_xll.qlCalendarAdvance(Calendar,P77,O77,"f",,Trigger)</f>
        <v>42235</v>
      </c>
      <c r="Q78" s="31">
        <f>_xll.qlInterestRateIndexValueDate(Index,P78,Trigger)</f>
        <v>42237</v>
      </c>
      <c r="R78" s="31">
        <f>_xll.qlInterestRateIndexMaturity(Index,Q78,Trigger)</f>
        <v>42331</v>
      </c>
      <c r="S78" s="32">
        <f>_xll.qlDayCounterYearFraction(DayCounter,Q78,R78,,,Trigger)</f>
        <v>0.26111111111111113</v>
      </c>
      <c r="T78" s="33">
        <f>_xll.qlIndexFixing(Index,P78,,AllTriggers)</f>
        <v>-1.6790970476999567E-5</v>
      </c>
      <c r="U78" s="34">
        <f>_xll.qlYieldTSDiscount(OisCurve,Q78,,AllTriggers)</f>
        <v>1.000328177083317</v>
      </c>
      <c r="V78" s="34">
        <f>_xll.qlYieldTSDiscount(OisCurve,R78,,AllTriggers)</f>
        <v>1.0006631427157056</v>
      </c>
      <c r="W78" s="33">
        <f t="shared" si="15"/>
        <v>-1.2819969558220319E-3</v>
      </c>
      <c r="X78" s="35">
        <f t="shared" si="16"/>
        <v>3.3041537016845532E-4</v>
      </c>
      <c r="Y78" s="33">
        <f t="shared" si="17"/>
        <v>1.2652059853450323E-3</v>
      </c>
      <c r="Z78" s="54"/>
    </row>
    <row r="79" spans="15:26" x14ac:dyDescent="0.25">
      <c r="O79" s="35" t="s">
        <v>30</v>
      </c>
      <c r="P79" s="31">
        <f>_xll.qlCalendarAdvance(Calendar,P78,O78,"f",,Trigger)</f>
        <v>42236</v>
      </c>
      <c r="Q79" s="31">
        <f>_xll.qlInterestRateIndexValueDate(Index,P79,Trigger)</f>
        <v>42240</v>
      </c>
      <c r="R79" s="31">
        <f>_xll.qlInterestRateIndexMaturity(Index,Q79,Trigger)</f>
        <v>42332</v>
      </c>
      <c r="S79" s="32">
        <f>_xll.qlDayCounterYearFraction(DayCounter,Q79,R79,,,Trigger)</f>
        <v>0.25555555555555554</v>
      </c>
      <c r="T79" s="33">
        <f>_xll.qlIndexFixing(Index,P79,,AllTriggers)</f>
        <v>-2.1462360392388508E-5</v>
      </c>
      <c r="U79" s="34">
        <f>_xll.qlYieldTSDiscount(OisCurve,Q79,,AllTriggers)</f>
        <v>1.000338951814397</v>
      </c>
      <c r="V79" s="34">
        <f>_xll.qlYieldTSDiscount(OisCurve,R79,,AllTriggers)</f>
        <v>1.0006665164197723</v>
      </c>
      <c r="W79" s="33">
        <f t="shared" si="15"/>
        <v>-1.280920788035168E-3</v>
      </c>
      <c r="X79" s="35">
        <f t="shared" si="16"/>
        <v>3.2191517266946405E-4</v>
      </c>
      <c r="Y79" s="33">
        <f t="shared" si="17"/>
        <v>1.2594584276427795E-3</v>
      </c>
      <c r="Z79" s="54"/>
    </row>
    <row r="80" spans="15:26" x14ac:dyDescent="0.25">
      <c r="O80" s="35" t="s">
        <v>30</v>
      </c>
      <c r="P80" s="31">
        <f>_xll.qlCalendarAdvance(Calendar,P79,O79,"f",,Trigger)</f>
        <v>42237</v>
      </c>
      <c r="Q80" s="31">
        <f>_xll.qlInterestRateIndexValueDate(Index,P80,Trigger)</f>
        <v>42241</v>
      </c>
      <c r="R80" s="31">
        <f>_xll.qlInterestRateIndexMaturity(Index,Q80,Trigger)</f>
        <v>42333</v>
      </c>
      <c r="S80" s="32">
        <f>_xll.qlDayCounterYearFraction(DayCounter,Q80,R80,,,Trigger)</f>
        <v>0.25555555555555554</v>
      </c>
      <c r="T80" s="33">
        <f>_xll.qlIndexFixing(Index,P80,,AllTriggers)</f>
        <v>-2.3897119849914794E-5</v>
      </c>
      <c r="U80" s="34">
        <f>_xll.qlYieldTSDiscount(OisCurve,Q80,,AllTriggers)</f>
        <v>1.000342486077098</v>
      </c>
      <c r="V80" s="34">
        <f>_xll.qlYieldTSDiscount(OisCurve,R80,,AllTriggers)</f>
        <v>1.0006698137545829</v>
      </c>
      <c r="W80" s="33">
        <f t="shared" si="15"/>
        <v>-1.2799900786760214E-3</v>
      </c>
      <c r="X80" s="35">
        <f t="shared" si="16"/>
        <v>3.2105502695408322E-4</v>
      </c>
      <c r="Y80" s="33">
        <f t="shared" si="17"/>
        <v>1.2560929588261065E-3</v>
      </c>
      <c r="Z80" s="54"/>
    </row>
    <row r="81" spans="15:26" x14ac:dyDescent="0.25">
      <c r="O81" s="35" t="s">
        <v>30</v>
      </c>
      <c r="P81" s="31">
        <f>_xll.qlCalendarAdvance(Calendar,P80,O80,"f",,Trigger)</f>
        <v>42240</v>
      </c>
      <c r="Q81" s="31">
        <f>_xll.qlInterestRateIndexValueDate(Index,P81,Trigger)</f>
        <v>42242</v>
      </c>
      <c r="R81" s="31">
        <f>_xll.qlInterestRateIndexMaturity(Index,Q81,Trigger)</f>
        <v>42334</v>
      </c>
      <c r="S81" s="32">
        <f>_xll.qlDayCounterYearFraction(DayCounter,Q81,R81,,,Trigger)</f>
        <v>0.25555555555555554</v>
      </c>
      <c r="T81" s="33">
        <f>_xll.qlIndexFixing(Index,P81,,AllTriggers)</f>
        <v>-2.6365127227510346E-5</v>
      </c>
      <c r="U81" s="34">
        <f>_xll.qlYieldTSDiscount(OisCurve,Q81,,AllTriggers)</f>
        <v>1.0003460106603952</v>
      </c>
      <c r="V81" s="34">
        <f>_xll.qlYieldTSDiscount(OisCurve,R81,,AllTriggers)</f>
        <v>1.0006730459359199</v>
      </c>
      <c r="W81" s="33">
        <f t="shared" si="15"/>
        <v>-1.2788425322841973E-3</v>
      </c>
      <c r="X81" s="35">
        <f t="shared" si="16"/>
        <v>3.2013095213428132E-4</v>
      </c>
      <c r="Y81" s="33">
        <f t="shared" si="17"/>
        <v>1.2524774050566869E-3</v>
      </c>
      <c r="Z81" s="54"/>
    </row>
    <row r="82" spans="15:26" x14ac:dyDescent="0.25">
      <c r="O82" s="35" t="s">
        <v>30</v>
      </c>
      <c r="P82" s="31">
        <f>_xll.qlCalendarAdvance(Calendar,P81,O81,"f",,Trigger)</f>
        <v>42241</v>
      </c>
      <c r="Q82" s="31">
        <f>_xll.qlInterestRateIndexValueDate(Index,P82,Trigger)</f>
        <v>42243</v>
      </c>
      <c r="R82" s="31">
        <f>_xll.qlInterestRateIndexMaturity(Index,Q82,Trigger)</f>
        <v>42335</v>
      </c>
      <c r="S82" s="32">
        <f>_xll.qlDayCounterYearFraction(DayCounter,Q82,R82,,,Trigger)</f>
        <v>0.25555555555555554</v>
      </c>
      <c r="T82" s="33">
        <f>_xll.qlIndexFixing(Index,P82,,AllTriggers)</f>
        <v>-2.8860241275058023E-5</v>
      </c>
      <c r="U82" s="34">
        <f>_xll.qlYieldTSDiscount(OisCurve,Q82,,AllTriggers)</f>
        <v>1.0003495369511868</v>
      </c>
      <c r="V82" s="34">
        <f>_xll.qlYieldTSDiscount(OisCurve,R82,,AllTriggers)</f>
        <v>1.0006762241797242</v>
      </c>
      <c r="W82" s="33">
        <f t="shared" si="15"/>
        <v>-1.2774774679065763E-3</v>
      </c>
      <c r="X82" s="35">
        <f t="shared" si="16"/>
        <v>3.1914434360689564E-4</v>
      </c>
      <c r="Y82" s="33">
        <f t="shared" si="17"/>
        <v>1.2486172266315183E-3</v>
      </c>
      <c r="Z82" s="54"/>
    </row>
    <row r="83" spans="15:26" x14ac:dyDescent="0.25">
      <c r="O83" s="35" t="s">
        <v>30</v>
      </c>
      <c r="P83" s="31">
        <f>_xll.qlCalendarAdvance(Calendar,P82,O82,"f",,Trigger)</f>
        <v>42242</v>
      </c>
      <c r="Q83" s="31">
        <f>_xll.qlInterestRateIndexValueDate(Index,P83,Trigger)</f>
        <v>42244</v>
      </c>
      <c r="R83" s="31">
        <f>_xll.qlInterestRateIndexMaturity(Index,Q83,Trigger)</f>
        <v>42338</v>
      </c>
      <c r="S83" s="32">
        <f>_xll.qlDayCounterYearFraction(DayCounter,Q83,R83,,,Trigger)</f>
        <v>0.26111111111111113</v>
      </c>
      <c r="T83" s="33">
        <f>_xll.qlIndexFixing(Index,P83,,AllTriggers)</f>
        <v>-3.3225324343289424E-5</v>
      </c>
      <c r="U83" s="34">
        <f>_xll.qlYieldTSDiscount(OisCurve,Q83,,AllTriggers)</f>
        <v>1.000353076336532</v>
      </c>
      <c r="V83" s="34">
        <f>_xll.qlYieldTSDiscount(OisCurve,R83,,AllTriggers)</f>
        <v>1.0006855474476166</v>
      </c>
      <c r="W83" s="33">
        <f t="shared" si="15"/>
        <v>-1.2724213117371395E-3</v>
      </c>
      <c r="X83" s="35">
        <f t="shared" si="16"/>
        <v>3.2362300856776216E-4</v>
      </c>
      <c r="Y83" s="33">
        <f t="shared" si="17"/>
        <v>1.2391959873938501E-3</v>
      </c>
      <c r="Z83" s="54"/>
    </row>
    <row r="84" spans="15:26" x14ac:dyDescent="0.25">
      <c r="O84" s="35" t="s">
        <v>30</v>
      </c>
      <c r="P84" s="31">
        <f>_xll.qlCalendarAdvance(Calendar,P83,O83,"f",,Trigger)</f>
        <v>42243</v>
      </c>
      <c r="Q84" s="31">
        <f>_xll.qlInterestRateIndexValueDate(Index,P84,Trigger)</f>
        <v>42247</v>
      </c>
      <c r="R84" s="31">
        <f>_xll.qlInterestRateIndexMaturity(Index,Q84,Trigger)</f>
        <v>42338</v>
      </c>
      <c r="S84" s="32">
        <f>_xll.qlDayCounterYearFraction(DayCounter,Q84,R84,,,Trigger)</f>
        <v>0.25277777777777777</v>
      </c>
      <c r="T84" s="33">
        <f>_xll.qlIndexFixing(Index,P84,,AllTriggers)</f>
        <v>-3.8143403594768971E-5</v>
      </c>
      <c r="U84" s="34">
        <f>_xll.qlYieldTSDiscount(OisCurve,Q84,,AllTriggers)</f>
        <v>1.0003638869329163</v>
      </c>
      <c r="V84" s="34">
        <f>_xll.qlYieldTSDiscount(OisCurve,R84,,AllTriggers)</f>
        <v>1.0006855474476166</v>
      </c>
      <c r="W84" s="33">
        <f t="shared" si="15"/>
        <v>-1.2716313714369906E-3</v>
      </c>
      <c r="X84" s="35">
        <f t="shared" si="16"/>
        <v>3.1184997390338047E-4</v>
      </c>
      <c r="Y84" s="33">
        <f t="shared" si="17"/>
        <v>1.2334879678422216E-3</v>
      </c>
      <c r="Z84" s="54"/>
    </row>
    <row r="85" spans="15:26" x14ac:dyDescent="0.25">
      <c r="O85" s="35" t="s">
        <v>30</v>
      </c>
      <c r="P85" s="31">
        <f>_xll.qlCalendarAdvance(Calendar,P84,O84,"f",,Trigger)</f>
        <v>42244</v>
      </c>
      <c r="Q85" s="31">
        <f>_xll.qlInterestRateIndexValueDate(Index,P85,Trigger)</f>
        <v>42248</v>
      </c>
      <c r="R85" s="31">
        <f>_xll.qlInterestRateIndexMaturity(Index,Q85,Trigger)</f>
        <v>42339</v>
      </c>
      <c r="S85" s="32">
        <f>_xll.qlDayCounterYearFraction(DayCounter,Q85,R85,,,Trigger)</f>
        <v>0.25277777777777777</v>
      </c>
      <c r="T85" s="33">
        <f>_xll.qlIndexFixing(Index,P85,,AllTriggers)</f>
        <v>-4.0728692690538271E-5</v>
      </c>
      <c r="U85" s="34">
        <f>_xll.qlYieldTSDiscount(OisCurve,Q85,,AllTriggers)</f>
        <v>1.0003540876078363</v>
      </c>
      <c r="V85" s="34">
        <f>_xll.qlYieldTSDiscount(OisCurve,R85,,AllTriggers)</f>
        <v>1.0006865206575783</v>
      </c>
      <c r="W85" s="33">
        <f t="shared" si="15"/>
        <v>-1.3142175197454157E-3</v>
      </c>
      <c r="X85" s="35">
        <f t="shared" si="16"/>
        <v>3.2196481503024349E-4</v>
      </c>
      <c r="Y85" s="33">
        <f t="shared" si="17"/>
        <v>1.2734888270548774E-3</v>
      </c>
      <c r="Z85" s="54"/>
    </row>
    <row r="86" spans="15:26" x14ac:dyDescent="0.25">
      <c r="O86" s="35" t="s">
        <v>30</v>
      </c>
      <c r="P86" s="31">
        <f>_xll.qlCalendarAdvance(Calendar,P85,O85,"f",,Trigger)</f>
        <v>42247</v>
      </c>
      <c r="Q86" s="31">
        <f>_xll.qlInterestRateIndexValueDate(Index,P86,Trigger)</f>
        <v>42249</v>
      </c>
      <c r="R86" s="31">
        <f>_xll.qlInterestRateIndexMaturity(Index,Q86,Trigger)</f>
        <v>42340</v>
      </c>
      <c r="S86" s="32">
        <f>_xll.qlDayCounterYearFraction(DayCounter,Q86,R86,,,Trigger)</f>
        <v>0.25277777777777777</v>
      </c>
      <c r="T86" s="33">
        <f>_xll.qlIndexFixing(Index,P86,,AllTriggers)</f>
        <v>-4.3305388237577815E-5</v>
      </c>
      <c r="U86" s="34">
        <f>_xll.qlYieldTSDiscount(OisCurve,Q86,,AllTriggers)</f>
        <v>1.0003578632266177</v>
      </c>
      <c r="V86" s="34">
        <f>_xll.qlYieldTSDiscount(OisCurve,R86,,AllTriggers)</f>
        <v>1.0006895974515593</v>
      </c>
      <c r="W86" s="33">
        <f t="shared" si="15"/>
        <v>-1.3114508024620081E-3</v>
      </c>
      <c r="X86" s="35">
        <f t="shared" si="16"/>
        <v>3.2061387992650479E-4</v>
      </c>
      <c r="Y86" s="33">
        <f t="shared" si="17"/>
        <v>1.2681454142244304E-3</v>
      </c>
      <c r="Z86" s="54"/>
    </row>
    <row r="87" spans="15:26" x14ac:dyDescent="0.25">
      <c r="O87" s="35" t="s">
        <v>30</v>
      </c>
      <c r="P87" s="31">
        <f>_xll.qlCalendarAdvance(Calendar,P86,O86,"f",,Trigger)</f>
        <v>42248</v>
      </c>
      <c r="Q87" s="31">
        <f>_xll.qlInterestRateIndexValueDate(Index,P87,Trigger)</f>
        <v>42250</v>
      </c>
      <c r="R87" s="31">
        <f>_xll.qlInterestRateIndexMaturity(Index,Q87,Trigger)</f>
        <v>42341</v>
      </c>
      <c r="S87" s="32">
        <f>_xll.qlDayCounterYearFraction(DayCounter,Q87,R87,,,Trigger)</f>
        <v>0.25277777777777777</v>
      </c>
      <c r="T87" s="33">
        <f>_xll.qlIndexFixing(Index,P87,,AllTriggers)</f>
        <v>-4.5867281607111673E-5</v>
      </c>
      <c r="U87" s="34">
        <f>_xll.qlYieldTSDiscount(OisCurve,Q87,,AllTriggers)</f>
        <v>1.0003617202647193</v>
      </c>
      <c r="V87" s="34">
        <f>_xll.qlYieldTSDiscount(OisCurve,R87,,AllTriggers)</f>
        <v>1.0006926876066873</v>
      </c>
      <c r="W87" s="33">
        <f t="shared" si="15"/>
        <v>-1.3084150299648876E-3</v>
      </c>
      <c r="X87" s="35">
        <f t="shared" si="16"/>
        <v>3.1919865291000083E-4</v>
      </c>
      <c r="Y87" s="33">
        <f t="shared" si="17"/>
        <v>1.2625477483577759E-3</v>
      </c>
      <c r="Z87" s="54"/>
    </row>
    <row r="88" spans="15:26" x14ac:dyDescent="0.25">
      <c r="O88" s="35" t="s">
        <v>30</v>
      </c>
      <c r="P88" s="31">
        <f>_xll.qlCalendarAdvance(Calendar,P87,O87,"f",,Trigger)</f>
        <v>42249</v>
      </c>
      <c r="Q88" s="31">
        <f>_xll.qlInterestRateIndexValueDate(Index,P88,Trigger)</f>
        <v>42251</v>
      </c>
      <c r="R88" s="31">
        <f>_xll.qlInterestRateIndexMaturity(Index,Q88,Trigger)</f>
        <v>42342</v>
      </c>
      <c r="S88" s="32">
        <f>_xll.qlDayCounterYearFraction(DayCounter,Q88,R88,,,Trigger)</f>
        <v>0.25277777777777777</v>
      </c>
      <c r="T88" s="33">
        <f>_xll.qlIndexFixing(Index,P88,,AllTriggers)</f>
        <v>-4.8408164189249891E-5</v>
      </c>
      <c r="U88" s="34">
        <f>_xll.qlYieldTSDiscount(OisCurve,Q88,,AllTriggers)</f>
        <v>1.000365670110267</v>
      </c>
      <c r="V88" s="34">
        <f>_xll.qlYieldTSDiscount(OisCurve,R88,,AllTriggers)</f>
        <v>1.0006958023398782</v>
      </c>
      <c r="W88" s="33">
        <f t="shared" si="15"/>
        <v>-1.3051095133954139E-3</v>
      </c>
      <c r="X88" s="35">
        <f t="shared" si="16"/>
        <v>3.1772052937727147E-4</v>
      </c>
      <c r="Y88" s="33">
        <f t="shared" si="17"/>
        <v>1.256701349206164E-3</v>
      </c>
      <c r="Z88" s="54"/>
    </row>
    <row r="89" spans="15:26" x14ac:dyDescent="0.25">
      <c r="O89" s="35" t="s">
        <v>30</v>
      </c>
      <c r="P89" s="31">
        <f>_xll.qlCalendarAdvance(Calendar,P88,O88,"f",,Trigger)</f>
        <v>42250</v>
      </c>
      <c r="Q89" s="31">
        <f>_xll.qlInterestRateIndexValueDate(Index,P89,Trigger)</f>
        <v>42254</v>
      </c>
      <c r="R89" s="31">
        <f>_xll.qlInterestRateIndexMaturity(Index,Q89,Trigger)</f>
        <v>42345</v>
      </c>
      <c r="S89" s="32">
        <f>_xll.qlDayCounterYearFraction(DayCounter,Q89,R89,,,Trigger)</f>
        <v>0.25277777777777777</v>
      </c>
      <c r="T89" s="33">
        <f>_xll.qlIndexFixing(Index,P89,,AllTriggers)</f>
        <v>-5.5842661317062863E-5</v>
      </c>
      <c r="U89" s="34">
        <f>_xll.qlYieldTSDiscount(OisCurve,Q89,,AllTriggers)</f>
        <v>1.0003781903759732</v>
      </c>
      <c r="V89" s="34">
        <f>_xll.qlYieldTSDiscount(OisCurve,R89,,AllTriggers)</f>
        <v>1.0007054061791278</v>
      </c>
      <c r="W89" s="33">
        <f t="shared" si="15"/>
        <v>-1.2935676098069348E-3</v>
      </c>
      <c r="X89" s="35">
        <f t="shared" si="16"/>
        <v>3.129227336500097E-4</v>
      </c>
      <c r="Y89" s="33">
        <f t="shared" si="17"/>
        <v>1.2377249484898719E-3</v>
      </c>
      <c r="Z89" s="54"/>
    </row>
    <row r="90" spans="15:26" x14ac:dyDescent="0.25">
      <c r="O90" s="35" t="s">
        <v>30</v>
      </c>
      <c r="P90" s="31">
        <f>_xll.qlCalendarAdvance(Calendar,P89,O89,"f",,Trigger)</f>
        <v>42251</v>
      </c>
      <c r="Q90" s="31">
        <f>_xll.qlInterestRateIndexValueDate(Index,P90,Trigger)</f>
        <v>42255</v>
      </c>
      <c r="R90" s="31">
        <f>_xll.qlInterestRateIndexMaturity(Index,Q90,Trigger)</f>
        <v>42346</v>
      </c>
      <c r="S90" s="32">
        <f>_xll.qlDayCounterYearFraction(DayCounter,Q90,R90,,,Trigger)</f>
        <v>0.25277777777777777</v>
      </c>
      <c r="T90" s="33">
        <f>_xll.qlIndexFixing(Index,P90,,AllTriggers)</f>
        <v>-5.8237414933569856E-5</v>
      </c>
      <c r="U90" s="34">
        <f>_xll.qlYieldTSDiscount(OisCurve,Q90,,AllTriggers)</f>
        <v>1.0003826253368167</v>
      </c>
      <c r="V90" s="34">
        <f>_xll.qlYieldTSDiscount(OisCurve,R90,,AllTriggers)</f>
        <v>1.000708731396611</v>
      </c>
      <c r="W90" s="33">
        <f t="shared" si="15"/>
        <v>-1.2891762272104756E-3</v>
      </c>
      <c r="X90" s="35">
        <f t="shared" si="16"/>
        <v>3.1120697802027681E-4</v>
      </c>
      <c r="Y90" s="33">
        <f t="shared" si="17"/>
        <v>1.2309388122769059E-3</v>
      </c>
      <c r="Z90" s="54"/>
    </row>
    <row r="91" spans="15:26" x14ac:dyDescent="0.25">
      <c r="O91" s="35" t="s">
        <v>30</v>
      </c>
      <c r="P91" s="31">
        <f>_xll.qlCalendarAdvance(Calendar,P90,O90,"f",,Trigger)</f>
        <v>42254</v>
      </c>
      <c r="Q91" s="31">
        <f>_xll.qlInterestRateIndexValueDate(Index,P91,Trigger)</f>
        <v>42256</v>
      </c>
      <c r="R91" s="31">
        <f>_xll.qlInterestRateIndexMaturity(Index,Q91,Trigger)</f>
        <v>42347</v>
      </c>
      <c r="S91" s="32">
        <f>_xll.qlDayCounterYearFraction(DayCounter,Q91,R91,,,Trigger)</f>
        <v>0.25277777777777777</v>
      </c>
      <c r="T91" s="33">
        <f>_xll.qlIndexFixing(Index,P91,,AllTriggers)</f>
        <v>-6.0580114928004789E-5</v>
      </c>
      <c r="U91" s="34">
        <f>_xll.qlYieldTSDiscount(OisCurve,Q91,,AllTriggers)</f>
        <v>1.0003872100490354</v>
      </c>
      <c r="V91" s="34">
        <f>_xll.qlYieldTSDiscount(OisCurve,R91,,AllTriggers)</f>
        <v>1.00071213727894</v>
      </c>
      <c r="W91" s="33">
        <f t="shared" si="15"/>
        <v>-1.2845116553832187E-3</v>
      </c>
      <c r="X91" s="35">
        <f t="shared" si="16"/>
        <v>3.0943530285867981E-4</v>
      </c>
      <c r="Y91" s="33">
        <f t="shared" si="17"/>
        <v>1.2239315404552139E-3</v>
      </c>
      <c r="Z91" s="54"/>
    </row>
    <row r="92" spans="15:26" x14ac:dyDescent="0.25">
      <c r="O92" s="35" t="s">
        <v>30</v>
      </c>
      <c r="P92" s="31">
        <f>_xll.qlCalendarAdvance(Calendar,P91,O91,"f",,Trigger)</f>
        <v>42255</v>
      </c>
      <c r="Q92" s="31">
        <f>_xll.qlInterestRateIndexValueDate(Index,P92,Trigger)</f>
        <v>42257</v>
      </c>
      <c r="R92" s="31">
        <f>_xll.qlInterestRateIndexMaturity(Index,Q92,Trigger)</f>
        <v>42348</v>
      </c>
      <c r="S92" s="32">
        <f>_xll.qlDayCounterYearFraction(DayCounter,Q92,R92,,,Trigger)</f>
        <v>0.25277777777777777</v>
      </c>
      <c r="T92" s="33">
        <f>_xll.qlIndexFixing(Index,P92,,AllTriggers)</f>
        <v>-6.2864552775684289E-5</v>
      </c>
      <c r="U92" s="34">
        <f>_xll.qlYieldTSDiscount(OisCurve,Q92,,AllTriggers)</f>
        <v>1.0003919518559479</v>
      </c>
      <c r="V92" s="34">
        <f>_xll.qlYieldTSDiscount(OisCurve,R92,,AllTriggers)</f>
        <v>1.0007156323760076</v>
      </c>
      <c r="W92" s="33">
        <f t="shared" si="15"/>
        <v>-1.2795786571566123E-3</v>
      </c>
      <c r="X92" s="35">
        <f t="shared" si="16"/>
        <v>3.0761048216303545E-4</v>
      </c>
      <c r="Y92" s="33">
        <f t="shared" si="17"/>
        <v>1.216714104380928E-3</v>
      </c>
      <c r="Z92" s="54"/>
    </row>
    <row r="93" spans="15:26" x14ac:dyDescent="0.25">
      <c r="O93" s="35" t="s">
        <v>30</v>
      </c>
      <c r="P93" s="31">
        <f>_xll.qlCalendarAdvance(Calendar,P92,O92,"f",,Trigger)</f>
        <v>42256</v>
      </c>
      <c r="Q93" s="31">
        <f>_xll.qlInterestRateIndexValueDate(Index,P93,Trigger)</f>
        <v>42258</v>
      </c>
      <c r="R93" s="31">
        <f>_xll.qlInterestRateIndexMaturity(Index,Q93,Trigger)</f>
        <v>42349</v>
      </c>
      <c r="S93" s="32">
        <f>_xll.qlDayCounterYearFraction(DayCounter,Q93,R93,,,Trigger)</f>
        <v>0.25277777777777777</v>
      </c>
      <c r="T93" s="33">
        <f>_xll.qlIndexFixing(Index,P93,,AllTriggers)</f>
        <v>-6.5084519962026779E-5</v>
      </c>
      <c r="U93" s="34">
        <f>_xll.qlYieldTSDiscount(OisCurve,Q93,,AllTriggers)</f>
        <v>1.0003968419161056</v>
      </c>
      <c r="V93" s="34">
        <f>_xll.qlYieldTSDiscount(OisCurve,R93,,AllTriggers)</f>
        <v>1.0007192145660277</v>
      </c>
      <c r="W93" s="33">
        <f t="shared" si="15"/>
        <v>-1.2744038035402243E-3</v>
      </c>
      <c r="X93" s="35">
        <f t="shared" si="16"/>
        <v>3.0574080433800715E-4</v>
      </c>
      <c r="Y93" s="33">
        <f t="shared" si="17"/>
        <v>1.2093192835781975E-3</v>
      </c>
      <c r="Z93" s="54"/>
    </row>
    <row r="94" spans="15:26" x14ac:dyDescent="0.25">
      <c r="O94" s="35" t="s">
        <v>30</v>
      </c>
      <c r="P94" s="31">
        <f>_xll.qlCalendarAdvance(Calendar,P93,O93,"f",,Trigger)</f>
        <v>42257</v>
      </c>
      <c r="Q94" s="31">
        <f>_xll.qlInterestRateIndexValueDate(Index,P94,Trigger)</f>
        <v>42261</v>
      </c>
      <c r="R94" s="31">
        <f>_xll.qlInterestRateIndexMaturity(Index,Q94,Trigger)</f>
        <v>42352</v>
      </c>
      <c r="S94" s="32">
        <f>_xll.qlDayCounterYearFraction(DayCounter,Q94,R94,,,Trigger)</f>
        <v>0.25277777777777777</v>
      </c>
      <c r="T94" s="33">
        <f>_xll.qlIndexFixing(Index,P94,,AllTriggers)</f>
        <v>-7.1295512580704296E-5</v>
      </c>
      <c r="U94" s="34">
        <f>_xll.qlYieldTSDiscount(OisCurve,Q94,,AllTriggers)</f>
        <v>1.0004122727368554</v>
      </c>
      <c r="V94" s="34">
        <f>_xll.qlYieldTSDiscount(OisCurve,R94,,AllTriggers)</f>
        <v>1.0007304357959763</v>
      </c>
      <c r="W94" s="33">
        <f t="shared" si="15"/>
        <v>-1.257748342659857E-3</v>
      </c>
      <c r="X94" s="35">
        <f t="shared" si="16"/>
        <v>2.9995929815008067E-4</v>
      </c>
      <c r="Y94" s="33">
        <f t="shared" si="17"/>
        <v>1.1864528300791527E-3</v>
      </c>
      <c r="Z94" s="54"/>
    </row>
    <row r="95" spans="15:26" x14ac:dyDescent="0.25">
      <c r="O95" s="35" t="s">
        <v>30</v>
      </c>
      <c r="P95" s="31">
        <f>_xll.qlCalendarAdvance(Calendar,P94,O94,"f",,Trigger)</f>
        <v>42258</v>
      </c>
      <c r="Q95" s="31">
        <f>_xll.qlInterestRateIndexValueDate(Index,P95,Trigger)</f>
        <v>42262</v>
      </c>
      <c r="R95" s="31">
        <f>_xll.qlInterestRateIndexMaturity(Index,Q95,Trigger)</f>
        <v>42353</v>
      </c>
      <c r="S95" s="32">
        <f>_xll.qlDayCounterYearFraction(DayCounter,Q95,R95,,,Trigger)</f>
        <v>0.25277777777777777</v>
      </c>
      <c r="T95" s="33">
        <f>_xll.qlIndexFixing(Index,P95,,AllTriggers)</f>
        <v>-7.3195512191095654E-5</v>
      </c>
      <c r="U95" s="34">
        <f>_xll.qlYieldTSDiscount(OisCurve,Q95,,AllTriggers)</f>
        <v>1.0004176269297336</v>
      </c>
      <c r="V95" s="34">
        <f>_xll.qlYieldTSDiscount(OisCurve,R95,,AllTriggers)</f>
        <v>1.0007343184597193</v>
      </c>
      <c r="W95" s="33">
        <f t="shared" si="15"/>
        <v>-1.2519263005376054E-3</v>
      </c>
      <c r="X95" s="35">
        <f t="shared" si="16"/>
        <v>2.9800686187157727E-4</v>
      </c>
      <c r="Y95" s="33">
        <f t="shared" si="17"/>
        <v>1.1787307883465098E-3</v>
      </c>
      <c r="Z95" s="54"/>
    </row>
    <row r="96" spans="15:26" x14ac:dyDescent="0.25">
      <c r="O96" s="35" t="s">
        <v>30</v>
      </c>
      <c r="P96" s="31">
        <f>_xll.qlCalendarAdvance(Calendar,P95,O95,"f",,Trigger)</f>
        <v>42261</v>
      </c>
      <c r="Q96" s="31">
        <f>_xll.qlInterestRateIndexValueDate(Index,P96,Trigger)</f>
        <v>42263</v>
      </c>
      <c r="R96" s="31">
        <f>_xll.qlInterestRateIndexMaturity(Index,Q96,Trigger)</f>
        <v>42354</v>
      </c>
      <c r="S96" s="32">
        <f>_xll.qlDayCounterYearFraction(DayCounter,Q96,R96,,,Trigger)</f>
        <v>0.25277777777777777</v>
      </c>
      <c r="T96" s="33">
        <f>_xll.qlIndexFixing(Index,P96,,AllTriggers)</f>
        <v>-7.4999998716134103E-5</v>
      </c>
      <c r="U96" s="34">
        <f>_xll.qlYieldTSDiscount(OisCurve,Q96,,AllTriggers)</f>
        <v>1.0004230649346082</v>
      </c>
      <c r="V96" s="34">
        <f>_xll.qlYieldTSDiscount(OisCurve,R96,,AllTriggers)</f>
        <v>1.0007382642670974</v>
      </c>
      <c r="W96" s="33">
        <f t="shared" si="15"/>
        <v>-1.2460225203405836E-3</v>
      </c>
      <c r="X96" s="35">
        <f t="shared" si="16"/>
        <v>2.9605790349399491E-4</v>
      </c>
      <c r="Y96" s="33">
        <f t="shared" si="17"/>
        <v>1.1710225216244494E-3</v>
      </c>
      <c r="Z96" s="54"/>
    </row>
    <row r="97" spans="15:26" x14ac:dyDescent="0.25">
      <c r="O97" s="35" t="s">
        <v>30</v>
      </c>
      <c r="P97" s="31">
        <f>_xll.qlCalendarAdvance(Calendar,P96,O96,"f",,Trigger)</f>
        <v>42262</v>
      </c>
      <c r="Q97" s="31">
        <f>_xll.qlInterestRateIndexValueDate(Index,P97,Trigger)</f>
        <v>42264</v>
      </c>
      <c r="R97" s="31">
        <f>_xll.qlInterestRateIndexMaturity(Index,Q97,Trigger)</f>
        <v>42355</v>
      </c>
      <c r="S97" s="32">
        <f>_xll.qlDayCounterYearFraction(DayCounter,Q97,R97,,,Trigger)</f>
        <v>0.25277777777777777</v>
      </c>
      <c r="T97" s="33">
        <f>_xll.qlIndexFixing(Index,P97,,AllTriggers)</f>
        <v>-7.6715277590675205E-5</v>
      </c>
      <c r="U97" s="34">
        <f>_xll.qlYieldTSDiscount(OisCurve,Q97,,AllTriggers)</f>
        <v>1.0004285738625098</v>
      </c>
      <c r="V97" s="34">
        <f>_xll.qlYieldTSDiscount(OisCurve,R97,,AllTriggers)</f>
        <v>1.0007422684280725</v>
      </c>
      <c r="W97" s="33">
        <f t="shared" si="15"/>
        <v>-1.2400690260513784E-3</v>
      </c>
      <c r="X97" s="35">
        <f t="shared" si="16"/>
        <v>2.9411892672794667E-4</v>
      </c>
      <c r="Y97" s="33">
        <f t="shared" si="17"/>
        <v>1.1633537484607031E-3</v>
      </c>
      <c r="Z97" s="54"/>
    </row>
    <row r="98" spans="15:26" x14ac:dyDescent="0.25">
      <c r="O98" s="35" t="s">
        <v>30</v>
      </c>
      <c r="P98" s="31">
        <f>_xll.qlCalendarAdvance(Calendar,P97,O97,"f",,Trigger)</f>
        <v>42263</v>
      </c>
      <c r="Q98" s="31">
        <f>_xll.qlInterestRateIndexValueDate(Index,P98,Trigger)</f>
        <v>42265</v>
      </c>
      <c r="R98" s="31">
        <f>_xll.qlInterestRateIndexMaturity(Index,Q98,Trigger)</f>
        <v>42356</v>
      </c>
      <c r="S98" s="32">
        <f>_xll.qlDayCounterYearFraction(DayCounter,Q98,R98,,,Trigger)</f>
        <v>0.25277777777777777</v>
      </c>
      <c r="T98" s="33">
        <f>_xll.qlIndexFixing(Index,P98,,AllTriggers)</f>
        <v>-7.8346446501387348E-5</v>
      </c>
      <c r="U98" s="34">
        <f>_xll.qlYieldTSDiscount(OisCurve,Q98,,AllTriggers)</f>
        <v>1.0004341408242032</v>
      </c>
      <c r="V98" s="34">
        <f>_xll.qlYieldTSDiscount(OisCurve,R98,,AllTriggers)</f>
        <v>1.0007463261525391</v>
      </c>
      <c r="W98" s="33">
        <f t="shared" si="15"/>
        <v>-1.2340978418344086E-3</v>
      </c>
      <c r="X98" s="35">
        <f t="shared" si="16"/>
        <v>2.9219674057505657E-4</v>
      </c>
      <c r="Y98" s="33">
        <f t="shared" si="17"/>
        <v>1.1557513953330213E-3</v>
      </c>
      <c r="Z98" s="54"/>
    </row>
    <row r="99" spans="15:26" x14ac:dyDescent="0.25">
      <c r="O99" s="35" t="s">
        <v>30</v>
      </c>
      <c r="P99" s="31">
        <f>_xll.qlCalendarAdvance(Calendar,P98,O98,"f",,Trigger)</f>
        <v>42264</v>
      </c>
      <c r="Q99" s="31">
        <f>_xll.qlInterestRateIndexValueDate(Index,P99,Trigger)</f>
        <v>42268</v>
      </c>
      <c r="R99" s="31">
        <f>_xll.qlInterestRateIndexMaturity(Index,Q99,Trigger)</f>
        <v>42359</v>
      </c>
      <c r="S99" s="32">
        <f>_xll.qlDayCounterYearFraction(DayCounter,Q99,R99,,,Trigger)</f>
        <v>0.25277777777777777</v>
      </c>
      <c r="T99" s="33">
        <f>_xll.qlIndexFixing(Index,P99,,AllTriggers)</f>
        <v>-8.2723279573623774E-5</v>
      </c>
      <c r="U99" s="34">
        <f>_xll.qlYieldTSDiscount(OisCurve,Q99,,AllTriggers)</f>
        <v>1.0004510610155102</v>
      </c>
      <c r="V99" s="34">
        <f>_xll.qlYieldTSDiscount(OisCurve,R99,,AllTriggers)</f>
        <v>1.0007587728047955</v>
      </c>
      <c r="W99" s="33">
        <f t="shared" si="15"/>
        <v>-1.2163983941844807E-3</v>
      </c>
      <c r="X99" s="35">
        <f t="shared" si="16"/>
        <v>2.8661493876449689E-4</v>
      </c>
      <c r="Y99" s="33">
        <f t="shared" si="17"/>
        <v>1.1336751146108568E-3</v>
      </c>
      <c r="Z99" s="54"/>
    </row>
    <row r="100" spans="15:26" x14ac:dyDescent="0.25">
      <c r="O100" s="35" t="s">
        <v>30</v>
      </c>
      <c r="P100" s="31">
        <f>_xll.qlCalendarAdvance(Calendar,P99,O99,"f",,Trigger)</f>
        <v>42265</v>
      </c>
      <c r="Q100" s="31">
        <f>_xll.qlInterestRateIndexValueDate(Index,P100,Trigger)</f>
        <v>42269</v>
      </c>
      <c r="R100" s="31">
        <f>_xll.qlInterestRateIndexMaturity(Index,Q100,Trigger)</f>
        <v>42360</v>
      </c>
      <c r="S100" s="32">
        <f>_xll.qlDayCounterYearFraction(DayCounter,Q100,R100,,,Trigger)</f>
        <v>0.25277777777777777</v>
      </c>
      <c r="T100" s="33">
        <f>_xll.qlIndexFixing(Index,P100,,AllTriggers)</f>
        <v>-8.4014248950737099E-5</v>
      </c>
      <c r="U100" s="34">
        <f>_xll.qlYieldTSDiscount(OisCurve,Q100,,AllTriggers)</f>
        <v>1.0004567312144197</v>
      </c>
      <c r="V100" s="34">
        <f>_xll.qlYieldTSDiscount(OisCurve,R100,,AllTriggers)</f>
        <v>1.0007629968807716</v>
      </c>
      <c r="W100" s="33">
        <f t="shared" si="15"/>
        <v>-1.2106766957727126E-3</v>
      </c>
      <c r="X100" s="35">
        <f t="shared" si="16"/>
        <v>2.8484184150540641E-4</v>
      </c>
      <c r="Y100" s="33">
        <f t="shared" si="17"/>
        <v>1.1266624468219755E-3</v>
      </c>
      <c r="Z100" s="54"/>
    </row>
    <row r="101" spans="15:26" x14ac:dyDescent="0.25">
      <c r="O101" s="35" t="s">
        <v>30</v>
      </c>
      <c r="P101" s="31">
        <f>_xll.qlCalendarAdvance(Calendar,P100,O100,"f",,Trigger)</f>
        <v>42268</v>
      </c>
      <c r="Q101" s="31">
        <f>_xll.qlInterestRateIndexValueDate(Index,P101,Trigger)</f>
        <v>42270</v>
      </c>
      <c r="R101" s="31">
        <f>_xll.qlInterestRateIndexMaturity(Index,Q101,Trigger)</f>
        <v>42361</v>
      </c>
      <c r="S101" s="32">
        <f>_xll.qlDayCounterYearFraction(DayCounter,Q101,R101,,,Trigger)</f>
        <v>0.25277777777777777</v>
      </c>
      <c r="T101" s="33">
        <f>_xll.qlIndexFixing(Index,P101,,AllTriggers)</f>
        <v>-8.5223355605096009E-5</v>
      </c>
      <c r="U101" s="34">
        <f>_xll.qlYieldTSDiscount(OisCurve,Q101,,AllTriggers)</f>
        <v>1.0004623949967069</v>
      </c>
      <c r="V101" s="34">
        <f>_xll.qlYieldTSDiscount(OisCurve,R101,,AllTriggers)</f>
        <v>1.0007672505686407</v>
      </c>
      <c r="W101" s="33">
        <f t="shared" si="15"/>
        <v>-1.2050974311259468E-3</v>
      </c>
      <c r="X101" s="35">
        <f t="shared" si="16"/>
        <v>2.8312545481711074E-4</v>
      </c>
      <c r="Y101" s="33">
        <f t="shared" si="17"/>
        <v>1.1198740755208507E-3</v>
      </c>
      <c r="Z101" s="54"/>
    </row>
    <row r="102" spans="15:26" x14ac:dyDescent="0.25">
      <c r="O102" s="35" t="s">
        <v>30</v>
      </c>
      <c r="P102" s="31">
        <f>_xll.qlCalendarAdvance(Calendar,P101,O101,"f",,Trigger)</f>
        <v>42269</v>
      </c>
      <c r="Q102" s="31">
        <f>_xll.qlInterestRateIndexValueDate(Index,P102,Trigger)</f>
        <v>42271</v>
      </c>
      <c r="R102" s="31">
        <f>_xll.qlInterestRateIndexMaturity(Index,Q102,Trigger)</f>
        <v>42362</v>
      </c>
      <c r="S102" s="32">
        <f>_xll.qlDayCounterYearFraction(DayCounter,Q102,R102,,,Trigger)</f>
        <v>0.25277777777777777</v>
      </c>
      <c r="T102" s="33">
        <f>_xll.qlIndexFixing(Index,P102,,AllTriggers)</f>
        <v>-8.6351874387694506E-5</v>
      </c>
      <c r="U102" s="34">
        <f>_xll.qlYieldTSDiscount(OisCurve,Q102,,AllTriggers)</f>
        <v>1.0004680394714183</v>
      </c>
      <c r="V102" s="34">
        <f>_xll.qlYieldTSDiscount(OisCurve,R102,,AllTriggers)</f>
        <v>1.000771529077854</v>
      </c>
      <c r="W102" s="33">
        <f t="shared" si="15"/>
        <v>-1.1996926255171663E-3</v>
      </c>
      <c r="X102" s="35">
        <f t="shared" si="16"/>
        <v>2.8147355403795806E-4</v>
      </c>
      <c r="Y102" s="33">
        <f t="shared" si="17"/>
        <v>1.1133407511294718E-3</v>
      </c>
      <c r="Z102" s="54"/>
    </row>
    <row r="103" spans="15:26" x14ac:dyDescent="0.25">
      <c r="O103" s="35" t="s">
        <v>30</v>
      </c>
      <c r="P103" s="31">
        <f>_xll.qlCalendarAdvance(Calendar,P102,O102,"f",,Trigger)</f>
        <v>42270</v>
      </c>
      <c r="Q103" s="31">
        <f>_xll.qlInterestRateIndexValueDate(Index,P103,Trigger)</f>
        <v>42272</v>
      </c>
      <c r="R103" s="31">
        <f>_xll.qlInterestRateIndexMaturity(Index,Q103,Trigger)</f>
        <v>42366</v>
      </c>
      <c r="S103" s="32">
        <f>_xll.qlDayCounterYearFraction(DayCounter,Q103,R103,,,Trigger)</f>
        <v>0.26111111111111113</v>
      </c>
      <c r="T103" s="33">
        <f>_xll.qlIndexFixing(Index,P103,,AllTriggers)</f>
        <v>-8.6658159252716899E-5</v>
      </c>
      <c r="U103" s="34">
        <f>_xll.qlYieldTSDiscount(OisCurve,Q103,,AllTriggers)</f>
        <v>1.0004736517473107</v>
      </c>
      <c r="V103" s="34">
        <f>_xll.qlYieldTSDiscount(OisCurve,R103,,AllTriggers)</f>
        <v>1.0007887955143624</v>
      </c>
      <c r="W103" s="33">
        <f t="shared" si="15"/>
        <v>-1.2059823025118703E-3</v>
      </c>
      <c r="X103" s="35">
        <f t="shared" si="16"/>
        <v>2.923173046966923E-4</v>
      </c>
      <c r="Y103" s="33">
        <f t="shared" si="17"/>
        <v>1.1193241432591533E-3</v>
      </c>
      <c r="Z103" s="54"/>
    </row>
    <row r="104" spans="15:26" x14ac:dyDescent="0.25">
      <c r="O104" s="35" t="s">
        <v>30</v>
      </c>
      <c r="P104" s="31">
        <f>_xll.qlCalendarAdvance(Calendar,P103,O103,"f",,Trigger)</f>
        <v>42271</v>
      </c>
      <c r="Q104" s="31">
        <f>_xll.qlInterestRateIndexValueDate(Index,P104,Trigger)</f>
        <v>42275</v>
      </c>
      <c r="R104" s="31">
        <f>_xll.qlInterestRateIndexMaturity(Index,Q104,Trigger)</f>
        <v>42366</v>
      </c>
      <c r="S104" s="32">
        <f>_xll.qlDayCounterYearFraction(DayCounter,Q104,R104,,,Trigger)</f>
        <v>0.25277777777777777</v>
      </c>
      <c r="T104" s="33">
        <f>_xll.qlIndexFixing(Index,P104,,AllTriggers)</f>
        <v>-9.0085567595489356E-5</v>
      </c>
      <c r="U104" s="34">
        <f>_xll.qlYieldTSDiscount(OisCurve,Q104,,AllTriggers)</f>
        <v>1.0004901664653711</v>
      </c>
      <c r="V104" s="34">
        <f>_xll.qlYieldTSDiscount(OisCurve,R104,,AllTriggers)</f>
        <v>1.0007887955143624</v>
      </c>
      <c r="W104" s="33">
        <f t="shared" si="15"/>
        <v>-1.1804585039882714E-3</v>
      </c>
      <c r="X104" s="35">
        <f t="shared" si="16"/>
        <v>2.756663167843895E-4</v>
      </c>
      <c r="Y104" s="33">
        <f t="shared" si="17"/>
        <v>1.0903729363927819E-3</v>
      </c>
      <c r="Z104" s="54"/>
    </row>
    <row r="105" spans="15:26" x14ac:dyDescent="0.25">
      <c r="O105" s="35" t="s">
        <v>30</v>
      </c>
      <c r="P105" s="31">
        <f>_xll.qlCalendarAdvance(Calendar,P104,O104,"f",,Trigger)</f>
        <v>42272</v>
      </c>
      <c r="Q105" s="31">
        <f>_xll.qlInterestRateIndexValueDate(Index,P105,Trigger)</f>
        <v>42276</v>
      </c>
      <c r="R105" s="31">
        <f>_xll.qlInterestRateIndexMaturity(Index,Q105,Trigger)</f>
        <v>42367</v>
      </c>
      <c r="S105" s="32">
        <f>_xll.qlDayCounterYearFraction(DayCounter,Q105,R105,,,Trigger)</f>
        <v>0.25277777777777777</v>
      </c>
      <c r="T105" s="33">
        <f>_xll.qlIndexFixing(Index,P105,,AllTriggers)</f>
        <v>-9.083026956415207E-5</v>
      </c>
      <c r="U105" s="34">
        <f>_xll.qlYieldTSDiscount(OisCurve,Q105,,AllTriggers)</f>
        <v>1.0004955210279034</v>
      </c>
      <c r="V105" s="34">
        <f>_xll.qlYieldTSDiscount(OisCurve,R105,,AllTriggers)</f>
        <v>1.0007931262692418</v>
      </c>
      <c r="W105" s="33">
        <f t="shared" si="15"/>
        <v>-1.1764063774822853E-3</v>
      </c>
      <c r="X105" s="35">
        <f t="shared" si="16"/>
        <v>2.7445347563050929E-4</v>
      </c>
      <c r="Y105" s="33">
        <f t="shared" si="17"/>
        <v>1.0855761079181332E-3</v>
      </c>
      <c r="Z105" s="54"/>
    </row>
    <row r="106" spans="15:26" x14ac:dyDescent="0.25">
      <c r="O106" s="35" t="s">
        <v>30</v>
      </c>
      <c r="P106" s="31">
        <f>_xll.qlCalendarAdvance(Calendar,P105,O105,"f",,Trigger)</f>
        <v>42275</v>
      </c>
      <c r="Q106" s="31">
        <f>_xll.qlInterestRateIndexValueDate(Index,P106,Trigger)</f>
        <v>42277</v>
      </c>
      <c r="R106" s="31">
        <f>_xll.qlInterestRateIndexMaturity(Index,Q106,Trigger)</f>
        <v>42369</v>
      </c>
      <c r="S106" s="32">
        <f>_xll.qlDayCounterYearFraction(DayCounter,Q106,R106,,,Trigger)</f>
        <v>0.25555555555555554</v>
      </c>
      <c r="T106" s="33">
        <f>_xll.qlIndexFixing(Index,P106,,AllTriggers)</f>
        <v>-9.1153741591810529E-5</v>
      </c>
      <c r="U106" s="34">
        <f>_xll.qlYieldTSDiscount(OisCurve,Q106,,AllTriggers)</f>
        <v>1.0005007789312228</v>
      </c>
      <c r="V106" s="34">
        <f>_xll.qlYieldTSDiscount(OisCurve,R106,,AllTriggers)</f>
        <v>1.0008017712169202</v>
      </c>
      <c r="W106" s="33">
        <f t="shared" si="15"/>
        <v>-1.1768523342267515E-3</v>
      </c>
      <c r="X106" s="35">
        <f t="shared" si="16"/>
        <v>2.7750127037503897E-4</v>
      </c>
      <c r="Y106" s="33">
        <f t="shared" si="17"/>
        <v>1.0856985926349409E-3</v>
      </c>
      <c r="Z106" s="54"/>
    </row>
    <row r="107" spans="15:26" x14ac:dyDescent="0.25">
      <c r="O107" s="35" t="s">
        <v>30</v>
      </c>
      <c r="P107" s="31">
        <f>_xll.qlCalendarAdvance(Calendar,P106,O106,"f",,Trigger)</f>
        <v>42276</v>
      </c>
      <c r="Q107" s="31">
        <f>_xll.qlInterestRateIndexValueDate(Index,P107,Trigger)</f>
        <v>42278</v>
      </c>
      <c r="R107" s="31">
        <f>_xll.qlInterestRateIndexMaturity(Index,Q107,Trigger)</f>
        <v>42373</v>
      </c>
      <c r="S107" s="32">
        <f>_xll.qlDayCounterYearFraction(DayCounter,Q107,R107,,,Trigger)</f>
        <v>0.2638888888888889</v>
      </c>
      <c r="T107" s="33">
        <f>_xll.qlIndexFixing(Index,P107,,AllTriggers)</f>
        <v>-9.0605681242802842E-5</v>
      </c>
      <c r="U107" s="34">
        <f>_xll.qlYieldTSDiscount(OisCurve,Q107,,AllTriggers)</f>
        <v>1.0004571025932214</v>
      </c>
      <c r="V107" s="34">
        <f>_xll.qlYieldTSDiscount(OisCurve,R107,,AllTriggers)</f>
        <v>1.0007871347517852</v>
      </c>
      <c r="W107" s="33">
        <f t="shared" si="15"/>
        <v>-1.2496645254444815E-3</v>
      </c>
      <c r="X107" s="35">
        <f t="shared" si="16"/>
        <v>3.0591685164420166E-4</v>
      </c>
      <c r="Y107" s="33">
        <f t="shared" si="17"/>
        <v>1.1590588442016788E-3</v>
      </c>
      <c r="Z107" s="54"/>
    </row>
    <row r="108" spans="15:26" x14ac:dyDescent="0.25">
      <c r="O108" s="35" t="s">
        <v>30</v>
      </c>
      <c r="P108" s="31">
        <f>_xll.qlCalendarAdvance(Calendar,P107,O107,"f",,Trigger)</f>
        <v>42277</v>
      </c>
      <c r="Q108" s="31">
        <f>_xll.qlInterestRateIndexValueDate(Index,P108,Trigger)</f>
        <v>42279</v>
      </c>
      <c r="R108" s="31">
        <f>_xll.qlInterestRateIndexMaturity(Index,Q108,Trigger)</f>
        <v>42373</v>
      </c>
      <c r="S108" s="32">
        <f>_xll.qlDayCounterYearFraction(DayCounter,Q108,R108,,,Trigger)</f>
        <v>0.26111111111111113</v>
      </c>
      <c r="T108" s="33">
        <f>_xll.qlIndexFixing(Index,P108,,AllTriggers)</f>
        <v>-9.1462181597751796E-5</v>
      </c>
      <c r="U108" s="34">
        <f>_xll.qlYieldTSDiscount(OisCurve,Q108,,AllTriggers)</f>
        <v>1.0004621282540498</v>
      </c>
      <c r="V108" s="34">
        <f>_xll.qlYieldTSDiscount(OisCurve,R108,,AllTriggers)</f>
        <v>1.0007871347517852</v>
      </c>
      <c r="W108" s="33">
        <f t="shared" si="15"/>
        <v>-1.2437267554567047E-3</v>
      </c>
      <c r="X108" s="35">
        <f t="shared" si="16"/>
        <v>3.0092154098435399E-4</v>
      </c>
      <c r="Y108" s="33">
        <f t="shared" si="17"/>
        <v>1.1522645738589528E-3</v>
      </c>
      <c r="Z108" s="54"/>
    </row>
    <row r="109" spans="15:26" x14ac:dyDescent="0.25">
      <c r="O109" s="35" t="s">
        <v>30</v>
      </c>
      <c r="P109" s="31">
        <f>_xll.qlCalendarAdvance(Calendar,P108,O108,"f",,Trigger)</f>
        <v>42278</v>
      </c>
      <c r="Q109" s="31">
        <f>_xll.qlInterestRateIndexValueDate(Index,P109,Trigger)</f>
        <v>42282</v>
      </c>
      <c r="R109" s="31">
        <f>_xll.qlInterestRateIndexMaturity(Index,Q109,Trigger)</f>
        <v>42374</v>
      </c>
      <c r="S109" s="32">
        <f>_xll.qlDayCounterYearFraction(DayCounter,Q109,R109,,,Trigger)</f>
        <v>0.25555555555555554</v>
      </c>
      <c r="T109" s="33">
        <f>_xll.qlIndexFixing(Index,P109,,AllTriggers)</f>
        <v>-9.3375096937563668E-5</v>
      </c>
      <c r="U109" s="34">
        <f>_xll.qlYieldTSDiscount(OisCurve,Q109,,AllTriggers)</f>
        <v>1.0004763416736973</v>
      </c>
      <c r="V109" s="34">
        <f>_xll.qlYieldTSDiscount(OisCurve,R109,,AllTriggers)</f>
        <v>1.0007913372914476</v>
      </c>
      <c r="W109" s="33">
        <f t="shared" si="15"/>
        <v>-1.2316169233186059E-3</v>
      </c>
      <c r="X109" s="35">
        <f t="shared" si="16"/>
        <v>2.9093328067325845E-4</v>
      </c>
      <c r="Y109" s="33">
        <f t="shared" si="17"/>
        <v>1.1382418263810423E-3</v>
      </c>
      <c r="Z109" s="54"/>
    </row>
    <row r="110" spans="15:26" x14ac:dyDescent="0.25">
      <c r="O110" s="35" t="s">
        <v>30</v>
      </c>
      <c r="P110" s="31">
        <f>_xll.qlCalendarAdvance(Calendar,P109,O109,"f",,Trigger)</f>
        <v>42279</v>
      </c>
      <c r="Q110" s="31">
        <f>_xll.qlInterestRateIndexValueDate(Index,P110,Trigger)</f>
        <v>42283</v>
      </c>
      <c r="R110" s="31">
        <f>_xll.qlInterestRateIndexMaturity(Index,Q110,Trigger)</f>
        <v>42375</v>
      </c>
      <c r="S110" s="32">
        <f>_xll.qlDayCounterYearFraction(DayCounter,Q110,R110,,,Trigger)</f>
        <v>0.25555555555555554</v>
      </c>
      <c r="T110" s="33">
        <f>_xll.qlIndexFixing(Index,P110,,AllTriggers)</f>
        <v>-9.3620644699686934E-5</v>
      </c>
      <c r="U110" s="34">
        <f>_xll.qlYieldTSDiscount(OisCurve,Q110,,AllTriggers)</f>
        <v>1.0004807486491245</v>
      </c>
      <c r="V110" s="34">
        <f>_xll.qlYieldTSDiscount(OisCurve,R110,,AllTriggers)</f>
        <v>1.0007955023690855</v>
      </c>
      <c r="W110" s="33">
        <f t="shared" si="15"/>
        <v>-1.2306659934385492E-3</v>
      </c>
      <c r="X110" s="35">
        <f t="shared" si="16"/>
        <v>2.9062743618251026E-4</v>
      </c>
      <c r="Y110" s="33">
        <f t="shared" si="17"/>
        <v>1.1370453487388624E-3</v>
      </c>
      <c r="Z110" s="54"/>
    </row>
    <row r="111" spans="15:26" x14ac:dyDescent="0.25">
      <c r="O111" s="35" t="s">
        <v>30</v>
      </c>
      <c r="P111" s="31">
        <f>_xll.qlCalendarAdvance(Calendar,P110,O110,"f",,Trigger)</f>
        <v>42282</v>
      </c>
      <c r="Q111" s="31">
        <f>_xll.qlInterestRateIndexValueDate(Index,P111,Trigger)</f>
        <v>42284</v>
      </c>
      <c r="R111" s="31">
        <f>_xll.qlInterestRateIndexMaturity(Index,Q111,Trigger)</f>
        <v>42376</v>
      </c>
      <c r="S111" s="32">
        <f>_xll.qlDayCounterYearFraction(DayCounter,Q111,R111,,,Trigger)</f>
        <v>0.25555555555555554</v>
      </c>
      <c r="T111" s="33">
        <f>_xll.qlIndexFixing(Index,P111,,AllTriggers)</f>
        <v>-9.3802893536143955E-5</v>
      </c>
      <c r="U111" s="34">
        <f>_xll.qlYieldTSDiscount(OisCurve,Q111,,AllTriggers)</f>
        <v>1.0004849687201756</v>
      </c>
      <c r="V111" s="34">
        <f>_xll.qlYieldTSDiscount(OisCurve,R111,,AllTriggers)</f>
        <v>1.0007996251931712</v>
      </c>
      <c r="W111" s="33">
        <f t="shared" si="15"/>
        <v>-1.2302806961088557E-3</v>
      </c>
      <c r="X111" s="35">
        <f t="shared" si="16"/>
        <v>2.9048236451873567E-4</v>
      </c>
      <c r="Y111" s="33">
        <f t="shared" si="17"/>
        <v>1.1364778025727117E-3</v>
      </c>
      <c r="Z111" s="54"/>
    </row>
    <row r="112" spans="15:26" x14ac:dyDescent="0.25">
      <c r="O112" s="35" t="s">
        <v>30</v>
      </c>
      <c r="P112" s="31">
        <f>_xll.qlCalendarAdvance(Calendar,P111,O111,"f",,Trigger)</f>
        <v>42283</v>
      </c>
      <c r="Q112" s="31">
        <f>_xll.qlInterestRateIndexValueDate(Index,P112,Trigger)</f>
        <v>42285</v>
      </c>
      <c r="R112" s="31">
        <f>_xll.qlInterestRateIndexMaturity(Index,Q112,Trigger)</f>
        <v>42377</v>
      </c>
      <c r="S112" s="32">
        <f>_xll.qlDayCounterYearFraction(DayCounter,Q112,R112,,,Trigger)</f>
        <v>0.25555555555555554</v>
      </c>
      <c r="T112" s="33">
        <f>_xll.qlIndexFixing(Index,P112,,AllTriggers)</f>
        <v>-9.3923104371343086E-5</v>
      </c>
      <c r="U112" s="34">
        <f>_xll.qlYieldTSDiscount(OisCurve,Q112,,AllTriggers)</f>
        <v>1.0004889889933717</v>
      </c>
      <c r="V112" s="34">
        <f>_xll.qlYieldTSDiscount(OisCurve,R112,,AllTriggers)</f>
        <v>1.000803700972102</v>
      </c>
      <c r="W112" s="33">
        <f t="shared" si="15"/>
        <v>-1.2304927077158216E-3</v>
      </c>
      <c r="X112" s="35">
        <f t="shared" si="16"/>
        <v>2.905058410205795E-4</v>
      </c>
      <c r="Y112" s="33">
        <f t="shared" si="17"/>
        <v>1.1365696033444786E-3</v>
      </c>
      <c r="Z112" s="54"/>
    </row>
    <row r="113" spans="15:26" x14ac:dyDescent="0.25">
      <c r="O113" s="35" t="s">
        <v>30</v>
      </c>
      <c r="P113" s="31">
        <f>_xll.qlCalendarAdvance(Calendar,P112,O112,"f",,Trigger)</f>
        <v>42284</v>
      </c>
      <c r="Q113" s="31">
        <f>_xll.qlInterestRateIndexValueDate(Index,P113,Trigger)</f>
        <v>42286</v>
      </c>
      <c r="R113" s="31">
        <f>_xll.qlInterestRateIndexMaturity(Index,Q113,Trigger)</f>
        <v>42380</v>
      </c>
      <c r="S113" s="32">
        <f>_xll.qlDayCounterYearFraction(DayCounter,Q113,R113,,,Trigger)</f>
        <v>0.26111111111111113</v>
      </c>
      <c r="T113" s="33">
        <f>_xll.qlIndexFixing(Index,P113,,AllTriggers)</f>
        <v>-9.2990636064148985E-5</v>
      </c>
      <c r="U113" s="34">
        <f>_xll.qlYieldTSDiscount(OisCurve,Q113,,AllTriggers)</f>
        <v>1.0004928033184732</v>
      </c>
      <c r="V113" s="34">
        <f>_xll.qlYieldTSDiscount(OisCurve,R113,,AllTriggers)</f>
        <v>1.0008156879173824</v>
      </c>
      <c r="W113" s="33">
        <f t="shared" si="15"/>
        <v>-1.2355714742484883E-3</v>
      </c>
      <c r="X113" s="35">
        <f t="shared" si="16"/>
        <v>2.9839231089999084E-4</v>
      </c>
      <c r="Y113" s="33">
        <f t="shared" si="17"/>
        <v>1.1425808381843395E-3</v>
      </c>
      <c r="Z113" s="54"/>
    </row>
    <row r="114" spans="15:26" x14ac:dyDescent="0.25">
      <c r="O114" s="35" t="s">
        <v>30</v>
      </c>
      <c r="P114" s="31">
        <f>_xll.qlCalendarAdvance(Calendar,P113,O113,"f",,Trigger)</f>
        <v>42285</v>
      </c>
      <c r="Q114" s="31">
        <f>_xll.qlInterestRateIndexValueDate(Index,P114,Trigger)</f>
        <v>42289</v>
      </c>
      <c r="R114" s="31">
        <f>_xll.qlInterestRateIndexMaturity(Index,Q114,Trigger)</f>
        <v>42381</v>
      </c>
      <c r="S114" s="32">
        <f>_xll.qlDayCounterYearFraction(DayCounter,Q114,R114,,,Trigger)</f>
        <v>0.25555555555555554</v>
      </c>
      <c r="T114" s="33">
        <f>_xll.qlIndexFixing(Index,P114,,AllTriggers)</f>
        <v>-9.3808786108660839E-5</v>
      </c>
      <c r="U114" s="34">
        <f>_xll.qlYieldTSDiscount(OisCurve,Q114,,AllTriggers)</f>
        <v>1.0005032458130314</v>
      </c>
      <c r="V114" s="34">
        <f>_xll.qlYieldTSDiscount(OisCurve,R114,,AllTriggers)</f>
        <v>1.0008196506535674</v>
      </c>
      <c r="W114" s="33">
        <f t="shared" si="15"/>
        <v>-1.2370919145533311E-3</v>
      </c>
      <c r="X114" s="35">
        <f t="shared" si="16"/>
        <v>2.9222205227203676E-4</v>
      </c>
      <c r="Y114" s="33">
        <f t="shared" si="17"/>
        <v>1.1432831284446702E-3</v>
      </c>
      <c r="Z114" s="54"/>
    </row>
    <row r="115" spans="15:26" x14ac:dyDescent="0.25">
      <c r="O115" s="35" t="s">
        <v>30</v>
      </c>
      <c r="P115" s="31">
        <f>_xll.qlCalendarAdvance(Calendar,P114,O114,"f",,Trigger)</f>
        <v>42286</v>
      </c>
      <c r="Q115" s="31">
        <f>_xll.qlInterestRateIndexValueDate(Index,P115,Trigger)</f>
        <v>42290</v>
      </c>
      <c r="R115" s="31">
        <f>_xll.qlInterestRateIndexMaturity(Index,Q115,Trigger)</f>
        <v>42382</v>
      </c>
      <c r="S115" s="32">
        <f>_xll.qlDayCounterYearFraction(DayCounter,Q115,R115,,,Trigger)</f>
        <v>0.25555555555555554</v>
      </c>
      <c r="T115" s="33">
        <f>_xll.qlIndexFixing(Index,P115,,AllTriggers)</f>
        <v>-9.3637720719415597E-5</v>
      </c>
      <c r="U115" s="34">
        <f>_xll.qlYieldTSDiscount(OisCurve,Q115,,AllTriggers)</f>
        <v>1.0005064850425214</v>
      </c>
      <c r="V115" s="34">
        <f>_xll.qlYieldTSDiscount(OisCurve,R115,,AllTriggers)</f>
        <v>1.0008236222062417</v>
      </c>
      <c r="W115" s="33">
        <f t="shared" si="15"/>
        <v>-1.2399502596413417E-3</v>
      </c>
      <c r="X115" s="35">
        <f t="shared" si="16"/>
        <v>2.9299646727049835E-4</v>
      </c>
      <c r="Y115" s="33">
        <f t="shared" si="17"/>
        <v>1.1463125389219262E-3</v>
      </c>
      <c r="Z115" s="54"/>
    </row>
    <row r="116" spans="15:26" x14ac:dyDescent="0.25">
      <c r="O116" s="35" t="s">
        <v>30</v>
      </c>
      <c r="P116" s="31">
        <f>_xll.qlCalendarAdvance(Calendar,P115,O115,"f",,Trigger)</f>
        <v>42289</v>
      </c>
      <c r="Q116" s="31">
        <f>_xll.qlInterestRateIndexValueDate(Index,P116,Trigger)</f>
        <v>42291</v>
      </c>
      <c r="R116" s="31">
        <f>_xll.qlInterestRateIndexMaturity(Index,Q116,Trigger)</f>
        <v>42383</v>
      </c>
      <c r="S116" s="32">
        <f>_xll.qlDayCounterYearFraction(DayCounter,Q116,R116,,,Trigger)</f>
        <v>0.25555555555555554</v>
      </c>
      <c r="T116" s="33">
        <f>_xll.qlIndexFixing(Index,P116,,AllTriggers)</f>
        <v>-9.3412182821927132E-5</v>
      </c>
      <c r="U116" s="34">
        <f>_xll.qlYieldTSDiscount(OisCurve,Q116,,AllTriggers)</f>
        <v>1.0005096494178287</v>
      </c>
      <c r="V116" s="34">
        <f>_xll.qlYieldTSDiscount(OisCurve,R116,,AllTriggers)</f>
        <v>1.0008276177393318</v>
      </c>
      <c r="W116" s="33">
        <f t="shared" si="15"/>
        <v>-1.243194976535206E-3</v>
      </c>
      <c r="X116" s="35">
        <f t="shared" si="16"/>
        <v>2.9388357472182145E-4</v>
      </c>
      <c r="Y116" s="33">
        <f t="shared" si="17"/>
        <v>1.1497827937132789E-3</v>
      </c>
      <c r="Z116" s="54"/>
    </row>
    <row r="117" spans="15:26" x14ac:dyDescent="0.25">
      <c r="O117" s="35" t="s">
        <v>30</v>
      </c>
      <c r="P117" s="31">
        <f>_xll.qlCalendarAdvance(Calendar,P116,O116,"f",,Trigger)</f>
        <v>42290</v>
      </c>
      <c r="Q117" s="31">
        <f>_xll.qlInterestRateIndexValueDate(Index,P117,Trigger)</f>
        <v>42292</v>
      </c>
      <c r="R117" s="31">
        <f>_xll.qlInterestRateIndexMaturity(Index,Q117,Trigger)</f>
        <v>42384</v>
      </c>
      <c r="S117" s="32">
        <f>_xll.qlDayCounterYearFraction(DayCounter,Q117,R117,,,Trigger)</f>
        <v>0.25555555555555554</v>
      </c>
      <c r="T117" s="33">
        <f>_xll.qlIndexFixing(Index,P117,,AllTriggers)</f>
        <v>-9.3133433326701891E-5</v>
      </c>
      <c r="U117" s="34">
        <f>_xll.qlYieldTSDiscount(OisCurve,Q117,,AllTriggers)</f>
        <v>1.000512766507623</v>
      </c>
      <c r="V117" s="34">
        <f>_xll.qlYieldTSDiscount(OisCurve,R117,,AllTriggers)</f>
        <v>1.0008316524170096</v>
      </c>
      <c r="W117" s="33">
        <f t="shared" si="15"/>
        <v>-1.2467775424778076E-3</v>
      </c>
      <c r="X117" s="35">
        <f t="shared" si="16"/>
        <v>2.9487064841723492E-4</v>
      </c>
      <c r="Y117" s="33">
        <f t="shared" si="17"/>
        <v>1.1536441091511058E-3</v>
      </c>
      <c r="Z117" s="54"/>
    </row>
    <row r="118" spans="15:26" x14ac:dyDescent="0.25">
      <c r="O118" s="35" t="s">
        <v>30</v>
      </c>
      <c r="P118" s="31">
        <f>_xll.qlCalendarAdvance(Calendar,P117,O117,"f",,Trigger)</f>
        <v>42291</v>
      </c>
      <c r="Q118" s="31">
        <f>_xll.qlInterestRateIndexValueDate(Index,P118,Trigger)</f>
        <v>42293</v>
      </c>
      <c r="R118" s="31">
        <f>_xll.qlInterestRateIndexMaturity(Index,Q118,Trigger)</f>
        <v>42387</v>
      </c>
      <c r="S118" s="32">
        <f>_xll.qlDayCounterYearFraction(DayCounter,Q118,R118,,,Trigger)</f>
        <v>0.26111111111111113</v>
      </c>
      <c r="T118" s="33">
        <f>_xll.qlIndexFixing(Index,P118,,AllTriggers)</f>
        <v>-9.1666819028582246E-5</v>
      </c>
      <c r="U118" s="34">
        <f>_xll.qlYieldTSDiscount(OisCurve,Q118,,AllTriggers)</f>
        <v>1.0005158638809279</v>
      </c>
      <c r="V118" s="34">
        <f>_xll.qlYieldTSDiscount(OisCurve,R118,,AllTriggers)</f>
        <v>1.0008441429630397</v>
      </c>
      <c r="W118" s="33">
        <f t="shared" si="15"/>
        <v>-1.2561786435126771E-3</v>
      </c>
      <c r="X118" s="35">
        <f t="shared" si="16"/>
        <v>3.0412049442876064E-4</v>
      </c>
      <c r="Y118" s="33">
        <f t="shared" si="17"/>
        <v>1.1645118244840949E-3</v>
      </c>
      <c r="Z118" s="54"/>
    </row>
    <row r="119" spans="15:26" x14ac:dyDescent="0.25">
      <c r="O119" s="35" t="s">
        <v>30</v>
      </c>
      <c r="P119" s="31">
        <f>_xll.qlCalendarAdvance(Calendar,P118,O118,"f",,Trigger)</f>
        <v>42292</v>
      </c>
      <c r="Q119" s="31">
        <f>_xll.qlInterestRateIndexValueDate(Index,P119,Trigger)</f>
        <v>42296</v>
      </c>
      <c r="R119" s="31">
        <f>_xll.qlInterestRateIndexMaturity(Index,Q119,Trigger)</f>
        <v>42388</v>
      </c>
      <c r="S119" s="32">
        <f>_xll.qlDayCounterYearFraction(DayCounter,Q119,R119,,,Trigger)</f>
        <v>0.25555555555555554</v>
      </c>
      <c r="T119" s="33">
        <f>_xll.qlIndexFixing(Index,P119,,AllTriggers)</f>
        <v>-9.1511537432591836E-5</v>
      </c>
      <c r="U119" s="34">
        <f>_xll.qlYieldTSDiscount(OisCurve,Q119,,AllTriggers)</f>
        <v>1.0005253133973078</v>
      </c>
      <c r="V119" s="34">
        <f>_xll.qlYieldTSDiscount(OisCurve,R119,,AllTriggers)</f>
        <v>1.0008484858658564</v>
      </c>
      <c r="W119" s="33">
        <f t="shared" si="15"/>
        <v>-1.2635158450717736E-3</v>
      </c>
      <c r="X119" s="35">
        <f t="shared" si="16"/>
        <v>2.9956408143232106E-4</v>
      </c>
      <c r="Y119" s="33">
        <f t="shared" si="17"/>
        <v>1.1720043076391819E-3</v>
      </c>
      <c r="Z119" s="54"/>
    </row>
    <row r="120" spans="15:26" x14ac:dyDescent="0.25">
      <c r="O120" s="35" t="s">
        <v>30</v>
      </c>
      <c r="P120" s="31">
        <f>_xll.qlCalendarAdvance(Calendar,P119,O119,"f",,Trigger)</f>
        <v>42293</v>
      </c>
      <c r="Q120" s="31">
        <f>_xll.qlInterestRateIndexValueDate(Index,P120,Trigger)</f>
        <v>42297</v>
      </c>
      <c r="R120" s="31">
        <f>_xll.qlInterestRateIndexMaturity(Index,Q120,Trigger)</f>
        <v>42389</v>
      </c>
      <c r="S120" s="32">
        <f>_xll.qlDayCounterYearFraction(DayCounter,Q120,R120,,,Trigger)</f>
        <v>0.25555555555555554</v>
      </c>
      <c r="T120" s="33">
        <f>_xll.qlIndexFixing(Index,P120,,AllTriggers)</f>
        <v>-9.0985643491588476E-5</v>
      </c>
      <c r="U120" s="34">
        <f>_xll.qlYieldTSDiscount(OisCurve,Q120,,AllTriggers)</f>
        <v>1.0005286076018021</v>
      </c>
      <c r="V120" s="34">
        <f>_xll.qlYieldTSDiscount(OisCurve,R120,,AllTriggers)</f>
        <v>1.0008529437380127</v>
      </c>
      <c r="W120" s="33">
        <f t="shared" si="15"/>
        <v>-1.2680598188816053E-3</v>
      </c>
      <c r="X120" s="35">
        <f t="shared" si="16"/>
        <v>3.0086009319370353E-4</v>
      </c>
      <c r="Y120" s="33">
        <f t="shared" si="17"/>
        <v>1.1770741753900169E-3</v>
      </c>
      <c r="Z120" s="54"/>
    </row>
    <row r="121" spans="15:26" x14ac:dyDescent="0.25">
      <c r="O121" s="35" t="s">
        <v>30</v>
      </c>
      <c r="P121" s="31">
        <f>_xll.qlCalendarAdvance(Calendar,P120,O120,"f",,Trigger)</f>
        <v>42296</v>
      </c>
      <c r="Q121" s="31">
        <f>_xll.qlInterestRateIndexValueDate(Index,P121,Trigger)</f>
        <v>42298</v>
      </c>
      <c r="R121" s="31">
        <f>_xll.qlInterestRateIndexMaturity(Index,Q121,Trigger)</f>
        <v>42390</v>
      </c>
      <c r="S121" s="32">
        <f>_xll.qlDayCounterYearFraction(DayCounter,Q121,R121,,,Trigger)</f>
        <v>0.25555555555555554</v>
      </c>
      <c r="T121" s="33">
        <f>_xll.qlIndexFixing(Index,P121,,AllTriggers)</f>
        <v>-9.0414103363320336E-5</v>
      </c>
      <c r="U121" s="34">
        <f>_xll.qlYieldTSDiscount(OisCurve,Q121,,AllTriggers)</f>
        <v>1.0005320199401726</v>
      </c>
      <c r="V121" s="34">
        <f>_xll.qlYieldTSDiscount(OisCurve,R121,,AllTriggers)</f>
        <v>1.0008575317453201</v>
      </c>
      <c r="W121" s="33">
        <f t="shared" si="15"/>
        <v>-1.2726505080178268E-3</v>
      </c>
      <c r="X121" s="35">
        <f t="shared" si="16"/>
        <v>3.0217971393791879E-4</v>
      </c>
      <c r="Y121" s="33">
        <f t="shared" si="17"/>
        <v>1.1822364046545064E-3</v>
      </c>
      <c r="Z121" s="54"/>
    </row>
    <row r="122" spans="15:26" x14ac:dyDescent="0.25">
      <c r="O122" s="35" t="s">
        <v>30</v>
      </c>
      <c r="P122" s="31">
        <f>_xll.qlCalendarAdvance(Calendar,P121,O121,"f",,Trigger)</f>
        <v>42297</v>
      </c>
      <c r="Q122" s="31">
        <f>_xll.qlInterestRateIndexValueDate(Index,P122,Trigger)</f>
        <v>42299</v>
      </c>
      <c r="R122" s="31">
        <f>_xll.qlInterestRateIndexMaturity(Index,Q122,Trigger)</f>
        <v>42391</v>
      </c>
      <c r="S122" s="32">
        <f>_xll.qlDayCounterYearFraction(DayCounter,Q122,R122,,,Trigger)</f>
        <v>0.25555555555555554</v>
      </c>
      <c r="T122" s="33">
        <f>_xll.qlIndexFixing(Index,P122,,AllTriggers)</f>
        <v>-8.9798177944391952E-5</v>
      </c>
      <c r="U122" s="34">
        <f>_xll.qlYieldTSDiscount(OisCurve,Q122,,AllTriggers)</f>
        <v>1.0005355779836371</v>
      </c>
      <c r="V122" s="34">
        <f>_xll.qlYieldTSDiscount(OisCurve,R122,,AllTriggers)</f>
        <v>1.0008622650539158</v>
      </c>
      <c r="W122" s="33">
        <f t="shared" si="15"/>
        <v>-1.277239390894124E-3</v>
      </c>
      <c r="X122" s="35">
        <f t="shared" si="16"/>
        <v>3.0351021745560252E-4</v>
      </c>
      <c r="Y122" s="33">
        <f t="shared" si="17"/>
        <v>1.1874412129497321E-3</v>
      </c>
      <c r="Z122" s="54"/>
    </row>
    <row r="123" spans="15:26" x14ac:dyDescent="0.25">
      <c r="O123" s="35" t="s">
        <v>30</v>
      </c>
      <c r="P123" s="31">
        <f>_xll.qlCalendarAdvance(Calendar,P122,O122,"f",,Trigger)</f>
        <v>42298</v>
      </c>
      <c r="Q123" s="31">
        <f>_xll.qlInterestRateIndexValueDate(Index,P123,Trigger)</f>
        <v>42300</v>
      </c>
      <c r="R123" s="31">
        <f>_xll.qlInterestRateIndexMaturity(Index,Q123,Trigger)</f>
        <v>42394</v>
      </c>
      <c r="S123" s="32">
        <f>_xll.qlDayCounterYearFraction(DayCounter,Q123,R123,,,Trigger)</f>
        <v>0.26111111111111113</v>
      </c>
      <c r="T123" s="33">
        <f>_xll.qlIndexFixing(Index,P123,,AllTriggers)</f>
        <v>-8.791402040013293E-5</v>
      </c>
      <c r="U123" s="34">
        <f>_xll.qlYieldTSDiscount(OisCurve,Q123,,AllTriggers)</f>
        <v>1.0005393093038621</v>
      </c>
      <c r="V123" s="34">
        <f>_xll.qlYieldTSDiscount(OisCurve,R123,,AllTriggers)</f>
        <v>1.0008774884541325</v>
      </c>
      <c r="W123" s="33">
        <f t="shared" si="15"/>
        <v>-1.2940187060509454E-3</v>
      </c>
      <c r="X123" s="35">
        <f t="shared" si="16"/>
        <v>3.1498416631706806E-4</v>
      </c>
      <c r="Y123" s="33">
        <f t="shared" si="17"/>
        <v>1.2061046856508125E-3</v>
      </c>
      <c r="Z123" s="54"/>
    </row>
    <row r="124" spans="15:26" x14ac:dyDescent="0.25">
      <c r="O124" s="35" t="s">
        <v>30</v>
      </c>
      <c r="P124" s="31">
        <f>_xll.qlCalendarAdvance(Calendar,P123,O123,"f",,Trigger)</f>
        <v>42299</v>
      </c>
      <c r="Q124" s="31">
        <f>_xll.qlInterestRateIndexValueDate(Index,P124,Trigger)</f>
        <v>42303</v>
      </c>
      <c r="R124" s="31">
        <f>_xll.qlInterestRateIndexMaturity(Index,Q124,Trigger)</f>
        <v>42395</v>
      </c>
      <c r="S124" s="32">
        <f>_xll.qlDayCounterYearFraction(DayCounter,Q124,R124,,,Trigger)</f>
        <v>0.25555555555555554</v>
      </c>
      <c r="T124" s="33">
        <f>_xll.qlIndexFixing(Index,P124,,AllTriggers)</f>
        <v>-8.6915841309371416E-5</v>
      </c>
      <c r="U124" s="34">
        <f>_xll.qlYieldTSDiscount(OisCurve,Q124,,AllTriggers)</f>
        <v>1.0005518186494642</v>
      </c>
      <c r="V124" s="34">
        <f>_xll.qlYieldTSDiscount(OisCurve,R124,,AllTriggers)</f>
        <v>1.0008829546365314</v>
      </c>
      <c r="W124" s="33">
        <f t="shared" si="15"/>
        <v>-1.294606435855825E-3</v>
      </c>
      <c r="X124" s="35">
        <f t="shared" si="16"/>
        <v>3.0868653504847608E-4</v>
      </c>
      <c r="Y124" s="33">
        <f t="shared" si="17"/>
        <v>1.2076905945464535E-3</v>
      </c>
      <c r="Z124" s="54"/>
    </row>
    <row r="125" spans="15:26" x14ac:dyDescent="0.25">
      <c r="O125" s="35" t="s">
        <v>30</v>
      </c>
      <c r="P125" s="31">
        <f>_xll.qlCalendarAdvance(Calendar,P124,O124,"f",,Trigger)</f>
        <v>42300</v>
      </c>
      <c r="Q125" s="31">
        <f>_xll.qlInterestRateIndexValueDate(Index,P125,Trigger)</f>
        <v>42304</v>
      </c>
      <c r="R125" s="31">
        <f>_xll.qlInterestRateIndexMaturity(Index,Q125,Trigger)</f>
        <v>42396</v>
      </c>
      <c r="S125" s="32">
        <f>_xll.qlDayCounterYearFraction(DayCounter,Q125,R125,,,Trigger)</f>
        <v>0.25555555555555554</v>
      </c>
      <c r="T125" s="33">
        <f>_xll.qlIndexFixing(Index,P125,,AllTriggers)</f>
        <v>-8.6096902890553877E-5</v>
      </c>
      <c r="U125" s="34">
        <f>_xll.qlYieldTSDiscount(OisCurve,Q125,,AllTriggers)</f>
        <v>1.0005565188040602</v>
      </c>
      <c r="V125" s="34">
        <f>_xll.qlYieldTSDiscount(OisCurve,R125,,AllTriggers)</f>
        <v>1.0008886360419116</v>
      </c>
      <c r="W125" s="33">
        <f t="shared" si="15"/>
        <v>-1.2984353551378938E-3</v>
      </c>
      <c r="X125" s="35">
        <f t="shared" si="16"/>
        <v>3.098746498495776E-4</v>
      </c>
      <c r="Y125" s="33">
        <f t="shared" si="17"/>
        <v>1.2123384522473399E-3</v>
      </c>
      <c r="Z125" s="54"/>
    </row>
    <row r="126" spans="15:26" x14ac:dyDescent="0.25">
      <c r="O126" s="35" t="s">
        <v>30</v>
      </c>
      <c r="P126" s="31">
        <f>_xll.qlCalendarAdvance(Calendar,P125,O125,"f",,Trigger)</f>
        <v>42303</v>
      </c>
      <c r="Q126" s="31">
        <f>_xll.qlInterestRateIndexValueDate(Index,P126,Trigger)</f>
        <v>42305</v>
      </c>
      <c r="R126" s="31">
        <f>_xll.qlInterestRateIndexMaturity(Index,Q126,Trigger)</f>
        <v>42397</v>
      </c>
      <c r="S126" s="32">
        <f>_xll.qlDayCounterYearFraction(DayCounter,Q126,R126,,,Trigger)</f>
        <v>0.25555555555555554</v>
      </c>
      <c r="T126" s="33">
        <f>_xll.qlIndexFixing(Index,P126,,AllTriggers)</f>
        <v>-8.5241144558965444E-5</v>
      </c>
      <c r="U126" s="34">
        <f>_xll.qlYieldTSDiscount(OisCurve,Q126,,AllTriggers)</f>
        <v>1.0005615301022797</v>
      </c>
      <c r="V126" s="34">
        <f>_xll.qlYieldTSDiscount(OisCurve,R126,,AllTriggers)</f>
        <v>1.0008945182652054</v>
      </c>
      <c r="W126" s="33">
        <f t="shared" si="15"/>
        <v>-1.3018326461941927E-3</v>
      </c>
      <c r="X126" s="35">
        <f t="shared" si="16"/>
        <v>3.1096183359655382E-4</v>
      </c>
      <c r="Y126" s="33">
        <f t="shared" si="17"/>
        <v>1.2165915016352272E-3</v>
      </c>
      <c r="Z126" s="54"/>
    </row>
    <row r="127" spans="15:26" x14ac:dyDescent="0.25">
      <c r="O127" s="35" t="s">
        <v>30</v>
      </c>
      <c r="P127" s="31">
        <f>_xll.qlCalendarAdvance(Calendar,P126,O126,"f",,Trigger)</f>
        <v>42304</v>
      </c>
      <c r="Q127" s="31">
        <f>_xll.qlInterestRateIndexValueDate(Index,P127,Trigger)</f>
        <v>42306</v>
      </c>
      <c r="R127" s="31">
        <f>_xll.qlInterestRateIndexMaturity(Index,Q127,Trigger)</f>
        <v>42398</v>
      </c>
      <c r="S127" s="32">
        <f>_xll.qlDayCounterYearFraction(DayCounter,Q127,R127,,,Trigger)</f>
        <v>0.25555555555555554</v>
      </c>
      <c r="T127" s="33">
        <f>_xll.qlIndexFixing(Index,P127,,AllTriggers)</f>
        <v>-8.4349827210341771E-5</v>
      </c>
      <c r="U127" s="34">
        <f>_xll.qlYieldTSDiscount(OisCurve,Q127,,AllTriggers)</f>
        <v>1.0005668674231749</v>
      </c>
      <c r="V127" s="34">
        <f>_xll.qlYieldTSDiscount(OisCurve,R127,,AllTriggers)</f>
        <v>1.0009005809863825</v>
      </c>
      <c r="W127" s="33">
        <f t="shared" si="15"/>
        <v>-1.304660729470017E-3</v>
      </c>
      <c r="X127" s="35">
        <f t="shared" si="16"/>
        <v>3.1191259281332362E-4</v>
      </c>
      <c r="Y127" s="33">
        <f t="shared" si="17"/>
        <v>1.2203109022596752E-3</v>
      </c>
      <c r="Z127" s="54"/>
    </row>
    <row r="128" spans="15:26" x14ac:dyDescent="0.25">
      <c r="O128" s="35" t="s">
        <v>30</v>
      </c>
      <c r="P128" s="31">
        <f>_xll.qlCalendarAdvance(Calendar,P127,O127,"f",,Trigger)</f>
        <v>42305</v>
      </c>
      <c r="Q128" s="31">
        <f>_xll.qlInterestRateIndexValueDate(Index,P128,Trigger)</f>
        <v>42307</v>
      </c>
      <c r="R128" s="31">
        <f>_xll.qlInterestRateIndexMaturity(Index,Q128,Trigger)</f>
        <v>42398</v>
      </c>
      <c r="S128" s="32">
        <f>_xll.qlDayCounterYearFraction(DayCounter,Q128,R128,,,Trigger)</f>
        <v>0.25277777777777777</v>
      </c>
      <c r="T128" s="33">
        <f>_xll.qlIndexFixing(Index,P128,,AllTriggers)</f>
        <v>-8.4061274546462232E-5</v>
      </c>
      <c r="U128" s="34">
        <f>_xll.qlYieldTSDiscount(OisCurve,Q128,,AllTriggers)</f>
        <v>1.0005724948601624</v>
      </c>
      <c r="V128" s="34">
        <f>_xll.qlYieldTSDiscount(OisCurve,R128,,AllTriggers)</f>
        <v>1.0009005809863825</v>
      </c>
      <c r="W128" s="33">
        <f t="shared" si="15"/>
        <v>-1.2967553035242746E-3</v>
      </c>
      <c r="X128" s="35">
        <f t="shared" si="16"/>
        <v>3.0659561119783475E-4</v>
      </c>
      <c r="Y128" s="33">
        <f t="shared" si="17"/>
        <v>1.2126940289778124E-3</v>
      </c>
      <c r="Z128" s="54"/>
    </row>
    <row r="129" spans="15:26" x14ac:dyDescent="0.25">
      <c r="O129" s="35" t="s">
        <v>30</v>
      </c>
      <c r="P129" s="31">
        <f>_xll.qlCalendarAdvance(Calendar,P128,O128,"f",,Trigger)</f>
        <v>42306</v>
      </c>
      <c r="Q129" s="31">
        <f>_xll.qlInterestRateIndexValueDate(Index,P129,Trigger)</f>
        <v>42310</v>
      </c>
      <c r="R129" s="31">
        <f>_xll.qlInterestRateIndexMaturity(Index,Q129,Trigger)</f>
        <v>42402</v>
      </c>
      <c r="S129" s="32">
        <f>_xll.qlDayCounterYearFraction(DayCounter,Q129,R129,,,Trigger)</f>
        <v>0.25555555555555554</v>
      </c>
      <c r="T129" s="33">
        <f>_xll.qlIndexFixing(Index,P129,,AllTriggers)</f>
        <v>-8.0454185563248685E-5</v>
      </c>
      <c r="U129" s="34">
        <f>_xll.qlYieldTSDiscount(OisCurve,Q129,,AllTriggers)</f>
        <v>1.0005582126888355</v>
      </c>
      <c r="V129" s="34">
        <f>_xll.qlYieldTSDiscount(OisCurve,R129,,AllTriggers)</f>
        <v>1.0008880951457155</v>
      </c>
      <c r="W129" s="33">
        <f t="shared" si="15"/>
        <v>-1.2896990210469583E-3</v>
      </c>
      <c r="X129" s="35">
        <f t="shared" si="16"/>
        <v>3.0908335100332637E-4</v>
      </c>
      <c r="Y129" s="33">
        <f t="shared" si="17"/>
        <v>1.2092448354837095E-3</v>
      </c>
      <c r="Z129" s="54"/>
    </row>
    <row r="130" spans="15:26" x14ac:dyDescent="0.25">
      <c r="O130" s="35" t="s">
        <v>30</v>
      </c>
      <c r="P130" s="31">
        <f>_xll.qlCalendarAdvance(Calendar,P129,O129,"f",,Trigger)</f>
        <v>42307</v>
      </c>
      <c r="Q130" s="31">
        <f>_xll.qlInterestRateIndexValueDate(Index,P130,Trigger)</f>
        <v>42311</v>
      </c>
      <c r="R130" s="31">
        <f>_xll.qlInterestRateIndexMaturity(Index,Q130,Trigger)</f>
        <v>42403</v>
      </c>
      <c r="S130" s="32">
        <f>_xll.qlDayCounterYearFraction(DayCounter,Q130,R130,,,Trigger)</f>
        <v>0.25555555555555554</v>
      </c>
      <c r="T130" s="33">
        <f>_xll.qlIndexFixing(Index,P130,,AllTriggers)</f>
        <v>-7.9403986572000064E-5</v>
      </c>
      <c r="U130" s="34">
        <f>_xll.qlYieldTSDiscount(OisCurve,Q130,,AllTriggers)</f>
        <v>1.0005645143385427</v>
      </c>
      <c r="V130" s="34">
        <f>_xll.qlYieldTSDiscount(OisCurve,R130,,AllTriggers)</f>
        <v>1.0008947552874372</v>
      </c>
      <c r="W130" s="33">
        <f t="shared" si="15"/>
        <v>-1.2910919799508334E-3</v>
      </c>
      <c r="X130" s="35">
        <f t="shared" si="16"/>
        <v>3.0970783648778859E-4</v>
      </c>
      <c r="Y130" s="33">
        <f t="shared" si="17"/>
        <v>1.2116879933788333E-3</v>
      </c>
      <c r="Z130" s="54"/>
    </row>
    <row r="131" spans="15:26" x14ac:dyDescent="0.25">
      <c r="O131" s="35" t="s">
        <v>30</v>
      </c>
      <c r="P131" s="31">
        <f>_xll.qlCalendarAdvance(Calendar,P130,O130,"f",,Trigger)</f>
        <v>42310</v>
      </c>
      <c r="Q131" s="31">
        <f>_xll.qlInterestRateIndexValueDate(Index,P131,Trigger)</f>
        <v>42312</v>
      </c>
      <c r="R131" s="31">
        <f>_xll.qlInterestRateIndexMaturity(Index,Q131,Trigger)</f>
        <v>42404</v>
      </c>
      <c r="S131" s="32">
        <f>_xll.qlDayCounterYearFraction(DayCounter,Q131,R131,,,Trigger)</f>
        <v>0.25555555555555554</v>
      </c>
      <c r="T131" s="33">
        <f>_xll.qlIndexFixing(Index,P131,,AllTriggers)</f>
        <v>-7.8325793944212179E-5</v>
      </c>
      <c r="U131" s="34">
        <f>_xll.qlYieldTSDiscount(OisCurve,Q131,,AllTriggers)</f>
        <v>1.0005708630736982</v>
      </c>
      <c r="V131" s="34">
        <f>_xll.qlYieldTSDiscount(OisCurve,R131,,AllTriggers)</f>
        <v>1.0009014739954405</v>
      </c>
      <c r="W131" s="33">
        <f t="shared" si="15"/>
        <v>-1.2925297292261204E-3</v>
      </c>
      <c r="X131" s="35">
        <f t="shared" si="16"/>
        <v>3.1035092630980201E-4</v>
      </c>
      <c r="Y131" s="33">
        <f t="shared" si="17"/>
        <v>1.2142039352819082E-3</v>
      </c>
      <c r="Z131" s="54"/>
    </row>
    <row r="132" spans="15:26" x14ac:dyDescent="0.25">
      <c r="O132" s="35" t="s">
        <v>30</v>
      </c>
      <c r="P132" s="31">
        <f>_xll.qlCalendarAdvance(Calendar,P131,O131,"f",,Trigger)</f>
        <v>42311</v>
      </c>
      <c r="Q132" s="31">
        <f>_xll.qlInterestRateIndexValueDate(Index,P132,Trigger)</f>
        <v>42313</v>
      </c>
      <c r="R132" s="31">
        <f>_xll.qlInterestRateIndexMaturity(Index,Q132,Trigger)</f>
        <v>42405</v>
      </c>
      <c r="S132" s="32">
        <f>_xll.qlDayCounterYearFraction(DayCounter,Q132,R132,,,Trigger)</f>
        <v>0.25555555555555554</v>
      </c>
      <c r="T132" s="33">
        <f>_xll.qlIndexFixing(Index,P132,,AllTriggers)</f>
        <v>-7.7220868577792856E-5</v>
      </c>
      <c r="U132" s="34">
        <f>_xll.qlYieldTSDiscount(OisCurve,Q132,,AllTriggers)</f>
        <v>1.000577210286602</v>
      </c>
      <c r="V132" s="34">
        <f>_xll.qlYieldTSDiscount(OisCurve,R132,,AllTriggers)</f>
        <v>1.0009082309471786</v>
      </c>
      <c r="W132" s="33">
        <f t="shared" ref="W132:W195" si="18">(U132/V132-1)/S132</f>
        <v>-1.2941228745947918E-3</v>
      </c>
      <c r="X132" s="35">
        <f t="shared" ref="X132:X195" si="19">LN((1+T132*S132)/(1+W132*S132))</f>
        <v>3.110405734977713E-4</v>
      </c>
      <c r="Y132" s="33">
        <f t="shared" ref="Y132:Y195" si="20">T132-W132</f>
        <v>1.2169020060169989E-3</v>
      </c>
      <c r="Z132" s="54"/>
    </row>
    <row r="133" spans="15:26" x14ac:dyDescent="0.25">
      <c r="O133" s="35" t="s">
        <v>30</v>
      </c>
      <c r="P133" s="31">
        <f>_xll.qlCalendarAdvance(Calendar,P132,O132,"f",,Trigger)</f>
        <v>42312</v>
      </c>
      <c r="Q133" s="31">
        <f>_xll.qlInterestRateIndexValueDate(Index,P133,Trigger)</f>
        <v>42314</v>
      </c>
      <c r="R133" s="31">
        <f>_xll.qlInterestRateIndexMaturity(Index,Q133,Trigger)</f>
        <v>42408</v>
      </c>
      <c r="S133" s="32">
        <f>_xll.qlDayCounterYearFraction(DayCounter,Q133,R133,,,Trigger)</f>
        <v>0.26111111111111113</v>
      </c>
      <c r="T133" s="33">
        <f>_xll.qlIndexFixing(Index,P133,,AllTriggers)</f>
        <v>-7.481462273269979E-5</v>
      </c>
      <c r="U133" s="34">
        <f>_xll.qlYieldTSDiscount(OisCurve,Q133,,AllTriggers)</f>
        <v>1.0005835073683236</v>
      </c>
      <c r="V133" s="34">
        <f>_xll.qlYieldTSDiscount(OisCurve,R133,,AllTriggers)</f>
        <v>1.0009285280311726</v>
      </c>
      <c r="W133" s="33">
        <f t="shared" si="18"/>
        <v>-1.3201299523943508E-3</v>
      </c>
      <c r="X133" s="35">
        <f t="shared" si="19"/>
        <v>3.2522490150952425E-4</v>
      </c>
      <c r="Y133" s="33">
        <f t="shared" si="20"/>
        <v>1.2453153296616512E-3</v>
      </c>
      <c r="Z133" s="54"/>
    </row>
    <row r="134" spans="15:26" x14ac:dyDescent="0.25">
      <c r="O134" s="35" t="s">
        <v>30</v>
      </c>
      <c r="P134" s="31">
        <f>_xll.qlCalendarAdvance(Calendar,P133,O133,"f",,Trigger)</f>
        <v>42313</v>
      </c>
      <c r="Q134" s="31">
        <f>_xll.qlInterestRateIndexValueDate(Index,P134,Trigger)</f>
        <v>42317</v>
      </c>
      <c r="R134" s="31">
        <f>_xll.qlInterestRateIndexMaturity(Index,Q134,Trigger)</f>
        <v>42409</v>
      </c>
      <c r="S134" s="32">
        <f>_xll.qlDayCounterYearFraction(DayCounter,Q134,R134,,,Trigger)</f>
        <v>0.25555555555555554</v>
      </c>
      <c r="T134" s="33">
        <f>_xll.qlIndexFixing(Index,P134,,AllTriggers)</f>
        <v>-7.255905774695077E-5</v>
      </c>
      <c r="U134" s="34">
        <f>_xll.qlYieldTSDiscount(OisCurve,Q134,,AllTriggers)</f>
        <v>1.0006016117190466</v>
      </c>
      <c r="V134" s="34">
        <f>_xll.qlYieldTSDiscount(OisCurve,R134,,AllTriggers)</f>
        <v>1.0009352375884741</v>
      </c>
      <c r="W134" s="33">
        <f t="shared" si="18"/>
        <v>-1.3042727276619428E-3</v>
      </c>
      <c r="X134" s="35">
        <f t="shared" si="19"/>
        <v>3.1482666078439973E-4</v>
      </c>
      <c r="Y134" s="33">
        <f t="shared" si="20"/>
        <v>1.2317136699149921E-3</v>
      </c>
      <c r="Z134" s="54"/>
    </row>
    <row r="135" spans="15:26" x14ac:dyDescent="0.25">
      <c r="O135" s="35" t="s">
        <v>30</v>
      </c>
      <c r="P135" s="31">
        <f>_xll.qlCalendarAdvance(Calendar,P134,O134,"f",,Trigger)</f>
        <v>42314</v>
      </c>
      <c r="Q135" s="31">
        <f>_xll.qlInterestRateIndexValueDate(Index,P135,Trigger)</f>
        <v>42318</v>
      </c>
      <c r="R135" s="31">
        <f>_xll.qlInterestRateIndexMaturity(Index,Q135,Trigger)</f>
        <v>42410</v>
      </c>
      <c r="S135" s="32">
        <f>_xll.qlDayCounterYearFraction(DayCounter,Q135,R135,,,Trigger)</f>
        <v>0.25555555555555554</v>
      </c>
      <c r="T135" s="33">
        <f>_xll.qlIndexFixing(Index,P135,,AllTriggers)</f>
        <v>-7.1339382208992689E-5</v>
      </c>
      <c r="U135" s="34">
        <f>_xll.qlYieldTSDiscount(OisCurve,Q135,,AllTriggers)</f>
        <v>1.0006072321340167</v>
      </c>
      <c r="V135" s="34">
        <f>_xll.qlYieldTSDiscount(OisCurve,R135,,AllTriggers)</f>
        <v>1.0009419009707223</v>
      </c>
      <c r="W135" s="33">
        <f t="shared" si="18"/>
        <v>-1.3083413808315358E-3</v>
      </c>
      <c r="X135" s="35">
        <f t="shared" si="19"/>
        <v>3.1617847552190882E-4</v>
      </c>
      <c r="Y135" s="33">
        <f t="shared" si="20"/>
        <v>1.2370019986225431E-3</v>
      </c>
      <c r="Z135" s="54"/>
    </row>
    <row r="136" spans="15:26" x14ac:dyDescent="0.25">
      <c r="O136" s="35" t="s">
        <v>30</v>
      </c>
      <c r="P136" s="31">
        <f>_xll.qlCalendarAdvance(Calendar,P135,O135,"f",,Trigger)</f>
        <v>42317</v>
      </c>
      <c r="Q136" s="31">
        <f>_xll.qlInterestRateIndexValueDate(Index,P136,Trigger)</f>
        <v>42319</v>
      </c>
      <c r="R136" s="31">
        <f>_xll.qlInterestRateIndexMaturity(Index,Q136,Trigger)</f>
        <v>42411</v>
      </c>
      <c r="S136" s="32">
        <f>_xll.qlDayCounterYearFraction(DayCounter,Q136,R136,,,Trigger)</f>
        <v>0.25555555555555554</v>
      </c>
      <c r="T136" s="33">
        <f>_xll.qlIndexFixing(Index,P136,,AllTriggers)</f>
        <v>-7.0100539346785112E-5</v>
      </c>
      <c r="U136" s="34">
        <f>_xll.qlYieldTSDiscount(OisCurve,Q136,,AllTriggers)</f>
        <v>1.0006126191822273</v>
      </c>
      <c r="V136" s="34">
        <f>_xll.qlYieldTSDiscount(OisCurve,R136,,AllTriggers)</f>
        <v>1.0009485150546589</v>
      </c>
      <c r="W136" s="33">
        <f t="shared" si="18"/>
        <v>-1.3131296297706221E-3</v>
      </c>
      <c r="X136" s="35">
        <f t="shared" si="19"/>
        <v>3.1771914806017013E-4</v>
      </c>
      <c r="Y136" s="33">
        <f t="shared" si="20"/>
        <v>1.2430290904238369E-3</v>
      </c>
      <c r="Z136" s="54"/>
    </row>
    <row r="137" spans="15:26" x14ac:dyDescent="0.25">
      <c r="O137" s="35" t="s">
        <v>30</v>
      </c>
      <c r="P137" s="31">
        <f>_xll.qlCalendarAdvance(Calendar,P136,O136,"f",,Trigger)</f>
        <v>42318</v>
      </c>
      <c r="Q137" s="31">
        <f>_xll.qlInterestRateIndexValueDate(Index,P137,Trigger)</f>
        <v>42320</v>
      </c>
      <c r="R137" s="31">
        <f>_xll.qlInterestRateIndexMaturity(Index,Q137,Trigger)</f>
        <v>42412</v>
      </c>
      <c r="S137" s="32">
        <f>_xll.qlDayCounterYearFraction(DayCounter,Q137,R137,,,Trigger)</f>
        <v>0.25555555555555554</v>
      </c>
      <c r="T137" s="33">
        <f>_xll.qlIndexFixing(Index,P137,,AllTriggers)</f>
        <v>-6.8843790069096698E-5</v>
      </c>
      <c r="U137" s="34">
        <f>_xll.qlYieldTSDiscount(OisCurve,Q137,,AllTriggers)</f>
        <v>1.0006177840758264</v>
      </c>
      <c r="V137" s="34">
        <f>_xll.qlYieldTSDiscount(OisCurve,R137,,AllTriggers)</f>
        <v>1.0009550767169513</v>
      </c>
      <c r="W137" s="33">
        <f t="shared" si="18"/>
        <v>-1.3185814232025382E-3</v>
      </c>
      <c r="X137" s="35">
        <f t="shared" si="19"/>
        <v>3.1943402778841226E-4</v>
      </c>
      <c r="Y137" s="33">
        <f t="shared" si="20"/>
        <v>1.2497376331334414E-3</v>
      </c>
      <c r="Z137" s="54"/>
    </row>
    <row r="138" spans="15:26" x14ac:dyDescent="0.25">
      <c r="O138" s="35" t="s">
        <v>30</v>
      </c>
      <c r="P138" s="31">
        <f>_xll.qlCalendarAdvance(Calendar,P137,O137,"f",,Trigger)</f>
        <v>42319</v>
      </c>
      <c r="Q138" s="31">
        <f>_xll.qlInterestRateIndexValueDate(Index,P138,Trigger)</f>
        <v>42321</v>
      </c>
      <c r="R138" s="31">
        <f>_xll.qlInterestRateIndexMaturity(Index,Q138,Trigger)</f>
        <v>42415</v>
      </c>
      <c r="S138" s="32">
        <f>_xll.qlDayCounterYearFraction(DayCounter,Q138,R138,,,Trigger)</f>
        <v>0.26111111111111113</v>
      </c>
      <c r="T138" s="33">
        <f>_xll.qlIndexFixing(Index,P138,,AllTriggers)</f>
        <v>-6.6314595119443026E-5</v>
      </c>
      <c r="U138" s="34">
        <f>_xll.qlYieldTSDiscount(OisCurve,Q138,,AllTriggers)</f>
        <v>1.0006227380273465</v>
      </c>
      <c r="V138" s="34">
        <f>_xll.qlYieldTSDiscount(OisCurve,R138,,AllTriggers)</f>
        <v>1.0009744159395275</v>
      </c>
      <c r="W138" s="33">
        <f t="shared" si="18"/>
        <v>-1.3455404624917065E-3</v>
      </c>
      <c r="X138" s="35">
        <f t="shared" si="19"/>
        <v>3.3408167047645118E-4</v>
      </c>
      <c r="Y138" s="33">
        <f t="shared" si="20"/>
        <v>1.2792258673722636E-3</v>
      </c>
      <c r="Z138" s="54"/>
    </row>
    <row r="139" spans="15:26" x14ac:dyDescent="0.25">
      <c r="O139" s="35" t="s">
        <v>30</v>
      </c>
      <c r="P139" s="31">
        <f>_xll.qlCalendarAdvance(Calendar,P138,O138,"f",,Trigger)</f>
        <v>42320</v>
      </c>
      <c r="Q139" s="31">
        <f>_xll.qlInterestRateIndexValueDate(Index,P139,Trigger)</f>
        <v>42324</v>
      </c>
      <c r="R139" s="31">
        <f>_xll.qlInterestRateIndexMaturity(Index,Q139,Trigger)</f>
        <v>42416</v>
      </c>
      <c r="S139" s="32">
        <f>_xll.qlDayCounterYearFraction(DayCounter,Q139,R139,,,Trigger)</f>
        <v>0.25555555555555554</v>
      </c>
      <c r="T139" s="33">
        <f>_xll.qlIndexFixing(Index,P139,,AllTriggers)</f>
        <v>-6.3662946962834795E-5</v>
      </c>
      <c r="U139" s="34">
        <f>_xll.qlYieldTSDiscount(OisCurve,Q139,,AllTriggers)</f>
        <v>1.0006364463600359</v>
      </c>
      <c r="V139" s="34">
        <f>_xll.qlYieldTSDiscount(OisCurve,R139,,AllTriggers)</f>
        <v>1.0009807366804548</v>
      </c>
      <c r="W139" s="33">
        <f t="shared" si="18"/>
        <v>-1.3459030164872739E-3</v>
      </c>
      <c r="X139" s="35">
        <f t="shared" si="19"/>
        <v>3.2774260637232985E-4</v>
      </c>
      <c r="Y139" s="33">
        <f t="shared" si="20"/>
        <v>1.282240069524439E-3</v>
      </c>
      <c r="Z139" s="54"/>
    </row>
    <row r="140" spans="15:26" x14ac:dyDescent="0.25">
      <c r="O140" s="35" t="s">
        <v>30</v>
      </c>
      <c r="P140" s="31">
        <f>_xll.qlCalendarAdvance(Calendar,P139,O139,"f",,Trigger)</f>
        <v>42321</v>
      </c>
      <c r="Q140" s="31">
        <f>_xll.qlInterestRateIndexValueDate(Index,P140,Trigger)</f>
        <v>42325</v>
      </c>
      <c r="R140" s="31">
        <f>_xll.qlInterestRateIndexMaturity(Index,Q140,Trigger)</f>
        <v>42417</v>
      </c>
      <c r="S140" s="32">
        <f>_xll.qlDayCounterYearFraction(DayCounter,Q140,R140,,,Trigger)</f>
        <v>0.25555555555555554</v>
      </c>
      <c r="T140" s="33">
        <f>_xll.qlIndexFixing(Index,P140,,AllTriggers)</f>
        <v>-6.2335579246223773E-5</v>
      </c>
      <c r="U140" s="34">
        <f>_xll.qlYieldTSDiscount(OisCurve,Q140,,AllTriggers)</f>
        <v>1.0006406686754423</v>
      </c>
      <c r="V140" s="34">
        <f>_xll.qlYieldTSDiscount(OisCurve,R140,,AllTriggers)</f>
        <v>1.0009869893819967</v>
      </c>
      <c r="W140" s="33">
        <f t="shared" si="18"/>
        <v>-1.3538317645927333E-3</v>
      </c>
      <c r="X140" s="35">
        <f t="shared" si="19"/>
        <v>3.3010876287872522E-4</v>
      </c>
      <c r="Y140" s="33">
        <f t="shared" si="20"/>
        <v>1.2914961853465095E-3</v>
      </c>
      <c r="Z140" s="54"/>
    </row>
    <row r="141" spans="15:26" x14ac:dyDescent="0.25">
      <c r="O141" s="35" t="s">
        <v>30</v>
      </c>
      <c r="P141" s="31">
        <f>_xll.qlCalendarAdvance(Calendar,P140,O140,"f",,Trigger)</f>
        <v>42324</v>
      </c>
      <c r="Q141" s="31">
        <f>_xll.qlInterestRateIndexValueDate(Index,P141,Trigger)</f>
        <v>42326</v>
      </c>
      <c r="R141" s="31">
        <f>_xll.qlInterestRateIndexMaturity(Index,Q141,Trigger)</f>
        <v>42418</v>
      </c>
      <c r="S141" s="32">
        <f>_xll.qlDayCounterYearFraction(DayCounter,Q141,R141,,,Trigger)</f>
        <v>0.25555555555555554</v>
      </c>
      <c r="T141" s="33">
        <f>_xll.qlIndexFixing(Index,P141,,AllTriggers)</f>
        <v>-6.099787058281823E-5</v>
      </c>
      <c r="U141" s="34">
        <f>_xll.qlYieldTSDiscount(OisCurve,Q141,,AllTriggers)</f>
        <v>1.0006447361163997</v>
      </c>
      <c r="V141" s="34">
        <f>_xll.qlYieldTSDiscount(OisCurve,R141,,AllTriggers)</f>
        <v>1.0009931709204032</v>
      </c>
      <c r="W141" s="33">
        <f t="shared" si="18"/>
        <v>-1.3620877514590639E-3</v>
      </c>
      <c r="X141" s="35">
        <f t="shared" si="19"/>
        <v>3.3256122290610264E-4</v>
      </c>
      <c r="Y141" s="33">
        <f t="shared" si="20"/>
        <v>1.3010898808762457E-3</v>
      </c>
      <c r="Z141" s="54"/>
    </row>
    <row r="142" spans="15:26" x14ac:dyDescent="0.25">
      <c r="O142" s="35" t="s">
        <v>30</v>
      </c>
      <c r="P142" s="31">
        <f>_xll.qlCalendarAdvance(Calendar,P141,O141,"f",,Trigger)</f>
        <v>42325</v>
      </c>
      <c r="Q142" s="31">
        <f>_xll.qlInterestRateIndexValueDate(Index,P142,Trigger)</f>
        <v>42327</v>
      </c>
      <c r="R142" s="31">
        <f>_xll.qlInterestRateIndexMaturity(Index,Q142,Trigger)</f>
        <v>42419</v>
      </c>
      <c r="S142" s="32">
        <f>_xll.qlDayCounterYearFraction(DayCounter,Q142,R142,,,Trigger)</f>
        <v>0.25555555555555554</v>
      </c>
      <c r="T142" s="33">
        <f>_xll.qlIndexFixing(Index,P142,,AllTriggers)</f>
        <v>-5.9651081888772275E-5</v>
      </c>
      <c r="U142" s="34">
        <f>_xll.qlYieldTSDiscount(OisCurve,Q142,,AllTriggers)</f>
        <v>1.0006486598972832</v>
      </c>
      <c r="V142" s="34">
        <f>_xll.qlYieldTSDiscount(OisCurve,R142,,AllTriggers)</f>
        <v>1.0009992781718622</v>
      </c>
      <c r="W142" s="33">
        <f t="shared" si="18"/>
        <v>-1.3706149271215965E-3</v>
      </c>
      <c r="X142" s="35">
        <f t="shared" si="19"/>
        <v>3.3508533584321055E-4</v>
      </c>
      <c r="Y142" s="33">
        <f t="shared" si="20"/>
        <v>1.3109638452328243E-3</v>
      </c>
      <c r="Z142" s="54"/>
    </row>
    <row r="143" spans="15:26" x14ac:dyDescent="0.25">
      <c r="O143" s="35" t="s">
        <v>30</v>
      </c>
      <c r="P143" s="31">
        <f>_xll.qlCalendarAdvance(Calendar,P142,O142,"f",,Trigger)</f>
        <v>42326</v>
      </c>
      <c r="Q143" s="31">
        <f>_xll.qlInterestRateIndexValueDate(Index,P143,Trigger)</f>
        <v>42328</v>
      </c>
      <c r="R143" s="31">
        <f>_xll.qlInterestRateIndexMaturity(Index,Q143,Trigger)</f>
        <v>42422</v>
      </c>
      <c r="S143" s="32">
        <f>_xll.qlDayCounterYearFraction(DayCounter,Q143,R143,,,Trigger)</f>
        <v>0.26111111111111113</v>
      </c>
      <c r="T143" s="33">
        <f>_xll.qlIndexFixing(Index,P143,,AllTriggers)</f>
        <v>-5.7078732263235865E-5</v>
      </c>
      <c r="U143" s="34">
        <f>_xll.qlYieldTSDiscount(OisCurve,Q143,,AllTriggers)</f>
        <v>1.0006524512327091</v>
      </c>
      <c r="V143" s="34">
        <f>_xll.qlYieldTSDiscount(OisCurve,R143,,AllTriggers)</f>
        <v>1.0010171229655442</v>
      </c>
      <c r="W143" s="33">
        <f t="shared" si="18"/>
        <v>-1.3951960610731611E-3</v>
      </c>
      <c r="X143" s="35">
        <f t="shared" si="19"/>
        <v>3.4946356525886088E-4</v>
      </c>
      <c r="Y143" s="33">
        <f t="shared" si="20"/>
        <v>1.3381173288099252E-3</v>
      </c>
      <c r="Z143" s="54"/>
    </row>
    <row r="144" spans="15:26" x14ac:dyDescent="0.25">
      <c r="O144" s="35" t="s">
        <v>30</v>
      </c>
      <c r="P144" s="31">
        <f>_xll.qlCalendarAdvance(Calendar,P143,O143,"f",,Trigger)</f>
        <v>42327</v>
      </c>
      <c r="Q144" s="31">
        <f>_xll.qlInterestRateIndexValueDate(Index,P144,Trigger)</f>
        <v>42331</v>
      </c>
      <c r="R144" s="31">
        <f>_xll.qlInterestRateIndexMaturity(Index,Q144,Trigger)</f>
        <v>42423</v>
      </c>
      <c r="S144" s="32">
        <f>_xll.qlDayCounterYearFraction(DayCounter,Q144,R144,,,Trigger)</f>
        <v>0.25555555555555554</v>
      </c>
      <c r="T144" s="33">
        <f>_xll.qlIndexFixing(Index,P144,,AllTriggers)</f>
        <v>-5.419834520876784E-5</v>
      </c>
      <c r="U144" s="34">
        <f>_xll.qlYieldTSDiscount(OisCurve,Q144,,AllTriggers)</f>
        <v>1.0006631427157056</v>
      </c>
      <c r="V144" s="34">
        <f>_xll.qlYieldTSDiscount(OisCurve,R144,,AllTriggers)</f>
        <v>1.0010229018299244</v>
      </c>
      <c r="W144" s="33">
        <f t="shared" si="18"/>
        <v>-1.406314533928834E-3</v>
      </c>
      <c r="X144" s="35">
        <f t="shared" si="19"/>
        <v>3.4560530446208062E-4</v>
      </c>
      <c r="Y144" s="33">
        <f t="shared" si="20"/>
        <v>1.352116188720066E-3</v>
      </c>
      <c r="Z144" s="54"/>
    </row>
    <row r="145" spans="15:26" x14ac:dyDescent="0.25">
      <c r="O145" s="35" t="s">
        <v>30</v>
      </c>
      <c r="P145" s="31">
        <f>_xll.qlCalendarAdvance(Calendar,P144,O144,"f",,Trigger)</f>
        <v>42328</v>
      </c>
      <c r="Q145" s="31">
        <f>_xll.qlInterestRateIndexValueDate(Index,P145,Trigger)</f>
        <v>42332</v>
      </c>
      <c r="R145" s="31">
        <f>_xll.qlInterestRateIndexMaturity(Index,Q145,Trigger)</f>
        <v>42424</v>
      </c>
      <c r="S145" s="32">
        <f>_xll.qlDayCounterYearFraction(DayCounter,Q145,R145,,,Trigger)</f>
        <v>0.25555555555555554</v>
      </c>
      <c r="T145" s="33">
        <f>_xll.qlIndexFixing(Index,P145,,AllTriggers)</f>
        <v>-5.2825070178119666E-5</v>
      </c>
      <c r="U145" s="34">
        <f>_xll.qlYieldTSDiscount(OisCurve,Q145,,AllTriggers)</f>
        <v>1.0006665164197723</v>
      </c>
      <c r="V145" s="34">
        <f>_xll.qlYieldTSDiscount(OisCurve,R145,,AllTriggers)</f>
        <v>1.001028590787443</v>
      </c>
      <c r="W145" s="33">
        <f t="shared" si="18"/>
        <v>-1.4153569199700741E-3</v>
      </c>
      <c r="X145" s="35">
        <f t="shared" si="19"/>
        <v>3.4826792277702968E-4</v>
      </c>
      <c r="Y145" s="33">
        <f t="shared" si="20"/>
        <v>1.3625318497919544E-3</v>
      </c>
      <c r="Z145" s="54"/>
    </row>
    <row r="146" spans="15:26" x14ac:dyDescent="0.25">
      <c r="O146" s="35" t="s">
        <v>30</v>
      </c>
      <c r="P146" s="31">
        <f>_xll.qlCalendarAdvance(Calendar,P145,O145,"f",,Trigger)</f>
        <v>42331</v>
      </c>
      <c r="Q146" s="31">
        <f>_xll.qlInterestRateIndexValueDate(Index,P146,Trigger)</f>
        <v>42333</v>
      </c>
      <c r="R146" s="31">
        <f>_xll.qlInterestRateIndexMaturity(Index,Q146,Trigger)</f>
        <v>42425</v>
      </c>
      <c r="S146" s="32">
        <f>_xll.qlDayCounterYearFraction(DayCounter,Q146,R146,,,Trigger)</f>
        <v>0.25555555555555554</v>
      </c>
      <c r="T146" s="33">
        <f>_xll.qlIndexFixing(Index,P146,,AllTriggers)</f>
        <v>-5.1450280656330292E-5</v>
      </c>
      <c r="U146" s="34">
        <f>_xll.qlYieldTSDiscount(OisCurve,Q146,,AllTriggers)</f>
        <v>1.0006698137545829</v>
      </c>
      <c r="V146" s="34">
        <f>_xll.qlYieldTSDiscount(OisCurve,R146,,AllTriggers)</f>
        <v>1.0010341867139645</v>
      </c>
      <c r="W146" s="33">
        <f t="shared" si="18"/>
        <v>-1.4243342048520682E-3</v>
      </c>
      <c r="X146" s="35">
        <f t="shared" si="19"/>
        <v>3.5091429033321344E-4</v>
      </c>
      <c r="Y146" s="33">
        <f t="shared" si="20"/>
        <v>1.3728839241957378E-3</v>
      </c>
      <c r="Z146" s="54"/>
    </row>
    <row r="147" spans="15:26" x14ac:dyDescent="0.25">
      <c r="O147" s="35" t="s">
        <v>30</v>
      </c>
      <c r="P147" s="31">
        <f>_xll.qlCalendarAdvance(Calendar,P146,O146,"f",,Trigger)</f>
        <v>42332</v>
      </c>
      <c r="Q147" s="31">
        <f>_xll.qlInterestRateIndexValueDate(Index,P147,Trigger)</f>
        <v>42334</v>
      </c>
      <c r="R147" s="31">
        <f>_xll.qlInterestRateIndexMaturity(Index,Q147,Trigger)</f>
        <v>42426</v>
      </c>
      <c r="S147" s="32">
        <f>_xll.qlDayCounterYearFraction(DayCounter,Q147,R147,,,Trigger)</f>
        <v>0.25555555555555554</v>
      </c>
      <c r="T147" s="33">
        <f>_xll.qlIndexFixing(Index,P147,,AllTriggers)</f>
        <v>-5.00752375704147E-5</v>
      </c>
      <c r="U147" s="34">
        <f>_xll.qlYieldTSDiscount(OisCurve,Q147,,AllTriggers)</f>
        <v>1.0006730459359199</v>
      </c>
      <c r="V147" s="34">
        <f>_xll.qlYieldTSDiscount(OisCurve,R147,,AllTriggers)</f>
        <v>1.0010396864853091</v>
      </c>
      <c r="W147" s="33">
        <f t="shared" si="18"/>
        <v>-1.433190342023938E-3</v>
      </c>
      <c r="X147" s="35">
        <f t="shared" si="19"/>
        <v>3.5352975651920361E-4</v>
      </c>
      <c r="Y147" s="33">
        <f t="shared" si="20"/>
        <v>1.3831151044535234E-3</v>
      </c>
      <c r="Z147" s="54"/>
    </row>
    <row r="148" spans="15:26" x14ac:dyDescent="0.25">
      <c r="O148" s="35" t="s">
        <v>30</v>
      </c>
      <c r="P148" s="31">
        <f>_xll.qlCalendarAdvance(Calendar,P147,O147,"f",,Trigger)</f>
        <v>42333</v>
      </c>
      <c r="Q148" s="31">
        <f>_xll.qlInterestRateIndexValueDate(Index,P148,Trigger)</f>
        <v>42335</v>
      </c>
      <c r="R148" s="31">
        <f>_xll.qlInterestRateIndexMaturity(Index,Q148,Trigger)</f>
        <v>42429</v>
      </c>
      <c r="S148" s="32">
        <f>_xll.qlDayCounterYearFraction(DayCounter,Q148,R148,,,Trigger)</f>
        <v>0.26111111111111113</v>
      </c>
      <c r="T148" s="33">
        <f>_xll.qlIndexFixing(Index,P148,,AllTriggers)</f>
        <v>-4.7530326173607154E-5</v>
      </c>
      <c r="U148" s="34">
        <f>_xll.qlYieldTSDiscount(OisCurve,Q148,,AllTriggers)</f>
        <v>1.0006762241797242</v>
      </c>
      <c r="V148" s="34">
        <f>_xll.qlYieldTSDiscount(OisCurve,R148,,AllTriggers)</f>
        <v>1.0010555776258758</v>
      </c>
      <c r="W148" s="33">
        <f t="shared" si="18"/>
        <v>-1.4513110138270058E-3</v>
      </c>
      <c r="X148" s="35">
        <f t="shared" si="19"/>
        <v>3.666144790927869E-4</v>
      </c>
      <c r="Y148" s="33">
        <f t="shared" si="20"/>
        <v>1.4037806876533987E-3</v>
      </c>
      <c r="Z148" s="54"/>
    </row>
    <row r="149" spans="15:26" x14ac:dyDescent="0.25">
      <c r="O149" s="35" t="s">
        <v>30</v>
      </c>
      <c r="P149" s="31">
        <f>_xll.qlCalendarAdvance(Calendar,P148,O148,"f",,Trigger)</f>
        <v>42334</v>
      </c>
      <c r="Q149" s="31">
        <f>_xll.qlInterestRateIndexValueDate(Index,P149,Trigger)</f>
        <v>42338</v>
      </c>
      <c r="R149" s="31">
        <f>_xll.qlInterestRateIndexMaturity(Index,Q149,Trigger)</f>
        <v>42429</v>
      </c>
      <c r="S149" s="32">
        <f>_xll.qlDayCounterYearFraction(DayCounter,Q149,R149,,,Trigger)</f>
        <v>0.25277777777777777</v>
      </c>
      <c r="T149" s="33">
        <f>_xll.qlIndexFixing(Index,P149,,AllTriggers)</f>
        <v>-4.5174671487964223E-5</v>
      </c>
      <c r="U149" s="34">
        <f>_xll.qlYieldTSDiscount(OisCurve,Q149,,AllTriggers)</f>
        <v>1.0006855474476166</v>
      </c>
      <c r="V149" s="34">
        <f>_xll.qlYieldTSDiscount(OisCurve,R149,,AllTriggers)</f>
        <v>1.0010555776258758</v>
      </c>
      <c r="W149" s="33">
        <f t="shared" si="18"/>
        <v>-1.4623120663568203E-3</v>
      </c>
      <c r="X149" s="35">
        <f t="shared" si="19"/>
        <v>3.5828910998415663E-4</v>
      </c>
      <c r="Y149" s="33">
        <f t="shared" si="20"/>
        <v>1.4171373948688561E-3</v>
      </c>
      <c r="Z149" s="54"/>
    </row>
    <row r="150" spans="15:26" x14ac:dyDescent="0.25">
      <c r="O150" s="35" t="s">
        <v>30</v>
      </c>
      <c r="P150" s="31">
        <f>_xll.qlCalendarAdvance(Calendar,P149,O149,"f",,Trigger)</f>
        <v>42335</v>
      </c>
      <c r="Q150" s="31">
        <f>_xll.qlInterestRateIndexValueDate(Index,P150,Trigger)</f>
        <v>42339</v>
      </c>
      <c r="R150" s="31">
        <f>_xll.qlInterestRateIndexMaturity(Index,Q150,Trigger)</f>
        <v>42430</v>
      </c>
      <c r="S150" s="32">
        <f>_xll.qlDayCounterYearFraction(DayCounter,Q150,R150,,,Trigger)</f>
        <v>0.25277777777777777</v>
      </c>
      <c r="T150" s="33">
        <f>_xll.qlIndexFixing(Index,P150,,AllTriggers)</f>
        <v>-4.3813849186966163E-5</v>
      </c>
      <c r="U150" s="34">
        <f>_xll.qlYieldTSDiscount(OisCurve,Q150,,AllTriggers)</f>
        <v>1.0006865206575783</v>
      </c>
      <c r="V150" s="34">
        <f>_xll.qlYieldTSDiscount(OisCurve,R150,,AllTriggers)</f>
        <v>1.0010023998034274</v>
      </c>
      <c r="W150" s="33">
        <f t="shared" si="18"/>
        <v>-1.24838040949967E-3</v>
      </c>
      <c r="X150" s="35">
        <f t="shared" si="19"/>
        <v>3.0453739739667667E-4</v>
      </c>
      <c r="Y150" s="33">
        <f t="shared" si="20"/>
        <v>1.2045665603127038E-3</v>
      </c>
      <c r="Z150" s="54"/>
    </row>
    <row r="151" spans="15:26" x14ac:dyDescent="0.25">
      <c r="O151" s="35" t="s">
        <v>30</v>
      </c>
      <c r="P151" s="31">
        <f>_xll.qlCalendarAdvance(Calendar,P150,O150,"f",,Trigger)</f>
        <v>42338</v>
      </c>
      <c r="Q151" s="31">
        <f>_xll.qlInterestRateIndexValueDate(Index,P151,Trigger)</f>
        <v>42340</v>
      </c>
      <c r="R151" s="31">
        <f>_xll.qlInterestRateIndexMaturity(Index,Q151,Trigger)</f>
        <v>42431</v>
      </c>
      <c r="S151" s="32">
        <f>_xll.qlDayCounterYearFraction(DayCounter,Q151,R151,,,Trigger)</f>
        <v>0.25277777777777777</v>
      </c>
      <c r="T151" s="33">
        <f>_xll.qlIndexFixing(Index,P151,,AllTriggers)</f>
        <v>-4.2460398516307224E-5</v>
      </c>
      <c r="U151" s="34">
        <f>_xll.qlYieldTSDiscount(OisCurve,Q151,,AllTriggers)</f>
        <v>1.0006895974515593</v>
      </c>
      <c r="V151" s="34">
        <f>_xll.qlYieldTSDiscount(OisCurve,R151,,AllTriggers)</f>
        <v>1.001007371645465</v>
      </c>
      <c r="W151" s="33">
        <f t="shared" si="18"/>
        <v>-1.2558635578489958E-3</v>
      </c>
      <c r="X151" s="35">
        <f t="shared" si="19"/>
        <v>3.0677169587955782E-4</v>
      </c>
      <c r="Y151" s="33">
        <f t="shared" si="20"/>
        <v>1.2134031593326886E-3</v>
      </c>
      <c r="Z151" s="54"/>
    </row>
    <row r="152" spans="15:26" x14ac:dyDescent="0.25">
      <c r="O152" s="35" t="s">
        <v>30</v>
      </c>
      <c r="P152" s="31">
        <f>_xll.qlCalendarAdvance(Calendar,P151,O151,"f",,Trigger)</f>
        <v>42339</v>
      </c>
      <c r="Q152" s="31">
        <f>_xll.qlInterestRateIndexValueDate(Index,P152,Trigger)</f>
        <v>42341</v>
      </c>
      <c r="R152" s="31">
        <f>_xll.qlInterestRateIndexMaturity(Index,Q152,Trigger)</f>
        <v>42432</v>
      </c>
      <c r="S152" s="32">
        <f>_xll.qlDayCounterYearFraction(DayCounter,Q152,R152,,,Trigger)</f>
        <v>0.25277777777777777</v>
      </c>
      <c r="T152" s="33">
        <f>_xll.qlIndexFixing(Index,P152,,AllTriggers)</f>
        <v>-4.1115594273397888E-5</v>
      </c>
      <c r="U152" s="34">
        <f>_xll.qlYieldTSDiscount(OisCurve,Q152,,AllTriggers)</f>
        <v>1.0006926876066873</v>
      </c>
      <c r="V152" s="34">
        <f>_xll.qlYieldTSDiscount(OisCurve,R152,,AllTriggers)</f>
        <v>1.001012228593172</v>
      </c>
      <c r="W152" s="33">
        <f t="shared" si="18"/>
        <v>-1.2628399056297773E-3</v>
      </c>
      <c r="X152" s="35">
        <f t="shared" si="19"/>
        <v>3.0887566334096653E-4</v>
      </c>
      <c r="Y152" s="33">
        <f t="shared" si="20"/>
        <v>1.2217243113563795E-3</v>
      </c>
      <c r="Z152" s="54"/>
    </row>
    <row r="153" spans="15:26" x14ac:dyDescent="0.25">
      <c r="O153" s="35" t="s">
        <v>30</v>
      </c>
      <c r="P153" s="31">
        <f>_xll.qlCalendarAdvance(Calendar,P152,O152,"f",,Trigger)</f>
        <v>42340</v>
      </c>
      <c r="Q153" s="31">
        <f>_xll.qlInterestRateIndexValueDate(Index,P153,Trigger)</f>
        <v>42342</v>
      </c>
      <c r="R153" s="31">
        <f>_xll.qlInterestRateIndexMaturity(Index,Q153,Trigger)</f>
        <v>42433</v>
      </c>
      <c r="S153" s="32">
        <f>_xll.qlDayCounterYearFraction(DayCounter,Q153,R153,,,Trigger)</f>
        <v>0.25277777777777777</v>
      </c>
      <c r="T153" s="33">
        <f>_xll.qlIndexFixing(Index,P153,,AllTriggers)</f>
        <v>-3.9780711259601524E-5</v>
      </c>
      <c r="U153" s="34">
        <f>_xll.qlYieldTSDiscount(OisCurve,Q153,,AllTriggers)</f>
        <v>1.0006958023398782</v>
      </c>
      <c r="V153" s="34">
        <f>_xll.qlYieldTSDiscount(OisCurve,R153,,AllTriggers)</f>
        <v>1.0010169675223264</v>
      </c>
      <c r="W153" s="33">
        <f t="shared" si="18"/>
        <v>-1.2692527900506321E-3</v>
      </c>
      <c r="X153" s="35">
        <f t="shared" si="19"/>
        <v>3.1083464916920533E-4</v>
      </c>
      <c r="Y153" s="33">
        <f t="shared" si="20"/>
        <v>1.2294720787910307E-3</v>
      </c>
      <c r="Z153" s="54"/>
    </row>
    <row r="154" spans="15:26" x14ac:dyDescent="0.25">
      <c r="O154" s="35" t="s">
        <v>30</v>
      </c>
      <c r="P154" s="31">
        <f>_xll.qlCalendarAdvance(Calendar,P153,O153,"f",,Trigger)</f>
        <v>42341</v>
      </c>
      <c r="Q154" s="31">
        <f>_xll.qlInterestRateIndexValueDate(Index,P154,Trigger)</f>
        <v>42345</v>
      </c>
      <c r="R154" s="31">
        <f>_xll.qlInterestRateIndexMaturity(Index,Q154,Trigger)</f>
        <v>42436</v>
      </c>
      <c r="S154" s="32">
        <f>_xll.qlDayCounterYearFraction(DayCounter,Q154,R154,,,Trigger)</f>
        <v>0.25277777777777777</v>
      </c>
      <c r="T154" s="33">
        <f>_xll.qlIndexFixing(Index,P154,,AllTriggers)</f>
        <v>-3.5848337602571163E-5</v>
      </c>
      <c r="U154" s="34">
        <f>_xll.qlYieldTSDiscount(OisCurve,Q154,,AllTriggers)</f>
        <v>1.0007054061791278</v>
      </c>
      <c r="V154" s="34">
        <f>_xll.qlYieldTSDiscount(OisCurve,R154,,AllTriggers)</f>
        <v>1.0010304449560152</v>
      </c>
      <c r="W154" s="33">
        <f t="shared" si="18"/>
        <v>-1.2845440368618162E-3</v>
      </c>
      <c r="X154" s="35">
        <f t="shared" si="19"/>
        <v>3.1569521074113809E-4</v>
      </c>
      <c r="Y154" s="33">
        <f t="shared" si="20"/>
        <v>1.2486956992592451E-3</v>
      </c>
      <c r="Z154" s="54"/>
    </row>
    <row r="155" spans="15:26" x14ac:dyDescent="0.25">
      <c r="O155" s="35" t="s">
        <v>30</v>
      </c>
      <c r="P155" s="31">
        <f>_xll.qlCalendarAdvance(Calendar,P154,O154,"f",,Trigger)</f>
        <v>42342</v>
      </c>
      <c r="Q155" s="31">
        <f>_xll.qlInterestRateIndexValueDate(Index,P155,Trigger)</f>
        <v>42346</v>
      </c>
      <c r="R155" s="31">
        <f>_xll.qlInterestRateIndexMaturity(Index,Q155,Trigger)</f>
        <v>42437</v>
      </c>
      <c r="S155" s="32">
        <f>_xll.qlDayCounterYearFraction(DayCounter,Q155,R155,,,Trigger)</f>
        <v>0.25277777777777777</v>
      </c>
      <c r="T155" s="33">
        <f>_xll.qlIndexFixing(Index,P155,,AllTriggers)</f>
        <v>-3.4565887527644617E-5</v>
      </c>
      <c r="U155" s="34">
        <f>_xll.qlYieldTSDiscount(OisCurve,Q155,,AllTriggers)</f>
        <v>1.000708731396611</v>
      </c>
      <c r="V155" s="34">
        <f>_xll.qlYieldTSDiscount(OisCurve,R155,,AllTriggers)</f>
        <v>1.0010346805684431</v>
      </c>
      <c r="W155" s="33">
        <f t="shared" si="18"/>
        <v>-1.2881364414584707E-3</v>
      </c>
      <c r="X155" s="35">
        <f t="shared" si="19"/>
        <v>3.1692776392279004E-4</v>
      </c>
      <c r="Y155" s="33">
        <f t="shared" si="20"/>
        <v>1.2535705539308262E-3</v>
      </c>
      <c r="Z155" s="54"/>
    </row>
    <row r="156" spans="15:26" x14ac:dyDescent="0.25">
      <c r="O156" s="35" t="s">
        <v>30</v>
      </c>
      <c r="P156" s="31">
        <f>_xll.qlCalendarAdvance(Calendar,P155,O155,"f",,Trigger)</f>
        <v>42345</v>
      </c>
      <c r="Q156" s="31">
        <f>_xll.qlInterestRateIndexValueDate(Index,P156,Trigger)</f>
        <v>42347</v>
      </c>
      <c r="R156" s="31">
        <f>_xll.qlInterestRateIndexMaturity(Index,Q156,Trigger)</f>
        <v>42438</v>
      </c>
      <c r="S156" s="32">
        <f>_xll.qlDayCounterYearFraction(DayCounter,Q156,R156,,,Trigger)</f>
        <v>0.25277777777777777</v>
      </c>
      <c r="T156" s="33">
        <f>_xll.qlIndexFixing(Index,P156,,AllTriggers)</f>
        <v>-3.3299732700067354E-5</v>
      </c>
      <c r="U156" s="34">
        <f>_xll.qlYieldTSDiscount(OisCurve,Q156,,AllTriggers)</f>
        <v>1.00071213727894</v>
      </c>
      <c r="V156" s="34">
        <f>_xll.qlYieldTSDiscount(OisCurve,R156,,AllTriggers)</f>
        <v>1.0010387938156167</v>
      </c>
      <c r="W156" s="33">
        <f t="shared" si="18"/>
        <v>-1.2909266110417606E-3</v>
      </c>
      <c r="X156" s="35">
        <f t="shared" si="19"/>
        <v>3.1795334531422301E-4</v>
      </c>
      <c r="Y156" s="33">
        <f t="shared" si="20"/>
        <v>1.2576268783416932E-3</v>
      </c>
      <c r="Z156" s="54"/>
    </row>
    <row r="157" spans="15:26" x14ac:dyDescent="0.25">
      <c r="O157" s="35" t="s">
        <v>30</v>
      </c>
      <c r="P157" s="31">
        <f>_xll.qlCalendarAdvance(Calendar,P156,O156,"f",,Trigger)</f>
        <v>42346</v>
      </c>
      <c r="Q157" s="31">
        <f>_xll.qlInterestRateIndexValueDate(Index,P157,Trigger)</f>
        <v>42348</v>
      </c>
      <c r="R157" s="31">
        <f>_xll.qlInterestRateIndexMaturity(Index,Q157,Trigger)</f>
        <v>42439</v>
      </c>
      <c r="S157" s="32">
        <f>_xll.qlDayCounterYearFraction(DayCounter,Q157,R157,,,Trigger)</f>
        <v>0.25277777777777777</v>
      </c>
      <c r="T157" s="33">
        <f>_xll.qlIndexFixing(Index,P157,,AllTriggers)</f>
        <v>-3.2051147931743754E-5</v>
      </c>
      <c r="U157" s="34">
        <f>_xll.qlYieldTSDiscount(OisCurve,Q157,,AllTriggers)</f>
        <v>1.0007156323760076</v>
      </c>
      <c r="V157" s="34">
        <f>_xll.qlYieldTSDiscount(OisCurve,R157,,AllTriggers)</f>
        <v>1.0010428379466234</v>
      </c>
      <c r="W157" s="33">
        <f t="shared" si="18"/>
        <v>-1.293091135513947E-3</v>
      </c>
      <c r="X157" s="35">
        <f t="shared" si="19"/>
        <v>3.1881628484099831E-4</v>
      </c>
      <c r="Y157" s="33">
        <f t="shared" si="20"/>
        <v>1.2610399875822031E-3</v>
      </c>
      <c r="Z157" s="54"/>
    </row>
    <row r="158" spans="15:26" x14ac:dyDescent="0.25">
      <c r="O158" s="35" t="s">
        <v>30</v>
      </c>
      <c r="P158" s="31">
        <f>_xll.qlCalendarAdvance(Calendar,P157,O157,"f",,Trigger)</f>
        <v>42347</v>
      </c>
      <c r="Q158" s="31">
        <f>_xll.qlInterestRateIndexValueDate(Index,P158,Trigger)</f>
        <v>42349</v>
      </c>
      <c r="R158" s="31">
        <f>_xll.qlInterestRateIndexMaturity(Index,Q158,Trigger)</f>
        <v>42440</v>
      </c>
      <c r="S158" s="32">
        <f>_xll.qlDayCounterYearFraction(DayCounter,Q158,R158,,,Trigger)</f>
        <v>0.25277777777777777</v>
      </c>
      <c r="T158" s="33">
        <f>_xll.qlIndexFixing(Index,P158,,AllTriggers)</f>
        <v>-3.0821408032382169E-5</v>
      </c>
      <c r="U158" s="34">
        <f>_xll.qlYieldTSDiscount(OisCurve,Q158,,AllTriggers)</f>
        <v>1.0007192145660277</v>
      </c>
      <c r="V158" s="34">
        <f>_xll.qlYieldTSDiscount(OisCurve,R158,,AllTriggers)</f>
        <v>1.0010468774861263</v>
      </c>
      <c r="W158" s="33">
        <f t="shared" si="18"/>
        <v>-1.2948933200118452E-3</v>
      </c>
      <c r="X158" s="35">
        <f t="shared" si="19"/>
        <v>3.1958283947915601E-4</v>
      </c>
      <c r="Y158" s="33">
        <f t="shared" si="20"/>
        <v>1.2640719119794632E-3</v>
      </c>
      <c r="Z158" s="54"/>
    </row>
    <row r="159" spans="15:26" x14ac:dyDescent="0.25">
      <c r="O159" s="35" t="s">
        <v>30</v>
      </c>
      <c r="P159" s="31">
        <f>_xll.qlCalendarAdvance(Calendar,P158,O158,"f",,Trigger)</f>
        <v>42348</v>
      </c>
      <c r="Q159" s="31">
        <f>_xll.qlInterestRateIndexValueDate(Index,P159,Trigger)</f>
        <v>42352</v>
      </c>
      <c r="R159" s="31">
        <f>_xll.qlInterestRateIndexMaturity(Index,Q159,Trigger)</f>
        <v>42443</v>
      </c>
      <c r="S159" s="32">
        <f>_xll.qlDayCounterYearFraction(DayCounter,Q159,R159,,,Trigger)</f>
        <v>0.25277777777777777</v>
      </c>
      <c r="T159" s="33">
        <f>_xll.qlIndexFixing(Index,P159,,AllTriggers)</f>
        <v>-2.725800566140367E-5</v>
      </c>
      <c r="U159" s="34">
        <f>_xll.qlYieldTSDiscount(OisCurve,Q159,,AllTriggers)</f>
        <v>1.0007304357959763</v>
      </c>
      <c r="V159" s="34">
        <f>_xll.qlYieldTSDiscount(OisCurve,R159,,AllTriggers)</f>
        <v>1.0010596138180849</v>
      </c>
      <c r="W159" s="33">
        <f t="shared" si="18"/>
        <v>-1.3008643110259985E-3</v>
      </c>
      <c r="X159" s="35">
        <f t="shared" si="19"/>
        <v>3.2199342420064566E-4</v>
      </c>
      <c r="Y159" s="33">
        <f t="shared" si="20"/>
        <v>1.2736063053645948E-3</v>
      </c>
      <c r="Z159" s="54"/>
    </row>
    <row r="160" spans="15:26" x14ac:dyDescent="0.25">
      <c r="O160" s="35" t="s">
        <v>30</v>
      </c>
      <c r="P160" s="31">
        <f>_xll.qlCalendarAdvance(Calendar,P159,O159,"f",,Trigger)</f>
        <v>42349</v>
      </c>
      <c r="Q160" s="31">
        <f>_xll.qlInterestRateIndexValueDate(Index,P160,Trigger)</f>
        <v>42353</v>
      </c>
      <c r="R160" s="31">
        <f>_xll.qlInterestRateIndexMaturity(Index,Q160,Trigger)</f>
        <v>42444</v>
      </c>
      <c r="S160" s="32">
        <f>_xll.qlDayCounterYearFraction(DayCounter,Q160,R160,,,Trigger)</f>
        <v>0.25277777777777777</v>
      </c>
      <c r="T160" s="33">
        <f>_xll.qlIndexFixing(Index,P160,,AllTriggers)</f>
        <v>-2.611639336308297E-5</v>
      </c>
      <c r="U160" s="34">
        <f>_xll.qlYieldTSDiscount(OisCurve,Q160,,AllTriggers)</f>
        <v>1.0007343184597193</v>
      </c>
      <c r="V160" s="34">
        <f>_xll.qlYieldTSDiscount(OisCurve,R160,,AllTriggers)</f>
        <v>1.0010642802596457</v>
      </c>
      <c r="W160" s="33">
        <f t="shared" si="18"/>
        <v>-1.3039556101090855E-3</v>
      </c>
      <c r="X160" s="35">
        <f t="shared" si="19"/>
        <v>3.2306366942128778E-4</v>
      </c>
      <c r="Y160" s="33">
        <f t="shared" si="20"/>
        <v>1.2778392167460025E-3</v>
      </c>
      <c r="Z160" s="54"/>
    </row>
    <row r="161" spans="15:26" x14ac:dyDescent="0.25">
      <c r="O161" s="35" t="s">
        <v>30</v>
      </c>
      <c r="P161" s="31">
        <f>_xll.qlCalendarAdvance(Calendar,P160,O160,"f",,Trigger)</f>
        <v>42352</v>
      </c>
      <c r="Q161" s="31">
        <f>_xll.qlInterestRateIndexValueDate(Index,P161,Trigger)</f>
        <v>42354</v>
      </c>
      <c r="R161" s="31">
        <f>_xll.qlInterestRateIndexMaturity(Index,Q161,Trigger)</f>
        <v>42445</v>
      </c>
      <c r="S161" s="32">
        <f>_xll.qlDayCounterYearFraction(DayCounter,Q161,R161,,,Trigger)</f>
        <v>0.25277777777777777</v>
      </c>
      <c r="T161" s="33">
        <f>_xll.qlIndexFixing(Index,P161,,AllTriggers)</f>
        <v>-2.5000000000273583E-5</v>
      </c>
      <c r="U161" s="34">
        <f>_xll.qlYieldTSDiscount(OisCurve,Q161,,AllTriggers)</f>
        <v>1.0007382642670974</v>
      </c>
      <c r="V161" s="34">
        <f>_xll.qlYieldTSDiscount(OisCurve,R161,,AllTriggers)</f>
        <v>1.0010692647496933</v>
      </c>
      <c r="W161" s="33">
        <f t="shared" si="18"/>
        <v>-1.3080538027989063E-3</v>
      </c>
      <c r="X161" s="35">
        <f t="shared" si="19"/>
        <v>3.2438214482288509E-4</v>
      </c>
      <c r="Y161" s="33">
        <f t="shared" si="20"/>
        <v>1.2830538027986328E-3</v>
      </c>
      <c r="Z161" s="54"/>
    </row>
    <row r="162" spans="15:26" x14ac:dyDescent="0.25">
      <c r="O162" s="35" t="s">
        <v>30</v>
      </c>
      <c r="P162" s="31">
        <f>_xll.qlCalendarAdvance(Calendar,P161,O161,"f",,Trigger)</f>
        <v>42353</v>
      </c>
      <c r="Q162" s="31">
        <f>_xll.qlInterestRateIndexValueDate(Index,P162,Trigger)</f>
        <v>42355</v>
      </c>
      <c r="R162" s="31">
        <f>_xll.qlInterestRateIndexMaturity(Index,Q162,Trigger)</f>
        <v>42446</v>
      </c>
      <c r="S162" s="32">
        <f>_xll.qlDayCounterYearFraction(DayCounter,Q162,R162,,,Trigger)</f>
        <v>0.25277777777777777</v>
      </c>
      <c r="T162" s="33">
        <f>_xll.qlIndexFixing(Index,P162,,AllTriggers)</f>
        <v>-2.3900602439153286E-5</v>
      </c>
      <c r="U162" s="34">
        <f>_xll.qlYieldTSDiscount(OisCurve,Q162,,AllTriggers)</f>
        <v>1.0007422684280725</v>
      </c>
      <c r="V162" s="34">
        <f>_xll.qlYieldTSDiscount(OisCurve,R162,,AllTriggers)</f>
        <v>1.0010746152587371</v>
      </c>
      <c r="W162" s="33">
        <f t="shared" si="18"/>
        <v>-1.3133673062137496E-3</v>
      </c>
      <c r="X162" s="35">
        <f t="shared" si="19"/>
        <v>3.260036305513383E-4</v>
      </c>
      <c r="Y162" s="33">
        <f t="shared" si="20"/>
        <v>1.2894667037745963E-3</v>
      </c>
      <c r="Z162" s="54"/>
    </row>
    <row r="163" spans="15:26" x14ac:dyDescent="0.25">
      <c r="O163" s="35" t="s">
        <v>30</v>
      </c>
      <c r="P163" s="31">
        <f>_xll.qlCalendarAdvance(Calendar,P162,O162,"f",,Trigger)</f>
        <v>42354</v>
      </c>
      <c r="Q163" s="31">
        <f>_xll.qlInterestRateIndexValueDate(Index,P163,Trigger)</f>
        <v>42356</v>
      </c>
      <c r="R163" s="31">
        <f>_xll.qlInterestRateIndexMaturity(Index,Q163,Trigger)</f>
        <v>42447</v>
      </c>
      <c r="S163" s="32">
        <f>_xll.qlDayCounterYearFraction(DayCounter,Q163,R163,,,Trigger)</f>
        <v>0.25277777777777777</v>
      </c>
      <c r="T163" s="33">
        <f>_xll.qlIndexFixing(Index,P163,,AllTriggers)</f>
        <v>-2.2808958492047561E-5</v>
      </c>
      <c r="U163" s="34">
        <f>_xll.qlYieldTSDiscount(OisCurve,Q163,,AllTriggers)</f>
        <v>1.0007463261525391</v>
      </c>
      <c r="V163" s="34">
        <f>_xll.qlYieldTSDiscount(OisCurve,R163,,AllTriggers)</f>
        <v>1.0010803135121795</v>
      </c>
      <c r="W163" s="33">
        <f t="shared" si="18"/>
        <v>-1.3198428314559257E-3</v>
      </c>
      <c r="X163" s="35">
        <f t="shared" si="19"/>
        <v>3.2791698933757886E-4</v>
      </c>
      <c r="Y163" s="33">
        <f t="shared" si="20"/>
        <v>1.2970338729638782E-3</v>
      </c>
      <c r="Z163" s="54"/>
    </row>
    <row r="164" spans="15:26" x14ac:dyDescent="0.25">
      <c r="O164" s="35" t="s">
        <v>30</v>
      </c>
      <c r="P164" s="31">
        <f>_xll.qlCalendarAdvance(Calendar,P163,O163,"f",,Trigger)</f>
        <v>42355</v>
      </c>
      <c r="Q164" s="31">
        <f>_xll.qlInterestRateIndexValueDate(Index,P164,Trigger)</f>
        <v>42359</v>
      </c>
      <c r="R164" s="31">
        <f>_xll.qlInterestRateIndexMaturity(Index,Q164,Trigger)</f>
        <v>42450</v>
      </c>
      <c r="S164" s="32">
        <f>_xll.qlDayCounterYearFraction(DayCounter,Q164,R164,,,Trigger)</f>
        <v>0.25277777777777777</v>
      </c>
      <c r="T164" s="33">
        <f>_xll.qlIndexFixing(Index,P164,,AllTriggers)</f>
        <v>-1.9578010726452642E-5</v>
      </c>
      <c r="U164" s="34">
        <f>_xll.qlYieldTSDiscount(OisCurve,Q164,,AllTriggers)</f>
        <v>1.0007587728047955</v>
      </c>
      <c r="V164" s="34">
        <f>_xll.qlYieldTSDiscount(OisCurve,R164,,AllTriggers)</f>
        <v>1.001099146372558</v>
      </c>
      <c r="W164" s="33">
        <f t="shared" si="18"/>
        <v>-1.3450543838968198E-3</v>
      </c>
      <c r="X164" s="35">
        <f t="shared" si="19"/>
        <v>3.3510877291753122E-4</v>
      </c>
      <c r="Y164" s="33">
        <f t="shared" si="20"/>
        <v>1.3254763731703671E-3</v>
      </c>
      <c r="Z164" s="54"/>
    </row>
    <row r="165" spans="15:26" x14ac:dyDescent="0.25">
      <c r="O165" s="35" t="s">
        <v>30</v>
      </c>
      <c r="P165" s="31">
        <f>_xll.qlCalendarAdvance(Calendar,P164,O164,"f",,Trigger)</f>
        <v>42356</v>
      </c>
      <c r="Q165" s="31">
        <f>_xll.qlInterestRateIndexValueDate(Index,P165,Trigger)</f>
        <v>42360</v>
      </c>
      <c r="R165" s="31">
        <f>_xll.qlInterestRateIndexMaturity(Index,Q165,Trigger)</f>
        <v>42451</v>
      </c>
      <c r="S165" s="32">
        <f>_xll.qlDayCounterYearFraction(DayCounter,Q165,R165,,,Trigger)</f>
        <v>0.25277777777777777</v>
      </c>
      <c r="T165" s="33">
        <f>_xll.qlIndexFixing(Index,P165,,AllTriggers)</f>
        <v>-1.8514843626161604E-5</v>
      </c>
      <c r="U165" s="34">
        <f>_xll.qlYieldTSDiscount(OisCurve,Q165,,AllTriggers)</f>
        <v>1.0007629968807716</v>
      </c>
      <c r="V165" s="34">
        <f>_xll.qlYieldTSDiscount(OisCurve,R165,,AllTriggers)</f>
        <v>1.001105887234254</v>
      </c>
      <c r="W165" s="33">
        <f t="shared" si="18"/>
        <v>-1.3549908434034471E-3</v>
      </c>
      <c r="X165" s="35">
        <f t="shared" si="19"/>
        <v>3.3789009281176287E-4</v>
      </c>
      <c r="Y165" s="33">
        <f t="shared" si="20"/>
        <v>1.3364759997772854E-3</v>
      </c>
      <c r="Z165" s="54"/>
    </row>
    <row r="166" spans="15:26" x14ac:dyDescent="0.25">
      <c r="O166" s="35" t="s">
        <v>30</v>
      </c>
      <c r="P166" s="31">
        <f>_xll.qlCalendarAdvance(Calendar,P165,O165,"f",,Trigger)</f>
        <v>42359</v>
      </c>
      <c r="Q166" s="31">
        <f>_xll.qlInterestRateIndexValueDate(Index,P166,Trigger)</f>
        <v>42361</v>
      </c>
      <c r="R166" s="31">
        <f>_xll.qlInterestRateIndexMaturity(Index,Q166,Trigger)</f>
        <v>42452</v>
      </c>
      <c r="S166" s="32">
        <f>_xll.qlDayCounterYearFraction(DayCounter,Q166,R166,,,Trigger)</f>
        <v>0.25277777777777777</v>
      </c>
      <c r="T166" s="33">
        <f>_xll.qlIndexFixing(Index,P166,,AllTriggers)</f>
        <v>-1.7458161334165307E-5</v>
      </c>
      <c r="U166" s="34">
        <f>_xll.qlYieldTSDiscount(OisCurve,Q166,,AllTriggers)</f>
        <v>1.0007672505686407</v>
      </c>
      <c r="V166" s="34">
        <f>_xll.qlYieldTSDiscount(OisCurve,R166,,AllTriggers)</f>
        <v>1.0011128016523596</v>
      </c>
      <c r="W166" s="33">
        <f t="shared" si="18"/>
        <v>-1.3654957503236103E-3</v>
      </c>
      <c r="X166" s="35">
        <f t="shared" si="19"/>
        <v>3.4081352020194877E-4</v>
      </c>
      <c r="Y166" s="33">
        <f t="shared" si="20"/>
        <v>1.348037588989445E-3</v>
      </c>
      <c r="Z166" s="54"/>
    </row>
    <row r="167" spans="15:26" x14ac:dyDescent="0.25">
      <c r="O167" s="35" t="s">
        <v>30</v>
      </c>
      <c r="P167" s="31">
        <f>_xll.qlCalendarAdvance(Calendar,P166,O166,"f",,Trigger)</f>
        <v>42360</v>
      </c>
      <c r="Q167" s="31">
        <f>_xll.qlInterestRateIndexValueDate(Index,P167,Trigger)</f>
        <v>42362</v>
      </c>
      <c r="R167" s="31">
        <f>_xll.qlInterestRateIndexMaturity(Index,Q167,Trigger)</f>
        <v>42453</v>
      </c>
      <c r="S167" s="32">
        <f>_xll.qlDayCounterYearFraction(DayCounter,Q167,R167,,,Trigger)</f>
        <v>0.25277777777777777</v>
      </c>
      <c r="T167" s="33">
        <f>_xll.qlIndexFixing(Index,P167,,AllTriggers)</f>
        <v>-1.6407710087738637E-5</v>
      </c>
      <c r="U167" s="34">
        <f>_xll.qlYieldTSDiscount(OisCurve,Q167,,AllTriggers)</f>
        <v>1.000771529077854</v>
      </c>
      <c r="V167" s="34">
        <f>_xll.qlYieldTSDiscount(OisCurve,R167,,AllTriggers)</f>
        <v>1.0011198547870019</v>
      </c>
      <c r="W167" s="33">
        <f t="shared" si="18"/>
        <v>-1.3764503918489346E-3</v>
      </c>
      <c r="X167" s="35">
        <f t="shared" si="19"/>
        <v>3.4384910197636249E-4</v>
      </c>
      <c r="Y167" s="33">
        <f t="shared" si="20"/>
        <v>1.360042681761196E-3</v>
      </c>
      <c r="Z167" s="54"/>
    </row>
    <row r="168" spans="15:26" x14ac:dyDescent="0.25">
      <c r="O168" s="35" t="s">
        <v>30</v>
      </c>
      <c r="P168" s="31">
        <f>_xll.qlCalendarAdvance(Calendar,P167,O167,"f",,Trigger)</f>
        <v>42361</v>
      </c>
      <c r="Q168" s="31">
        <f>_xll.qlInterestRateIndexValueDate(Index,P168,Trigger)</f>
        <v>42366</v>
      </c>
      <c r="R168" s="31">
        <f>_xll.qlInterestRateIndexMaturity(Index,Q168,Trigger)</f>
        <v>42458</v>
      </c>
      <c r="S168" s="32">
        <f>_xll.qlDayCounterYearFraction(DayCounter,Q168,R168,,,Trigger)</f>
        <v>0.25555555555555554</v>
      </c>
      <c r="T168" s="33">
        <f>_xll.qlIndexFixing(Index,P168,,AllTriggers)</f>
        <v>-1.1789474447122867E-5</v>
      </c>
      <c r="U168" s="34">
        <f>_xll.qlYieldTSDiscount(OisCurve,Q168,,AllTriggers)</f>
        <v>1.0007887955143624</v>
      </c>
      <c r="V168" s="34">
        <f>_xll.qlYieldTSDiscount(OisCurve,R168,,AllTriggers)</f>
        <v>1.0011559817467603</v>
      </c>
      <c r="W168" s="33">
        <f t="shared" si="18"/>
        <v>-1.4351566770695963E-3</v>
      </c>
      <c r="X168" s="35">
        <f t="shared" si="19"/>
        <v>3.6381666541485287E-4</v>
      </c>
      <c r="Y168" s="33">
        <f t="shared" si="20"/>
        <v>1.4233672026224735E-3</v>
      </c>
      <c r="Z168" s="54"/>
    </row>
    <row r="169" spans="15:26" x14ac:dyDescent="0.25">
      <c r="O169" s="35" t="s">
        <v>30</v>
      </c>
      <c r="P169" s="31">
        <f>_xll.qlCalendarAdvance(Calendar,P168,O168,"f",,Trigger)</f>
        <v>42362</v>
      </c>
      <c r="Q169" s="31">
        <f>_xll.qlInterestRateIndexValueDate(Index,P169,Trigger)</f>
        <v>42367</v>
      </c>
      <c r="R169" s="31">
        <f>_xll.qlInterestRateIndexMaturity(Index,Q169,Trigger)</f>
        <v>42458</v>
      </c>
      <c r="S169" s="32">
        <f>_xll.qlDayCounterYearFraction(DayCounter,Q169,R169,,,Trigger)</f>
        <v>0.25277777777777777</v>
      </c>
      <c r="T169" s="33">
        <f>_xll.qlIndexFixing(Index,P169,,AllTriggers)</f>
        <v>-1.1240037864413344E-5</v>
      </c>
      <c r="U169" s="34">
        <f>_xll.qlYieldTSDiscount(OisCurve,Q169,,AllTriggers)</f>
        <v>1.0007931262692418</v>
      </c>
      <c r="V169" s="34">
        <f>_xll.qlYieldTSDiscount(OisCurve,R169,,AllTriggers)</f>
        <v>1.0011559817467603</v>
      </c>
      <c r="W169" s="33">
        <f t="shared" si="18"/>
        <v>-1.433814755069822E-3</v>
      </c>
      <c r="X169" s="35">
        <f t="shared" si="19"/>
        <v>3.5966096768696385E-4</v>
      </c>
      <c r="Y169" s="33">
        <f t="shared" si="20"/>
        <v>1.4225747172054088E-3</v>
      </c>
      <c r="Z169" s="54"/>
    </row>
    <row r="170" spans="15:26" x14ac:dyDescent="0.25">
      <c r="O170" s="35" t="s">
        <v>30</v>
      </c>
      <c r="P170" s="31">
        <f>_xll.qlCalendarAdvance(Calendar,P169,O169,"f",,Trigger)</f>
        <v>42366</v>
      </c>
      <c r="Q170" s="31">
        <f>_xll.qlInterestRateIndexValueDate(Index,P170,Trigger)</f>
        <v>42368</v>
      </c>
      <c r="R170" s="31">
        <f>_xll.qlInterestRateIndexMaturity(Index,Q170,Trigger)</f>
        <v>42459</v>
      </c>
      <c r="S170" s="32">
        <f>_xll.qlDayCounterYearFraction(DayCounter,Q170,R170,,,Trigger)</f>
        <v>0.25277777777777777</v>
      </c>
      <c r="T170" s="33">
        <f>_xll.qlIndexFixing(Index,P170,,AllTriggers)</f>
        <v>-1.0221643876372977E-5</v>
      </c>
      <c r="U170" s="34">
        <f>_xll.qlYieldTSDiscount(OisCurve,Q170,,AllTriggers)</f>
        <v>1.0007974531004682</v>
      </c>
      <c r="V170" s="34">
        <f>_xll.qlYieldTSDiscount(OisCurve,R170,,AllTriggers)</f>
        <v>1.0011631354898716</v>
      </c>
      <c r="W170" s="33">
        <f t="shared" si="18"/>
        <v>-1.4449749048372185E-3</v>
      </c>
      <c r="X170" s="35">
        <f t="shared" si="19"/>
        <v>3.6274046041220631E-4</v>
      </c>
      <c r="Y170" s="33">
        <f t="shared" si="20"/>
        <v>1.4347532609608456E-3</v>
      </c>
      <c r="Z170" s="54"/>
    </row>
    <row r="171" spans="15:26" x14ac:dyDescent="0.25">
      <c r="O171" s="35" t="s">
        <v>30</v>
      </c>
      <c r="P171" s="31">
        <f>_xll.qlCalendarAdvance(Calendar,P170,O170,"f",,Trigger)</f>
        <v>42367</v>
      </c>
      <c r="Q171" s="31">
        <f>_xll.qlInterestRateIndexValueDate(Index,P171,Trigger)</f>
        <v>42369</v>
      </c>
      <c r="R171" s="31">
        <f>_xll.qlInterestRateIndexMaturity(Index,Q171,Trigger)</f>
        <v>42460</v>
      </c>
      <c r="S171" s="32">
        <f>_xll.qlDayCounterYearFraction(DayCounter,Q171,R171,,,Trigger)</f>
        <v>0.25277777777777777</v>
      </c>
      <c r="T171" s="33">
        <f>_xll.qlIndexFixing(Index,P171,,AllTriggers)</f>
        <v>-9.2077045948264063E-6</v>
      </c>
      <c r="U171" s="34">
        <f>_xll.qlYieldTSDiscount(OisCurve,Q171,,AllTriggers)</f>
        <v>1.0008017712169202</v>
      </c>
      <c r="V171" s="34">
        <f>_xll.qlYieldTSDiscount(OisCurve,R171,,AllTriggers)</f>
        <v>1.0011701840433203</v>
      </c>
      <c r="W171" s="33">
        <f t="shared" si="18"/>
        <v>-1.4557538353001396E-3</v>
      </c>
      <c r="X171" s="35">
        <f t="shared" si="19"/>
        <v>3.6572243573510936E-4</v>
      </c>
      <c r="Y171" s="33">
        <f t="shared" si="20"/>
        <v>1.4465461307053131E-3</v>
      </c>
      <c r="Z171" s="54"/>
    </row>
    <row r="172" spans="15:26" x14ac:dyDescent="0.25">
      <c r="O172" s="35" t="s">
        <v>30</v>
      </c>
      <c r="P172" s="31">
        <f>_xll.qlCalendarAdvance(Calendar,P171,O171,"f",,Trigger)</f>
        <v>42368</v>
      </c>
      <c r="Q172" s="31">
        <f>_xll.qlInterestRateIndexValueDate(Index,P172,Trigger)</f>
        <v>42373</v>
      </c>
      <c r="R172" s="31">
        <f>_xll.qlInterestRateIndexMaturity(Index,Q172,Trigger)</f>
        <v>42464</v>
      </c>
      <c r="S172" s="32">
        <f>_xll.qlDayCounterYearFraction(DayCounter,Q172,R172,,,Trigger)</f>
        <v>0.25277777777777777</v>
      </c>
      <c r="T172" s="33">
        <f>_xll.qlIndexFixing(Index,P172,,AllTriggers)</f>
        <v>-5.1914192171471937E-6</v>
      </c>
      <c r="U172" s="34">
        <f>_xll.qlYieldTSDiscount(OisCurve,Q172,,AllTriggers)</f>
        <v>1.0007871347517852</v>
      </c>
      <c r="V172" s="34">
        <f>_xll.qlYieldTSDiscount(OisCurve,R172,,AllTriggers)</f>
        <v>1.0011273465867523</v>
      </c>
      <c r="W172" s="33">
        <f t="shared" si="18"/>
        <v>-1.3443773942298568E-3</v>
      </c>
      <c r="X172" s="35">
        <f t="shared" si="19"/>
        <v>3.3857420880155955E-4</v>
      </c>
      <c r="Y172" s="33">
        <f t="shared" si="20"/>
        <v>1.3391859750127096E-3</v>
      </c>
      <c r="Z172" s="54"/>
    </row>
    <row r="173" spans="15:26" x14ac:dyDescent="0.25">
      <c r="O173" s="35" t="s">
        <v>30</v>
      </c>
      <c r="P173" s="31">
        <f>_xll.qlCalendarAdvance(Calendar,P172,O172,"f",,Trigger)</f>
        <v>42369</v>
      </c>
      <c r="Q173" s="31">
        <f>_xll.qlInterestRateIndexValueDate(Index,P173,Trigger)</f>
        <v>42374</v>
      </c>
      <c r="R173" s="31">
        <f>_xll.qlInterestRateIndexMaturity(Index,Q173,Trigger)</f>
        <v>42465</v>
      </c>
      <c r="S173" s="32">
        <f>_xll.qlDayCounterYearFraction(DayCounter,Q173,R173,,,Trigger)</f>
        <v>0.25277777777777777</v>
      </c>
      <c r="T173" s="33">
        <f>_xll.qlIndexFixing(Index,P173,,AllTriggers)</f>
        <v>-4.1959469854679421E-6</v>
      </c>
      <c r="U173" s="34">
        <f>_xll.qlYieldTSDiscount(OisCurve,Q173,,AllTriggers)</f>
        <v>1.0007913372914476</v>
      </c>
      <c r="V173" s="34">
        <f>_xll.qlYieldTSDiscount(OisCurve,R173,,AllTriggers)</f>
        <v>1.0011333460441214</v>
      </c>
      <c r="W173" s="33">
        <f t="shared" si="18"/>
        <v>-1.351469975778304E-3</v>
      </c>
      <c r="X173" s="35">
        <f t="shared" si="19"/>
        <v>3.4061930043753348E-4</v>
      </c>
      <c r="Y173" s="33">
        <f t="shared" si="20"/>
        <v>1.347274028792836E-3</v>
      </c>
      <c r="Z173" s="54"/>
    </row>
    <row r="174" spans="15:26" x14ac:dyDescent="0.25">
      <c r="O174" s="35" t="s">
        <v>30</v>
      </c>
      <c r="P174" s="31">
        <f>_xll.qlCalendarAdvance(Calendar,P173,O173,"f",,Trigger)</f>
        <v>42373</v>
      </c>
      <c r="Q174" s="31">
        <f>_xll.qlInterestRateIndexValueDate(Index,P174,Trigger)</f>
        <v>42375</v>
      </c>
      <c r="R174" s="31">
        <f>_xll.qlInterestRateIndexMaturity(Index,Q174,Trigger)</f>
        <v>42466</v>
      </c>
      <c r="S174" s="32">
        <f>_xll.qlDayCounterYearFraction(DayCounter,Q174,R174,,,Trigger)</f>
        <v>0.25277777777777777</v>
      </c>
      <c r="T174" s="33">
        <f>_xll.qlIndexFixing(Index,P174,,AllTriggers)</f>
        <v>-3.203406867681035E-6</v>
      </c>
      <c r="U174" s="34">
        <f>_xll.qlYieldTSDiscount(OisCurve,Q174,,AllTriggers)</f>
        <v>1.0007955023690855</v>
      </c>
      <c r="V174" s="34">
        <f>_xll.qlYieldTSDiscount(OisCurve,R174,,AllTriggers)</f>
        <v>1.001139031235085</v>
      </c>
      <c r="W174" s="33">
        <f t="shared" si="18"/>
        <v>-1.3574690943643772E-3</v>
      </c>
      <c r="X174" s="35">
        <f t="shared" si="19"/>
        <v>3.4238715599986622E-4</v>
      </c>
      <c r="Y174" s="33">
        <f t="shared" si="20"/>
        <v>1.3542656874966962E-3</v>
      </c>
      <c r="Z174" s="54"/>
    </row>
    <row r="175" spans="15:26" x14ac:dyDescent="0.25">
      <c r="O175" s="35" t="s">
        <v>30</v>
      </c>
      <c r="P175" s="31">
        <f>_xll.qlCalendarAdvance(Calendar,P174,O174,"f",,Trigger)</f>
        <v>42374</v>
      </c>
      <c r="Q175" s="31">
        <f>_xll.qlInterestRateIndexValueDate(Index,P175,Trigger)</f>
        <v>42376</v>
      </c>
      <c r="R175" s="31">
        <f>_xll.qlInterestRateIndexMaturity(Index,Q175,Trigger)</f>
        <v>42467</v>
      </c>
      <c r="S175" s="32">
        <f>_xll.qlDayCounterYearFraction(DayCounter,Q175,R175,,,Trigger)</f>
        <v>0.25277777777777777</v>
      </c>
      <c r="T175" s="33">
        <f>_xll.qlIndexFixing(Index,P175,,AllTriggers)</f>
        <v>-2.2135451001829339E-6</v>
      </c>
      <c r="U175" s="34">
        <f>_xll.qlYieldTSDiscount(OisCurve,Q175,,AllTriggers)</f>
        <v>1.0007996251931712</v>
      </c>
      <c r="V175" s="34">
        <f>_xll.qlYieldTSDiscount(OisCurve,R175,,AllTriggers)</f>
        <v>1.0011443673099676</v>
      </c>
      <c r="W175" s="33">
        <f t="shared" si="18"/>
        <v>-1.3622560462590327E-3</v>
      </c>
      <c r="X175" s="35">
        <f t="shared" si="19"/>
        <v>3.4384782237546481E-4</v>
      </c>
      <c r="Y175" s="33">
        <f t="shared" si="20"/>
        <v>1.3600425011588498E-3</v>
      </c>
      <c r="Z175" s="54"/>
    </row>
    <row r="176" spans="15:26" x14ac:dyDescent="0.25">
      <c r="O176" s="35" t="s">
        <v>30</v>
      </c>
      <c r="P176" s="31">
        <f>_xll.qlCalendarAdvance(Calendar,P175,O175,"f",,Trigger)</f>
        <v>42375</v>
      </c>
      <c r="Q176" s="31">
        <f>_xll.qlInterestRateIndexValueDate(Index,P176,Trigger)</f>
        <v>42377</v>
      </c>
      <c r="R176" s="31">
        <f>_xll.qlInterestRateIndexMaturity(Index,Q176,Trigger)</f>
        <v>42468</v>
      </c>
      <c r="S176" s="32">
        <f>_xll.qlDayCounterYearFraction(DayCounter,Q176,R176,,,Trigger)</f>
        <v>0.25277777777777777</v>
      </c>
      <c r="T176" s="33">
        <f>_xll.qlIndexFixing(Index,P176,,AllTriggers)</f>
        <v>-1.2261079132211753E-6</v>
      </c>
      <c r="U176" s="34">
        <f>_xll.qlYieldTSDiscount(OisCurve,Q176,,AllTriggers)</f>
        <v>1.000803700972102</v>
      </c>
      <c r="V176" s="34">
        <f>_xll.qlYieldTSDiscount(OisCurve,R176,,AllTriggers)</f>
        <v>1.0011493194186927</v>
      </c>
      <c r="W176" s="33">
        <f t="shared" si="18"/>
        <v>-1.3657121272641511E-3</v>
      </c>
      <c r="X176" s="35">
        <f t="shared" si="19"/>
        <v>3.4497134645321775E-4</v>
      </c>
      <c r="Y176" s="33">
        <f t="shared" si="20"/>
        <v>1.36448601935093E-3</v>
      </c>
      <c r="Z176" s="54"/>
    </row>
    <row r="177" spans="15:26" x14ac:dyDescent="0.25">
      <c r="O177" s="35" t="s">
        <v>30</v>
      </c>
      <c r="P177" s="31">
        <f>_xll.qlCalendarAdvance(Calendar,P176,O176,"f",,Trigger)</f>
        <v>42376</v>
      </c>
      <c r="Q177" s="31">
        <f>_xll.qlInterestRateIndexValueDate(Index,P177,Trigger)</f>
        <v>42380</v>
      </c>
      <c r="R177" s="31">
        <f>_xll.qlInterestRateIndexMaturity(Index,Q177,Trigger)</f>
        <v>42471</v>
      </c>
      <c r="S177" s="32">
        <f>_xll.qlDayCounterYearFraction(DayCounter,Q177,R177,,,Trigger)</f>
        <v>0.25277777777777777</v>
      </c>
      <c r="T177" s="33">
        <f>_xll.qlIndexFixing(Index,P177,,AllTriggers)</f>
        <v>1.724193817171365E-6</v>
      </c>
      <c r="U177" s="34">
        <f>_xll.qlYieldTSDiscount(OisCurve,Q177,,AllTriggers)</f>
        <v>1.0008156879173824</v>
      </c>
      <c r="V177" s="34">
        <f>_xll.qlYieldTSDiscount(OisCurve,R177,,AllTriggers)</f>
        <v>1.0011618731185226</v>
      </c>
      <c r="W177" s="33">
        <f t="shared" si="18"/>
        <v>-1.3679345063115341E-3</v>
      </c>
      <c r="X177" s="35">
        <f t="shared" si="19"/>
        <v>3.4627907931781166E-4</v>
      </c>
      <c r="Y177" s="33">
        <f t="shared" si="20"/>
        <v>1.3696587001287054E-3</v>
      </c>
      <c r="Z177" s="54"/>
    </row>
    <row r="178" spans="15:26" x14ac:dyDescent="0.25">
      <c r="O178" s="35" t="s">
        <v>30</v>
      </c>
      <c r="P178" s="31">
        <f>_xll.qlCalendarAdvance(Calendar,P177,O177,"f",,Trigger)</f>
        <v>42377</v>
      </c>
      <c r="Q178" s="31">
        <f>_xll.qlInterestRateIndexValueDate(Index,P178,Trigger)</f>
        <v>42381</v>
      </c>
      <c r="R178" s="31">
        <f>_xll.qlInterestRateIndexMaturity(Index,Q178,Trigger)</f>
        <v>42472</v>
      </c>
      <c r="S178" s="32">
        <f>_xll.qlDayCounterYearFraction(DayCounter,Q178,R178,,,Trigger)</f>
        <v>0.25277777777777777</v>
      </c>
      <c r="T178" s="33">
        <f>_xll.qlIndexFixing(Index,P178,,AllTriggers)</f>
        <v>2.7044703417404177E-6</v>
      </c>
      <c r="U178" s="34">
        <f>_xll.qlYieldTSDiscount(OisCurve,Q178,,AllTriggers)</f>
        <v>1.0008196506535674</v>
      </c>
      <c r="V178" s="34">
        <f>_xll.qlYieldTSDiscount(OisCurve,R178,,AllTriggers)</f>
        <v>1.0011654200450222</v>
      </c>
      <c r="W178" s="33">
        <f t="shared" si="18"/>
        <v>-1.3662866134432185E-3</v>
      </c>
      <c r="X178" s="35">
        <f t="shared" si="19"/>
        <v>3.4611017660389113E-4</v>
      </c>
      <c r="Y178" s="33">
        <f t="shared" si="20"/>
        <v>1.368991083784959E-3</v>
      </c>
      <c r="Z178" s="54"/>
    </row>
    <row r="179" spans="15:26" x14ac:dyDescent="0.25">
      <c r="O179" s="35" t="s">
        <v>30</v>
      </c>
      <c r="P179" s="31">
        <f>_xll.qlCalendarAdvance(Calendar,P178,O178,"f",,Trigger)</f>
        <v>42380</v>
      </c>
      <c r="Q179" s="31">
        <f>_xll.qlInterestRateIndexValueDate(Index,P179,Trigger)</f>
        <v>42382</v>
      </c>
      <c r="R179" s="31">
        <f>_xll.qlInterestRateIndexMaturity(Index,Q179,Trigger)</f>
        <v>42473</v>
      </c>
      <c r="S179" s="32">
        <f>_xll.qlDayCounterYearFraction(DayCounter,Q179,R179,,,Trigger)</f>
        <v>0.25277777777777777</v>
      </c>
      <c r="T179" s="33">
        <f>_xll.qlIndexFixing(Index,P179,,AllTriggers)</f>
        <v>3.6835911182847144E-6</v>
      </c>
      <c r="U179" s="34">
        <f>_xll.qlYieldTSDiscount(OisCurve,Q179,,AllTriggers)</f>
        <v>1.0008236222062417</v>
      </c>
      <c r="V179" s="34">
        <f>_xll.qlYieldTSDiscount(OisCurve,R179,,AllTriggers)</f>
        <v>1.0011687195803052</v>
      </c>
      <c r="W179" s="33">
        <f t="shared" si="18"/>
        <v>-1.3636266837052109E-3</v>
      </c>
      <c r="X179" s="35">
        <f t="shared" si="19"/>
        <v>3.4568507318121226E-4</v>
      </c>
      <c r="Y179" s="33">
        <f t="shared" si="20"/>
        <v>1.3673102748234956E-3</v>
      </c>
      <c r="Z179" s="54"/>
    </row>
    <row r="180" spans="15:26" x14ac:dyDescent="0.25">
      <c r="O180" s="35" t="s">
        <v>30</v>
      </c>
      <c r="P180" s="31">
        <f>_xll.qlCalendarAdvance(Calendar,P179,O179,"f",,Trigger)</f>
        <v>42381</v>
      </c>
      <c r="Q180" s="31">
        <f>_xll.qlInterestRateIndexValueDate(Index,P180,Trigger)</f>
        <v>42383</v>
      </c>
      <c r="R180" s="31">
        <f>_xll.qlInterestRateIndexMaturity(Index,Q180,Trigger)</f>
        <v>42474</v>
      </c>
      <c r="S180" s="32">
        <f>_xll.qlDayCounterYearFraction(DayCounter,Q180,R180,,,Trigger)</f>
        <v>0.25277777777777777</v>
      </c>
      <c r="T180" s="33">
        <f>_xll.qlIndexFixing(Index,P180,,AllTriggers)</f>
        <v>4.661809914799883E-6</v>
      </c>
      <c r="U180" s="34">
        <f>_xll.qlYieldTSDiscount(OisCurve,Q180,,AllTriggers)</f>
        <v>1.0008276177393318</v>
      </c>
      <c r="V180" s="34">
        <f>_xll.qlYieldTSDiscount(OisCurve,R180,,AllTriggers)</f>
        <v>1.0011718145829027</v>
      </c>
      <c r="W180" s="33">
        <f t="shared" si="18"/>
        <v>-1.3600640997520933E-3</v>
      </c>
      <c r="X180" s="35">
        <f t="shared" si="19"/>
        <v>3.4503149272600462E-4</v>
      </c>
      <c r="Y180" s="33">
        <f t="shared" si="20"/>
        <v>1.3647259096668933E-3</v>
      </c>
      <c r="Z180" s="54"/>
    </row>
    <row r="181" spans="15:26" x14ac:dyDescent="0.25">
      <c r="O181" s="35" t="s">
        <v>30</v>
      </c>
      <c r="P181" s="31">
        <f>_xll.qlCalendarAdvance(Calendar,P180,O180,"f",,Trigger)</f>
        <v>42382</v>
      </c>
      <c r="Q181" s="31">
        <f>_xll.qlInterestRateIndexValueDate(Index,P181,Trigger)</f>
        <v>42384</v>
      </c>
      <c r="R181" s="31">
        <f>_xll.qlInterestRateIndexMaturity(Index,Q181,Trigger)</f>
        <v>42475</v>
      </c>
      <c r="S181" s="32">
        <f>_xll.qlDayCounterYearFraction(DayCounter,Q181,R181,,,Trigger)</f>
        <v>0.25277777777777777</v>
      </c>
      <c r="T181" s="33">
        <f>_xll.qlIndexFixing(Index,P181,,AllTriggers)</f>
        <v>5.6393805001599695E-6</v>
      </c>
      <c r="U181" s="34">
        <f>_xll.qlYieldTSDiscount(OisCurve,Q181,,AllTriggers)</f>
        <v>1.0008316524170096</v>
      </c>
      <c r="V181" s="34">
        <f>_xll.qlYieldTSDiscount(OisCurve,R181,,AllTriggers)</f>
        <v>1.0011747479120203</v>
      </c>
      <c r="W181" s="33">
        <f t="shared" si="18"/>
        <v>-1.3557082439542799E-3</v>
      </c>
      <c r="X181" s="35">
        <f t="shared" si="19"/>
        <v>3.4417715891282429E-4</v>
      </c>
      <c r="Y181" s="33">
        <f t="shared" si="20"/>
        <v>1.3613476244544399E-3</v>
      </c>
      <c r="Z181" s="54"/>
    </row>
    <row r="182" spans="15:26" x14ac:dyDescent="0.25">
      <c r="O182" s="35" t="s">
        <v>30</v>
      </c>
      <c r="P182" s="31">
        <f>_xll.qlCalendarAdvance(Calendar,P181,O181,"f",,Trigger)</f>
        <v>42383</v>
      </c>
      <c r="Q182" s="31">
        <f>_xll.qlInterestRateIndexValueDate(Index,P182,Trigger)</f>
        <v>42387</v>
      </c>
      <c r="R182" s="31">
        <f>_xll.qlInterestRateIndexMaturity(Index,Q182,Trigger)</f>
        <v>42478</v>
      </c>
      <c r="S182" s="32">
        <f>_xll.qlDayCounterYearFraction(DayCounter,Q182,R182,,,Trigger)</f>
        <v>0.25277777777777777</v>
      </c>
      <c r="T182" s="33">
        <f>_xll.qlIndexFixing(Index,P182,,AllTriggers)</f>
        <v>8.5707406639955108E-6</v>
      </c>
      <c r="U182" s="34">
        <f>_xll.qlYieldTSDiscount(OisCurve,Q182,,AllTriggers)</f>
        <v>1.0008441429630397</v>
      </c>
      <c r="V182" s="34">
        <f>_xll.qlYieldTSDiscount(OisCurve,R182,,AllTriggers)</f>
        <v>1.0011830064591543</v>
      </c>
      <c r="W182" s="33">
        <f t="shared" si="18"/>
        <v>-1.3389748698081835E-3</v>
      </c>
      <c r="X182" s="35">
        <f t="shared" si="19"/>
        <v>3.4068687408270426E-4</v>
      </c>
      <c r="Y182" s="33">
        <f t="shared" si="20"/>
        <v>1.347545610472179E-3</v>
      </c>
      <c r="Z182" s="54"/>
    </row>
    <row r="183" spans="15:26" x14ac:dyDescent="0.25">
      <c r="O183" s="35" t="s">
        <v>30</v>
      </c>
      <c r="P183" s="31">
        <f>_xll.qlCalendarAdvance(Calendar,P182,O182,"f",,Trigger)</f>
        <v>42384</v>
      </c>
      <c r="Q183" s="31">
        <f>_xll.qlInterestRateIndexValueDate(Index,P183,Trigger)</f>
        <v>42388</v>
      </c>
      <c r="R183" s="31">
        <f>_xll.qlInterestRateIndexMaturity(Index,Q183,Trigger)</f>
        <v>42479</v>
      </c>
      <c r="S183" s="32">
        <f>_xll.qlDayCounterYearFraction(DayCounter,Q183,R183,,,Trigger)</f>
        <v>0.25277777777777777</v>
      </c>
      <c r="T183" s="33">
        <f>_xll.qlIndexFixing(Index,P183,,AllTriggers)</f>
        <v>9.5482560838131336E-6</v>
      </c>
      <c r="U183" s="34">
        <f>_xll.qlYieldTSDiscount(OisCurve,Q183,,AllTriggers)</f>
        <v>1.0008484858658564</v>
      </c>
      <c r="V183" s="34">
        <f>_xll.qlYieldTSDiscount(OisCurve,R183,,AllTriggers)</f>
        <v>1.0011857216975459</v>
      </c>
      <c r="W183" s="33">
        <f t="shared" si="18"/>
        <v>-1.3325397524197738E-3</v>
      </c>
      <c r="X183" s="35">
        <f t="shared" si="19"/>
        <v>3.393067635940672E-4</v>
      </c>
      <c r="Y183" s="33">
        <f t="shared" si="20"/>
        <v>1.3420880085035869E-3</v>
      </c>
      <c r="Z183" s="54"/>
    </row>
    <row r="184" spans="15:26" x14ac:dyDescent="0.25">
      <c r="O184" s="35" t="s">
        <v>30</v>
      </c>
      <c r="P184" s="31">
        <f>_xll.qlCalendarAdvance(Calendar,P183,O183,"f",,Trigger)</f>
        <v>42387</v>
      </c>
      <c r="Q184" s="31">
        <f>_xll.qlInterestRateIndexValueDate(Index,P184,Trigger)</f>
        <v>42389</v>
      </c>
      <c r="R184" s="31">
        <f>_xll.qlInterestRateIndexMaturity(Index,Q184,Trigger)</f>
        <v>42480</v>
      </c>
      <c r="S184" s="32">
        <f>_xll.qlDayCounterYearFraction(DayCounter,Q184,R184,,,Trigger)</f>
        <v>0.25277777777777777</v>
      </c>
      <c r="T184" s="33">
        <f>_xll.qlIndexFixing(Index,P184,,AllTriggers)</f>
        <v>1.0526392135967488E-5</v>
      </c>
      <c r="U184" s="34">
        <f>_xll.qlYieldTSDiscount(OisCurve,Q184,,AllTriggers)</f>
        <v>1.0008529437380127</v>
      </c>
      <c r="V184" s="34">
        <f>_xll.qlYieldTSDiscount(OisCurve,R184,,AllTriggers)</f>
        <v>1.001188489566506</v>
      </c>
      <c r="W184" s="33">
        <f t="shared" si="18"/>
        <v>-1.325858278056544E-3</v>
      </c>
      <c r="X184" s="35">
        <f t="shared" si="19"/>
        <v>3.3786451812554014E-4</v>
      </c>
      <c r="Y184" s="33">
        <f t="shared" si="20"/>
        <v>1.3363846701925114E-3</v>
      </c>
      <c r="Z184" s="54"/>
    </row>
    <row r="185" spans="15:26" x14ac:dyDescent="0.25">
      <c r="O185" s="35" t="s">
        <v>30</v>
      </c>
      <c r="P185" s="31">
        <f>_xll.qlCalendarAdvance(Calendar,P184,O184,"f",,Trigger)</f>
        <v>42388</v>
      </c>
      <c r="Q185" s="31">
        <f>_xll.qlInterestRateIndexValueDate(Index,P185,Trigger)</f>
        <v>42390</v>
      </c>
      <c r="R185" s="31">
        <f>_xll.qlInterestRateIndexMaturity(Index,Q185,Trigger)</f>
        <v>42481</v>
      </c>
      <c r="S185" s="32">
        <f>_xll.qlDayCounterYearFraction(DayCounter,Q185,R185,,,Trigger)</f>
        <v>0.25277777777777777</v>
      </c>
      <c r="T185" s="33">
        <f>_xll.qlIndexFixing(Index,P185,,AllTriggers)</f>
        <v>1.1505402589332621E-5</v>
      </c>
      <c r="U185" s="34">
        <f>_xll.qlYieldTSDiscount(OisCurve,Q185,,AllTriggers)</f>
        <v>1.0008575317453201</v>
      </c>
      <c r="V185" s="34">
        <f>_xll.qlYieldTSDiscount(OisCurve,R185,,AllTriggers)</f>
        <v>1.0011913529282839</v>
      </c>
      <c r="W185" s="33">
        <f t="shared" si="18"/>
        <v>-1.3190398312976906E-3</v>
      </c>
      <c r="X185" s="35">
        <f t="shared" si="19"/>
        <v>3.3638786135211442E-4</v>
      </c>
      <c r="Y185" s="33">
        <f t="shared" si="20"/>
        <v>1.3305452338870233E-3</v>
      </c>
      <c r="Z185" s="54"/>
    </row>
    <row r="186" spans="15:26" x14ac:dyDescent="0.25">
      <c r="O186" s="35" t="s">
        <v>30</v>
      </c>
      <c r="P186" s="31">
        <f>_xll.qlCalendarAdvance(Calendar,P185,O185,"f",,Trigger)</f>
        <v>42389</v>
      </c>
      <c r="Q186" s="31">
        <f>_xll.qlInterestRateIndexValueDate(Index,P186,Trigger)</f>
        <v>42391</v>
      </c>
      <c r="R186" s="31">
        <f>_xll.qlInterestRateIndexMaturity(Index,Q186,Trigger)</f>
        <v>42482</v>
      </c>
      <c r="S186" s="32">
        <f>_xll.qlDayCounterYearFraction(DayCounter,Q186,R186,,,Trigger)</f>
        <v>0.25277777777777777</v>
      </c>
      <c r="T186" s="33">
        <f>_xll.qlIndexFixing(Index,P186,,AllTriggers)</f>
        <v>1.2485541212782579E-5</v>
      </c>
      <c r="U186" s="34">
        <f>_xll.qlYieldTSDiscount(OisCurve,Q186,,AllTriggers)</f>
        <v>1.0008622650539158</v>
      </c>
      <c r="V186" s="34">
        <f>_xll.qlYieldTSDiscount(OisCurve,R186,,AllTriggers)</f>
        <v>1.0011943546456417</v>
      </c>
      <c r="W186" s="33">
        <f t="shared" si="18"/>
        <v>-1.3121937974541326E-3</v>
      </c>
      <c r="X186" s="35">
        <f t="shared" si="19"/>
        <v>3.3490451694981744E-4</v>
      </c>
      <c r="Y186" s="33">
        <f t="shared" si="20"/>
        <v>1.3246793386669151E-3</v>
      </c>
      <c r="Z186" s="54"/>
    </row>
    <row r="187" spans="15:26" x14ac:dyDescent="0.25">
      <c r="O187" s="35" t="s">
        <v>30</v>
      </c>
      <c r="P187" s="31">
        <f>_xll.qlCalendarAdvance(Calendar,P186,O186,"f",,Trigger)</f>
        <v>42390</v>
      </c>
      <c r="Q187" s="31">
        <f>_xll.qlInterestRateIndexValueDate(Index,P187,Trigger)</f>
        <v>42394</v>
      </c>
      <c r="R187" s="31">
        <f>_xll.qlInterestRateIndexMaturity(Index,Q187,Trigger)</f>
        <v>42485</v>
      </c>
      <c r="S187" s="32">
        <f>_xll.qlDayCounterYearFraction(DayCounter,Q187,R187,,,Trigger)</f>
        <v>0.25277777777777777</v>
      </c>
      <c r="T187" s="33">
        <f>_xll.qlIndexFixing(Index,P187,,AllTriggers)</f>
        <v>1.5435263807314973E-5</v>
      </c>
      <c r="U187" s="34">
        <f>_xll.qlYieldTSDiscount(OisCurve,Q187,,AllTriggers)</f>
        <v>1.0008774884541325</v>
      </c>
      <c r="V187" s="34">
        <f>_xll.qlYieldTSDiscount(OisCurve,R187,,AllTriggers)</f>
        <v>1.0012046185676551</v>
      </c>
      <c r="W187" s="33">
        <f t="shared" si="18"/>
        <v>-1.2925840377088814E-3</v>
      </c>
      <c r="X187" s="35">
        <f t="shared" si="19"/>
        <v>3.3069159472299821E-4</v>
      </c>
      <c r="Y187" s="33">
        <f t="shared" si="20"/>
        <v>1.3080193015161965E-3</v>
      </c>
      <c r="Z187" s="54"/>
    </row>
    <row r="188" spans="15:26" x14ac:dyDescent="0.25">
      <c r="O188" s="35" t="s">
        <v>30</v>
      </c>
      <c r="P188" s="31">
        <f>_xll.qlCalendarAdvance(Calendar,P187,O187,"f",,Trigger)</f>
        <v>42391</v>
      </c>
      <c r="Q188" s="31">
        <f>_xll.qlInterestRateIndexValueDate(Index,P188,Trigger)</f>
        <v>42395</v>
      </c>
      <c r="R188" s="31">
        <f>_xll.qlInterestRateIndexMaturity(Index,Q188,Trigger)</f>
        <v>42486</v>
      </c>
      <c r="S188" s="32">
        <f>_xll.qlDayCounterYearFraction(DayCounter,Q188,R188,,,Trigger)</f>
        <v>0.25277777777777777</v>
      </c>
      <c r="T188" s="33">
        <f>_xll.qlIndexFixing(Index,P188,,AllTriggers)</f>
        <v>1.64224528147778E-5</v>
      </c>
      <c r="U188" s="34">
        <f>_xll.qlYieldTSDiscount(OisCurve,Q188,,AllTriggers)</f>
        <v>1.0008829546365314</v>
      </c>
      <c r="V188" s="34">
        <f>_xll.qlYieldTSDiscount(OisCurve,R188,,AllTriggers)</f>
        <v>1.0012086023473084</v>
      </c>
      <c r="W188" s="33">
        <f t="shared" si="18"/>
        <v>-1.2867215233650117E-3</v>
      </c>
      <c r="X188" s="35">
        <f t="shared" si="19"/>
        <v>3.2945873655915024E-4</v>
      </c>
      <c r="Y188" s="33">
        <f t="shared" si="20"/>
        <v>1.3031439761797894E-3</v>
      </c>
      <c r="Z188" s="54"/>
    </row>
    <row r="189" spans="15:26" x14ac:dyDescent="0.25">
      <c r="O189" s="35" t="s">
        <v>30</v>
      </c>
      <c r="P189" s="31">
        <f>_xll.qlCalendarAdvance(Calendar,P188,O188,"f",,Trigger)</f>
        <v>42394</v>
      </c>
      <c r="Q189" s="31">
        <f>_xll.qlInterestRateIndexValueDate(Index,P189,Trigger)</f>
        <v>42396</v>
      </c>
      <c r="R189" s="31">
        <f>_xll.qlInterestRateIndexMaturity(Index,Q189,Trigger)</f>
        <v>42487</v>
      </c>
      <c r="S189" s="32">
        <f>_xll.qlDayCounterYearFraction(DayCounter,Q189,R189,,,Trigger)</f>
        <v>0.25277777777777777</v>
      </c>
      <c r="T189" s="33">
        <f>_xll.qlIndexFixing(Index,P189,,AllTriggers)</f>
        <v>1.7412038845479868E-5</v>
      </c>
      <c r="U189" s="34">
        <f>_xll.qlYieldTSDiscount(OisCurve,Q189,,AllTriggers)</f>
        <v>1.0008886360419116</v>
      </c>
      <c r="V189" s="34">
        <f>_xll.qlYieldTSDiscount(OisCurve,R189,,AllTriggers)</f>
        <v>1.0012129388064122</v>
      </c>
      <c r="W189" s="33">
        <f t="shared" si="18"/>
        <v>-1.281401729546366E-3</v>
      </c>
      <c r="X189" s="35">
        <f t="shared" si="19"/>
        <v>3.2836371857173974E-4</v>
      </c>
      <c r="Y189" s="33">
        <f t="shared" si="20"/>
        <v>1.2988137683918458E-3</v>
      </c>
      <c r="Z189" s="54"/>
    </row>
    <row r="190" spans="15:26" x14ac:dyDescent="0.25">
      <c r="O190" s="35" t="s">
        <v>30</v>
      </c>
      <c r="P190" s="31">
        <f>_xll.qlCalendarAdvance(Calendar,P189,O189,"f",,Trigger)</f>
        <v>42395</v>
      </c>
      <c r="Q190" s="31">
        <f>_xll.qlInterestRateIndexValueDate(Index,P190,Trigger)</f>
        <v>42397</v>
      </c>
      <c r="R190" s="31">
        <f>_xll.qlInterestRateIndexMaturity(Index,Q190,Trigger)</f>
        <v>42488</v>
      </c>
      <c r="S190" s="32">
        <f>_xll.qlDayCounterYearFraction(DayCounter,Q190,R190,,,Trigger)</f>
        <v>0.25277777777777777</v>
      </c>
      <c r="T190" s="33">
        <f>_xll.qlIndexFixing(Index,P190,,AllTriggers)</f>
        <v>1.8404275670052058E-5</v>
      </c>
      <c r="U190" s="34">
        <f>_xll.qlYieldTSDiscount(OisCurve,Q190,,AllTriggers)</f>
        <v>1.0008945182652054</v>
      </c>
      <c r="V190" s="34">
        <f>_xll.qlYieldTSDiscount(OisCurve,R190,,AllTriggers)</f>
        <v>1.0012176552544467</v>
      </c>
      <c r="W190" s="33">
        <f t="shared" si="18"/>
        <v>-1.2767894438874712E-3</v>
      </c>
      <c r="X190" s="35">
        <f t="shared" si="19"/>
        <v>3.2744827245314678E-4</v>
      </c>
      <c r="Y190" s="33">
        <f t="shared" si="20"/>
        <v>1.2951937195575232E-3</v>
      </c>
      <c r="Z190" s="54"/>
    </row>
    <row r="191" spans="15:26" x14ac:dyDescent="0.25">
      <c r="O191" s="35" t="s">
        <v>30</v>
      </c>
      <c r="P191" s="31">
        <f>_xll.qlCalendarAdvance(Calendar,P190,O190,"f",,Trigger)</f>
        <v>42396</v>
      </c>
      <c r="Q191" s="31">
        <f>_xll.qlInterestRateIndexValueDate(Index,P191,Trigger)</f>
        <v>42398</v>
      </c>
      <c r="R191" s="31">
        <f>_xll.qlInterestRateIndexMaturity(Index,Q191,Trigger)</f>
        <v>42489</v>
      </c>
      <c r="S191" s="32">
        <f>_xll.qlDayCounterYearFraction(DayCounter,Q191,R191,,,Trigger)</f>
        <v>0.25277777777777777</v>
      </c>
      <c r="T191" s="33">
        <f>_xll.qlIndexFixing(Index,P191,,AllTriggers)</f>
        <v>1.9399417060003667E-5</v>
      </c>
      <c r="U191" s="34">
        <f>_xll.qlYieldTSDiscount(OisCurve,Q191,,AllTriggers)</f>
        <v>1.0009005809863825</v>
      </c>
      <c r="V191" s="34">
        <f>_xll.qlYieldTSDiscount(OisCurve,R191,,AllTriggers)</f>
        <v>1.0012227167693353</v>
      </c>
      <c r="W191" s="33">
        <f t="shared" si="18"/>
        <v>-1.272827010246049E-3</v>
      </c>
      <c r="X191" s="35">
        <f t="shared" si="19"/>
        <v>3.2669788284210376E-4</v>
      </c>
      <c r="Y191" s="33">
        <f t="shared" si="20"/>
        <v>1.2922264273060528E-3</v>
      </c>
      <c r="Z191" s="54"/>
    </row>
    <row r="192" spans="15:26" x14ac:dyDescent="0.25">
      <c r="O192" s="35" t="s">
        <v>30</v>
      </c>
      <c r="P192" s="31">
        <f>_xll.qlCalendarAdvance(Calendar,P191,O191,"f",,Trigger)</f>
        <v>42397</v>
      </c>
      <c r="Q192" s="31">
        <f>_xll.qlInterestRateIndexValueDate(Index,P192,Trigger)</f>
        <v>42401</v>
      </c>
      <c r="R192" s="31">
        <f>_xll.qlInterestRateIndexMaturity(Index,Q192,Trigger)</f>
        <v>42492</v>
      </c>
      <c r="S192" s="32">
        <f>_xll.qlDayCounterYearFraction(DayCounter,Q192,R192,,,Trigger)</f>
        <v>0.25277777777777777</v>
      </c>
      <c r="T192" s="33">
        <f>_xll.qlIndexFixing(Index,P192,,AllTriggers)</f>
        <v>2.2404806342498554E-5</v>
      </c>
      <c r="U192" s="34">
        <f>_xll.qlYieldTSDiscount(OisCurve,Q192,,AllTriggers)</f>
        <v>1.0008815138922884</v>
      </c>
      <c r="V192" s="34">
        <f>_xll.qlYieldTSDiscount(OisCurve,R192,,AllTriggers)</f>
        <v>1.0012035224081339</v>
      </c>
      <c r="W192" s="33">
        <f t="shared" si="18"/>
        <v>-1.2723485429231443E-3</v>
      </c>
      <c r="X192" s="35">
        <f t="shared" si="19"/>
        <v>3.273365896270662E-4</v>
      </c>
      <c r="Y192" s="33">
        <f t="shared" si="20"/>
        <v>1.2947533492656429E-3</v>
      </c>
      <c r="Z192" s="54"/>
    </row>
    <row r="193" spans="15:26" x14ac:dyDescent="0.25">
      <c r="O193" s="35" t="s">
        <v>30</v>
      </c>
      <c r="P193" s="31">
        <f>_xll.qlCalendarAdvance(Calendar,P192,O192,"f",,Trigger)</f>
        <v>42398</v>
      </c>
      <c r="Q193" s="31">
        <f>_xll.qlInterestRateIndexValueDate(Index,P193,Trigger)</f>
        <v>42402</v>
      </c>
      <c r="R193" s="31">
        <f>_xll.qlInterestRateIndexMaturity(Index,Q193,Trigger)</f>
        <v>42492</v>
      </c>
      <c r="S193" s="32">
        <f>_xll.qlDayCounterYearFraction(DayCounter,Q193,R193,,,Trigger)</f>
        <v>0.25</v>
      </c>
      <c r="T193" s="33">
        <f>_xll.qlIndexFixing(Index,P193,,AllTriggers)</f>
        <v>2.2899803109766026E-5</v>
      </c>
      <c r="U193" s="34">
        <f>_xll.qlYieldTSDiscount(OisCurve,Q193,,AllTriggers)</f>
        <v>1.0008880951457155</v>
      </c>
      <c r="V193" s="34">
        <f>_xll.qlYieldTSDiscount(OisCurve,R193,,AllTriggers)</f>
        <v>1.0012035224081339</v>
      </c>
      <c r="W193" s="33">
        <f t="shared" si="18"/>
        <v>-1.2601923799056003E-3</v>
      </c>
      <c r="X193" s="35">
        <f t="shared" si="19"/>
        <v>3.2082266744327444E-4</v>
      </c>
      <c r="Y193" s="33">
        <f t="shared" si="20"/>
        <v>1.2830921830153663E-3</v>
      </c>
      <c r="Z193" s="54"/>
    </row>
    <row r="194" spans="15:26" x14ac:dyDescent="0.25">
      <c r="O194" s="35" t="s">
        <v>30</v>
      </c>
      <c r="P194" s="31">
        <f>_xll.qlCalendarAdvance(Calendar,P193,O193,"f",,Trigger)</f>
        <v>42401</v>
      </c>
      <c r="Q194" s="31">
        <f>_xll.qlInterestRateIndexValueDate(Index,P194,Trigger)</f>
        <v>42403</v>
      </c>
      <c r="R194" s="31">
        <f>_xll.qlInterestRateIndexMaturity(Index,Q194,Trigger)</f>
        <v>42493</v>
      </c>
      <c r="S194" s="32">
        <f>_xll.qlDayCounterYearFraction(DayCounter,Q194,R194,,,Trigger)</f>
        <v>0.25</v>
      </c>
      <c r="T194" s="33">
        <f>_xll.qlIndexFixing(Index,P194,,AllTriggers)</f>
        <v>2.3908107790404642E-5</v>
      </c>
      <c r="U194" s="34">
        <f>_xll.qlYieldTSDiscount(OisCurve,Q194,,AllTriggers)</f>
        <v>1.0008947552874372</v>
      </c>
      <c r="V194" s="34">
        <f>_xll.qlYieldTSDiscount(OisCurve,R194,,AllTriggers)</f>
        <v>1.0012094591627141</v>
      </c>
      <c r="W194" s="33">
        <f t="shared" si="18"/>
        <v>-1.2572948543256857E-3</v>
      </c>
      <c r="X194" s="35">
        <f t="shared" si="19"/>
        <v>3.20350132719169E-4</v>
      </c>
      <c r="Y194" s="33">
        <f t="shared" si="20"/>
        <v>1.2812029621160903E-3</v>
      </c>
      <c r="Z194" s="54"/>
    </row>
    <row r="195" spans="15:26" x14ac:dyDescent="0.25">
      <c r="O195" s="35" t="s">
        <v>30</v>
      </c>
      <c r="P195" s="31">
        <f>_xll.qlCalendarAdvance(Calendar,P194,O194,"f",,Trigger)</f>
        <v>42402</v>
      </c>
      <c r="Q195" s="31">
        <f>_xll.qlInterestRateIndexValueDate(Index,P195,Trigger)</f>
        <v>42404</v>
      </c>
      <c r="R195" s="31">
        <f>_xll.qlInterestRateIndexMaturity(Index,Q195,Trigger)</f>
        <v>42494</v>
      </c>
      <c r="S195" s="32">
        <f>_xll.qlDayCounterYearFraction(DayCounter,Q195,R195,,,Trigger)</f>
        <v>0.25</v>
      </c>
      <c r="T195" s="33">
        <f>_xll.qlIndexFixing(Index,P195,,AllTriggers)</f>
        <v>2.4920653272531013E-5</v>
      </c>
      <c r="U195" s="34">
        <f>_xll.qlYieldTSDiscount(OisCurve,Q195,,AllTriggers)</f>
        <v>1.0009014739954405</v>
      </c>
      <c r="V195" s="34">
        <f>_xll.qlYieldTSDiscount(OisCurve,R195,,AllTriggers)</f>
        <v>1.0012154885686846</v>
      </c>
      <c r="W195" s="33">
        <f t="shared" si="18"/>
        <v>-1.2545334219429272E-3</v>
      </c>
      <c r="X195" s="35">
        <f t="shared" si="19"/>
        <v>3.1991269262334886E-4</v>
      </c>
      <c r="Y195" s="33">
        <f t="shared" si="20"/>
        <v>1.2794540752154582E-3</v>
      </c>
      <c r="Z195" s="54"/>
    </row>
    <row r="196" spans="15:26" x14ac:dyDescent="0.25">
      <c r="O196" s="35" t="s">
        <v>30</v>
      </c>
      <c r="P196" s="31">
        <f>_xll.qlCalendarAdvance(Calendar,P195,O195,"f",,Trigger)</f>
        <v>42403</v>
      </c>
      <c r="Q196" s="31">
        <f>_xll.qlInterestRateIndexValueDate(Index,P196,Trigger)</f>
        <v>42405</v>
      </c>
      <c r="R196" s="31">
        <f>_xll.qlInterestRateIndexMaturity(Index,Q196,Trigger)</f>
        <v>42495</v>
      </c>
      <c r="S196" s="32">
        <f>_xll.qlDayCounterYearFraction(DayCounter,Q196,R196,,,Trigger)</f>
        <v>0.25</v>
      </c>
      <c r="T196" s="33">
        <f>_xll.qlIndexFixing(Index,P196,,AllTriggers)</f>
        <v>2.5937696150002409E-5</v>
      </c>
      <c r="U196" s="34">
        <f>_xll.qlYieldTSDiscount(OisCurve,Q196,,AllTriggers)</f>
        <v>1.0009082309471786</v>
      </c>
      <c r="V196" s="34">
        <f>_xll.qlYieldTSDiscount(OisCurve,R196,,AllTriggers)</f>
        <v>1.0012215601422085</v>
      </c>
      <c r="W196" s="33">
        <f t="shared" ref="W196:W208" si="21">(U196/V196-1)/S196</f>
        <v>-1.2517876462245781E-3</v>
      </c>
      <c r="X196" s="35">
        <f t="shared" ref="X196:X208" si="22">LN((1+T196*S196)/(1+W196*S196))</f>
        <v>3.1948029267316806E-4</v>
      </c>
      <c r="Y196" s="33">
        <f t="shared" ref="Y196:Y259" si="23">T196-W196</f>
        <v>1.2777253423745805E-3</v>
      </c>
      <c r="Z196" s="54"/>
    </row>
    <row r="197" spans="15:26" x14ac:dyDescent="0.25">
      <c r="O197" s="35" t="s">
        <v>30</v>
      </c>
      <c r="P197" s="31">
        <f>_xll.qlCalendarAdvance(Calendar,P196,O196,"f",,Trigger)</f>
        <v>42404</v>
      </c>
      <c r="Q197" s="31">
        <f>_xll.qlInterestRateIndexValueDate(Index,P197,Trigger)</f>
        <v>42408</v>
      </c>
      <c r="R197" s="31">
        <f>_xll.qlInterestRateIndexMaturity(Index,Q197,Trigger)</f>
        <v>42499</v>
      </c>
      <c r="S197" s="32">
        <f>_xll.qlDayCounterYearFraction(DayCounter,Q197,R197,,,Trigger)</f>
        <v>0.25277777777777777</v>
      </c>
      <c r="T197" s="33">
        <f>_xll.qlIndexFixing(Index,P197,,AllTriggers)</f>
        <v>2.9566411982443072E-5</v>
      </c>
      <c r="U197" s="34">
        <f>_xll.qlYieldTSDiscount(OisCurve,Q197,,AllTriggers)</f>
        <v>1.0009285280311726</v>
      </c>
      <c r="V197" s="34">
        <f>_xll.qlYieldTSDiscount(OisCurve,R197,,AllTriggers)</f>
        <v>1.001245258392671</v>
      </c>
      <c r="W197" s="33">
        <f t="shared" si="21"/>
        <v>-1.2514408650611741E-3</v>
      </c>
      <c r="X197" s="35">
        <f t="shared" si="22"/>
        <v>3.238601898062266E-4</v>
      </c>
      <c r="Y197" s="33">
        <f t="shared" si="23"/>
        <v>1.2810072770436172E-3</v>
      </c>
      <c r="Z197" s="54"/>
    </row>
    <row r="198" spans="15:26" x14ac:dyDescent="0.25">
      <c r="O198" s="35" t="s">
        <v>30</v>
      </c>
      <c r="P198" s="31">
        <f>_xll.qlCalendarAdvance(Calendar,P197,O197,"f",,Trigger)</f>
        <v>42405</v>
      </c>
      <c r="Q198" s="31">
        <f>_xll.qlInterestRateIndexValueDate(Index,P198,Trigger)</f>
        <v>42409</v>
      </c>
      <c r="R198" s="31">
        <f>_xll.qlInterestRateIndexMaturity(Index,Q198,Trigger)</f>
        <v>42499</v>
      </c>
      <c r="S198" s="32">
        <f>_xll.qlDayCounterYearFraction(DayCounter,Q198,R198,,,Trigger)</f>
        <v>0.25</v>
      </c>
      <c r="T198" s="33">
        <f>_xll.qlIndexFixing(Index,P198,,AllTriggers)</f>
        <v>3.0055973476272868E-5</v>
      </c>
      <c r="U198" s="34">
        <f>_xll.qlYieldTSDiscount(OisCurve,Q198,,AllTriggers)</f>
        <v>1.0009352375884741</v>
      </c>
      <c r="V198" s="34">
        <f>_xll.qlYieldTSDiscount(OisCurve,R198,,AllTriggers)</f>
        <v>1.001245258392671</v>
      </c>
      <c r="W198" s="33">
        <f t="shared" si="21"/>
        <v>-1.2385409133202074E-3</v>
      </c>
      <c r="X198" s="35">
        <f t="shared" si="22"/>
        <v>3.1719714035403793E-4</v>
      </c>
      <c r="Y198" s="33">
        <f t="shared" si="23"/>
        <v>1.2685968867964803E-3</v>
      </c>
      <c r="Z198" s="54"/>
    </row>
    <row r="199" spans="15:26" x14ac:dyDescent="0.25">
      <c r="O199" s="35" t="s">
        <v>30</v>
      </c>
      <c r="P199" s="31">
        <f>_xll.qlCalendarAdvance(Calendar,P198,O198,"f",,Trigger)</f>
        <v>42408</v>
      </c>
      <c r="Q199" s="31">
        <f>_xll.qlInterestRateIndexValueDate(Index,P199,Trigger)</f>
        <v>42410</v>
      </c>
      <c r="R199" s="31">
        <f>_xll.qlInterestRateIndexMaturity(Index,Q199,Trigger)</f>
        <v>42500</v>
      </c>
      <c r="S199" s="32">
        <f>_xll.qlDayCounterYearFraction(DayCounter,Q199,R199,,,Trigger)</f>
        <v>0.25</v>
      </c>
      <c r="T199" s="33">
        <f>_xll.qlIndexFixing(Index,P199,,AllTriggers)</f>
        <v>3.1099352230334887E-5</v>
      </c>
      <c r="U199" s="34">
        <f>_xll.qlYieldTSDiscount(OisCurve,Q199,,AllTriggers)</f>
        <v>1.0009419009707223</v>
      </c>
      <c r="V199" s="34">
        <f>_xll.qlYieldTSDiscount(OisCurve,R199,,AllTriggers)</f>
        <v>1.001250793196794</v>
      </c>
      <c r="W199" s="33">
        <f t="shared" si="21"/>
        <v>-1.234025393719751E-3</v>
      </c>
      <c r="X199" s="35">
        <f t="shared" si="22"/>
        <v>3.1632875413687783E-4</v>
      </c>
      <c r="Y199" s="33">
        <f t="shared" si="23"/>
        <v>1.2651247459500858E-3</v>
      </c>
      <c r="Z199" s="54"/>
    </row>
    <row r="200" spans="15:26" x14ac:dyDescent="0.25">
      <c r="O200" s="35" t="s">
        <v>30</v>
      </c>
      <c r="P200" s="31">
        <f>_xll.qlCalendarAdvance(Calendar,P199,O199,"f",,Trigger)</f>
        <v>42409</v>
      </c>
      <c r="Q200" s="31">
        <f>_xll.qlInterestRateIndexValueDate(Index,P200,Trigger)</f>
        <v>42411</v>
      </c>
      <c r="R200" s="31">
        <f>_xll.qlInterestRateIndexMaturity(Index,Q200,Trigger)</f>
        <v>42501</v>
      </c>
      <c r="S200" s="32">
        <f>_xll.qlDayCounterYearFraction(DayCounter,Q200,R200,,,Trigger)</f>
        <v>0.25</v>
      </c>
      <c r="T200" s="33">
        <f>_xll.qlIndexFixing(Index,P200,,AllTriggers)</f>
        <v>3.2148767941109213E-5</v>
      </c>
      <c r="U200" s="34">
        <f>_xll.qlYieldTSDiscount(OisCurve,Q200,,AllTriggers)</f>
        <v>1.0009485150546589</v>
      </c>
      <c r="V200" s="34">
        <f>_xll.qlYieldTSDiscount(OisCurve,R200,,AllTriggers)</f>
        <v>1.001256125396474</v>
      </c>
      <c r="W200" s="33">
        <f t="shared" si="21"/>
        <v>-1.2288977176280191E-3</v>
      </c>
      <c r="X200" s="35">
        <f t="shared" si="22"/>
        <v>3.1530879218747131E-4</v>
      </c>
      <c r="Y200" s="33">
        <f t="shared" si="23"/>
        <v>1.2610464855691284E-3</v>
      </c>
      <c r="Z200" s="54"/>
    </row>
    <row r="201" spans="15:26" x14ac:dyDescent="0.25">
      <c r="O201" s="35" t="s">
        <v>30</v>
      </c>
      <c r="P201" s="31">
        <f>_xll.qlCalendarAdvance(Calendar,P200,O200,"f",,Trigger)</f>
        <v>42410</v>
      </c>
      <c r="Q201" s="31">
        <f>_xll.qlInterestRateIndexValueDate(Index,P201,Trigger)</f>
        <v>42412</v>
      </c>
      <c r="R201" s="31">
        <f>_xll.qlInterestRateIndexMaturity(Index,Q201,Trigger)</f>
        <v>42502</v>
      </c>
      <c r="S201" s="32">
        <f>_xll.qlDayCounterYearFraction(DayCounter,Q201,R201,,,Trigger)</f>
        <v>0.25</v>
      </c>
      <c r="T201" s="33">
        <f>_xll.qlIndexFixing(Index,P201,,AllTriggers)</f>
        <v>3.3204477206005834E-5</v>
      </c>
      <c r="U201" s="34">
        <f>_xll.qlYieldTSDiscount(OisCurve,Q201,,AllTriggers)</f>
        <v>1.0009550767169513</v>
      </c>
      <c r="V201" s="34">
        <f>_xll.qlYieldTSDiscount(OisCurve,R201,,AllTriggers)</f>
        <v>1.0012612626570536</v>
      </c>
      <c r="W201" s="33">
        <f t="shared" si="21"/>
        <v>-1.2232009826877999E-3</v>
      </c>
      <c r="X201" s="35">
        <f t="shared" si="22"/>
        <v>3.1414809694888446E-4</v>
      </c>
      <c r="Y201" s="33">
        <f t="shared" si="23"/>
        <v>1.2564054598938057E-3</v>
      </c>
      <c r="Z201" s="54"/>
    </row>
    <row r="202" spans="15:26" x14ac:dyDescent="0.25">
      <c r="O202" s="35" t="s">
        <v>30</v>
      </c>
      <c r="P202" s="31">
        <f>_xll.qlCalendarAdvance(Calendar,P201,O201,"f",,Trigger)</f>
        <v>42411</v>
      </c>
      <c r="Q202" s="31">
        <f>_xll.qlInterestRateIndexValueDate(Index,P202,Trigger)</f>
        <v>42415</v>
      </c>
      <c r="R202" s="31">
        <f>_xll.qlInterestRateIndexMaturity(Index,Q202,Trigger)</f>
        <v>42506</v>
      </c>
      <c r="S202" s="32">
        <f>_xll.qlDayCounterYearFraction(DayCounter,Q202,R202,,,Trigger)</f>
        <v>0.25277777777777777</v>
      </c>
      <c r="T202" s="33">
        <f>_xll.qlIndexFixing(Index,P202,,AllTriggers)</f>
        <v>3.700712509007482E-5</v>
      </c>
      <c r="U202" s="34">
        <f>_xll.qlYieldTSDiscount(OisCurve,Q202,,AllTriggers)</f>
        <v>1.0009744159395275</v>
      </c>
      <c r="V202" s="34">
        <f>_xll.qlYieldTSDiscount(OisCurve,R202,,AllTriggers)</f>
        <v>1.0012800156245172</v>
      </c>
      <c r="W202" s="33">
        <f t="shared" si="21"/>
        <v>-1.2074202699615105E-3</v>
      </c>
      <c r="X202" s="35">
        <f t="shared" si="22"/>
        <v>3.1461013352307936E-4</v>
      </c>
      <c r="Y202" s="33">
        <f t="shared" si="23"/>
        <v>1.2444273950515852E-3</v>
      </c>
      <c r="Z202" s="54"/>
    </row>
    <row r="203" spans="15:26" x14ac:dyDescent="0.25">
      <c r="O203" s="35" t="s">
        <v>30</v>
      </c>
      <c r="P203" s="31">
        <f>_xll.qlCalendarAdvance(Calendar,P202,O202,"f",,Trigger)</f>
        <v>42412</v>
      </c>
      <c r="Q203" s="31">
        <f>_xll.qlInterestRateIndexValueDate(Index,P203,Trigger)</f>
        <v>42416</v>
      </c>
      <c r="R203" s="31">
        <f>_xll.qlInterestRateIndexMaturity(Index,Q203,Trigger)</f>
        <v>42506</v>
      </c>
      <c r="S203" s="32">
        <f>_xll.qlDayCounterYearFraction(DayCounter,Q203,R203,,,Trigger)</f>
        <v>0.25</v>
      </c>
      <c r="T203" s="33">
        <f>_xll.qlIndexFixing(Index,P203,,AllTriggers)</f>
        <v>3.7495381691066143E-5</v>
      </c>
      <c r="U203" s="34">
        <f>_xll.qlYieldTSDiscount(OisCurve,Q203,,AllTriggers)</f>
        <v>1.0009807366804548</v>
      </c>
      <c r="V203" s="34">
        <f>_xll.qlYieldTSDiscount(OisCurve,R203,,AllTriggers)</f>
        <v>1.0012800156245172</v>
      </c>
      <c r="W203" s="33">
        <f t="shared" si="21"/>
        <v>-1.1955854082463802E-3</v>
      </c>
      <c r="X203" s="35">
        <f t="shared" si="22"/>
        <v>3.0831483196780212E-4</v>
      </c>
      <c r="Y203" s="33">
        <f t="shared" si="23"/>
        <v>1.2330807899374463E-3</v>
      </c>
      <c r="Z203" s="54"/>
    </row>
    <row r="204" spans="15:26" x14ac:dyDescent="0.25">
      <c r="O204" s="35" t="s">
        <v>30</v>
      </c>
      <c r="P204" s="31">
        <f>_xll.qlCalendarAdvance(Calendar,P203,O203,"f",,Trigger)</f>
        <v>42415</v>
      </c>
      <c r="Q204" s="31">
        <f>_xll.qlInterestRateIndexValueDate(Index,P204,Trigger)</f>
        <v>42417</v>
      </c>
      <c r="R204" s="31">
        <f>_xll.qlInterestRateIndexMaturity(Index,Q204,Trigger)</f>
        <v>42507</v>
      </c>
      <c r="S204" s="32">
        <f>_xll.qlDayCounterYearFraction(DayCounter,Q204,R204,,,Trigger)</f>
        <v>0.25</v>
      </c>
      <c r="T204" s="33">
        <f>_xll.qlIndexFixing(Index,P204,,AllTriggers)</f>
        <v>3.8586407647756005E-5</v>
      </c>
      <c r="U204" s="34">
        <f>_xll.qlYieldTSDiscount(OisCurve,Q204,,AllTriggers)</f>
        <v>1.0009869893819967</v>
      </c>
      <c r="V204" s="34">
        <f>_xll.qlYieldTSDiscount(OisCurve,R204,,AllTriggers)</f>
        <v>1.0012842931788342</v>
      </c>
      <c r="W204" s="33">
        <f t="shared" si="21"/>
        <v>-1.1876898453828666E-3</v>
      </c>
      <c r="X204" s="35">
        <f t="shared" si="22"/>
        <v>3.0661310693131451E-4</v>
      </c>
      <c r="Y204" s="33">
        <f t="shared" si="23"/>
        <v>1.2262762530306226E-3</v>
      </c>
      <c r="Z204" s="54"/>
    </row>
    <row r="205" spans="15:26" x14ac:dyDescent="0.25">
      <c r="O205" s="35" t="s">
        <v>30</v>
      </c>
      <c r="P205" s="31">
        <f>_xll.qlCalendarAdvance(Calendar,P204,O204,"f",,Trigger)</f>
        <v>42416</v>
      </c>
      <c r="Q205" s="31">
        <f>_xll.qlInterestRateIndexValueDate(Index,P205,Trigger)</f>
        <v>42418</v>
      </c>
      <c r="R205" s="31">
        <f>_xll.qlInterestRateIndexMaturity(Index,Q205,Trigger)</f>
        <v>42508</v>
      </c>
      <c r="S205" s="32">
        <f>_xll.qlDayCounterYearFraction(DayCounter,Q205,R205,,,Trigger)</f>
        <v>0.25</v>
      </c>
      <c r="T205" s="33">
        <f>_xll.qlIndexFixing(Index,P205,,AllTriggers)</f>
        <v>3.9685266733258118E-5</v>
      </c>
      <c r="U205" s="34">
        <f>_xll.qlYieldTSDiscount(OisCurve,Q205,,AllTriggers)</f>
        <v>1.0009931709204032</v>
      </c>
      <c r="V205" s="34">
        <f>_xll.qlYieldTSDiscount(OisCurve,R205,,AllTriggers)</f>
        <v>1.0012884217913747</v>
      </c>
      <c r="W205" s="33">
        <f t="shared" si="21"/>
        <v>-1.179483811240889E-3</v>
      </c>
      <c r="X205" s="35">
        <f t="shared" si="22"/>
        <v>3.0483570326522317E-4</v>
      </c>
      <c r="Y205" s="33">
        <f t="shared" si="23"/>
        <v>1.2191690779741471E-3</v>
      </c>
      <c r="Z205" s="54"/>
    </row>
    <row r="206" spans="15:26" x14ac:dyDescent="0.25">
      <c r="O206" s="35" t="s">
        <v>30</v>
      </c>
      <c r="P206" s="31">
        <f>_xll.qlCalendarAdvance(Calendar,P205,O205,"f",,Trigger)</f>
        <v>42417</v>
      </c>
      <c r="Q206" s="31">
        <f>_xll.qlInterestRateIndexValueDate(Index,P206,Trigger)</f>
        <v>42419</v>
      </c>
      <c r="R206" s="31">
        <f>_xll.qlInterestRateIndexMaturity(Index,Q206,Trigger)</f>
        <v>42509</v>
      </c>
      <c r="S206" s="32">
        <f>_xll.qlDayCounterYearFraction(DayCounter,Q206,R206,,,Trigger)</f>
        <v>0.25</v>
      </c>
      <c r="T206" s="33">
        <f>_xll.qlIndexFixing(Index,P206,,AllTriggers)</f>
        <v>4.079221554409429E-5</v>
      </c>
      <c r="U206" s="34">
        <f>_xll.qlYieldTSDiscount(OisCurve,Q206,,AllTriggers)</f>
        <v>1.0009992781718622</v>
      </c>
      <c r="V206" s="34">
        <f>_xll.qlYieldTSDiscount(OisCurve,R206,,AllTriggers)</f>
        <v>1.0012924091291151</v>
      </c>
      <c r="W206" s="33">
        <f t="shared" si="21"/>
        <v>-1.1710104044744263E-3</v>
      </c>
      <c r="X206" s="35">
        <f t="shared" si="22"/>
        <v>3.0299346341268419E-4</v>
      </c>
      <c r="Y206" s="33">
        <f t="shared" si="23"/>
        <v>1.2118026200185206E-3</v>
      </c>
      <c r="Z206" s="54"/>
    </row>
    <row r="207" spans="15:26" x14ac:dyDescent="0.25">
      <c r="O207" s="35" t="s">
        <v>30</v>
      </c>
      <c r="P207" s="31">
        <f>_xll.qlCalendarAdvance(Calendar,P206,O206,"f",,Trigger)</f>
        <v>42418</v>
      </c>
      <c r="Q207" s="31">
        <f>_xll.qlInterestRateIndexValueDate(Index,P207,Trigger)</f>
        <v>42422</v>
      </c>
      <c r="R207" s="31">
        <f>_xll.qlInterestRateIndexMaturity(Index,Q207,Trigger)</f>
        <v>42513</v>
      </c>
      <c r="S207" s="32">
        <f>_xll.qlDayCounterYearFraction(DayCounter,Q207,R207,,,Trigger)</f>
        <v>0.25277777777777777</v>
      </c>
      <c r="T207" s="33">
        <f>_xll.qlIndexFixing(Index,P207,,AllTriggers)</f>
        <v>4.4813990732811497E-5</v>
      </c>
      <c r="U207" s="34">
        <f>_xll.qlYieldTSDiscount(OisCurve,Q207,,AllTriggers)</f>
        <v>1.0010171229655442</v>
      </c>
      <c r="V207" s="34">
        <f>_xll.qlYieldTSDiscount(OisCurve,R207,,AllTriggers)</f>
        <v>1.0013070990778175</v>
      </c>
      <c r="W207" s="33">
        <f t="shared" si="21"/>
        <v>-1.1456607542402145E-3</v>
      </c>
      <c r="X207" s="35">
        <f t="shared" si="22"/>
        <v>3.0096743785045703E-4</v>
      </c>
      <c r="Y207" s="33">
        <f t="shared" si="23"/>
        <v>1.1904747449730259E-3</v>
      </c>
      <c r="Z207" s="54"/>
    </row>
    <row r="208" spans="15:26" x14ac:dyDescent="0.25">
      <c r="O208" s="35" t="s">
        <v>30</v>
      </c>
      <c r="P208" s="31">
        <f>_xll.qlCalendarAdvance(Calendar,P207,O207,"f",,Trigger)</f>
        <v>42419</v>
      </c>
      <c r="Q208" s="31">
        <f>_xll.qlInterestRateIndexValueDate(Index,P208,Trigger)</f>
        <v>42423</v>
      </c>
      <c r="R208" s="31">
        <f>_xll.qlInterestRateIndexMaturity(Index,Q208,Trigger)</f>
        <v>42513</v>
      </c>
      <c r="S208" s="32">
        <f>_xll.qlDayCounterYearFraction(DayCounter,Q208,R208,,,Trigger)</f>
        <v>0.25</v>
      </c>
      <c r="T208" s="33">
        <f>_xll.qlIndexFixing(Index,P208,,AllTriggers)</f>
        <v>4.5306039975656631E-5</v>
      </c>
      <c r="U208" s="34">
        <f>_xll.qlYieldTSDiscount(OisCurve,Q208,,AllTriggers)</f>
        <v>1.0010229018299244</v>
      </c>
      <c r="V208" s="34">
        <f>_xll.qlYieldTSDiscount(OisCurve,R208,,AllTriggers)</f>
        <v>1.0013070990778175</v>
      </c>
      <c r="W208" s="33">
        <f t="shared" si="21"/>
        <v>-1.1353050354077077E-3</v>
      </c>
      <c r="X208" s="35">
        <f t="shared" si="22"/>
        <v>2.9519299099709716E-4</v>
      </c>
      <c r="Y208" s="33">
        <f t="shared" si="23"/>
        <v>1.1806110753833643E-3</v>
      </c>
      <c r="Z208" s="54"/>
    </row>
    <row r="209" spans="15:26" x14ac:dyDescent="0.25">
      <c r="O209" s="35" t="s">
        <v>30</v>
      </c>
      <c r="P209" s="31">
        <f>_xll.qlCalendarAdvance(Calendar,P208,O208,"f",,Trigger)</f>
        <v>42422</v>
      </c>
      <c r="Q209" s="31">
        <f>_xll.qlInterestRateIndexValueDate(Index,P209,Trigger)</f>
        <v>42424</v>
      </c>
      <c r="R209" s="31">
        <f>_xll.qlInterestRateIndexMaturity(Index,Q209,Trigger)</f>
        <v>42514</v>
      </c>
      <c r="S209" s="32">
        <f>_xll.qlDayCounterYearFraction(DayCounter,Q209,R209,,,Trigger)</f>
        <v>0.25</v>
      </c>
      <c r="T209" s="33">
        <f>_xll.qlIndexFixing(Index,P209,,AllTriggers)</f>
        <v>4.6457286373424722E-5</v>
      </c>
      <c r="U209" s="34">
        <f>_xll.qlYieldTSDiscount(OisCurve,Q209,,AllTriggers)</f>
        <v>1.001028590787443</v>
      </c>
      <c r="V209" s="34">
        <f>_xll.qlYieldTSDiscount(OisCurve,R209,,AllTriggers)</f>
        <v>1.0013104950522833</v>
      </c>
      <c r="W209" s="33">
        <f t="shared" ref="W209:W216" si="24">(U209/V209-1)/S209</f>
        <v>-1.1261412568162044E-3</v>
      </c>
      <c r="X209" s="35">
        <f t="shared" ref="X209:X216" si="25">LN((1+T209*S209)/(1+W209*S209))</f>
        <v>2.9318920685827748E-4</v>
      </c>
      <c r="Y209" s="33">
        <f t="shared" si="23"/>
        <v>1.1725985431896291E-3</v>
      </c>
      <c r="Z209" s="54"/>
    </row>
    <row r="210" spans="15:26" x14ac:dyDescent="0.25">
      <c r="O210" s="35" t="s">
        <v>30</v>
      </c>
      <c r="P210" s="31">
        <f>_xll.qlCalendarAdvance(Calendar,P209,O209,"f",,Trigger)</f>
        <v>42423</v>
      </c>
      <c r="Q210" s="31">
        <f>_xll.qlInterestRateIndexValueDate(Index,P210,Trigger)</f>
        <v>42425</v>
      </c>
      <c r="R210" s="31">
        <f>_xll.qlInterestRateIndexMaturity(Index,Q210,Trigger)</f>
        <v>42515</v>
      </c>
      <c r="S210" s="32">
        <f>_xll.qlDayCounterYearFraction(DayCounter,Q210,R210,,,Trigger)</f>
        <v>0.25</v>
      </c>
      <c r="T210" s="33">
        <f>_xll.qlIndexFixing(Index,P210,,AllTriggers)</f>
        <v>4.7618162086315863E-5</v>
      </c>
      <c r="U210" s="34">
        <f>_xll.qlYieldTSDiscount(OisCurve,Q210,,AllTriggers)</f>
        <v>1.0010341867139645</v>
      </c>
      <c r="V210" s="34">
        <f>_xll.qlYieldTSDiscount(OisCurve,R210,,AllTriggers)</f>
        <v>1.0013137957573237</v>
      </c>
      <c r="W210" s="33">
        <f t="shared" si="24"/>
        <v>-1.1169687046916899E-3</v>
      </c>
      <c r="X210" s="35">
        <f t="shared" si="25"/>
        <v>2.9118564119214719E-4</v>
      </c>
      <c r="Y210" s="33">
        <f t="shared" si="23"/>
        <v>1.1645868667780057E-3</v>
      </c>
      <c r="Z210" s="54"/>
    </row>
    <row r="211" spans="15:26" x14ac:dyDescent="0.25">
      <c r="O211" s="35" t="s">
        <v>30</v>
      </c>
      <c r="P211" s="31">
        <f>_xll.qlCalendarAdvance(Calendar,P210,O210,"f",,Trigger)</f>
        <v>42424</v>
      </c>
      <c r="Q211" s="31">
        <f>_xll.qlInterestRateIndexValueDate(Index,P211,Trigger)</f>
        <v>42426</v>
      </c>
      <c r="R211" s="31">
        <f>_xll.qlInterestRateIndexMaturity(Index,Q211,Trigger)</f>
        <v>42516</v>
      </c>
      <c r="S211" s="32">
        <f>_xll.qlDayCounterYearFraction(DayCounter,Q211,R211,,,Trigger)</f>
        <v>0.25</v>
      </c>
      <c r="T211" s="33">
        <f>_xll.qlIndexFixing(Index,P211,,AllTriggers)</f>
        <v>4.8788923709075505E-5</v>
      </c>
      <c r="U211" s="34">
        <f>_xll.qlYieldTSDiscount(OisCurve,Q211,,AllTriggers)</f>
        <v>1.0010396864853091</v>
      </c>
      <c r="V211" s="34">
        <f>_xll.qlYieldTSDiscount(OisCurve,R211,,AllTriggers)</f>
        <v>1.0013170088610031</v>
      </c>
      <c r="W211" s="33">
        <f t="shared" si="24"/>
        <v>-1.1078304802172312E-3</v>
      </c>
      <c r="X211" s="35">
        <f t="shared" si="25"/>
        <v>2.891931364405104E-4</v>
      </c>
      <c r="Y211" s="33">
        <f t="shared" si="23"/>
        <v>1.1566194039263067E-3</v>
      </c>
      <c r="Z211" s="54"/>
    </row>
    <row r="212" spans="15:26" x14ac:dyDescent="0.25">
      <c r="O212" s="35" t="s">
        <v>30</v>
      </c>
      <c r="P212" s="31">
        <f>_xll.qlCalendarAdvance(Calendar,P211,O211,"f",,Trigger)</f>
        <v>42425</v>
      </c>
      <c r="Q212" s="31">
        <f>_xll.qlInterestRateIndexValueDate(Index,P212,Trigger)</f>
        <v>42429</v>
      </c>
      <c r="R212" s="31">
        <f>_xll.qlInterestRateIndexMaturity(Index,Q212,Trigger)</f>
        <v>42521</v>
      </c>
      <c r="S212" s="32">
        <f>_xll.qlDayCounterYearFraction(DayCounter,Q212,R212,,,Trigger)</f>
        <v>0.25555555555555554</v>
      </c>
      <c r="T212" s="33">
        <f>_xll.qlIndexFixing(Index,P212,,AllTriggers)</f>
        <v>5.3791856264089723E-5</v>
      </c>
      <c r="U212" s="34">
        <f>_xll.qlYieldTSDiscount(OisCurve,Q212,,AllTriggers)</f>
        <v>1.0010555776258758</v>
      </c>
      <c r="V212" s="34">
        <f>_xll.qlYieldTSDiscount(OisCurve,R212,,AllTriggers)</f>
        <v>1.0013320287495044</v>
      </c>
      <c r="W212" s="33">
        <f t="shared" si="24"/>
        <v>-1.0803262407611393E-3</v>
      </c>
      <c r="X212" s="35">
        <f t="shared" si="25"/>
        <v>2.8986820389482614E-4</v>
      </c>
      <c r="Y212" s="33">
        <f t="shared" si="23"/>
        <v>1.1341180970252289E-3</v>
      </c>
      <c r="Z212" s="54"/>
    </row>
    <row r="213" spans="15:26" x14ac:dyDescent="0.25">
      <c r="O213" s="35" t="s">
        <v>30</v>
      </c>
      <c r="P213" s="31">
        <f>_xll.qlCalendarAdvance(Calendar,P212,O212,"f",,Trigger)</f>
        <v>42426</v>
      </c>
      <c r="Q213" s="31">
        <f>_xll.qlInterestRateIndexValueDate(Index,P213,Trigger)</f>
        <v>42430</v>
      </c>
      <c r="R213" s="31">
        <f>_xll.qlInterestRateIndexMaturity(Index,Q213,Trigger)</f>
        <v>42522</v>
      </c>
      <c r="S213" s="32">
        <f>_xll.qlDayCounterYearFraction(DayCounter,Q213,R213,,,Trigger)</f>
        <v>0.25555555555555554</v>
      </c>
      <c r="T213" s="33">
        <f>_xll.qlIndexFixing(Index,P213,,AllTriggers)</f>
        <v>5.5023176329129498E-5</v>
      </c>
      <c r="U213" s="34">
        <f>_xll.qlYieldTSDiscount(OisCurve,Q213,,AllTriggers)</f>
        <v>1.0010023998034274</v>
      </c>
      <c r="V213" s="34">
        <f>_xll.qlYieldTSDiscount(OisCurve,R213,,AllTriggers)</f>
        <v>1.0013348772808377</v>
      </c>
      <c r="W213" s="33">
        <f t="shared" si="24"/>
        <v>-1.2992644660313132E-3</v>
      </c>
      <c r="X213" s="35">
        <f t="shared" si="25"/>
        <v>3.4615076754106991E-4</v>
      </c>
      <c r="Y213" s="33">
        <f t="shared" si="23"/>
        <v>1.3542876423604426E-3</v>
      </c>
      <c r="Z213" s="54"/>
    </row>
    <row r="214" spans="15:26" x14ac:dyDescent="0.25">
      <c r="O214" s="35" t="s">
        <v>30</v>
      </c>
      <c r="P214" s="31">
        <f>_xll.qlCalendarAdvance(Calendar,P213,O213,"f",,Trigger)</f>
        <v>42429</v>
      </c>
      <c r="Q214" s="31">
        <f>_xll.qlInterestRateIndexValueDate(Index,P214,Trigger)</f>
        <v>42431</v>
      </c>
      <c r="R214" s="31">
        <f>_xll.qlInterestRateIndexMaturity(Index,Q214,Trigger)</f>
        <v>42523</v>
      </c>
      <c r="S214" s="32">
        <f>_xll.qlDayCounterYearFraction(DayCounter,Q214,R214,,,Trigger)</f>
        <v>0.25555555555555554</v>
      </c>
      <c r="T214" s="33">
        <f>_xll.qlIndexFixing(Index,P214,,AllTriggers)</f>
        <v>5.626588346197969E-5</v>
      </c>
      <c r="U214" s="34">
        <f>_xll.qlYieldTSDiscount(OisCurve,Q214,,AllTriggers)</f>
        <v>1.001007371645465</v>
      </c>
      <c r="V214" s="34">
        <f>_xll.qlYieldTSDiscount(OisCurve,R214,,AllTriggers)</f>
        <v>1.0013376918903834</v>
      </c>
      <c r="W214" s="33">
        <f t="shared" si="24"/>
        <v>-1.290830746293953E-3</v>
      </c>
      <c r="X214" s="35">
        <f t="shared" si="25"/>
        <v>3.4431234626224874E-4</v>
      </c>
      <c r="Y214" s="33">
        <f t="shared" si="23"/>
        <v>1.3470966297559328E-3</v>
      </c>
      <c r="Z214" s="54"/>
    </row>
    <row r="215" spans="15:26" x14ac:dyDescent="0.25">
      <c r="O215" s="35" t="s">
        <v>30</v>
      </c>
      <c r="P215" s="31">
        <f>_xll.qlCalendarAdvance(Calendar,P214,O214,"f",,Trigger)</f>
        <v>42430</v>
      </c>
      <c r="Q215" s="31">
        <f>_xll.qlInterestRateIndexValueDate(Index,P215,Trigger)</f>
        <v>42432</v>
      </c>
      <c r="R215" s="31">
        <f>_xll.qlInterestRateIndexMaturity(Index,Q215,Trigger)</f>
        <v>42524</v>
      </c>
      <c r="S215" s="32">
        <f>_xll.qlDayCounterYearFraction(DayCounter,Q215,R215,,,Trigger)</f>
        <v>0.25555555555555554</v>
      </c>
      <c r="T215" s="33">
        <f>_xll.qlIndexFixing(Index,P215,,AllTriggers)</f>
        <v>5.7520228687058946E-5</v>
      </c>
      <c r="U215" s="34">
        <f>_xll.qlYieldTSDiscount(OisCurve,Q215,,AllTriggers)</f>
        <v>1.001012228593172</v>
      </c>
      <c r="V215" s="34">
        <f>_xll.qlYieldTSDiscount(OisCurve,R215,,AllTriggers)</f>
        <v>1.001340480247042</v>
      </c>
      <c r="W215" s="33">
        <f t="shared" si="24"/>
        <v>-1.282743501079578E-3</v>
      </c>
      <c r="X215" s="35">
        <f t="shared" si="25"/>
        <v>3.4256547618694569E-4</v>
      </c>
      <c r="Y215" s="33">
        <f t="shared" si="23"/>
        <v>1.3402637297666371E-3</v>
      </c>
      <c r="Z215" s="54"/>
    </row>
    <row r="216" spans="15:26" x14ac:dyDescent="0.25">
      <c r="O216" s="35" t="s">
        <v>30</v>
      </c>
      <c r="P216" s="31">
        <f>_xll.qlCalendarAdvance(Calendar,P215,O215,"f",,Trigger)</f>
        <v>42431</v>
      </c>
      <c r="Q216" s="31">
        <f>_xll.qlInterestRateIndexValueDate(Index,P216,Trigger)</f>
        <v>42433</v>
      </c>
      <c r="R216" s="31">
        <f>_xll.qlInterestRateIndexMaturity(Index,Q216,Trigger)</f>
        <v>42527</v>
      </c>
      <c r="S216" s="32">
        <f>_xll.qlDayCounterYearFraction(DayCounter,Q216,R216,,,Trigger)</f>
        <v>0.26111111111111113</v>
      </c>
      <c r="T216" s="33">
        <f>_xll.qlIndexFixing(Index,P216,,AllTriggers)</f>
        <v>6.0318102075627011E-5</v>
      </c>
      <c r="U216" s="34">
        <f>_xll.qlYieldTSDiscount(OisCurve,Q216,,AllTriggers)</f>
        <v>1.0010169675223264</v>
      </c>
      <c r="V216" s="34">
        <f>_xll.qlYieldTSDiscount(OisCurve,R216,,AllTriggers)</f>
        <v>1.0013487644900103</v>
      </c>
      <c r="W216" s="33">
        <f t="shared" si="24"/>
        <v>-1.269000208710739E-3</v>
      </c>
      <c r="X216" s="35">
        <f t="shared" si="25"/>
        <v>3.4715456568299401E-4</v>
      </c>
      <c r="Y216" s="33">
        <f t="shared" si="23"/>
        <v>1.3293183107863659E-3</v>
      </c>
      <c r="Z216" s="54"/>
    </row>
    <row r="217" spans="15:26" x14ac:dyDescent="0.25">
      <c r="O217" s="35" t="s">
        <v>30</v>
      </c>
      <c r="P217" s="31">
        <f>_xll.qlCalendarAdvance(Calendar,P216,O216,"f",,Trigger)</f>
        <v>42432</v>
      </c>
      <c r="Q217" s="31">
        <f>_xll.qlInterestRateIndexValueDate(Index,P217,Trigger)</f>
        <v>42436</v>
      </c>
      <c r="R217" s="31">
        <f>_xll.qlInterestRateIndexMaturity(Index,Q217,Trigger)</f>
        <v>42528</v>
      </c>
      <c r="S217" s="32">
        <f>_xll.qlDayCounterYearFraction(DayCounter,Q217,R217,,,Trigger)</f>
        <v>0.25555555555555554</v>
      </c>
      <c r="T217" s="33">
        <f>_xll.qlIndexFixing(Index,P217,,AllTriggers)</f>
        <v>6.2659011023236615E-5</v>
      </c>
      <c r="U217" s="34">
        <f>_xll.qlYieldTSDiscount(OisCurve,Q217,,AllTriggers)</f>
        <v>1.0010304449560152</v>
      </c>
      <c r="V217" s="34">
        <f>_xll.qlYieldTSDiscount(OisCurve,R217,,AllTriggers)</f>
        <v>1.0013515245258624</v>
      </c>
      <c r="W217" s="33">
        <f t="shared" ref="W217:W233" si="26">(U217/V217-1)/S217</f>
        <v>-1.254702555516663E-3</v>
      </c>
      <c r="X217" s="35">
        <f t="shared" ref="X217:X233" si="27">LN((1+T217*S217)/(1+W217*S217))</f>
        <v>3.3671035678737519E-4</v>
      </c>
      <c r="Y217" s="33">
        <f t="shared" si="23"/>
        <v>1.3173615665398996E-3</v>
      </c>
      <c r="Z217" s="54"/>
    </row>
    <row r="218" spans="15:26" x14ac:dyDescent="0.25">
      <c r="O218" s="35" t="s">
        <v>30</v>
      </c>
      <c r="P218" s="31">
        <f>_xll.qlCalendarAdvance(Calendar,P217,O217,"f",,Trigger)</f>
        <v>42433</v>
      </c>
      <c r="Q218" s="31">
        <f>_xll.qlInterestRateIndexValueDate(Index,P218,Trigger)</f>
        <v>42437</v>
      </c>
      <c r="R218" s="31">
        <f>_xll.qlInterestRateIndexMaturity(Index,Q218,Trigger)</f>
        <v>42529</v>
      </c>
      <c r="S218" s="32">
        <f>_xll.qlDayCounterYearFraction(DayCounter,Q218,R218,,,Trigger)</f>
        <v>0.25555555555555554</v>
      </c>
      <c r="T218" s="33">
        <f>_xll.qlIndexFixing(Index,P218,,AllTriggers)</f>
        <v>6.3975312094855937E-5</v>
      </c>
      <c r="U218" s="34">
        <f>_xll.qlYieldTSDiscount(OisCurve,Q218,,AllTriggers)</f>
        <v>1.0010346805684431</v>
      </c>
      <c r="V218" s="34">
        <f>_xll.qlYieldTSDiscount(OisCurve,R218,,AllTriggers)</f>
        <v>1.0013542966546234</v>
      </c>
      <c r="W218" s="33">
        <f t="shared" si="26"/>
        <v>-1.2489801519335031E-3</v>
      </c>
      <c r="X218" s="35">
        <f t="shared" si="27"/>
        <v>3.3558387937831244E-4</v>
      </c>
      <c r="Y218" s="33">
        <f t="shared" si="23"/>
        <v>1.3129554640283591E-3</v>
      </c>
      <c r="Z218" s="54"/>
    </row>
    <row r="219" spans="15:26" x14ac:dyDescent="0.25">
      <c r="O219" s="35" t="s">
        <v>30</v>
      </c>
      <c r="P219" s="31">
        <f>_xll.qlCalendarAdvance(Calendar,P218,O218,"f",,Trigger)</f>
        <v>42436</v>
      </c>
      <c r="Q219" s="31">
        <f>_xll.qlInterestRateIndexValueDate(Index,P219,Trigger)</f>
        <v>42438</v>
      </c>
      <c r="R219" s="31">
        <f>_xll.qlInterestRateIndexMaturity(Index,Q219,Trigger)</f>
        <v>42530</v>
      </c>
      <c r="S219" s="32">
        <f>_xll.qlDayCounterYearFraction(DayCounter,Q219,R219,,,Trigger)</f>
        <v>0.25555555555555554</v>
      </c>
      <c r="T219" s="33">
        <f>_xll.qlIndexFixing(Index,P219,,AllTriggers)</f>
        <v>6.5304757415642612E-5</v>
      </c>
      <c r="U219" s="34">
        <f>_xll.qlYieldTSDiscount(OisCurve,Q219,,AllTriggers)</f>
        <v>1.0010387938156167</v>
      </c>
      <c r="V219" s="34">
        <f>_xll.qlYieldTSDiscount(OisCurve,R219,,AllTriggers)</f>
        <v>1.0013570871823341</v>
      </c>
      <c r="W219" s="33">
        <f t="shared" si="26"/>
        <v>-1.2438078271476381E-3</v>
      </c>
      <c r="X219" s="35">
        <f t="shared" si="27"/>
        <v>3.3460138340656996E-4</v>
      </c>
      <c r="Y219" s="33">
        <f t="shared" si="23"/>
        <v>1.3091125845632807E-3</v>
      </c>
      <c r="Z219" s="54"/>
    </row>
    <row r="220" spans="15:26" x14ac:dyDescent="0.25">
      <c r="O220" s="35" t="s">
        <v>30</v>
      </c>
      <c r="P220" s="31">
        <f>_xll.qlCalendarAdvance(Calendar,P219,O219,"f",,Trigger)</f>
        <v>42437</v>
      </c>
      <c r="Q220" s="31">
        <f>_xll.qlInterestRateIndexValueDate(Index,P220,Trigger)</f>
        <v>42439</v>
      </c>
      <c r="R220" s="31">
        <f>_xll.qlInterestRateIndexMaturity(Index,Q220,Trigger)</f>
        <v>42531</v>
      </c>
      <c r="S220" s="32">
        <f>_xll.qlDayCounterYearFraction(DayCounter,Q220,R220,,,Trigger)</f>
        <v>0.25555555555555554</v>
      </c>
      <c r="T220" s="33">
        <f>_xll.qlIndexFixing(Index,P220,,AllTriggers)</f>
        <v>6.6647598011753033E-5</v>
      </c>
      <c r="U220" s="34">
        <f>_xll.qlYieldTSDiscount(OisCurve,Q220,,AllTriggers)</f>
        <v>1.0010428379466234</v>
      </c>
      <c r="V220" s="34">
        <f>_xll.qlYieldTSDiscount(OisCurve,R220,,AllTriggers)</f>
        <v>1.0013598969615976</v>
      </c>
      <c r="W220" s="33">
        <f t="shared" si="26"/>
        <v>-1.2389808245096062E-3</v>
      </c>
      <c r="X220" s="35">
        <f t="shared" si="27"/>
        <v>3.3371058918673301E-4</v>
      </c>
      <c r="Y220" s="33">
        <f t="shared" si="23"/>
        <v>1.3056284225213591E-3</v>
      </c>
      <c r="Z220" s="54"/>
    </row>
    <row r="221" spans="15:26" x14ac:dyDescent="0.25">
      <c r="O221" s="35" t="s">
        <v>30</v>
      </c>
      <c r="P221" s="31">
        <f>_xll.qlCalendarAdvance(Calendar,P220,O220,"f",,Trigger)</f>
        <v>42438</v>
      </c>
      <c r="Q221" s="31">
        <f>_xll.qlInterestRateIndexValueDate(Index,P221,Trigger)</f>
        <v>42440</v>
      </c>
      <c r="R221" s="31">
        <f>_xll.qlInterestRateIndexMaturity(Index,Q221,Trigger)</f>
        <v>42534</v>
      </c>
      <c r="S221" s="32">
        <f>_xll.qlDayCounterYearFraction(DayCounter,Q221,R221,,,Trigger)</f>
        <v>0.26111111111111113</v>
      </c>
      <c r="T221" s="33">
        <f>_xll.qlIndexFixing(Index,P221,,AllTriggers)</f>
        <v>6.9675061313692431E-5</v>
      </c>
      <c r="U221" s="34">
        <f>_xll.qlYieldTSDiscount(OisCurve,Q221,,AllTriggers)</f>
        <v>1.0010468774861263</v>
      </c>
      <c r="V221" s="34">
        <f>_xll.qlYieldTSDiscount(OisCurve,R221,,AllTriggers)</f>
        <v>1.0013684367010007</v>
      </c>
      <c r="W221" s="33">
        <f t="shared" si="26"/>
        <v>-1.2298204446827264E-3</v>
      </c>
      <c r="X221" s="35">
        <f t="shared" si="27"/>
        <v>3.3936411996313181E-4</v>
      </c>
      <c r="Y221" s="33">
        <f t="shared" si="23"/>
        <v>1.2994955059964187E-3</v>
      </c>
      <c r="Z221" s="54"/>
    </row>
    <row r="222" spans="15:26" x14ac:dyDescent="0.25">
      <c r="O222" s="35" t="s">
        <v>30</v>
      </c>
      <c r="P222" s="31">
        <f>_xll.qlCalendarAdvance(Calendar,P221,O221,"f",,Trigger)</f>
        <v>42439</v>
      </c>
      <c r="Q222" s="31">
        <f>_xll.qlInterestRateIndexValueDate(Index,P222,Trigger)</f>
        <v>42443</v>
      </c>
      <c r="R222" s="31">
        <f>_xll.qlInterestRateIndexMaturity(Index,Q222,Trigger)</f>
        <v>42535</v>
      </c>
      <c r="S222" s="32">
        <f>_xll.qlDayCounterYearFraction(DayCounter,Q222,R222,,,Trigger)</f>
        <v>0.25555555555555554</v>
      </c>
      <c r="T222" s="33">
        <f>_xll.qlIndexFixing(Index,P222,,AllTriggers)</f>
        <v>7.2157933729905224E-5</v>
      </c>
      <c r="U222" s="34">
        <f>_xll.qlYieldTSDiscount(OisCurve,Q222,,AllTriggers)</f>
        <v>1.0010596138180849</v>
      </c>
      <c r="V222" s="34">
        <f>_xll.qlYieldTSDiscount(OisCurve,R222,,AllTriggers)</f>
        <v>1.0013713183787485</v>
      </c>
      <c r="W222" s="33">
        <f t="shared" si="26"/>
        <v>-1.2180431732590059E-3</v>
      </c>
      <c r="X222" s="35">
        <f t="shared" si="27"/>
        <v>3.2976634761282058E-4</v>
      </c>
      <c r="Y222" s="33">
        <f t="shared" si="23"/>
        <v>1.2902011069889112E-3</v>
      </c>
      <c r="Z222" s="54"/>
    </row>
    <row r="223" spans="15:26" x14ac:dyDescent="0.25">
      <c r="O223" s="35" t="s">
        <v>30</v>
      </c>
      <c r="P223" s="31">
        <f>_xll.qlCalendarAdvance(Calendar,P222,O222,"f",,Trigger)</f>
        <v>42440</v>
      </c>
      <c r="Q223" s="31">
        <f>_xll.qlInterestRateIndexValueDate(Index,P223,Trigger)</f>
        <v>42444</v>
      </c>
      <c r="R223" s="31">
        <f>_xll.qlInterestRateIndexMaturity(Index,Q223,Trigger)</f>
        <v>42536</v>
      </c>
      <c r="S223" s="32">
        <f>_xll.qlDayCounterYearFraction(DayCounter,Q223,R223,,,Trigger)</f>
        <v>0.25555555555555554</v>
      </c>
      <c r="T223" s="33">
        <f>_xll.qlIndexFixing(Index,P223,,AllTriggers)</f>
        <v>7.357151613929247E-5</v>
      </c>
      <c r="U223" s="34">
        <f>_xll.qlYieldTSDiscount(OisCurve,Q223,,AllTriggers)</f>
        <v>1.0010642802596457</v>
      </c>
      <c r="V223" s="34">
        <f>_xll.qlYieldTSDiscount(OisCurve,R223,,AllTriggers)</f>
        <v>1.0013742167541619</v>
      </c>
      <c r="W223" s="33">
        <f t="shared" si="26"/>
        <v>-1.2111306225489086E-3</v>
      </c>
      <c r="X223" s="35">
        <f t="shared" si="27"/>
        <v>3.2836050049231771E-4</v>
      </c>
      <c r="Y223" s="33">
        <f t="shared" si="23"/>
        <v>1.2847021386882011E-3</v>
      </c>
      <c r="Z223" s="54"/>
    </row>
    <row r="224" spans="15:26" x14ac:dyDescent="0.25">
      <c r="O224" s="35" t="s">
        <v>30</v>
      </c>
      <c r="P224" s="31">
        <f>_xll.qlCalendarAdvance(Calendar,P223,O223,"f",,Trigger)</f>
        <v>42443</v>
      </c>
      <c r="Q224" s="31">
        <f>_xll.qlInterestRateIndexValueDate(Index,P224,Trigger)</f>
        <v>42445</v>
      </c>
      <c r="R224" s="31">
        <f>_xll.qlInterestRateIndexMaturity(Index,Q224,Trigger)</f>
        <v>42537</v>
      </c>
      <c r="S224" s="32">
        <f>_xll.qlDayCounterYearFraction(DayCounter,Q224,R224,,,Trigger)</f>
        <v>0.25555555555555554</v>
      </c>
      <c r="T224" s="33">
        <f>_xll.qlIndexFixing(Index,P224,,AllTriggers)</f>
        <v>7.5000000000056914E-5</v>
      </c>
      <c r="U224" s="34">
        <f>_xll.qlYieldTSDiscount(OisCurve,Q224,,AllTriggers)</f>
        <v>1.0010692647496933</v>
      </c>
      <c r="V224" s="34">
        <f>_xll.qlYieldTSDiscount(OisCurve,R224,,AllTriggers)</f>
        <v>1.0013771313164488</v>
      </c>
      <c r="W224" s="33">
        <f t="shared" si="26"/>
        <v>-1.2030385191975973E-3</v>
      </c>
      <c r="X224" s="35">
        <f t="shared" si="27"/>
        <v>3.2665693045928128E-4</v>
      </c>
      <c r="Y224" s="33">
        <f t="shared" si="23"/>
        <v>1.2780385191976543E-3</v>
      </c>
      <c r="Z224" s="54"/>
    </row>
    <row r="225" spans="15:26" x14ac:dyDescent="0.25">
      <c r="O225" s="35" t="s">
        <v>30</v>
      </c>
      <c r="P225" s="31">
        <f>_xll.qlCalendarAdvance(Calendar,P224,O224,"f",,Trigger)</f>
        <v>42444</v>
      </c>
      <c r="Q225" s="31">
        <f>_xll.qlInterestRateIndexValueDate(Index,P225,Trigger)</f>
        <v>42446</v>
      </c>
      <c r="R225" s="31">
        <f>_xll.qlInterestRateIndexMaturity(Index,Q225,Trigger)</f>
        <v>42538</v>
      </c>
      <c r="S225" s="32">
        <f>_xll.qlDayCounterYearFraction(DayCounter,Q225,R225,,,Trigger)</f>
        <v>0.25555555555555554</v>
      </c>
      <c r="T225" s="33">
        <f>_xll.qlIndexFixing(Index,P225,,AllTriggers)</f>
        <v>7.6446595239305253E-5</v>
      </c>
      <c r="U225" s="34">
        <f>_xll.qlYieldTSDiscount(OisCurve,Q225,,AllTriggers)</f>
        <v>1.0010746152587371</v>
      </c>
      <c r="V225" s="34">
        <f>_xll.qlYieldTSDiscount(OisCurve,R225,,AllTriggers)</f>
        <v>1.0013800615548112</v>
      </c>
      <c r="W225" s="33">
        <f t="shared" si="26"/>
        <v>-1.1935774264926686E-3</v>
      </c>
      <c r="X225" s="35">
        <f t="shared" si="27"/>
        <v>3.2460803330234487E-4</v>
      </c>
      <c r="Y225" s="33">
        <f t="shared" si="23"/>
        <v>1.2700240217319739E-3</v>
      </c>
      <c r="Z225" s="54"/>
    </row>
    <row r="226" spans="15:26" x14ac:dyDescent="0.25">
      <c r="O226" s="35" t="s">
        <v>30</v>
      </c>
      <c r="P226" s="31">
        <f>_xll.qlCalendarAdvance(Calendar,P225,O225,"f",,Trigger)</f>
        <v>42445</v>
      </c>
      <c r="Q226" s="31">
        <f>_xll.qlInterestRateIndexValueDate(Index,P226,Trigger)</f>
        <v>42447</v>
      </c>
      <c r="R226" s="31">
        <f>_xll.qlInterestRateIndexMaturity(Index,Q226,Trigger)</f>
        <v>42541</v>
      </c>
      <c r="S226" s="32">
        <f>_xll.qlDayCounterYearFraction(DayCounter,Q226,R226,,,Trigger)</f>
        <v>0.26111111111111113</v>
      </c>
      <c r="T226" s="33">
        <f>_xll.qlIndexFixing(Index,P226,,AllTriggers)</f>
        <v>7.9730588731230512E-5</v>
      </c>
      <c r="U226" s="34">
        <f>_xll.qlYieldTSDiscount(OisCurve,Q226,,AllTriggers)</f>
        <v>1.0010803135121795</v>
      </c>
      <c r="V226" s="34">
        <f>_xll.qlYieldTSDiscount(OisCurve,R226,,AllTriggers)</f>
        <v>1.0013889412183024</v>
      </c>
      <c r="W226" s="33">
        <f t="shared" si="26"/>
        <v>-1.1803390274544424E-3</v>
      </c>
      <c r="X226" s="35">
        <f t="shared" si="27"/>
        <v>3.2906546412471405E-4</v>
      </c>
      <c r="Y226" s="33">
        <f t="shared" si="23"/>
        <v>1.260069616185673E-3</v>
      </c>
      <c r="Z226" s="54"/>
    </row>
    <row r="227" spans="15:26" x14ac:dyDescent="0.25">
      <c r="O227" s="35" t="s">
        <v>30</v>
      </c>
      <c r="P227" s="31">
        <f>_xll.qlCalendarAdvance(Calendar,P226,O226,"f",,Trigger)</f>
        <v>42446</v>
      </c>
      <c r="Q227" s="31">
        <f>_xll.qlInterestRateIndexValueDate(Index,P227,Trigger)</f>
        <v>42450</v>
      </c>
      <c r="R227" s="31">
        <f>_xll.qlInterestRateIndexMaturity(Index,Q227,Trigger)</f>
        <v>42542</v>
      </c>
      <c r="S227" s="32">
        <f>_xll.qlDayCounterYearFraction(DayCounter,Q227,R227,,,Trigger)</f>
        <v>0.25555555555555554</v>
      </c>
      <c r="T227" s="33">
        <f>_xll.qlIndexFixing(Index,P227,,AllTriggers)</f>
        <v>8.2442064909598442E-5</v>
      </c>
      <c r="U227" s="34">
        <f>_xll.qlYieldTSDiscount(OisCurve,Q227,,AllTriggers)</f>
        <v>1.001099146372558</v>
      </c>
      <c r="V227" s="34">
        <f>_xll.qlYieldTSDiscount(OisCurve,R227,,AllTriggers)</f>
        <v>1.0013919290528894</v>
      </c>
      <c r="W227" s="33">
        <f t="shared" si="26"/>
        <v>-1.1440788811848933E-3</v>
      </c>
      <c r="X227" s="35">
        <f t="shared" si="27"/>
        <v>3.1348676995337539E-4</v>
      </c>
      <c r="Y227" s="33">
        <f t="shared" si="23"/>
        <v>1.2265209460944916E-3</v>
      </c>
      <c r="Z227" s="54"/>
    </row>
    <row r="228" spans="15:26" x14ac:dyDescent="0.25">
      <c r="O228" s="35" t="s">
        <v>30</v>
      </c>
      <c r="P228" s="31">
        <f>_xll.qlCalendarAdvance(Calendar,P227,O227,"f",,Trigger)</f>
        <v>42447</v>
      </c>
      <c r="Q228" s="31">
        <f>_xll.qlInterestRateIndexValueDate(Index,P228,Trigger)</f>
        <v>42451</v>
      </c>
      <c r="R228" s="31">
        <f>_xll.qlInterestRateIndexMaturity(Index,Q228,Trigger)</f>
        <v>42543</v>
      </c>
      <c r="S228" s="32">
        <f>_xll.qlDayCounterYearFraction(DayCounter,Q228,R228,,,Trigger)</f>
        <v>0.25555555555555554</v>
      </c>
      <c r="T228" s="33">
        <f>_xll.qlIndexFixing(Index,P228,,AllTriggers)</f>
        <v>8.3992469265801474E-5</v>
      </c>
      <c r="U228" s="34">
        <f>_xll.qlYieldTSDiscount(OisCurve,Q228,,AllTriggers)</f>
        <v>1.001105887234254</v>
      </c>
      <c r="V228" s="34">
        <f>_xll.qlYieldTSDiscount(OisCurve,R228,,AllTriggers)</f>
        <v>1.0013949300094858</v>
      </c>
      <c r="W228" s="33">
        <f t="shared" si="26"/>
        <v>-1.1294614269200581E-3</v>
      </c>
      <c r="X228" s="35">
        <f t="shared" si="27"/>
        <v>3.1014631880003251E-4</v>
      </c>
      <c r="Y228" s="33">
        <f t="shared" si="23"/>
        <v>1.2134538961858597E-3</v>
      </c>
      <c r="Z228" s="54"/>
    </row>
    <row r="229" spans="15:26" x14ac:dyDescent="0.25">
      <c r="O229" s="35" t="s">
        <v>30</v>
      </c>
      <c r="P229" s="31">
        <f>_xll.qlCalendarAdvance(Calendar,P228,O228,"f",,Trigger)</f>
        <v>42450</v>
      </c>
      <c r="Q229" s="31">
        <f>_xll.qlInterestRateIndexValueDate(Index,P229,Trigger)</f>
        <v>42452</v>
      </c>
      <c r="R229" s="31">
        <f>_xll.qlInterestRateIndexMaturity(Index,Q229,Trigger)</f>
        <v>42544</v>
      </c>
      <c r="S229" s="32">
        <f>_xll.qlDayCounterYearFraction(DayCounter,Q229,R229,,,Trigger)</f>
        <v>0.25555555555555554</v>
      </c>
      <c r="T229" s="33">
        <f>_xll.qlIndexFixing(Index,P229,,AllTriggers)</f>
        <v>8.5563194301925861E-5</v>
      </c>
      <c r="U229" s="34">
        <f>_xll.qlYieldTSDiscount(OisCurve,Q229,,AllTriggers)</f>
        <v>1.0011128016523596</v>
      </c>
      <c r="V229" s="34">
        <f>_xll.qlYieldTSDiscount(OisCurve,R229,,AllTriggers)</f>
        <v>1.0013979435772613</v>
      </c>
      <c r="W229" s="33">
        <f t="shared" si="26"/>
        <v>-1.1142151397168932E-3</v>
      </c>
      <c r="X229" s="35">
        <f t="shared" si="27"/>
        <v>3.0665032686564496E-4</v>
      </c>
      <c r="Y229" s="33">
        <f t="shared" si="23"/>
        <v>1.199778334018819E-3</v>
      </c>
      <c r="Z229" s="54"/>
    </row>
    <row r="230" spans="15:26" x14ac:dyDescent="0.25">
      <c r="O230" s="35" t="s">
        <v>30</v>
      </c>
      <c r="P230" s="31">
        <f>_xll.qlCalendarAdvance(Calendar,P229,O229,"f",,Trigger)</f>
        <v>42451</v>
      </c>
      <c r="Q230" s="31">
        <f>_xll.qlInterestRateIndexValueDate(Index,P230,Trigger)</f>
        <v>42453</v>
      </c>
      <c r="R230" s="31">
        <f>_xll.qlInterestRateIndexMaturity(Index,Q230,Trigger)</f>
        <v>42545</v>
      </c>
      <c r="S230" s="32">
        <f>_xll.qlDayCounterYearFraction(DayCounter,Q230,R230,,,Trigger)</f>
        <v>0.25555555555555554</v>
      </c>
      <c r="T230" s="33">
        <f>_xll.qlIndexFixing(Index,P230,,AllTriggers)</f>
        <v>8.7154092971248985E-5</v>
      </c>
      <c r="U230" s="34">
        <f>_xll.qlYieldTSDiscount(OisCurve,Q230,,AllTriggers)</f>
        <v>1.0011198547870019</v>
      </c>
      <c r="V230" s="34">
        <f>_xll.qlYieldTSDiscount(OisCurve,R230,,AllTriggers)</f>
        <v>1.0014009692453807</v>
      </c>
      <c r="W230" s="33">
        <f t="shared" si="26"/>
        <v>-1.0984741694757176E-3</v>
      </c>
      <c r="X230" s="35">
        <f t="shared" si="27"/>
        <v>3.0303305082399727E-4</v>
      </c>
      <c r="Y230" s="33">
        <f t="shared" si="23"/>
        <v>1.1856282624469667E-3</v>
      </c>
      <c r="Z230" s="54"/>
    </row>
    <row r="231" spans="15:26" x14ac:dyDescent="0.25">
      <c r="O231" s="35" t="s">
        <v>30</v>
      </c>
      <c r="P231" s="31">
        <f>_xll.qlCalendarAdvance(Calendar,P230,O230,"f",,Trigger)</f>
        <v>42452</v>
      </c>
      <c r="Q231" s="31">
        <f>_xll.qlInterestRateIndexValueDate(Index,P231,Trigger)</f>
        <v>42458</v>
      </c>
      <c r="R231" s="31">
        <f>_xll.qlInterestRateIndexMaturity(Index,Q231,Trigger)</f>
        <v>42550</v>
      </c>
      <c r="S231" s="32">
        <f>_xll.qlDayCounterYearFraction(DayCounter,Q231,R231,,,Trigger)</f>
        <v>0.25555555555555554</v>
      </c>
      <c r="T231" s="33">
        <f>_xll.qlIndexFixing(Index,P231,,AllTriggers)</f>
        <v>9.5406044144930049E-5</v>
      </c>
      <c r="U231" s="34">
        <f>_xll.qlYieldTSDiscount(OisCurve,Q231,,AllTriggers)</f>
        <v>1.0011559817467603</v>
      </c>
      <c r="V231" s="34">
        <f>_xll.qlYieldTSDiscount(OisCurve,R231,,AllTriggers)</f>
        <v>1.0014162612114874</v>
      </c>
      <c r="W231" s="33">
        <f t="shared" si="26"/>
        <v>-1.0170444613545183E-3</v>
      </c>
      <c r="X231" s="35">
        <f t="shared" si="27"/>
        <v>2.8432639254781755E-4</v>
      </c>
      <c r="Y231" s="33">
        <f t="shared" si="23"/>
        <v>1.1124505054994484E-3</v>
      </c>
      <c r="Z231" s="54"/>
    </row>
    <row r="232" spans="15:26" x14ac:dyDescent="0.25">
      <c r="O232" s="35" t="s">
        <v>30</v>
      </c>
      <c r="P232" s="31">
        <f>_xll.qlCalendarAdvance(Calendar,P231,O231,"f",,Trigger)</f>
        <v>42453</v>
      </c>
      <c r="Q232" s="31">
        <f>_xll.qlInterestRateIndexValueDate(Index,P232,Trigger)</f>
        <v>42459</v>
      </c>
      <c r="R232" s="31">
        <f>_xll.qlInterestRateIndexMaturity(Index,Q232,Trigger)</f>
        <v>42551</v>
      </c>
      <c r="S232" s="32">
        <f>_xll.qlDayCounterYearFraction(DayCounter,Q232,R232,,,Trigger)</f>
        <v>0.25555555555555554</v>
      </c>
      <c r="T232" s="33">
        <f>_xll.qlIndexFixing(Index,P232,,AllTriggers)</f>
        <v>9.7114896613155309E-5</v>
      </c>
      <c r="U232" s="34">
        <f>_xll.qlYieldTSDiscount(OisCurve,Q232,,AllTriggers)</f>
        <v>1.0011631354898716</v>
      </c>
      <c r="V232" s="34">
        <f>_xll.qlYieldTSDiscount(OisCurve,R232,,AllTriggers)</f>
        <v>1.0014193487537988</v>
      </c>
      <c r="W232" s="33">
        <f t="shared" si="26"/>
        <v>-1.001152656678835E-3</v>
      </c>
      <c r="X232" s="35">
        <f t="shared" si="27"/>
        <v>2.8070080198905085E-4</v>
      </c>
      <c r="Y232" s="33">
        <f t="shared" si="23"/>
        <v>1.0982675532919903E-3</v>
      </c>
      <c r="Z232" s="54"/>
    </row>
    <row r="233" spans="15:26" x14ac:dyDescent="0.25">
      <c r="O233" s="35" t="s">
        <v>30</v>
      </c>
      <c r="P233" s="31">
        <f>_xll.qlCalendarAdvance(Calendar,P232,O232,"f",,Trigger)</f>
        <v>42458</v>
      </c>
      <c r="Q233" s="31">
        <f>_xll.qlInterestRateIndexValueDate(Index,P233,Trigger)</f>
        <v>42460</v>
      </c>
      <c r="R233" s="31">
        <f>_xll.qlInterestRateIndexMaturity(Index,Q233,Trigger)</f>
        <v>42551</v>
      </c>
      <c r="S233" s="32">
        <f>_xll.qlDayCounterYearFraction(DayCounter,Q233,R233,,,Trigger)</f>
        <v>0.25277777777777777</v>
      </c>
      <c r="T233" s="33">
        <f>_xll.qlIndexFixing(Index,P233,,AllTriggers)</f>
        <v>9.7821556163467315E-5</v>
      </c>
      <c r="U233" s="34">
        <f>_xll.qlYieldTSDiscount(OisCurve,Q233,,AllTriggers)</f>
        <v>1.0011701840433203</v>
      </c>
      <c r="V233" s="34">
        <f>_xll.qlYieldTSDiscount(OisCurve,R233,,AllTriggers)</f>
        <v>1.0014193487537988</v>
      </c>
      <c r="W233" s="33">
        <f t="shared" si="26"/>
        <v>-9.8430946853069476E-4</v>
      </c>
      <c r="X233" s="35">
        <f t="shared" si="27"/>
        <v>2.7356932870818636E-4</v>
      </c>
      <c r="Y233" s="33">
        <f t="shared" si="23"/>
        <v>1.0821310246941621E-3</v>
      </c>
      <c r="Z233" s="54"/>
    </row>
    <row r="234" spans="15:26" x14ac:dyDescent="0.25">
      <c r="O234" s="35" t="s">
        <v>30</v>
      </c>
      <c r="P234" s="31">
        <f>_xll.qlCalendarAdvance(Calendar,P233,O233,"f",,Trigger)</f>
        <v>42459</v>
      </c>
      <c r="Q234" s="31">
        <f>_xll.qlInterestRateIndexValueDate(Index,P234,Trigger)</f>
        <v>42461</v>
      </c>
      <c r="R234" s="31">
        <f>_xll.qlInterestRateIndexMaturity(Index,Q234,Trigger)</f>
        <v>42552</v>
      </c>
      <c r="S234" s="32">
        <f>_xll.qlDayCounterYearFraction(DayCounter,Q234,R234,,,Trigger)</f>
        <v>0.25277777777777777</v>
      </c>
      <c r="T234" s="33">
        <f>_xll.qlIndexFixing(Index,P234,,AllTriggers)</f>
        <v>9.955998408815771E-5</v>
      </c>
      <c r="U234" s="34">
        <f>_xll.qlYieldTSDiscount(OisCurve,Q234,,AllTriggers)</f>
        <v>1.0011078111046192</v>
      </c>
      <c r="V234" s="34">
        <f>_xll.qlYieldTSDiscount(OisCurve,R234,,AllTriggers)</f>
        <v>1.0014224448204421</v>
      </c>
      <c r="W234" s="33">
        <f t="shared" ref="W234:W258" si="28">(U234/V234-1)/S234</f>
        <v>-1.2429368008342974E-3</v>
      </c>
      <c r="X234" s="35">
        <f t="shared" ref="X234:X258" si="29">LN((1+T234*S234)/(1+W234*S234))</f>
        <v>3.3940240430804889E-4</v>
      </c>
      <c r="Y234" s="33">
        <f t="shared" si="23"/>
        <v>1.342496784922455E-3</v>
      </c>
      <c r="Z234" s="54"/>
    </row>
    <row r="235" spans="15:26" x14ac:dyDescent="0.25">
      <c r="O235" s="35" t="s">
        <v>30</v>
      </c>
      <c r="P235" s="31">
        <f>_xll.qlCalendarAdvance(Calendar,P234,O234,"f",,Trigger)</f>
        <v>42460</v>
      </c>
      <c r="Q235" s="31">
        <f>_xll.qlInterestRateIndexValueDate(Index,P235,Trigger)</f>
        <v>42464</v>
      </c>
      <c r="R235" s="31">
        <f>_xll.qlInterestRateIndexMaturity(Index,Q235,Trigger)</f>
        <v>42555</v>
      </c>
      <c r="S235" s="32">
        <f>_xll.qlDayCounterYearFraction(DayCounter,Q235,R235,,,Trigger)</f>
        <v>0.25277777777777777</v>
      </c>
      <c r="T235" s="33">
        <f>_xll.qlIndexFixing(Index,P235,,AllTriggers)</f>
        <v>1.0488851126896873E-4</v>
      </c>
      <c r="U235" s="34">
        <f>_xll.qlYieldTSDiscount(OisCurve,Q235,,AllTriggers)</f>
        <v>1.0011273465867523</v>
      </c>
      <c r="V235" s="34">
        <f>_xll.qlYieldTSDiscount(OisCurve,R235,,AllTriggers)</f>
        <v>1.0014317790575022</v>
      </c>
      <c r="W235" s="33">
        <f t="shared" si="28"/>
        <v>-1.2026263407250736E-3</v>
      </c>
      <c r="X235" s="35">
        <f t="shared" si="29"/>
        <v>3.3055656374197202E-4</v>
      </c>
      <c r="Y235" s="33">
        <f t="shared" si="23"/>
        <v>1.3075148519940424E-3</v>
      </c>
      <c r="Z235" s="54"/>
    </row>
    <row r="236" spans="15:26" x14ac:dyDescent="0.25">
      <c r="O236" s="35" t="s">
        <v>30</v>
      </c>
      <c r="P236" s="31">
        <f>_xll.qlCalendarAdvance(Calendar,P235,O235,"f",,Trigger)</f>
        <v>42461</v>
      </c>
      <c r="Q236" s="31">
        <f>_xll.qlInterestRateIndexValueDate(Index,P236,Trigger)</f>
        <v>42465</v>
      </c>
      <c r="R236" s="31">
        <f>_xll.qlInterestRateIndexMaturity(Index,Q236,Trigger)</f>
        <v>42556</v>
      </c>
      <c r="S236" s="32">
        <f>_xll.qlDayCounterYearFraction(DayCounter,Q236,R236,,,Trigger)</f>
        <v>0.25277777777777777</v>
      </c>
      <c r="T236" s="33">
        <f>_xll.qlIndexFixing(Index,P236,,AllTriggers)</f>
        <v>1.0670193925432658E-4</v>
      </c>
      <c r="U236" s="34">
        <f>_xll.qlYieldTSDiscount(OisCurve,Q236,,AllTriggers)</f>
        <v>1.0011333460441214</v>
      </c>
      <c r="V236" s="34">
        <f>_xll.qlYieldTSDiscount(OisCurve,R236,,AllTriggers)</f>
        <v>1.0014349041125818</v>
      </c>
      <c r="W236" s="33">
        <f t="shared" si="28"/>
        <v>-1.1912676193229375E-3</v>
      </c>
      <c r="X236" s="35">
        <f t="shared" si="29"/>
        <v>3.2814284443798933E-4</v>
      </c>
      <c r="Y236" s="33">
        <f t="shared" si="23"/>
        <v>1.297969558577264E-3</v>
      </c>
      <c r="Z236" s="54"/>
    </row>
    <row r="237" spans="15:26" x14ac:dyDescent="0.25">
      <c r="O237" s="35" t="s">
        <v>30</v>
      </c>
      <c r="P237" s="31">
        <f>_xll.qlCalendarAdvance(Calendar,P236,O236,"f",,Trigger)</f>
        <v>42464</v>
      </c>
      <c r="Q237" s="31">
        <f>_xll.qlInterestRateIndexValueDate(Index,P237,Trigger)</f>
        <v>42466</v>
      </c>
      <c r="R237" s="31">
        <f>_xll.qlInterestRateIndexMaturity(Index,Q237,Trigger)</f>
        <v>42557</v>
      </c>
      <c r="S237" s="32">
        <f>_xll.qlDayCounterYearFraction(DayCounter,Q237,R237,,,Trigger)</f>
        <v>0.25277777777777777</v>
      </c>
      <c r="T237" s="33">
        <f>_xll.qlIndexFixing(Index,P237,,AllTriggers)</f>
        <v>1.0853374559522515E-4</v>
      </c>
      <c r="U237" s="34">
        <f>_xll.qlYieldTSDiscount(OisCurve,Q237,,AllTriggers)</f>
        <v>1.001139031235085</v>
      </c>
      <c r="V237" s="34">
        <f>_xll.qlYieldTSDiscount(OisCurve,R237,,AllTriggers)</f>
        <v>1.0014380351375174</v>
      </c>
      <c r="W237" s="33">
        <f t="shared" si="28"/>
        <v>-1.1811740113194574E-3</v>
      </c>
      <c r="X237" s="35">
        <f t="shared" si="29"/>
        <v>3.2605366669785846E-4</v>
      </c>
      <c r="Y237" s="33">
        <f t="shared" si="23"/>
        <v>1.2897077569146826E-3</v>
      </c>
      <c r="Z237" s="54"/>
    </row>
    <row r="238" spans="15:26" x14ac:dyDescent="0.25">
      <c r="O238" s="35" t="s">
        <v>30</v>
      </c>
      <c r="P238" s="31">
        <f>_xll.qlCalendarAdvance(Calendar,P237,O237,"f",,Trigger)</f>
        <v>42465</v>
      </c>
      <c r="Q238" s="31">
        <f>_xll.qlInterestRateIndexValueDate(Index,P238,Trigger)</f>
        <v>42467</v>
      </c>
      <c r="R238" s="31">
        <f>_xll.qlInterestRateIndexMaturity(Index,Q238,Trigger)</f>
        <v>42558</v>
      </c>
      <c r="S238" s="32">
        <f>_xll.qlDayCounterYearFraction(DayCounter,Q238,R238,,,Trigger)</f>
        <v>0.25277777777777777</v>
      </c>
      <c r="T238" s="33">
        <f>_xll.qlIndexFixing(Index,P238,,AllTriggers)</f>
        <v>1.103837816308006E-4</v>
      </c>
      <c r="U238" s="34">
        <f>_xll.qlYieldTSDiscount(OisCurve,Q238,,AllTriggers)</f>
        <v>1.0011443673099676</v>
      </c>
      <c r="V238" s="34">
        <f>_xll.qlYieldTSDiscount(OisCurve,R238,,AllTriggers)</f>
        <v>1.0014411716213942</v>
      </c>
      <c r="W238" s="33">
        <f t="shared" si="28"/>
        <v>-1.1724811557790094E-3</v>
      </c>
      <c r="X238" s="35">
        <f t="shared" si="29"/>
        <v>3.2432328719467077E-4</v>
      </c>
      <c r="Y238" s="33">
        <f t="shared" si="23"/>
        <v>1.28286493740981E-3</v>
      </c>
      <c r="Z238" s="54"/>
    </row>
    <row r="239" spans="15:26" x14ac:dyDescent="0.25">
      <c r="O239" s="35" t="s">
        <v>30</v>
      </c>
      <c r="P239" s="31">
        <f>_xll.qlCalendarAdvance(Calendar,P238,O238,"f",,Trigger)</f>
        <v>42466</v>
      </c>
      <c r="Q239" s="31">
        <f>_xll.qlInterestRateIndexValueDate(Index,P239,Trigger)</f>
        <v>42468</v>
      </c>
      <c r="R239" s="31">
        <f>_xll.qlInterestRateIndexMaturity(Index,Q239,Trigger)</f>
        <v>42559</v>
      </c>
      <c r="S239" s="32">
        <f>_xll.qlDayCounterYearFraction(DayCounter,Q239,R239,,,Trigger)</f>
        <v>0.25277777777777777</v>
      </c>
      <c r="T239" s="33">
        <f>_xll.qlIndexFixing(Index,P239,,AllTriggers)</f>
        <v>1.1225189869404016E-4</v>
      </c>
      <c r="U239" s="34">
        <f>_xll.qlYieldTSDiscount(OisCurve,Q239,,AllTriggers)</f>
        <v>1.0011493194186927</v>
      </c>
      <c r="V239" s="34">
        <f>_xll.qlYieldTSDiscount(OisCurve,R239,,AllTriggers)</f>
        <v>1.0014443130532931</v>
      </c>
      <c r="W239" s="33">
        <f t="shared" si="28"/>
        <v>-1.1653246915687644E-3</v>
      </c>
      <c r="X239" s="35">
        <f t="shared" si="29"/>
        <v>3.2298596260078876E-4</v>
      </c>
      <c r="Y239" s="33">
        <f t="shared" si="23"/>
        <v>1.2775765902628047E-3</v>
      </c>
      <c r="Z239" s="54"/>
    </row>
    <row r="240" spans="15:26" x14ac:dyDescent="0.25">
      <c r="O240" s="35" t="s">
        <v>30</v>
      </c>
      <c r="P240" s="31">
        <f>_xll.qlCalendarAdvance(Calendar,P239,O239,"f",,Trigger)</f>
        <v>42467</v>
      </c>
      <c r="Q240" s="31">
        <f>_xll.qlInterestRateIndexValueDate(Index,P240,Trigger)</f>
        <v>42471</v>
      </c>
      <c r="R240" s="31">
        <f>_xll.qlInterestRateIndexMaturity(Index,Q240,Trigger)</f>
        <v>42562</v>
      </c>
      <c r="S240" s="32">
        <f>_xll.qlDayCounterYearFraction(DayCounter,Q240,R240,,,Trigger)</f>
        <v>0.25277777777777777</v>
      </c>
      <c r="T240" s="33">
        <f>_xll.qlIndexFixing(Index,P240,,AllTriggers)</f>
        <v>1.1796324942617196E-4</v>
      </c>
      <c r="U240" s="34">
        <f>_xll.qlYieldTSDiscount(OisCurve,Q240,,AllTriggers)</f>
        <v>1.0011618731185226</v>
      </c>
      <c r="V240" s="34">
        <f>_xll.qlYieldTSDiscount(OisCurve,R240,,AllTriggers)</f>
        <v>1.0014537619278205</v>
      </c>
      <c r="W240" s="33">
        <f t="shared" si="28"/>
        <v>-1.1530487015569886E-3</v>
      </c>
      <c r="X240" s="35">
        <f t="shared" si="29"/>
        <v>3.2132561614035495E-4</v>
      </c>
      <c r="Y240" s="33">
        <f t="shared" si="23"/>
        <v>1.2710119509831606E-3</v>
      </c>
      <c r="Z240" s="54"/>
    </row>
    <row r="241" spans="15:26" x14ac:dyDescent="0.25">
      <c r="O241" s="35" t="s">
        <v>30</v>
      </c>
      <c r="P241" s="31">
        <f>_xll.qlCalendarAdvance(Calendar,P240,O240,"f",,Trigger)</f>
        <v>42468</v>
      </c>
      <c r="Q241" s="31">
        <f>_xll.qlInterestRateIndexValueDate(Index,P241,Trigger)</f>
        <v>42472</v>
      </c>
      <c r="R241" s="31">
        <f>_xll.qlInterestRateIndexMaturity(Index,Q241,Trigger)</f>
        <v>42563</v>
      </c>
      <c r="S241" s="32">
        <f>_xll.qlDayCounterYearFraction(DayCounter,Q241,R241,,,Trigger)</f>
        <v>0.25277777777777777</v>
      </c>
      <c r="T241" s="33">
        <f>_xll.qlIndexFixing(Index,P241,,AllTriggers)</f>
        <v>1.1990220397210435E-4</v>
      </c>
      <c r="U241" s="34">
        <f>_xll.qlYieldTSDiscount(OisCurve,Q241,,AllTriggers)</f>
        <v>1.0011654200450222</v>
      </c>
      <c r="V241" s="34">
        <f>_xll.qlYieldTSDiscount(OisCurve,R241,,AllTriggers)</f>
        <v>1.0014569180424759</v>
      </c>
      <c r="W241" s="33">
        <f t="shared" si="28"/>
        <v>-1.1515012480817395E-3</v>
      </c>
      <c r="X241" s="35">
        <f t="shared" si="29"/>
        <v>3.2142445020996485E-4</v>
      </c>
      <c r="Y241" s="33">
        <f t="shared" si="23"/>
        <v>1.2714034520538437E-3</v>
      </c>
      <c r="Z241" s="54"/>
    </row>
    <row r="242" spans="15:26" x14ac:dyDescent="0.25">
      <c r="O242" s="35" t="s">
        <v>30</v>
      </c>
      <c r="P242" s="31">
        <f>_xll.qlCalendarAdvance(Calendar,P241,O241,"f",,Trigger)</f>
        <v>42471</v>
      </c>
      <c r="Q242" s="31">
        <f>_xll.qlInterestRateIndexValueDate(Index,P242,Trigger)</f>
        <v>42473</v>
      </c>
      <c r="R242" s="31">
        <f>_xll.qlInterestRateIndexMaturity(Index,Q242,Trigger)</f>
        <v>42564</v>
      </c>
      <c r="S242" s="32">
        <f>_xll.qlDayCounterYearFraction(DayCounter,Q242,R242,,,Trigger)</f>
        <v>0.25277777777777777</v>
      </c>
      <c r="T242" s="33">
        <f>_xll.qlIndexFixing(Index,P242,,AllTriggers)</f>
        <v>1.2185849622820538E-4</v>
      </c>
      <c r="U242" s="34">
        <f>_xll.qlYieldTSDiscount(OisCurve,Q242,,AllTriggers)</f>
        <v>1.0011687195803052</v>
      </c>
      <c r="V242" s="34">
        <f>_xll.qlYieldTSDiscount(OisCurve,R242,,AllTriggers)</f>
        <v>1.0014600765504564</v>
      </c>
      <c r="W242" s="33">
        <f t="shared" si="28"/>
        <v>-1.150940519554393E-3</v>
      </c>
      <c r="X242" s="35">
        <f t="shared" si="29"/>
        <v>3.217771613397581E-4</v>
      </c>
      <c r="Y242" s="33">
        <f t="shared" si="23"/>
        <v>1.2727990157825983E-3</v>
      </c>
      <c r="Z242" s="54"/>
    </row>
    <row r="243" spans="15:26" x14ac:dyDescent="0.25">
      <c r="O243" s="35" t="s">
        <v>30</v>
      </c>
      <c r="P243" s="31">
        <f>_xll.qlCalendarAdvance(Calendar,P242,O242,"f",,Trigger)</f>
        <v>42472</v>
      </c>
      <c r="Q243" s="31">
        <f>_xll.qlInterestRateIndexValueDate(Index,P243,Trigger)</f>
        <v>42474</v>
      </c>
      <c r="R243" s="31">
        <f>_xll.qlInterestRateIndexMaturity(Index,Q243,Trigger)</f>
        <v>42565</v>
      </c>
      <c r="S243" s="32">
        <f>_xll.qlDayCounterYearFraction(DayCounter,Q243,R243,,,Trigger)</f>
        <v>0.25277777777777777</v>
      </c>
      <c r="T243" s="33">
        <f>_xll.qlIndexFixing(Index,P243,,AllTriggers)</f>
        <v>1.2383197753185437E-4</v>
      </c>
      <c r="U243" s="34">
        <f>_xll.qlYieldTSDiscount(OisCurve,Q243,,AllTriggers)</f>
        <v>1.0011718145829027</v>
      </c>
      <c r="V243" s="34">
        <f>_xll.qlYieldTSDiscount(OisCurve,R243,,AllTriggers)</f>
        <v>1.0014632369408036</v>
      </c>
      <c r="W243" s="33">
        <f t="shared" si="28"/>
        <v>-1.1511951863071338E-3</v>
      </c>
      <c r="X243" s="35">
        <f t="shared" si="29"/>
        <v>3.2234039089983524E-4</v>
      </c>
      <c r="Y243" s="33">
        <f t="shared" si="23"/>
        <v>1.2750271638389881E-3</v>
      </c>
      <c r="Z243" s="54"/>
    </row>
    <row r="244" spans="15:26" x14ac:dyDescent="0.25">
      <c r="O244" s="35" t="s">
        <v>30</v>
      </c>
      <c r="P244" s="31">
        <f>_xll.qlCalendarAdvance(Calendar,P243,O243,"f",,Trigger)</f>
        <v>42473</v>
      </c>
      <c r="Q244" s="31">
        <f>_xll.qlInterestRateIndexValueDate(Index,P244,Trigger)</f>
        <v>42475</v>
      </c>
      <c r="R244" s="31">
        <f>_xll.qlInterestRateIndexMaturity(Index,Q244,Trigger)</f>
        <v>42566</v>
      </c>
      <c r="S244" s="32">
        <f>_xll.qlDayCounterYearFraction(DayCounter,Q244,R244,,,Trigger)</f>
        <v>0.25277777777777777</v>
      </c>
      <c r="T244" s="33">
        <f>_xll.qlIndexFixing(Index,P244,,AllTriggers)</f>
        <v>1.2582249921867382E-4</v>
      </c>
      <c r="U244" s="34">
        <f>_xll.qlYieldTSDiscount(OisCurve,Q244,,AllTriggers)</f>
        <v>1.0011747479120203</v>
      </c>
      <c r="V244" s="34">
        <f>_xll.qlYieldTSDiscount(OisCurve,R244,,AllTriggers)</f>
        <v>1.0014663987025521</v>
      </c>
      <c r="W244" s="33">
        <f t="shared" si="28"/>
        <v>-1.1520939181319191E-3</v>
      </c>
      <c r="X244" s="35">
        <f t="shared" si="29"/>
        <v>3.2307078025949597E-4</v>
      </c>
      <c r="Y244" s="33">
        <f t="shared" si="23"/>
        <v>1.2779164173505929E-3</v>
      </c>
      <c r="Z244" s="54"/>
    </row>
    <row r="245" spans="15:26" x14ac:dyDescent="0.25">
      <c r="O245" s="35" t="s">
        <v>30</v>
      </c>
      <c r="P245" s="31">
        <f>_xll.qlCalendarAdvance(Calendar,P244,O244,"f",,Trigger)</f>
        <v>42474</v>
      </c>
      <c r="Q245" s="31">
        <f>_xll.qlInterestRateIndexValueDate(Index,P245,Trigger)</f>
        <v>42478</v>
      </c>
      <c r="R245" s="31">
        <f>_xll.qlInterestRateIndexMaturity(Index,Q245,Trigger)</f>
        <v>42569</v>
      </c>
      <c r="S245" s="32">
        <f>_xll.qlDayCounterYearFraction(DayCounter,Q245,R245,,,Trigger)</f>
        <v>0.25277777777777777</v>
      </c>
      <c r="T245" s="33">
        <f>_xll.qlIndexFixing(Index,P245,,AllTriggers)</f>
        <v>1.3189481994052872E-4</v>
      </c>
      <c r="U245" s="34">
        <f>_xll.qlYieldTSDiscount(OisCurve,Q245,,AllTriggers)</f>
        <v>1.0011830064591543</v>
      </c>
      <c r="V245" s="34">
        <f>_xll.qlYieldTSDiscount(OisCurve,R245,,AllTriggers)</f>
        <v>1.0014758871064615</v>
      </c>
      <c r="W245" s="33">
        <f t="shared" si="28"/>
        <v>-1.1569412000220793E-3</v>
      </c>
      <c r="X245" s="35">
        <f t="shared" si="29"/>
        <v>3.2583132083345253E-4</v>
      </c>
      <c r="Y245" s="33">
        <f t="shared" si="23"/>
        <v>1.288836019962608E-3</v>
      </c>
      <c r="Z245" s="54"/>
    </row>
    <row r="246" spans="15:26" x14ac:dyDescent="0.25">
      <c r="O246" s="35" t="s">
        <v>30</v>
      </c>
      <c r="P246" s="31">
        <f>_xll.qlCalendarAdvance(Calendar,P245,O245,"f",,Trigger)</f>
        <v>42475</v>
      </c>
      <c r="Q246" s="31">
        <f>_xll.qlInterestRateIndexValueDate(Index,P246,Trigger)</f>
        <v>42479</v>
      </c>
      <c r="R246" s="31">
        <f>_xll.qlInterestRateIndexMaturity(Index,Q246,Trigger)</f>
        <v>42570</v>
      </c>
      <c r="S246" s="32">
        <f>_xll.qlDayCounterYearFraction(DayCounter,Q246,R246,,,Trigger)</f>
        <v>0.25277777777777777</v>
      </c>
      <c r="T246" s="33">
        <f>_xll.qlIndexFixing(Index,P246,,AllTriggers)</f>
        <v>1.3395201652152537E-4</v>
      </c>
      <c r="U246" s="34">
        <f>_xll.qlYieldTSDiscount(OisCurve,Q246,,AllTriggers)</f>
        <v>1.0011857216975459</v>
      </c>
      <c r="V246" s="34">
        <f>_xll.qlYieldTSDiscount(OisCurve,R246,,AllTriggers)</f>
        <v>1.001479049244038</v>
      </c>
      <c r="W246" s="33">
        <f t="shared" si="28"/>
        <v>-1.1587028888090172E-3</v>
      </c>
      <c r="X246" s="35">
        <f t="shared" si="29"/>
        <v>3.2679676308788961E-4</v>
      </c>
      <c r="Y246" s="33">
        <f t="shared" si="23"/>
        <v>1.2926549053305426E-3</v>
      </c>
      <c r="Z246" s="54"/>
    </row>
    <row r="247" spans="15:26" x14ac:dyDescent="0.25">
      <c r="O247" s="35" t="s">
        <v>30</v>
      </c>
      <c r="P247" s="31">
        <f>_xll.qlCalendarAdvance(Calendar,P246,O246,"f",,Trigger)</f>
        <v>42478</v>
      </c>
      <c r="Q247" s="31">
        <f>_xll.qlInterestRateIndexValueDate(Index,P247,Trigger)</f>
        <v>42480</v>
      </c>
      <c r="R247" s="31">
        <f>_xll.qlInterestRateIndexMaturity(Index,Q247,Trigger)</f>
        <v>42571</v>
      </c>
      <c r="S247" s="32">
        <f>_xll.qlDayCounterYearFraction(DayCounter,Q247,R247,,,Trigger)</f>
        <v>0.25277777777777777</v>
      </c>
      <c r="T247" s="33">
        <f>_xll.qlIndexFixing(Index,P247,,AllTriggers)</f>
        <v>1.360255101638049E-4</v>
      </c>
      <c r="U247" s="34">
        <f>_xll.qlYieldTSDiscount(OisCurve,Q247,,AllTriggers)</f>
        <v>1.001188489566506</v>
      </c>
      <c r="V247" s="34">
        <f>_xll.qlYieldTSDiscount(OisCurve,R247,,AllTriggers)</f>
        <v>1.0014822101980945</v>
      </c>
      <c r="W247" s="33">
        <f t="shared" si="28"/>
        <v>-1.1602519920261478E-3</v>
      </c>
      <c r="X247" s="35">
        <f t="shared" si="29"/>
        <v>3.2771257198948857E-4</v>
      </c>
      <c r="Y247" s="33">
        <f t="shared" si="23"/>
        <v>1.2962775021899528E-3</v>
      </c>
      <c r="Z247" s="54"/>
    </row>
    <row r="248" spans="15:26" x14ac:dyDescent="0.25">
      <c r="O248" s="35" t="s">
        <v>30</v>
      </c>
      <c r="P248" s="31">
        <f>_xll.qlCalendarAdvance(Calendar,P247,O247,"f",,Trigger)</f>
        <v>42479</v>
      </c>
      <c r="Q248" s="31">
        <f>_xll.qlInterestRateIndexValueDate(Index,P248,Trigger)</f>
        <v>42481</v>
      </c>
      <c r="R248" s="31">
        <f>_xll.qlInterestRateIndexMaturity(Index,Q248,Trigger)</f>
        <v>42572</v>
      </c>
      <c r="S248" s="32">
        <f>_xll.qlDayCounterYearFraction(DayCounter,Q248,R248,,,Trigger)</f>
        <v>0.25277777777777777</v>
      </c>
      <c r="T248" s="33">
        <f>_xll.qlIndexFixing(Index,P248,,AllTriggers)</f>
        <v>1.3811515220474668E-4</v>
      </c>
      <c r="U248" s="34">
        <f>_xll.qlYieldTSDiscount(OisCurve,Q248,,AllTriggers)</f>
        <v>1.0011913529282839</v>
      </c>
      <c r="V248" s="34">
        <f>_xll.qlYieldTSDiscount(OisCurve,R248,,AllTriggers)</f>
        <v>1.0014853694576271</v>
      </c>
      <c r="W248" s="33">
        <f t="shared" si="28"/>
        <v>-1.1614171802784049E-3</v>
      </c>
      <c r="X248" s="35">
        <f t="shared" si="29"/>
        <v>3.285353889082689E-4</v>
      </c>
      <c r="Y248" s="33">
        <f t="shared" si="23"/>
        <v>1.2995323324831516E-3</v>
      </c>
      <c r="Z248" s="54"/>
    </row>
    <row r="249" spans="15:26" x14ac:dyDescent="0.25">
      <c r="O249" s="35" t="s">
        <v>30</v>
      </c>
      <c r="P249" s="31">
        <f>_xll.qlCalendarAdvance(Calendar,P248,O248,"f",,Trigger)</f>
        <v>42480</v>
      </c>
      <c r="Q249" s="31">
        <f>_xll.qlInterestRateIndexValueDate(Index,P249,Trigger)</f>
        <v>42482</v>
      </c>
      <c r="R249" s="31">
        <f>_xll.qlInterestRateIndexMaturity(Index,Q249,Trigger)</f>
        <v>42573</v>
      </c>
      <c r="S249" s="32">
        <f>_xll.qlDayCounterYearFraction(DayCounter,Q249,R249,,,Trigger)</f>
        <v>0.25277777777777777</v>
      </c>
      <c r="T249" s="33">
        <f>_xll.qlIndexFixing(Index,P249,,AllTriggers)</f>
        <v>1.4022079397909475E-4</v>
      </c>
      <c r="U249" s="34">
        <f>_xll.qlYieldTSDiscount(OisCurve,Q249,,AllTriggers)</f>
        <v>1.0011943546456417</v>
      </c>
      <c r="V249" s="34">
        <f>_xll.qlYieldTSDiscount(OisCurve,R249,,AllTriggers)</f>
        <v>1.0014885265116265</v>
      </c>
      <c r="W249" s="33">
        <f t="shared" si="28"/>
        <v>-1.1620271242857943E-3</v>
      </c>
      <c r="X249" s="35">
        <f t="shared" si="29"/>
        <v>3.2922185521355848E-4</v>
      </c>
      <c r="Y249" s="33">
        <f t="shared" si="23"/>
        <v>1.3022479182648889E-3</v>
      </c>
      <c r="Z249" s="54"/>
    </row>
    <row r="250" spans="15:26" x14ac:dyDescent="0.25">
      <c r="O250" s="35" t="s">
        <v>30</v>
      </c>
      <c r="P250" s="31">
        <f>_xll.qlCalendarAdvance(Calendar,P249,O249,"f",,Trigger)</f>
        <v>42481</v>
      </c>
      <c r="Q250" s="31">
        <f>_xll.qlInterestRateIndexValueDate(Index,P250,Trigger)</f>
        <v>42485</v>
      </c>
      <c r="R250" s="31">
        <f>_xll.qlInterestRateIndexMaturity(Index,Q250,Trigger)</f>
        <v>42576</v>
      </c>
      <c r="S250" s="32">
        <f>_xll.qlDayCounterYearFraction(DayCounter,Q250,R250,,,Trigger)</f>
        <v>0.25277777777777777</v>
      </c>
      <c r="T250" s="33">
        <f>_xll.qlIndexFixing(Index,P250,,AllTriggers)</f>
        <v>1.4663223105616628E-4</v>
      </c>
      <c r="U250" s="34">
        <f>_xll.qlYieldTSDiscount(OisCurve,Q250,,AllTriggers)</f>
        <v>1.0012046185676551</v>
      </c>
      <c r="V250" s="34">
        <f>_xll.qlYieldTSDiscount(OisCurve,R250,,AllTriggers)</f>
        <v>1.0014979793302248</v>
      </c>
      <c r="W250" s="33">
        <f t="shared" si="28"/>
        <v>-1.1588121949885094E-3</v>
      </c>
      <c r="X250" s="35">
        <f t="shared" si="29"/>
        <v>3.3002956414455423E-4</v>
      </c>
      <c r="Y250" s="33">
        <f t="shared" si="23"/>
        <v>1.3054444260446757E-3</v>
      </c>
      <c r="Z250" s="54"/>
    </row>
    <row r="251" spans="15:26" x14ac:dyDescent="0.25">
      <c r="O251" s="35" t="s">
        <v>30</v>
      </c>
      <c r="P251" s="31">
        <f>_xll.qlCalendarAdvance(Calendar,P250,O250,"f",,Trigger)</f>
        <v>42482</v>
      </c>
      <c r="Q251" s="31">
        <f>_xll.qlInterestRateIndexValueDate(Index,P251,Trigger)</f>
        <v>42486</v>
      </c>
      <c r="R251" s="31">
        <f>_xll.qlInterestRateIndexMaturity(Index,Q251,Trigger)</f>
        <v>42577</v>
      </c>
      <c r="S251" s="32">
        <f>_xll.qlDayCounterYearFraction(DayCounter,Q251,R251,,,Trigger)</f>
        <v>0.25277777777777777</v>
      </c>
      <c r="T251" s="33">
        <f>_xll.qlIndexFixing(Index,P251,,AllTriggers)</f>
        <v>1.4880038511772914E-4</v>
      </c>
      <c r="U251" s="34">
        <f>_xll.qlYieldTSDiscount(OisCurve,Q251,,AllTriggers)</f>
        <v>1.0012086023473084</v>
      </c>
      <c r="V251" s="34">
        <f>_xll.qlYieldTSDiscount(OisCurve,R251,,AllTriggers)</f>
        <v>1.0015011224518597</v>
      </c>
      <c r="W251" s="33">
        <f t="shared" si="28"/>
        <v>-1.1554878628580582E-3</v>
      </c>
      <c r="X251" s="35">
        <f t="shared" si="29"/>
        <v>3.2973704169191032E-4</v>
      </c>
      <c r="Y251" s="33">
        <f t="shared" si="23"/>
        <v>1.3042882479757873E-3</v>
      </c>
      <c r="Z251" s="54"/>
    </row>
    <row r="252" spans="15:26" x14ac:dyDescent="0.25">
      <c r="O252" s="35" t="s">
        <v>30</v>
      </c>
      <c r="P252" s="31">
        <f>_xll.qlCalendarAdvance(Calendar,P251,O251,"f",,Trigger)</f>
        <v>42485</v>
      </c>
      <c r="Q252" s="31">
        <f>_xll.qlInterestRateIndexValueDate(Index,P252,Trigger)</f>
        <v>42487</v>
      </c>
      <c r="R252" s="31">
        <f>_xll.qlInterestRateIndexMaturity(Index,Q252,Trigger)</f>
        <v>42578</v>
      </c>
      <c r="S252" s="32">
        <f>_xll.qlDayCounterYearFraction(DayCounter,Q252,R252,,,Trigger)</f>
        <v>0.25277777777777777</v>
      </c>
      <c r="T252" s="33">
        <f>_xll.qlIndexFixing(Index,P252,,AllTriggers)</f>
        <v>1.5098379558641862E-4</v>
      </c>
      <c r="U252" s="34">
        <f>_xll.qlYieldTSDiscount(OisCurve,Q252,,AllTriggers)</f>
        <v>1.0012129388064122</v>
      </c>
      <c r="V252" s="34">
        <f>_xll.qlYieldTSDiscount(OisCurve,R252,,AllTriggers)</f>
        <v>1.0015042608128144</v>
      </c>
      <c r="W252" s="33">
        <f t="shared" si="28"/>
        <v>-1.1507516321049751E-3</v>
      </c>
      <c r="X252" s="35">
        <f t="shared" si="29"/>
        <v>3.2909137547291274E-4</v>
      </c>
      <c r="Y252" s="33">
        <f t="shared" si="23"/>
        <v>1.3017354276913936E-3</v>
      </c>
      <c r="Z252" s="54"/>
    </row>
    <row r="253" spans="15:26" x14ac:dyDescent="0.25">
      <c r="O253" s="35" t="s">
        <v>30</v>
      </c>
      <c r="P253" s="31">
        <f>_xll.qlCalendarAdvance(Calendar,P252,O252,"f",,Trigger)</f>
        <v>42486</v>
      </c>
      <c r="Q253" s="31">
        <f>_xll.qlInterestRateIndexValueDate(Index,P253,Trigger)</f>
        <v>42488</v>
      </c>
      <c r="R253" s="31">
        <f>_xll.qlInterestRateIndexMaturity(Index,Q253,Trigger)</f>
        <v>42579</v>
      </c>
      <c r="S253" s="32">
        <f>_xll.qlDayCounterYearFraction(DayCounter,Q253,R253,,,Trigger)</f>
        <v>0.25277777777777777</v>
      </c>
      <c r="T253" s="33">
        <f>_xll.qlIndexFixing(Index,P253,,AllTriggers)</f>
        <v>1.5318231379961409E-4</v>
      </c>
      <c r="U253" s="34">
        <f>_xll.qlYieldTSDiscount(OisCurve,Q253,,AllTriggers)</f>
        <v>1.0012176552544467</v>
      </c>
      <c r="V253" s="34">
        <f>_xll.qlYieldTSDiscount(OisCurve,R253,,AllTriggers)</f>
        <v>1.0015073939020405</v>
      </c>
      <c r="W253" s="33">
        <f t="shared" si="28"/>
        <v>-1.1444936229374016E-3</v>
      </c>
      <c r="X253" s="35">
        <f t="shared" si="29"/>
        <v>3.2806474597917278E-4</v>
      </c>
      <c r="Y253" s="33">
        <f t="shared" si="23"/>
        <v>1.2976759367370157E-3</v>
      </c>
      <c r="Z253" s="54"/>
    </row>
    <row r="254" spans="15:26" x14ac:dyDescent="0.25">
      <c r="O254" s="35" t="s">
        <v>30</v>
      </c>
      <c r="P254" s="31">
        <f>_xll.qlCalendarAdvance(Calendar,P253,O253,"f",,Trigger)</f>
        <v>42487</v>
      </c>
      <c r="Q254" s="31">
        <f>_xll.qlInterestRateIndexValueDate(Index,P254,Trigger)</f>
        <v>42489</v>
      </c>
      <c r="R254" s="31">
        <f>_xll.qlInterestRateIndexMaturity(Index,Q254,Trigger)</f>
        <v>42580</v>
      </c>
      <c r="S254" s="32">
        <f>_xll.qlDayCounterYearFraction(DayCounter,Q254,R254,,,Trigger)</f>
        <v>0.25277777777777777</v>
      </c>
      <c r="T254" s="33">
        <f>_xll.qlIndexFixing(Index,P254,,AllTriggers)</f>
        <v>1.5539579109030273E-4</v>
      </c>
      <c r="U254" s="34">
        <f>_xll.qlYieldTSDiscount(OisCurve,Q254,,AllTriggers)</f>
        <v>1.0012227167693353</v>
      </c>
      <c r="V254" s="34">
        <f>_xll.qlYieldTSDiscount(OisCurve,R254,,AllTriggers)</f>
        <v>1.0015105212084829</v>
      </c>
      <c r="W254" s="33">
        <f t="shared" si="28"/>
        <v>-1.1368497763149259E-3</v>
      </c>
      <c r="X254" s="35">
        <f t="shared" si="29"/>
        <v>3.2669149018327228E-4</v>
      </c>
      <c r="Y254" s="33">
        <f t="shared" si="23"/>
        <v>1.2922455674052285E-3</v>
      </c>
      <c r="Z254" s="54"/>
    </row>
    <row r="255" spans="15:26" x14ac:dyDescent="0.25">
      <c r="O255" s="35" t="s">
        <v>30</v>
      </c>
      <c r="P255" s="31">
        <f>_xll.qlCalendarAdvance(Calendar,P254,O254,"f",,Trigger)</f>
        <v>42488</v>
      </c>
      <c r="Q255" s="31">
        <f>_xll.qlInterestRateIndexValueDate(Index,P255,Trigger)</f>
        <v>42492</v>
      </c>
      <c r="R255" s="31">
        <f>_xll.qlInterestRateIndexMaturity(Index,Q255,Trigger)</f>
        <v>42584</v>
      </c>
      <c r="S255" s="32">
        <f>_xll.qlDayCounterYearFraction(DayCounter,Q255,R255,,,Trigger)</f>
        <v>0.25555555555555554</v>
      </c>
      <c r="T255" s="33">
        <f>_xll.qlIndexFixing(Index,P255,,AllTriggers)</f>
        <v>1.6336704964727545E-4</v>
      </c>
      <c r="U255" s="34">
        <f>_xll.qlYieldTSDiscount(OisCurve,Q255,,AllTriggers)</f>
        <v>1.0012035224081339</v>
      </c>
      <c r="V255" s="34">
        <f>_xll.qlYieldTSDiscount(OisCurve,R255,,AllTriggers)</f>
        <v>1.0015229623851021</v>
      </c>
      <c r="W255" s="33">
        <f t="shared" si="28"/>
        <v>-1.2480817370318993E-3</v>
      </c>
      <c r="X255" s="35">
        <f t="shared" si="29"/>
        <v>3.6075358405421017E-4</v>
      </c>
      <c r="Y255" s="33">
        <f t="shared" si="23"/>
        <v>1.4114487866791748E-3</v>
      </c>
      <c r="Z255" s="54"/>
    </row>
    <row r="256" spans="15:26" x14ac:dyDescent="0.25">
      <c r="O256" s="35" t="s">
        <v>30</v>
      </c>
      <c r="P256" s="31">
        <f>_xll.qlCalendarAdvance(Calendar,P255,O255,"f",,Trigger)</f>
        <v>42489</v>
      </c>
      <c r="Q256" s="31">
        <f>_xll.qlInterestRateIndexValueDate(Index,P256,Trigger)</f>
        <v>42493</v>
      </c>
      <c r="R256" s="31">
        <f>_xll.qlInterestRateIndexMaturity(Index,Q256,Trigger)</f>
        <v>42585</v>
      </c>
      <c r="S256" s="32">
        <f>_xll.qlDayCounterYearFraction(DayCounter,Q256,R256,,,Trigger)</f>
        <v>0.25555555555555554</v>
      </c>
      <c r="T256" s="33">
        <f>_xll.qlIndexFixing(Index,P256,,AllTriggers)</f>
        <v>1.6564431467426112E-4</v>
      </c>
      <c r="U256" s="34">
        <f>_xll.qlYieldTSDiscount(OisCurve,Q256,,AllTriggers)</f>
        <v>1.0012094591627141</v>
      </c>
      <c r="V256" s="34">
        <f>_xll.qlYieldTSDiscount(OisCurve,R256,,AllTriggers)</f>
        <v>1.0015260531115864</v>
      </c>
      <c r="W256" s="33">
        <f t="shared" si="28"/>
        <v>-1.2369582229464157E-3</v>
      </c>
      <c r="X256" s="35">
        <f t="shared" si="29"/>
        <v>3.5849194856658228E-4</v>
      </c>
      <c r="Y256" s="33">
        <f t="shared" si="23"/>
        <v>1.4026025376206769E-3</v>
      </c>
      <c r="Z256" s="54"/>
    </row>
    <row r="257" spans="15:26" x14ac:dyDescent="0.25">
      <c r="O257" s="35" t="s">
        <v>30</v>
      </c>
      <c r="P257" s="31">
        <f>_xll.qlCalendarAdvance(Calendar,P256,O256,"f",,Trigger)</f>
        <v>42492</v>
      </c>
      <c r="Q257" s="31">
        <f>_xll.qlInterestRateIndexValueDate(Index,P257,Trigger)</f>
        <v>42494</v>
      </c>
      <c r="R257" s="31">
        <f>_xll.qlInterestRateIndexMaturity(Index,Q257,Trigger)</f>
        <v>42586</v>
      </c>
      <c r="S257" s="32">
        <f>_xll.qlDayCounterYearFraction(DayCounter,Q257,R257,,,Trigger)</f>
        <v>0.25555555555555554</v>
      </c>
      <c r="T257" s="33">
        <f>_xll.qlIndexFixing(Index,P257,,AllTriggers)</f>
        <v>1.6793572436755457E-4</v>
      </c>
      <c r="U257" s="34">
        <f>_xll.qlYieldTSDiscount(OisCurve,Q257,,AllTriggers)</f>
        <v>1.0012154885686846</v>
      </c>
      <c r="V257" s="34">
        <f>_xll.qlYieldTSDiscount(OisCurve,R257,,AllTriggers)</f>
        <v>1.0015291349888276</v>
      </c>
      <c r="W257" s="33">
        <f t="shared" si="28"/>
        <v>-1.2254382183639757E-3</v>
      </c>
      <c r="X257" s="35">
        <f t="shared" si="29"/>
        <v>3.5613257832310192E-4</v>
      </c>
      <c r="Y257" s="33">
        <f t="shared" si="23"/>
        <v>1.3933739427315303E-3</v>
      </c>
      <c r="Z257" s="54"/>
    </row>
    <row r="258" spans="15:26" x14ac:dyDescent="0.25">
      <c r="O258" s="35" t="s">
        <v>30</v>
      </c>
      <c r="P258" s="31">
        <f>_xll.qlCalendarAdvance(Calendar,P257,O257,"f",,Trigger)</f>
        <v>42493</v>
      </c>
      <c r="Q258" s="31">
        <f>_xll.qlInterestRateIndexValueDate(Index,P258,Trigger)</f>
        <v>42495</v>
      </c>
      <c r="R258" s="31">
        <f>_xll.qlInterestRateIndexMaturity(Index,Q258,Trigger)</f>
        <v>42587</v>
      </c>
      <c r="S258" s="32">
        <f>_xll.qlDayCounterYearFraction(DayCounter,Q258,R258,,,Trigger)</f>
        <v>0.25555555555555554</v>
      </c>
      <c r="T258" s="33">
        <f>_xll.qlIndexFixing(Index,P258,,AllTriggers)</f>
        <v>1.7024113167608885E-4</v>
      </c>
      <c r="U258" s="34">
        <f>_xll.qlYieldTSDiscount(OisCurve,Q258,,AllTriggers)</f>
        <v>1.0012215601422085</v>
      </c>
      <c r="V258" s="34">
        <f>_xll.qlYieldTSDiscount(OisCurve,R258,,AllTriggers)</f>
        <v>1.0015322075057278</v>
      </c>
      <c r="W258" s="33">
        <f t="shared" si="28"/>
        <v>-1.2137169736013639E-3</v>
      </c>
      <c r="X258" s="35">
        <f t="shared" si="29"/>
        <v>3.537253494180295E-4</v>
      </c>
      <c r="Y258" s="33">
        <f t="shared" si="23"/>
        <v>1.3839581052774528E-3</v>
      </c>
      <c r="Z258" s="54"/>
    </row>
    <row r="259" spans="15:26" x14ac:dyDescent="0.25">
      <c r="O259" s="37" t="s">
        <v>31</v>
      </c>
      <c r="P259" s="31">
        <f>_xll.qlCalendarAdvance(Calendar,P258,O258,"f",,Trigger)</f>
        <v>42494</v>
      </c>
      <c r="Q259" s="31">
        <f>_xll.qlInterestRateIndexValueDate(Index,P259,Trigger)</f>
        <v>42496</v>
      </c>
      <c r="R259" s="31">
        <f>_xll.qlInterestRateIndexMaturity(Index,Q259,Trigger)</f>
        <v>42590</v>
      </c>
      <c r="S259" s="32">
        <f>_xll.qlDayCounterYearFraction(DayCounter,Q259,R259,,,Trigger)</f>
        <v>0.26111111111111113</v>
      </c>
      <c r="T259" s="33">
        <f>_xll.qlIndexFixing(Index,P259,,AllTriggers)</f>
        <v>1.7509703387463588E-4</v>
      </c>
      <c r="U259" s="34">
        <f>_xll.qlYieldTSDiscount(OisCurve,Q259,,AllTriggers)</f>
        <v>1.0012276233982369</v>
      </c>
      <c r="V259" s="34">
        <f>_xll.qlYieldTSDiscount(OisCurve,R259,,AllTriggers)</f>
        <v>1.0015413637833122</v>
      </c>
      <c r="W259" s="33">
        <f t="shared" ref="W259" si="30">(U259/V259-1)/S259</f>
        <v>-1.1997097324327789E-3</v>
      </c>
      <c r="X259" s="35">
        <f t="shared" ref="X259" si="31">LN((1+T259*S259)/(1+W259*S259))</f>
        <v>3.5902535258901561E-4</v>
      </c>
      <c r="Y259" s="33">
        <f t="shared" si="23"/>
        <v>1.3748067663074148E-3</v>
      </c>
      <c r="Z259" s="54"/>
    </row>
    <row r="260" spans="15:26" x14ac:dyDescent="0.25">
      <c r="O260" s="37" t="s">
        <v>31</v>
      </c>
      <c r="P260" s="31">
        <f>_xll.qlCalendarAdvance(Calendar,P259,O259,"f",,Trigger)</f>
        <v>42501</v>
      </c>
      <c r="Q260" s="31">
        <f>_xll.qlInterestRateIndexValueDate(Index,P260,Trigger)</f>
        <v>42503</v>
      </c>
      <c r="R260" s="31">
        <f>_xll.qlInterestRateIndexMaturity(Index,Q260,Trigger)</f>
        <v>42597</v>
      </c>
      <c r="S260" s="32">
        <f>_xll.qlDayCounterYearFraction(DayCounter,Q260,R260,,,Trigger)</f>
        <v>0.26111111111111113</v>
      </c>
      <c r="T260" s="33">
        <f>_xll.qlIndexFixing(Index,P260,,AllTriggers)</f>
        <v>1.9177648152236617E-4</v>
      </c>
      <c r="U260" s="34">
        <f>_xll.qlYieldTSDiscount(OisCurve,Q260,,AllTriggers)</f>
        <v>1.0012662126441496</v>
      </c>
      <c r="V260" s="34">
        <f>_xll.qlYieldTSDiscount(OisCurve,R260,,AllTriggers)</f>
        <v>1.0015623423791657</v>
      </c>
      <c r="W260" s="33">
        <f t="shared" ref="W260:W323" si="32">(U260/V260-1)/S260</f>
        <v>-1.1323447685656119E-3</v>
      </c>
      <c r="X260" s="35">
        <f t="shared" ref="X260:X323" si="33">LN((1+T260*S260)/(1+W260*S260))</f>
        <v>3.457852354885593E-4</v>
      </c>
      <c r="Y260" s="33">
        <f t="shared" ref="Y260:Y323" si="34">T260-W260</f>
        <v>1.324121250087978E-3</v>
      </c>
      <c r="Z260" s="54"/>
    </row>
    <row r="261" spans="15:26" x14ac:dyDescent="0.25">
      <c r="O261" s="37" t="s">
        <v>31</v>
      </c>
      <c r="P261" s="31">
        <f>_xll.qlCalendarAdvance(Calendar,P260,O260,"f",,Trigger)</f>
        <v>42508</v>
      </c>
      <c r="Q261" s="31">
        <f>_xll.qlInterestRateIndexValueDate(Index,P261,Trigger)</f>
        <v>42510</v>
      </c>
      <c r="R261" s="31">
        <f>_xll.qlInterestRateIndexMaturity(Index,Q261,Trigger)</f>
        <v>42604</v>
      </c>
      <c r="S261" s="32">
        <f>_xll.qlDayCounterYearFraction(DayCounter,Q261,R261,,,Trigger)</f>
        <v>0.26111111111111113</v>
      </c>
      <c r="T261" s="33">
        <f>_xll.qlIndexFixing(Index,P261,,AllTriggers)</f>
        <v>2.090717525283615E-4</v>
      </c>
      <c r="U261" s="34">
        <f>_xll.qlYieldTSDiscount(OisCurve,Q261,,AllTriggers)</f>
        <v>1.0012962628592148</v>
      </c>
      <c r="V261" s="34">
        <f>_xll.qlYieldTSDiscount(OisCurve,R261,,AllTriggers)</f>
        <v>1.0015828086365308</v>
      </c>
      <c r="W261" s="33">
        <f t="shared" si="32"/>
        <v>-1.0956751158972165E-3</v>
      </c>
      <c r="X261" s="35">
        <f t="shared" si="33"/>
        <v>3.4072334689560807E-4</v>
      </c>
      <c r="Y261" s="33">
        <f t="shared" si="34"/>
        <v>1.3047468684255781E-3</v>
      </c>
      <c r="Z261" s="54"/>
    </row>
    <row r="262" spans="15:26" x14ac:dyDescent="0.25">
      <c r="O262" s="37" t="s">
        <v>31</v>
      </c>
      <c r="P262" s="31">
        <f>_xll.qlCalendarAdvance(Calendar,P261,O261,"f",,Trigger)</f>
        <v>42515</v>
      </c>
      <c r="Q262" s="31">
        <f>_xll.qlInterestRateIndexValueDate(Index,P262,Trigger)</f>
        <v>42517</v>
      </c>
      <c r="R262" s="31">
        <f>_xll.qlInterestRateIndexMaturity(Index,Q262,Trigger)</f>
        <v>42611</v>
      </c>
      <c r="S262" s="32">
        <f>_xll.qlDayCounterYearFraction(DayCounter,Q262,R262,,,Trigger)</f>
        <v>0.26111111111111113</v>
      </c>
      <c r="T262" s="33">
        <f>_xll.qlIndexFixing(Index,P262,,AllTriggers)</f>
        <v>2.2693348101527852E-4</v>
      </c>
      <c r="U262" s="34">
        <f>_xll.qlYieldTSDiscount(OisCurve,Q262,,AllTriggers)</f>
        <v>1.0013201420315094</v>
      </c>
      <c r="V262" s="34">
        <f>_xll.qlYieldTSDiscount(OisCurve,R262,,AllTriggers)</f>
        <v>1.0016028090559759</v>
      </c>
      <c r="W262" s="33">
        <f t="shared" si="32"/>
        <v>-1.0808222101599736E-3</v>
      </c>
      <c r="X262" s="35">
        <f t="shared" si="33"/>
        <v>3.4150761614421124E-4</v>
      </c>
      <c r="Y262" s="33">
        <f t="shared" si="34"/>
        <v>1.3077556911752521E-3</v>
      </c>
      <c r="Z262" s="54"/>
    </row>
    <row r="263" spans="15:26" x14ac:dyDescent="0.25">
      <c r="O263" s="37" t="s">
        <v>31</v>
      </c>
      <c r="P263" s="31">
        <f>_xll.qlCalendarAdvance(Calendar,P262,O262,"f",,Trigger)</f>
        <v>42522</v>
      </c>
      <c r="Q263" s="31">
        <f>_xll.qlInterestRateIndexValueDate(Index,P263,Trigger)</f>
        <v>42524</v>
      </c>
      <c r="R263" s="31">
        <f>_xll.qlInterestRateIndexMaturity(Index,Q263,Trigger)</f>
        <v>42618</v>
      </c>
      <c r="S263" s="32">
        <f>_xll.qlDayCounterYearFraction(DayCounter,Q263,R263,,,Trigger)</f>
        <v>0.26111111111111113</v>
      </c>
      <c r="T263" s="33">
        <f>_xll.qlIndexFixing(Index,P263,,AllTriggers)</f>
        <v>2.4531230045097841E-4</v>
      </c>
      <c r="U263" s="34">
        <f>_xll.qlYieldTSDiscount(OisCurve,Q263,,AllTriggers)</f>
        <v>1.001340480247042</v>
      </c>
      <c r="V263" s="34">
        <f>_xll.qlYieldTSDiscount(OisCurve,R263,,AllTriggers)</f>
        <v>1.0016223901424826</v>
      </c>
      <c r="W263" s="33">
        <f t="shared" si="32"/>
        <v>-1.077906134421222E-3</v>
      </c>
      <c r="X263" s="35">
        <f t="shared" si="33"/>
        <v>3.4554459982184458E-4</v>
      </c>
      <c r="Y263" s="33">
        <f t="shared" si="34"/>
        <v>1.3232184348722005E-3</v>
      </c>
      <c r="Z263" s="54"/>
    </row>
    <row r="264" spans="15:26" x14ac:dyDescent="0.25">
      <c r="O264" s="37" t="s">
        <v>31</v>
      </c>
      <c r="P264" s="31">
        <f>_xll.qlCalendarAdvance(Calendar,P263,O263,"f",,Trigger)</f>
        <v>42529</v>
      </c>
      <c r="Q264" s="31">
        <f>_xll.qlInterestRateIndexValueDate(Index,P264,Trigger)</f>
        <v>42531</v>
      </c>
      <c r="R264" s="31">
        <f>_xll.qlInterestRateIndexMaturity(Index,Q264,Trigger)</f>
        <v>42625</v>
      </c>
      <c r="S264" s="32">
        <f>_xll.qlDayCounterYearFraction(DayCounter,Q264,R264,,,Trigger)</f>
        <v>0.26111111111111113</v>
      </c>
      <c r="T264" s="33">
        <f>_xll.qlIndexFixing(Index,P264,,AllTriggers)</f>
        <v>2.6415884358134677E-4</v>
      </c>
      <c r="U264" s="34">
        <f>_xll.qlYieldTSDiscount(OisCurve,Q264,,AllTriggers)</f>
        <v>1.0013598969615976</v>
      </c>
      <c r="V264" s="34">
        <f>_xll.qlYieldTSDiscount(OisCurve,R264,,AllTriggers)</f>
        <v>1.0016415984052383</v>
      </c>
      <c r="W264" s="33">
        <f t="shared" si="32"/>
        <v>-1.0770884459914897E-3</v>
      </c>
      <c r="X264" s="35">
        <f t="shared" si="33"/>
        <v>3.5025174672033595E-4</v>
      </c>
      <c r="Y264" s="33">
        <f t="shared" si="34"/>
        <v>1.3412472895728365E-3</v>
      </c>
      <c r="Z264" s="54"/>
    </row>
    <row r="265" spans="15:26" x14ac:dyDescent="0.25">
      <c r="O265" s="37" t="s">
        <v>31</v>
      </c>
      <c r="P265" s="31">
        <f>_xll.qlCalendarAdvance(Calendar,P264,O264,"f",,Trigger)</f>
        <v>42536</v>
      </c>
      <c r="Q265" s="31">
        <f>_xll.qlInterestRateIndexValueDate(Index,P265,Trigger)</f>
        <v>42538</v>
      </c>
      <c r="R265" s="31">
        <f>_xll.qlInterestRateIndexMaturity(Index,Q265,Trigger)</f>
        <v>42632</v>
      </c>
      <c r="S265" s="32">
        <f>_xll.qlDayCounterYearFraction(DayCounter,Q265,R265,,,Trigger)</f>
        <v>0.26111111111111113</v>
      </c>
      <c r="T265" s="33">
        <f>_xll.qlIndexFixing(Index,P265,,AllTriggers)</f>
        <v>2.8342341337181089E-4</v>
      </c>
      <c r="U265" s="34">
        <f>_xll.qlYieldTSDiscount(OisCurve,Q265,,AllTriggers)</f>
        <v>1.0013800615548112</v>
      </c>
      <c r="V265" s="34">
        <f>_xll.qlYieldTSDiscount(OisCurve,R265,,AllTriggers)</f>
        <v>1.0016604803574534</v>
      </c>
      <c r="W265" s="33">
        <f t="shared" si="32"/>
        <v>-1.0721640432106226E-3</v>
      </c>
      <c r="X265" s="35">
        <f t="shared" si="33"/>
        <v>3.5399540318224493E-4</v>
      </c>
      <c r="Y265" s="33">
        <f t="shared" si="34"/>
        <v>1.3555874565824334E-3</v>
      </c>
      <c r="Z265" s="54"/>
    </row>
    <row r="266" spans="15:26" x14ac:dyDescent="0.25">
      <c r="O266" s="37" t="s">
        <v>31</v>
      </c>
      <c r="P266" s="31">
        <f>_xll.qlCalendarAdvance(Calendar,P265,O265,"f",,Trigger)</f>
        <v>42543</v>
      </c>
      <c r="Q266" s="31">
        <f>_xll.qlInterestRateIndexValueDate(Index,P266,Trigger)</f>
        <v>42545</v>
      </c>
      <c r="R266" s="31">
        <f>_xll.qlInterestRateIndexMaturity(Index,Q266,Trigger)</f>
        <v>42639</v>
      </c>
      <c r="S266" s="32">
        <f>_xll.qlDayCounterYearFraction(DayCounter,Q266,R266,,,Trigger)</f>
        <v>0.26111111111111113</v>
      </c>
      <c r="T266" s="33">
        <f>_xll.qlIndexFixing(Index,P266,,AllTriggers)</f>
        <v>3.0306257076916527E-4</v>
      </c>
      <c r="U266" s="34">
        <f>_xll.qlYieldTSDiscount(OisCurve,Q266,,AllTriggers)</f>
        <v>1.0014009692453807</v>
      </c>
      <c r="V266" s="34">
        <f>_xll.qlYieldTSDiscount(OisCurve,R266,,AllTriggers)</f>
        <v>1.0016790825161987</v>
      </c>
      <c r="W266" s="33">
        <f t="shared" si="32"/>
        <v>-1.0633292366664057E-3</v>
      </c>
      <c r="X266" s="35">
        <f t="shared" si="33"/>
        <v>3.5681550328760378E-4</v>
      </c>
      <c r="Y266" s="33">
        <f t="shared" si="34"/>
        <v>1.3663918074355709E-3</v>
      </c>
      <c r="Z266" s="54"/>
    </row>
    <row r="267" spans="15:26" x14ac:dyDescent="0.25">
      <c r="O267" s="37" t="s">
        <v>31</v>
      </c>
      <c r="P267" s="31">
        <f>_xll.qlCalendarAdvance(Calendar,P266,O266,"f",,Trigger)</f>
        <v>42550</v>
      </c>
      <c r="Q267" s="31">
        <f>_xll.qlInterestRateIndexValueDate(Index,P267,Trigger)</f>
        <v>42552</v>
      </c>
      <c r="R267" s="31">
        <f>_xll.qlInterestRateIndexMaturity(Index,Q267,Trigger)</f>
        <v>42646</v>
      </c>
      <c r="S267" s="32">
        <f>_xll.qlDayCounterYearFraction(DayCounter,Q267,R267,,,Trigger)</f>
        <v>0.26111111111111113</v>
      </c>
      <c r="T267" s="33">
        <f>_xll.qlIndexFixing(Index,P267,,AllTriggers)</f>
        <v>3.2305993749850341E-4</v>
      </c>
      <c r="U267" s="34">
        <f>_xll.qlYieldTSDiscount(OisCurve,Q267,,AllTriggers)</f>
        <v>1.0014224448204421</v>
      </c>
      <c r="V267" s="34">
        <f>_xll.qlYieldTSDiscount(OisCurve,R267,,AllTriggers)</f>
        <v>1.0016974514022641</v>
      </c>
      <c r="W267" s="33">
        <f t="shared" si="32"/>
        <v>-1.0514319417159153E-3</v>
      </c>
      <c r="X267" s="35">
        <f t="shared" si="33"/>
        <v>3.5892923731005878E-4</v>
      </c>
      <c r="Y267" s="33">
        <f t="shared" si="34"/>
        <v>1.3744918792144188E-3</v>
      </c>
      <c r="Z267" s="54"/>
    </row>
    <row r="268" spans="15:26" x14ac:dyDescent="0.25">
      <c r="O268" s="37" t="s">
        <v>31</v>
      </c>
      <c r="P268" s="31">
        <f>_xll.qlCalendarAdvance(Calendar,P267,O267,"f",,Trigger)</f>
        <v>42557</v>
      </c>
      <c r="Q268" s="31">
        <f>_xll.qlInterestRateIndexValueDate(Index,P268,Trigger)</f>
        <v>42559</v>
      </c>
      <c r="R268" s="31">
        <f>_xll.qlInterestRateIndexMaturity(Index,Q268,Trigger)</f>
        <v>42653</v>
      </c>
      <c r="S268" s="32">
        <f>_xll.qlDayCounterYearFraction(DayCounter,Q268,R268,,,Trigger)</f>
        <v>0.26111111111111113</v>
      </c>
      <c r="T268" s="33">
        <f>_xll.qlIndexFixing(Index,P268,,AllTriggers)</f>
        <v>3.4340416842222989E-4</v>
      </c>
      <c r="U268" s="34">
        <f>_xll.qlYieldTSDiscount(OisCurve,Q268,,AllTriggers)</f>
        <v>1.0014443130532931</v>
      </c>
      <c r="V268" s="34">
        <f>_xll.qlYieldTSDiscount(OisCurve,R268,,AllTriggers)</f>
        <v>1.0017156335400401</v>
      </c>
      <c r="W268" s="33">
        <f t="shared" si="32"/>
        <v>-1.0373200753651219E-3</v>
      </c>
      <c r="X268" s="35">
        <f t="shared" si="33"/>
        <v>3.6055510967654723E-4</v>
      </c>
      <c r="Y268" s="33">
        <f t="shared" si="34"/>
        <v>1.3807242437873517E-3</v>
      </c>
      <c r="Z268" s="54"/>
    </row>
    <row r="269" spans="15:26" x14ac:dyDescent="0.25">
      <c r="O269" s="37" t="s">
        <v>31</v>
      </c>
      <c r="P269" s="31">
        <f>_xll.qlCalendarAdvance(Calendar,P268,O268,"f",,Trigger)</f>
        <v>42564</v>
      </c>
      <c r="Q269" s="31">
        <f>_xll.qlInterestRateIndexValueDate(Index,P269,Trigger)</f>
        <v>42566</v>
      </c>
      <c r="R269" s="31">
        <f>_xll.qlInterestRateIndexMaturity(Index,Q269,Trigger)</f>
        <v>42660</v>
      </c>
      <c r="S269" s="32">
        <f>_xll.qlDayCounterYearFraction(DayCounter,Q269,R269,,,Trigger)</f>
        <v>0.26111111111111113</v>
      </c>
      <c r="T269" s="33">
        <f>_xll.qlIndexFixing(Index,P269,,AllTriggers)</f>
        <v>3.6408391825648351E-4</v>
      </c>
      <c r="U269" s="34">
        <f>_xll.qlYieldTSDiscount(OisCurve,Q269,,AllTriggers)</f>
        <v>1.0014663987025521</v>
      </c>
      <c r="V269" s="34">
        <f>_xll.qlYieldTSDiscount(OisCurve,R269,,AllTriggers)</f>
        <v>1.0017336754574195</v>
      </c>
      <c r="W269" s="33">
        <f t="shared" si="32"/>
        <v>-1.0218415621101736E-3</v>
      </c>
      <c r="X269" s="35">
        <f t="shared" si="33"/>
        <v>3.6191162481367381E-4</v>
      </c>
      <c r="Y269" s="33">
        <f t="shared" si="34"/>
        <v>1.3859254803666571E-3</v>
      </c>
      <c r="Z269" s="54"/>
    </row>
    <row r="270" spans="15:26" x14ac:dyDescent="0.25">
      <c r="O270" s="37" t="s">
        <v>31</v>
      </c>
      <c r="P270" s="31">
        <f>_xll.qlCalendarAdvance(Calendar,P269,O269,"f",,Trigger)</f>
        <v>42571</v>
      </c>
      <c r="Q270" s="31">
        <f>_xll.qlInterestRateIndexValueDate(Index,P270,Trigger)</f>
        <v>42573</v>
      </c>
      <c r="R270" s="31">
        <f>_xll.qlInterestRateIndexMaturity(Index,Q270,Trigger)</f>
        <v>42667</v>
      </c>
      <c r="S270" s="32">
        <f>_xll.qlDayCounterYearFraction(DayCounter,Q270,R270,,,Trigger)</f>
        <v>0.26111111111111113</v>
      </c>
      <c r="T270" s="33">
        <f>_xll.qlIndexFixing(Index,P270,,AllTriggers)</f>
        <v>3.8508784156433384E-4</v>
      </c>
      <c r="U270" s="34">
        <f>_xll.qlYieldTSDiscount(OisCurve,Q270,,AllTriggers)</f>
        <v>1.0014885265116265</v>
      </c>
      <c r="V270" s="34">
        <f>_xll.qlYieldTSDiscount(OisCurve,R270,,AllTriggers)</f>
        <v>1.0017516236857222</v>
      </c>
      <c r="W270" s="33">
        <f t="shared" si="32"/>
        <v>-1.0058443378984849E-3</v>
      </c>
      <c r="X270" s="35">
        <f t="shared" si="33"/>
        <v>3.6321728714727139E-4</v>
      </c>
      <c r="Y270" s="33">
        <f t="shared" si="34"/>
        <v>1.3909321794628188E-3</v>
      </c>
      <c r="Z270" s="54"/>
    </row>
    <row r="271" spans="15:26" x14ac:dyDescent="0.25">
      <c r="O271" s="37" t="s">
        <v>31</v>
      </c>
      <c r="P271" s="31">
        <f>_xll.qlCalendarAdvance(Calendar,P270,O270,"f",,Trigger)</f>
        <v>42578</v>
      </c>
      <c r="Q271" s="31">
        <f>_xll.qlInterestRateIndexValueDate(Index,P271,Trigger)</f>
        <v>42580</v>
      </c>
      <c r="R271" s="31">
        <f>_xll.qlInterestRateIndexMaturity(Index,Q271,Trigger)</f>
        <v>42674</v>
      </c>
      <c r="S271" s="32">
        <f>_xll.qlDayCounterYearFraction(DayCounter,Q271,R271,,,Trigger)</f>
        <v>0.26111111111111113</v>
      </c>
      <c r="T271" s="33">
        <f>_xll.qlIndexFixing(Index,P271,,AllTriggers)</f>
        <v>4.0640459274217535E-4</v>
      </c>
      <c r="U271" s="34">
        <f>_xll.qlYieldTSDiscount(OisCurve,Q271,,AllTriggers)</f>
        <v>1.0015105212084829</v>
      </c>
      <c r="V271" s="34">
        <f>_xll.qlYieldTSDiscount(OisCurve,R271,,AllTriggers)</f>
        <v>1.0017695247596412</v>
      </c>
      <c r="W271" s="33">
        <f t="shared" si="32"/>
        <v>-9.9017635222578147E-4</v>
      </c>
      <c r="X271" s="35">
        <f t="shared" si="33"/>
        <v>3.6469060110396975E-4</v>
      </c>
      <c r="Y271" s="33">
        <f t="shared" si="34"/>
        <v>1.3965809449679569E-3</v>
      </c>
      <c r="Z271" s="54"/>
    </row>
    <row r="272" spans="15:26" x14ac:dyDescent="0.25">
      <c r="O272" s="37" t="s">
        <v>31</v>
      </c>
      <c r="P272" s="31">
        <f>_xll.qlCalendarAdvance(Calendar,P271,O271,"f",,Trigger)</f>
        <v>42585</v>
      </c>
      <c r="Q272" s="31">
        <f>_xll.qlInterestRateIndexValueDate(Index,P272,Trigger)</f>
        <v>42587</v>
      </c>
      <c r="R272" s="31">
        <f>_xll.qlInterestRateIndexMaturity(Index,Q272,Trigger)</f>
        <v>42681</v>
      </c>
      <c r="S272" s="32">
        <f>_xll.qlDayCounterYearFraction(DayCounter,Q272,R272,,,Trigger)</f>
        <v>0.26111111111111113</v>
      </c>
      <c r="T272" s="33">
        <f>_xll.qlIndexFixing(Index,P272,,AllTriggers)</f>
        <v>4.2802282601292425E-4</v>
      </c>
      <c r="U272" s="34">
        <f>_xll.qlYieldTSDiscount(OisCurve,Q272,,AllTriggers)</f>
        <v>1.0015322075057278</v>
      </c>
      <c r="V272" s="34">
        <f>_xll.qlYieldTSDiscount(OisCurve,R272,,AllTriggers)</f>
        <v>1.0017874252172079</v>
      </c>
      <c r="W272" s="33">
        <f t="shared" si="32"/>
        <v>-9.7568556833891641E-4</v>
      </c>
      <c r="X272" s="35">
        <f t="shared" si="33"/>
        <v>3.6655007111077091E-4</v>
      </c>
      <c r="Y272" s="33">
        <f t="shared" si="34"/>
        <v>1.4037083943518407E-3</v>
      </c>
      <c r="Z272" s="54"/>
    </row>
    <row r="273" spans="15:26" x14ac:dyDescent="0.25">
      <c r="O273" s="37" t="s">
        <v>31</v>
      </c>
      <c r="P273" s="31">
        <f>_xll.qlCalendarAdvance(Calendar,P272,O272,"f",,Trigger)</f>
        <v>42592</v>
      </c>
      <c r="Q273" s="31">
        <f>_xll.qlInterestRateIndexValueDate(Index,P273,Trigger)</f>
        <v>42594</v>
      </c>
      <c r="R273" s="31">
        <f>_xll.qlInterestRateIndexMaturity(Index,Q273,Trigger)</f>
        <v>42688</v>
      </c>
      <c r="S273" s="32">
        <f>_xll.qlDayCounterYearFraction(DayCounter,Q273,R273,,,Trigger)</f>
        <v>0.26111111111111113</v>
      </c>
      <c r="T273" s="33">
        <f>_xll.qlIndexFixing(Index,P273,,AllTriggers)</f>
        <v>4.4993119541666423E-4</v>
      </c>
      <c r="U273" s="34">
        <f>_xll.qlYieldTSDiscount(OisCurve,Q273,,AllTriggers)</f>
        <v>1.0015534169989384</v>
      </c>
      <c r="V273" s="34">
        <f>_xll.qlYieldTSDiscount(OisCurve,R273,,AllTriggers)</f>
        <v>1.0018053578088526</v>
      </c>
      <c r="W273" s="33">
        <f t="shared" si="32"/>
        <v>-9.631408836283283E-4</v>
      </c>
      <c r="X273" s="35">
        <f t="shared" si="33"/>
        <v>3.6899354827045559E-4</v>
      </c>
      <c r="Y273" s="33">
        <f t="shared" si="34"/>
        <v>1.4130720790449926E-3</v>
      </c>
      <c r="Z273" s="54"/>
    </row>
    <row r="274" spans="15:26" x14ac:dyDescent="0.25">
      <c r="O274" s="37" t="s">
        <v>31</v>
      </c>
      <c r="P274" s="31">
        <f>_xll.qlCalendarAdvance(Calendar,P273,O273,"f",,Trigger)</f>
        <v>42599</v>
      </c>
      <c r="Q274" s="31">
        <f>_xll.qlInterestRateIndexValueDate(Index,P274,Trigger)</f>
        <v>42601</v>
      </c>
      <c r="R274" s="31">
        <f>_xll.qlInterestRateIndexMaturity(Index,Q274,Trigger)</f>
        <v>42695</v>
      </c>
      <c r="S274" s="32">
        <f>_xll.qlDayCounterYearFraction(DayCounter,Q274,R274,,,Trigger)</f>
        <v>0.26111111111111113</v>
      </c>
      <c r="T274" s="33">
        <f>_xll.qlIndexFixing(Index,P274,,AllTriggers)</f>
        <v>4.7211835480044206E-4</v>
      </c>
      <c r="U274" s="34">
        <f>_xll.qlYieldTSDiscount(OisCurve,Q274,,AllTriggers)</f>
        <v>1.0015740971362594</v>
      </c>
      <c r="V274" s="34">
        <f>_xll.qlYieldTSDiscount(OisCurve,R274,,AllTriggers)</f>
        <v>1.0018232701779082</v>
      </c>
      <c r="W274" s="33">
        <f t="shared" si="32"/>
        <v>-9.5254299074548513E-4</v>
      </c>
      <c r="X274" s="35">
        <f t="shared" si="33"/>
        <v>3.7201824495026851E-4</v>
      </c>
      <c r="Y274" s="33">
        <f t="shared" si="34"/>
        <v>1.4246613455459272E-3</v>
      </c>
      <c r="Z274" s="54"/>
    </row>
    <row r="275" spans="15:26" x14ac:dyDescent="0.25">
      <c r="O275" s="37" t="s">
        <v>31</v>
      </c>
      <c r="P275" s="31">
        <f>_xll.qlCalendarAdvance(Calendar,P274,O274,"f",,Trigger)</f>
        <v>42606</v>
      </c>
      <c r="Q275" s="31">
        <f>_xll.qlInterestRateIndexValueDate(Index,P275,Trigger)</f>
        <v>42608</v>
      </c>
      <c r="R275" s="31">
        <f>_xll.qlInterestRateIndexMaturity(Index,Q275,Trigger)</f>
        <v>42702</v>
      </c>
      <c r="S275" s="32">
        <f>_xll.qlDayCounterYearFraction(DayCounter,Q275,R275,,,Trigger)</f>
        <v>0.26111111111111113</v>
      </c>
      <c r="T275" s="33">
        <f>_xll.qlIndexFixing(Index,P275,,AllTriggers)</f>
        <v>4.9457295781401526E-4</v>
      </c>
      <c r="U275" s="34">
        <f>_xll.qlYieldTSDiscount(OisCurve,Q275,,AllTriggers)</f>
        <v>1.0015942915062919</v>
      </c>
      <c r="V275" s="34">
        <f>_xll.qlYieldTSDiscount(OisCurve,R275,,AllTriggers)</f>
        <v>1.001841077528582</v>
      </c>
      <c r="W275" s="33">
        <f t="shared" si="32"/>
        <v>-9.4340108317198077E-4</v>
      </c>
      <c r="X275" s="35">
        <f t="shared" si="33"/>
        <v>3.7549300676809207E-4</v>
      </c>
      <c r="Y275" s="33">
        <f t="shared" si="34"/>
        <v>1.4379740409859961E-3</v>
      </c>
      <c r="Z275" s="54"/>
    </row>
    <row r="276" spans="15:26" x14ac:dyDescent="0.25">
      <c r="O276" s="37" t="s">
        <v>31</v>
      </c>
      <c r="P276" s="31">
        <f>_xll.qlCalendarAdvance(Calendar,P275,O275,"f",,Trigger)</f>
        <v>42613</v>
      </c>
      <c r="Q276" s="31">
        <f>_xll.qlInterestRateIndexValueDate(Index,P276,Trigger)</f>
        <v>42615</v>
      </c>
      <c r="R276" s="31">
        <f>_xll.qlInterestRateIndexMaturity(Index,Q276,Trigger)</f>
        <v>42706</v>
      </c>
      <c r="S276" s="32">
        <f>_xll.qlDayCounterYearFraction(DayCounter,Q276,R276,,,Trigger)</f>
        <v>0.25277777777777777</v>
      </c>
      <c r="T276" s="33">
        <f>_xll.qlIndexFixing(Index,P276,,AllTriggers)</f>
        <v>5.1228520358517803E-4</v>
      </c>
      <c r="U276" s="34">
        <f>_xll.qlYieldTSDiscount(OisCurve,Q276,,AllTriggers)</f>
        <v>1.0016140466121533</v>
      </c>
      <c r="V276" s="34">
        <f>_xll.qlYieldTSDiscount(OisCurve,R276,,AllTriggers)</f>
        <v>1.0018511733470057</v>
      </c>
      <c r="W276" s="33">
        <f t="shared" si="32"/>
        <v>-9.363504392526853E-4</v>
      </c>
      <c r="X276" s="35">
        <f t="shared" si="33"/>
        <v>3.6620253010456424E-4</v>
      </c>
      <c r="Y276" s="33">
        <f t="shared" si="34"/>
        <v>1.4486356428378634E-3</v>
      </c>
      <c r="Z276" s="54"/>
    </row>
    <row r="277" spans="15:26" x14ac:dyDescent="0.25">
      <c r="O277" s="37" t="s">
        <v>31</v>
      </c>
      <c r="P277" s="31">
        <f>_xll.qlCalendarAdvance(Calendar,P276,O276,"f",,Trigger)</f>
        <v>42620</v>
      </c>
      <c r="Q277" s="31">
        <f>_xll.qlInterestRateIndexValueDate(Index,P277,Trigger)</f>
        <v>42622</v>
      </c>
      <c r="R277" s="31">
        <f>_xll.qlInterestRateIndexMaturity(Index,Q277,Trigger)</f>
        <v>42713</v>
      </c>
      <c r="S277" s="32">
        <f>_xll.qlDayCounterYearFraction(DayCounter,Q277,R277,,,Trigger)</f>
        <v>0.25277777777777777</v>
      </c>
      <c r="T277" s="33">
        <f>_xll.qlIndexFixing(Index,P277,,AllTriggers)</f>
        <v>5.3519226360720202E-4</v>
      </c>
      <c r="U277" s="34">
        <f>_xll.qlYieldTSDiscount(OisCurve,Q277,,AllTriggers)</f>
        <v>1.0016334089612522</v>
      </c>
      <c r="V277" s="34">
        <f>_xll.qlYieldTSDiscount(OisCurve,R277,,AllTriggers)</f>
        <v>1.00186864420327</v>
      </c>
      <c r="W277" s="33">
        <f t="shared" si="32"/>
        <v>-9.2886523878927629E-4</v>
      </c>
      <c r="X277" s="35">
        <f t="shared" si="33"/>
        <v>3.7009962085496361E-4</v>
      </c>
      <c r="Y277" s="33">
        <f t="shared" si="34"/>
        <v>1.4640575023964783E-3</v>
      </c>
      <c r="Z277" s="54"/>
    </row>
    <row r="278" spans="15:26" x14ac:dyDescent="0.25">
      <c r="O278" s="37" t="s">
        <v>31</v>
      </c>
      <c r="P278" s="31">
        <f>_xll.qlCalendarAdvance(Calendar,P277,O277,"f",,Trigger)</f>
        <v>42627</v>
      </c>
      <c r="Q278" s="31">
        <f>_xll.qlInterestRateIndexValueDate(Index,P278,Trigger)</f>
        <v>42629</v>
      </c>
      <c r="R278" s="31">
        <f>_xll.qlInterestRateIndexMaturity(Index,Q278,Trigger)</f>
        <v>42720</v>
      </c>
      <c r="S278" s="32">
        <f>_xll.qlDayCounterYearFraction(DayCounter,Q278,R278,,,Trigger)</f>
        <v>0.25277777777777777</v>
      </c>
      <c r="T278" s="33">
        <f>_xll.qlIndexFixing(Index,P278,,AllTriggers)</f>
        <v>5.5833304702942001E-4</v>
      </c>
      <c r="U278" s="34">
        <f>_xll.qlYieldTSDiscount(OisCurve,Q278,,AllTriggers)</f>
        <v>1.0016524250650956</v>
      </c>
      <c r="V278" s="34">
        <f>_xll.qlYieldTSDiscount(OisCurve,R278,,AllTriggers)</f>
        <v>1.0018857918033777</v>
      </c>
      <c r="W278" s="33">
        <f t="shared" si="32"/>
        <v>-9.2147137136370323E-4</v>
      </c>
      <c r="X278" s="35">
        <f t="shared" si="33"/>
        <v>3.7407884575482004E-4</v>
      </c>
      <c r="Y278" s="33">
        <f t="shared" si="34"/>
        <v>1.4798044183931232E-3</v>
      </c>
      <c r="Z278" s="54"/>
    </row>
    <row r="279" spans="15:26" x14ac:dyDescent="0.25">
      <c r="O279" s="37" t="s">
        <v>31</v>
      </c>
      <c r="P279" s="31">
        <f>_xll.qlCalendarAdvance(Calendar,P278,O278,"f",,Trigger)</f>
        <v>42634</v>
      </c>
      <c r="Q279" s="31">
        <f>_xll.qlInterestRateIndexValueDate(Index,P279,Trigger)</f>
        <v>42636</v>
      </c>
      <c r="R279" s="31">
        <f>_xll.qlInterestRateIndexMaturity(Index,Q279,Trigger)</f>
        <v>42727</v>
      </c>
      <c r="S279" s="32">
        <f>_xll.qlDayCounterYearFraction(DayCounter,Q279,R279,,,Trigger)</f>
        <v>0.25277777777777777</v>
      </c>
      <c r="T279" s="33">
        <f>_xll.qlIndexFixing(Index,P279,,AllTriggers)</f>
        <v>5.8169904317044181E-4</v>
      </c>
      <c r="U279" s="34">
        <f>_xll.qlYieldTSDiscount(OisCurve,Q279,,AllTriggers)</f>
        <v>1.0016711414391186</v>
      </c>
      <c r="V279" s="34">
        <f>_xll.qlYieldTSDiscount(OisCurve,R279,,AllTriggers)</f>
        <v>1.0019025312669692</v>
      </c>
      <c r="W279" s="33">
        <f t="shared" si="32"/>
        <v>-9.1365008211008946E-4</v>
      </c>
      <c r="X279" s="35">
        <f t="shared" si="33"/>
        <v>3.7800689264122213E-4</v>
      </c>
      <c r="Y279" s="33">
        <f t="shared" si="34"/>
        <v>1.4953491252805312E-3</v>
      </c>
      <c r="Z279" s="54"/>
    </row>
    <row r="280" spans="15:26" x14ac:dyDescent="0.25">
      <c r="O280" s="37" t="s">
        <v>31</v>
      </c>
      <c r="P280" s="31">
        <f>_xll.qlCalendarAdvance(Calendar,P279,O279,"f",,Trigger)</f>
        <v>42641</v>
      </c>
      <c r="Q280" s="31">
        <f>_xll.qlInterestRateIndexValueDate(Index,P280,Trigger)</f>
        <v>42643</v>
      </c>
      <c r="R280" s="31">
        <f>_xll.qlInterestRateIndexMaturity(Index,Q280,Trigger)</f>
        <v>42734</v>
      </c>
      <c r="S280" s="32">
        <f>_xll.qlDayCounterYearFraction(DayCounter,Q280,R280,,,Trigger)</f>
        <v>0.25277777777777777</v>
      </c>
      <c r="T280" s="33">
        <f>_xll.qlIndexFixing(Index,P280,,AllTriggers)</f>
        <v>6.0531641233232383E-4</v>
      </c>
      <c r="U280" s="34">
        <f>_xll.qlYieldTSDiscount(OisCurve,Q280,,AllTriggers)</f>
        <v>1.001689604602533</v>
      </c>
      <c r="V280" s="34">
        <f>_xll.qlYieldTSDiscount(OisCurve,R280,,AllTriggers)</f>
        <v>1.0019187777084499</v>
      </c>
      <c r="W280" s="33">
        <f t="shared" si="32"/>
        <v>-9.0488261196591509E-4</v>
      </c>
      <c r="X280" s="35">
        <f t="shared" si="33"/>
        <v>3.8175921210633273E-4</v>
      </c>
      <c r="Y280" s="33">
        <f t="shared" si="34"/>
        <v>1.510199024298239E-3</v>
      </c>
      <c r="Z280" s="54"/>
    </row>
    <row r="281" spans="15:26" x14ac:dyDescent="0.25">
      <c r="O281" s="37" t="s">
        <v>31</v>
      </c>
      <c r="P281" s="31">
        <f>_xll.qlCalendarAdvance(Calendar,P280,O280,"f",,Trigger)</f>
        <v>42648</v>
      </c>
      <c r="Q281" s="31">
        <f>_xll.qlInterestRateIndexValueDate(Index,P281,Trigger)</f>
        <v>42650</v>
      </c>
      <c r="R281" s="31">
        <f>_xll.qlInterestRateIndexMaturity(Index,Q281,Trigger)</f>
        <v>42744</v>
      </c>
      <c r="S281" s="32">
        <f>_xll.qlDayCounterYearFraction(DayCounter,Q281,R281,,,Trigger)</f>
        <v>0.26111111111111113</v>
      </c>
      <c r="T281" s="33">
        <f>_xll.qlIndexFixing(Index,P281,,AllTriggers)</f>
        <v>6.3459815160717636E-4</v>
      </c>
      <c r="U281" s="34">
        <f>_xll.qlYieldTSDiscount(OisCurve,Q281,,AllTriggers)</f>
        <v>1.0017078610781993</v>
      </c>
      <c r="V281" s="34">
        <f>_xll.qlYieldTSDiscount(OisCurve,R281,,AllTriggers)</f>
        <v>1.0018897641880233</v>
      </c>
      <c r="W281" s="33">
        <f t="shared" si="32"/>
        <v>-6.9533618641309445E-4</v>
      </c>
      <c r="X281" s="35">
        <f t="shared" si="33"/>
        <v>3.4726338988533539E-4</v>
      </c>
      <c r="Y281" s="33">
        <f t="shared" si="34"/>
        <v>1.3299343380202707E-3</v>
      </c>
      <c r="Z281" s="54"/>
    </row>
    <row r="282" spans="15:26" x14ac:dyDescent="0.25">
      <c r="O282" s="37" t="s">
        <v>31</v>
      </c>
      <c r="P282" s="31">
        <f>_xll.qlCalendarAdvance(Calendar,P281,O281,"f",,Trigger)</f>
        <v>42655</v>
      </c>
      <c r="Q282" s="31">
        <f>_xll.qlInterestRateIndexValueDate(Index,P282,Trigger)</f>
        <v>42657</v>
      </c>
      <c r="R282" s="31">
        <f>_xll.qlInterestRateIndexMaturity(Index,Q282,Trigger)</f>
        <v>42751</v>
      </c>
      <c r="S282" s="32">
        <f>_xll.qlDayCounterYearFraction(DayCounter,Q282,R282,,,Trigger)</f>
        <v>0.26111111111111113</v>
      </c>
      <c r="T282" s="33">
        <f>_xll.qlIndexFixing(Index,P282,,AllTriggers)</f>
        <v>6.5908598143574724E-4</v>
      </c>
      <c r="U282" s="34">
        <f>_xll.qlYieldTSDiscount(OisCurve,Q282,,AllTriggers)</f>
        <v>1.0017259573925201</v>
      </c>
      <c r="V282" s="34">
        <f>_xll.qlYieldTSDiscount(OisCurve,R282,,AllTriggers)</f>
        <v>1.0019044591090789</v>
      </c>
      <c r="W282" s="33">
        <f t="shared" si="32"/>
        <v>-6.8232413691350895E-4</v>
      </c>
      <c r="X282" s="35">
        <f t="shared" si="33"/>
        <v>3.5025815267641783E-4</v>
      </c>
      <c r="Y282" s="33">
        <f t="shared" si="34"/>
        <v>1.3414101183492561E-3</v>
      </c>
      <c r="Z282" s="54"/>
    </row>
    <row r="283" spans="15:26" x14ac:dyDescent="0.25">
      <c r="O283" s="37" t="s">
        <v>31</v>
      </c>
      <c r="P283" s="31">
        <f>_xll.qlCalendarAdvance(Calendar,P282,O282,"f",,Trigger)</f>
        <v>42662</v>
      </c>
      <c r="Q283" s="31">
        <f>_xll.qlInterestRateIndexValueDate(Index,P283,Trigger)</f>
        <v>42664</v>
      </c>
      <c r="R283" s="31">
        <f>_xll.qlInterestRateIndexMaturity(Index,Q283,Trigger)</f>
        <v>42758</v>
      </c>
      <c r="S283" s="32">
        <f>_xll.qlDayCounterYearFraction(DayCounter,Q283,R283,,,Trigger)</f>
        <v>0.26111111111111113</v>
      </c>
      <c r="T283" s="33">
        <f>_xll.qlIndexFixing(Index,P283,,AllTriggers)</f>
        <v>6.8408498615396898E-4</v>
      </c>
      <c r="U283" s="34">
        <f>_xll.qlYieldTSDiscount(OisCurve,Q283,,AllTriggers)</f>
        <v>1.0017439400753545</v>
      </c>
      <c r="V283" s="34">
        <f>_xll.qlYieldTSDiscount(OisCurve,R283,,AllTriggers)</f>
        <v>1.0019183699778711</v>
      </c>
      <c r="W283" s="33">
        <f t="shared" si="32"/>
        <v>-6.6675034005840182E-4</v>
      </c>
      <c r="X283" s="35">
        <f t="shared" si="33"/>
        <v>3.5271731836545358E-4</v>
      </c>
      <c r="Y283" s="33">
        <f t="shared" si="34"/>
        <v>1.3508353262123708E-3</v>
      </c>
      <c r="Z283" s="54"/>
    </row>
    <row r="284" spans="15:26" x14ac:dyDescent="0.25">
      <c r="O284" s="37" t="s">
        <v>31</v>
      </c>
      <c r="P284" s="31">
        <f>_xll.qlCalendarAdvance(Calendar,P283,O283,"f",,Trigger)</f>
        <v>42669</v>
      </c>
      <c r="Q284" s="31">
        <f>_xll.qlInterestRateIndexValueDate(Index,P284,Trigger)</f>
        <v>42671</v>
      </c>
      <c r="R284" s="31">
        <f>_xll.qlInterestRateIndexMaturity(Index,Q284,Trigger)</f>
        <v>42765</v>
      </c>
      <c r="S284" s="32">
        <f>_xll.qlDayCounterYearFraction(DayCounter,Q284,R284,,,Trigger)</f>
        <v>0.26111111111111113</v>
      </c>
      <c r="T284" s="33">
        <f>_xll.qlIndexFixing(Index,P284,,AllTriggers)</f>
        <v>7.0967257350163426E-4</v>
      </c>
      <c r="U284" s="34">
        <f>_xll.qlYieldTSDiscount(OisCurve,Q284,,AllTriggers)</f>
        <v>1.0017618556599546</v>
      </c>
      <c r="V284" s="34">
        <f>_xll.qlYieldTSDiscount(OisCurve,R284,,AllTriggers)</f>
        <v>1.0019314118955382</v>
      </c>
      <c r="W284" s="33">
        <f t="shared" si="32"/>
        <v>-6.4811253423249597E-4</v>
      </c>
      <c r="X284" s="35">
        <f t="shared" si="33"/>
        <v>3.5452993248512874E-4</v>
      </c>
      <c r="Y284" s="33">
        <f t="shared" si="34"/>
        <v>1.3577851077341302E-3</v>
      </c>
      <c r="Z284" s="54"/>
    </row>
    <row r="285" spans="15:26" x14ac:dyDescent="0.25">
      <c r="O285" s="37" t="s">
        <v>31</v>
      </c>
      <c r="P285" s="31">
        <f>_xll.qlCalendarAdvance(Calendar,P284,O284,"f",,Trigger)</f>
        <v>42676</v>
      </c>
      <c r="Q285" s="31">
        <f>_xll.qlInterestRateIndexValueDate(Index,P285,Trigger)</f>
        <v>42678</v>
      </c>
      <c r="R285" s="31">
        <f>_xll.qlInterestRateIndexMaturity(Index,Q285,Trigger)</f>
        <v>42772</v>
      </c>
      <c r="S285" s="32">
        <f>_xll.qlDayCounterYearFraction(DayCounter,Q285,R285,,,Trigger)</f>
        <v>0.26111111111111113</v>
      </c>
      <c r="T285" s="33">
        <f>_xll.qlIndexFixing(Index,P285,,AllTriggers)</f>
        <v>7.3592615353668123E-4</v>
      </c>
      <c r="U285" s="34">
        <f>_xll.qlYieldTSDiscount(OisCurve,Q285,,AllTriggers)</f>
        <v>1.0017797506829242</v>
      </c>
      <c r="V285" s="34">
        <f>_xll.qlYieldTSDiscount(OisCurve,R285,,AllTriggers)</f>
        <v>1.0019434999609211</v>
      </c>
      <c r="W285" s="33">
        <f t="shared" si="32"/>
        <v>-6.2590844142469356E-4</v>
      </c>
      <c r="X285" s="35">
        <f t="shared" si="33"/>
        <v>3.5558504056821676E-4</v>
      </c>
      <c r="Y285" s="33">
        <f t="shared" si="34"/>
        <v>1.3618345949613748E-3</v>
      </c>
      <c r="Z285" s="54"/>
    </row>
    <row r="286" spans="15:26" x14ac:dyDescent="0.25">
      <c r="O286" s="37" t="s">
        <v>31</v>
      </c>
      <c r="P286" s="31">
        <f>_xll.qlCalendarAdvance(Calendar,P285,O285,"f",,Trigger)</f>
        <v>42683</v>
      </c>
      <c r="Q286" s="31">
        <f>_xll.qlInterestRateIndexValueDate(Index,P286,Trigger)</f>
        <v>42685</v>
      </c>
      <c r="R286" s="31">
        <f>_xll.qlInterestRateIndexMaturity(Index,Q286,Trigger)</f>
        <v>42779</v>
      </c>
      <c r="S286" s="32">
        <f>_xll.qlDayCounterYearFraction(DayCounter,Q286,R286,,,Trigger)</f>
        <v>0.26111111111111113</v>
      </c>
      <c r="T286" s="33">
        <f>_xll.qlIndexFixing(Index,P286,,AllTriggers)</f>
        <v>7.6292313876190072E-4</v>
      </c>
      <c r="U286" s="34">
        <f>_xll.qlYieldTSDiscount(OisCurve,Q286,,AllTriggers)</f>
        <v>1.0017976699603441</v>
      </c>
      <c r="V286" s="34">
        <f>_xll.qlYieldTSDiscount(OisCurve,R286,,AllTriggers)</f>
        <v>1.0019545539492156</v>
      </c>
      <c r="W286" s="33">
        <f t="shared" si="32"/>
        <v>-5.996602295359996E-4</v>
      </c>
      <c r="X286" s="35">
        <f t="shared" si="33"/>
        <v>3.5577807766364625E-4</v>
      </c>
      <c r="Y286" s="33">
        <f t="shared" si="34"/>
        <v>1.3625833682979003E-3</v>
      </c>
      <c r="Z286" s="54"/>
    </row>
    <row r="287" spans="15:26" x14ac:dyDescent="0.25">
      <c r="O287" s="37" t="s">
        <v>31</v>
      </c>
      <c r="P287" s="31">
        <f>_xll.qlCalendarAdvance(Calendar,P286,O286,"f",,Trigger)</f>
        <v>42690</v>
      </c>
      <c r="Q287" s="31">
        <f>_xll.qlInterestRateIndexValueDate(Index,P287,Trigger)</f>
        <v>42692</v>
      </c>
      <c r="R287" s="31">
        <f>_xll.qlInterestRateIndexMaturity(Index,Q287,Trigger)</f>
        <v>42786</v>
      </c>
      <c r="S287" s="32">
        <f>_xll.qlDayCounterYearFraction(DayCounter,Q287,R287,,,Trigger)</f>
        <v>0.26111111111111113</v>
      </c>
      <c r="T287" s="33">
        <f>_xll.qlIndexFixing(Index,P287,,AllTriggers)</f>
        <v>7.9074094426525004E-4</v>
      </c>
      <c r="U287" s="34">
        <f>_xll.qlYieldTSDiscount(OisCurve,Q287,,AllTriggers)</f>
        <v>1.0018156013594841</v>
      </c>
      <c r="V287" s="34">
        <f>_xll.qlYieldTSDiscount(OisCurve,R287,,AllTriggers)</f>
        <v>1.0019645576541163</v>
      </c>
      <c r="W287" s="33">
        <f t="shared" si="32"/>
        <v>-5.6935239001707589E-4</v>
      </c>
      <c r="X287" s="35">
        <f t="shared" si="33"/>
        <v>3.5512522109780106E-4</v>
      </c>
      <c r="Y287" s="33">
        <f t="shared" si="34"/>
        <v>1.3600933342823259E-3</v>
      </c>
      <c r="Z287" s="54"/>
    </row>
    <row r="288" spans="15:26" x14ac:dyDescent="0.25">
      <c r="O288" s="37" t="s">
        <v>31</v>
      </c>
      <c r="P288" s="31">
        <f>_xll.qlCalendarAdvance(Calendar,P287,O287,"f",,Trigger)</f>
        <v>42697</v>
      </c>
      <c r="Q288" s="31">
        <f>_xll.qlInterestRateIndexValueDate(Index,P288,Trigger)</f>
        <v>42699</v>
      </c>
      <c r="R288" s="31">
        <f>_xll.qlInterestRateIndexMaturity(Index,Q288,Trigger)</f>
        <v>42793</v>
      </c>
      <c r="S288" s="32">
        <f>_xll.qlDayCounterYearFraction(DayCounter,Q288,R288,,,Trigger)</f>
        <v>0.26111111111111113</v>
      </c>
      <c r="T288" s="33">
        <f>_xll.qlIndexFixing(Index,P288,,AllTriggers)</f>
        <v>8.1945698787887417E-4</v>
      </c>
      <c r="U288" s="34">
        <f>_xll.qlYieldTSDiscount(OisCurve,Q288,,AllTriggers)</f>
        <v>1.0018334641093996</v>
      </c>
      <c r="V288" s="34">
        <f>_xll.qlYieldTSDiscount(OisCurve,R288,,AllTriggers)</f>
        <v>1.0019735392703772</v>
      </c>
      <c r="W288" s="33">
        <f t="shared" si="32"/>
        <v>-5.3540142757609185E-4</v>
      </c>
      <c r="X288" s="35">
        <f t="shared" si="33"/>
        <v>3.537554709141713E-4</v>
      </c>
      <c r="Y288" s="33">
        <f t="shared" si="34"/>
        <v>1.354858415454966E-3</v>
      </c>
      <c r="Z288" s="54"/>
    </row>
    <row r="289" spans="15:26" x14ac:dyDescent="0.25">
      <c r="O289" s="37" t="s">
        <v>31</v>
      </c>
      <c r="P289" s="31">
        <f>_xll.qlCalendarAdvance(Calendar,P288,O288,"f",,Trigger)</f>
        <v>42704</v>
      </c>
      <c r="Q289" s="31">
        <f>_xll.qlInterestRateIndexValueDate(Index,P289,Trigger)</f>
        <v>42706</v>
      </c>
      <c r="R289" s="31">
        <f>_xll.qlInterestRateIndexMaturity(Index,Q289,Trigger)</f>
        <v>42796</v>
      </c>
      <c r="S289" s="32">
        <f>_xll.qlDayCounterYearFraction(DayCounter,Q289,R289,,,Trigger)</f>
        <v>0.25</v>
      </c>
      <c r="T289" s="33">
        <f>_xll.qlIndexFixing(Index,P289,,AllTriggers)</f>
        <v>8.3984582575347133E-4</v>
      </c>
      <c r="U289" s="34">
        <f>_xll.qlYieldTSDiscount(OisCurve,Q289,,AllTriggers)</f>
        <v>1.0018511733470057</v>
      </c>
      <c r="V289" s="34">
        <f>_xll.qlYieldTSDiscount(OisCurve,R289,,AllTriggers)</f>
        <v>1.0019770828366839</v>
      </c>
      <c r="W289" s="33">
        <f t="shared" si="32"/>
        <v>-5.0264418951240231E-4</v>
      </c>
      <c r="X289" s="35">
        <f t="shared" si="33"/>
        <v>3.3560836100559124E-4</v>
      </c>
      <c r="Y289" s="33">
        <f t="shared" si="34"/>
        <v>1.3424900152658736E-3</v>
      </c>
      <c r="Z289" s="54"/>
    </row>
    <row r="290" spans="15:26" x14ac:dyDescent="0.25">
      <c r="O290" s="37" t="s">
        <v>31</v>
      </c>
      <c r="P290" s="31">
        <f>_xll.qlCalendarAdvance(Calendar,P289,O289,"f",,Trigger)</f>
        <v>42711</v>
      </c>
      <c r="Q290" s="31">
        <f>_xll.qlInterestRateIndexValueDate(Index,P290,Trigger)</f>
        <v>42713</v>
      </c>
      <c r="R290" s="31">
        <f>_xll.qlInterestRateIndexMaturity(Index,Q290,Trigger)</f>
        <v>42803</v>
      </c>
      <c r="S290" s="32">
        <f>_xll.qlDayCounterYearFraction(DayCounter,Q290,R290,,,Trigger)</f>
        <v>0.25</v>
      </c>
      <c r="T290" s="33">
        <f>_xll.qlIndexFixing(Index,P290,,AllTriggers)</f>
        <v>8.7023798474028524E-4</v>
      </c>
      <c r="U290" s="34">
        <f>_xll.qlYieldTSDiscount(OisCurve,Q290,,AllTriggers)</f>
        <v>1.00186864420327</v>
      </c>
      <c r="V290" s="34">
        <f>_xll.qlYieldTSDiscount(OisCurve,R290,,AllTriggers)</f>
        <v>1.001984654633606</v>
      </c>
      <c r="W290" s="33">
        <f t="shared" si="32"/>
        <v>-4.6312258296365982E-4</v>
      </c>
      <c r="X290" s="35">
        <f t="shared" si="33"/>
        <v>3.3332318238705626E-4</v>
      </c>
      <c r="Y290" s="33">
        <f t="shared" si="34"/>
        <v>1.3333605677039451E-3</v>
      </c>
      <c r="Z290" s="54"/>
    </row>
    <row r="291" spans="15:26" x14ac:dyDescent="0.25">
      <c r="O291" s="37" t="s">
        <v>31</v>
      </c>
      <c r="P291" s="31">
        <f>_xll.qlCalendarAdvance(Calendar,P290,O290,"f",,Trigger)</f>
        <v>42718</v>
      </c>
      <c r="Q291" s="31">
        <f>_xll.qlInterestRateIndexValueDate(Index,P291,Trigger)</f>
        <v>42720</v>
      </c>
      <c r="R291" s="31">
        <f>_xll.qlInterestRateIndexMaturity(Index,Q291,Trigger)</f>
        <v>42810</v>
      </c>
      <c r="S291" s="32">
        <f>_xll.qlDayCounterYearFraction(DayCounter,Q291,R291,,,Trigger)</f>
        <v>0.25</v>
      </c>
      <c r="T291" s="33">
        <f>_xll.qlIndexFixing(Index,P291,,AllTriggers)</f>
        <v>9.0175472625553255E-4</v>
      </c>
      <c r="U291" s="34">
        <f>_xll.qlYieldTSDiscount(OisCurve,Q291,,AllTriggers)</f>
        <v>1.0018857918033777</v>
      </c>
      <c r="V291" s="34">
        <f>_xll.qlYieldTSDiscount(OisCurve,R291,,AllTriggers)</f>
        <v>1.0019912747774722</v>
      </c>
      <c r="W291" s="33">
        <f t="shared" si="32"/>
        <v>-4.2109338374407557E-4</v>
      </c>
      <c r="X291" s="35">
        <f t="shared" si="33"/>
        <v>3.3069216164651502E-4</v>
      </c>
      <c r="Y291" s="33">
        <f t="shared" si="34"/>
        <v>1.3228481099996081E-3</v>
      </c>
      <c r="Z291" s="54"/>
    </row>
    <row r="292" spans="15:26" x14ac:dyDescent="0.25">
      <c r="O292" s="37" t="s">
        <v>31</v>
      </c>
      <c r="P292" s="31">
        <f>_xll.qlCalendarAdvance(Calendar,P291,O291,"f",,Trigger)</f>
        <v>42725</v>
      </c>
      <c r="Q292" s="31">
        <f>_xll.qlInterestRateIndexValueDate(Index,P292,Trigger)</f>
        <v>42727</v>
      </c>
      <c r="R292" s="31">
        <f>_xll.qlInterestRateIndexMaturity(Index,Q292,Trigger)</f>
        <v>42817</v>
      </c>
      <c r="S292" s="32">
        <f>_xll.qlDayCounterYearFraction(DayCounter,Q292,R292,,,Trigger)</f>
        <v>0.25</v>
      </c>
      <c r="T292" s="33">
        <f>_xll.qlIndexFixing(Index,P292,,AllTriggers)</f>
        <v>9.3447603721852346E-4</v>
      </c>
      <c r="U292" s="34">
        <f>_xll.qlYieldTSDiscount(OisCurve,Q292,,AllTriggers)</f>
        <v>1.0019025312669692</v>
      </c>
      <c r="V292" s="34">
        <f>_xll.qlYieldTSDiscount(OisCurve,R292,,AllTriggers)</f>
        <v>1.0019969722774584</v>
      </c>
      <c r="W292" s="33">
        <f t="shared" si="32"/>
        <v>-3.7701116111987787E-4</v>
      </c>
      <c r="X292" s="35">
        <f t="shared" si="33"/>
        <v>3.2784895698664601E-4</v>
      </c>
      <c r="Y292" s="33">
        <f t="shared" si="34"/>
        <v>1.3114871983384013E-3</v>
      </c>
      <c r="Z292" s="54"/>
    </row>
    <row r="293" spans="15:26" x14ac:dyDescent="0.25">
      <c r="O293" s="37" t="s">
        <v>31</v>
      </c>
      <c r="P293" s="31">
        <f>_xll.qlCalendarAdvance(Calendar,P292,O292,"f",,Trigger)</f>
        <v>42732</v>
      </c>
      <c r="Q293" s="31">
        <f>_xll.qlInterestRateIndexValueDate(Index,P293,Trigger)</f>
        <v>42734</v>
      </c>
      <c r="R293" s="31">
        <f>_xll.qlInterestRateIndexMaturity(Index,Q293,Trigger)</f>
        <v>42825</v>
      </c>
      <c r="S293" s="32">
        <f>_xll.qlDayCounterYearFraction(DayCounter,Q293,R293,,,Trigger)</f>
        <v>0.25277777777777777</v>
      </c>
      <c r="T293" s="33">
        <f>_xll.qlIndexFixing(Index,P293,,AllTriggers)</f>
        <v>9.7105789556867033E-4</v>
      </c>
      <c r="U293" s="34">
        <f>_xll.qlYieldTSDiscount(OisCurve,Q293,,AllTriggers)</f>
        <v>1.0019187777084499</v>
      </c>
      <c r="V293" s="34">
        <f>_xll.qlYieldTSDiscount(OisCurve,R293,,AllTriggers)</f>
        <v>1.0020023911552611</v>
      </c>
      <c r="W293" s="33">
        <f t="shared" si="32"/>
        <v>-3.3011744664582509E-4</v>
      </c>
      <c r="X293" s="35">
        <f t="shared" si="33"/>
        <v>3.2888157251237605E-4</v>
      </c>
      <c r="Y293" s="33">
        <f t="shared" si="34"/>
        <v>1.3011753422144954E-3</v>
      </c>
      <c r="Z293" s="54"/>
    </row>
    <row r="294" spans="15:26" x14ac:dyDescent="0.25">
      <c r="O294" s="37" t="s">
        <v>31</v>
      </c>
      <c r="P294" s="31">
        <f>_xll.qlCalendarAdvance(Calendar,P293,O293,"f",,Trigger)</f>
        <v>42739</v>
      </c>
      <c r="Q294" s="31">
        <f>_xll.qlInterestRateIndexValueDate(Index,P294,Trigger)</f>
        <v>42741</v>
      </c>
      <c r="R294" s="31">
        <f>_xll.qlInterestRateIndexMaturity(Index,Q294,Trigger)</f>
        <v>42831</v>
      </c>
      <c r="S294" s="32">
        <f>_xll.qlDayCounterYearFraction(DayCounter,Q294,R294,,,Trigger)</f>
        <v>0.25</v>
      </c>
      <c r="T294" s="33">
        <f>_xll.qlIndexFixing(Index,P294,,AllTriggers)</f>
        <v>1.0034099670930274E-3</v>
      </c>
      <c r="U294" s="34">
        <f>_xll.qlYieldTSDiscount(OisCurve,Q294,,AllTriggers)</f>
        <v>1.0018832473871702</v>
      </c>
      <c r="V294" s="34">
        <f>_xll.qlYieldTSDiscount(OisCurve,R294,,AllTriggers)</f>
        <v>1.0020057153985495</v>
      </c>
      <c r="W294" s="33">
        <f t="shared" si="32"/>
        <v>-4.8889146837138853E-4</v>
      </c>
      <c r="X294" s="35">
        <f t="shared" si="33"/>
        <v>3.7305137046390164E-4</v>
      </c>
      <c r="Y294" s="33">
        <f t="shared" si="34"/>
        <v>1.492301435464416E-3</v>
      </c>
      <c r="Z294" s="54"/>
    </row>
    <row r="295" spans="15:26" x14ac:dyDescent="0.25">
      <c r="O295" s="37" t="s">
        <v>31</v>
      </c>
      <c r="P295" s="31">
        <f>_xll.qlCalendarAdvance(Calendar,P294,O294,"f",,Trigger)</f>
        <v>42746</v>
      </c>
      <c r="Q295" s="31">
        <f>_xll.qlInterestRateIndexValueDate(Index,P295,Trigger)</f>
        <v>42748</v>
      </c>
      <c r="R295" s="31">
        <f>_xll.qlInterestRateIndexMaturity(Index,Q295,Trigger)</f>
        <v>42838</v>
      </c>
      <c r="S295" s="32">
        <f>_xll.qlDayCounterYearFraction(DayCounter,Q295,R295,,,Trigger)</f>
        <v>0.25</v>
      </c>
      <c r="T295" s="33">
        <f>_xll.qlIndexFixing(Index,P295,,AllTriggers)</f>
        <v>1.039344716706303E-3</v>
      </c>
      <c r="U295" s="34">
        <f>_xll.qlYieldTSDiscount(OisCurve,Q295,,AllTriggers)</f>
        <v>1.0018982523418969</v>
      </c>
      <c r="V295" s="34">
        <f>_xll.qlYieldTSDiscount(OisCurve,R295,,AllTriggers)</f>
        <v>1.002008819053279</v>
      </c>
      <c r="W295" s="33">
        <f t="shared" si="32"/>
        <v>-4.4138019258799233E-4</v>
      </c>
      <c r="X295" s="35">
        <f t="shared" si="33"/>
        <v>3.7015356421275921E-4</v>
      </c>
      <c r="Y295" s="33">
        <f t="shared" si="34"/>
        <v>1.4807249092942953E-3</v>
      </c>
      <c r="Z295" s="54"/>
    </row>
    <row r="296" spans="15:26" x14ac:dyDescent="0.25">
      <c r="O296" s="37" t="s">
        <v>31</v>
      </c>
      <c r="P296" s="31">
        <f>_xll.qlCalendarAdvance(Calendar,P295,O295,"f",,Trigger)</f>
        <v>42753</v>
      </c>
      <c r="Q296" s="31">
        <f>_xll.qlInterestRateIndexValueDate(Index,P296,Trigger)</f>
        <v>42755</v>
      </c>
      <c r="R296" s="31">
        <f>_xll.qlInterestRateIndexMaturity(Index,Q296,Trigger)</f>
        <v>42845</v>
      </c>
      <c r="S296" s="32">
        <f>_xll.qlDayCounterYearFraction(DayCounter,Q296,R296,,,Trigger)</f>
        <v>0.25</v>
      </c>
      <c r="T296" s="33">
        <f>_xll.qlIndexFixing(Index,P296,,AllTriggers)</f>
        <v>1.0760635569297961E-3</v>
      </c>
      <c r="U296" s="34">
        <f>_xll.qlYieldTSDiscount(OisCurve,Q296,,AllTriggers)</f>
        <v>1.0019125096287069</v>
      </c>
      <c r="V296" s="34">
        <f>_xll.qlYieldTSDiscount(OisCurve,R296,,AllTriggers)</f>
        <v>1.0020111161308771</v>
      </c>
      <c r="W296" s="33">
        <f t="shared" si="32"/>
        <v>-3.936343642609863E-4</v>
      </c>
      <c r="X296" s="35">
        <f t="shared" si="33"/>
        <v>3.6739314445473684E-4</v>
      </c>
      <c r="Y296" s="33">
        <f t="shared" si="34"/>
        <v>1.4696979211907824E-3</v>
      </c>
      <c r="Z296" s="54"/>
    </row>
    <row r="297" spans="15:26" x14ac:dyDescent="0.25">
      <c r="O297" s="37" t="s">
        <v>31</v>
      </c>
      <c r="P297" s="31">
        <f>_xll.qlCalendarAdvance(Calendar,P296,O296,"f",,Trigger)</f>
        <v>42760</v>
      </c>
      <c r="Q297" s="31">
        <f>_xll.qlInterestRateIndexValueDate(Index,P297,Trigger)</f>
        <v>42762</v>
      </c>
      <c r="R297" s="31">
        <f>_xll.qlInterestRateIndexMaturity(Index,Q297,Trigger)</f>
        <v>42852</v>
      </c>
      <c r="S297" s="32">
        <f>_xll.qlDayCounterYearFraction(DayCounter,Q297,R297,,,Trigger)</f>
        <v>0.25</v>
      </c>
      <c r="T297" s="33">
        <f>_xll.qlIndexFixing(Index,P297,,AllTriggers)</f>
        <v>1.1134206574245908E-3</v>
      </c>
      <c r="U297" s="34">
        <f>_xll.qlYieldTSDiscount(OisCurve,Q297,,AllTriggers)</f>
        <v>1.0019259343499425</v>
      </c>
      <c r="V297" s="34">
        <f>_xll.qlYieldTSDiscount(OisCurve,R297,,AllTriggers)</f>
        <v>1.0020126356542904</v>
      </c>
      <c r="W297" s="33">
        <f t="shared" si="32"/>
        <v>-3.461086268292668E-4</v>
      </c>
      <c r="X297" s="35">
        <f t="shared" si="33"/>
        <v>3.6484733114271699E-4</v>
      </c>
      <c r="Y297" s="33">
        <f t="shared" si="34"/>
        <v>1.4595292842538576E-3</v>
      </c>
      <c r="Z297" s="54"/>
    </row>
    <row r="298" spans="15:26" x14ac:dyDescent="0.25">
      <c r="O298" s="37" t="s">
        <v>31</v>
      </c>
      <c r="P298" s="31">
        <f>_xll.qlCalendarAdvance(Calendar,P297,O297,"f",,Trigger)</f>
        <v>42767</v>
      </c>
      <c r="Q298" s="31">
        <f>_xll.qlInterestRateIndexValueDate(Index,P298,Trigger)</f>
        <v>42769</v>
      </c>
      <c r="R298" s="31">
        <f>_xll.qlInterestRateIndexMaturity(Index,Q298,Trigger)</f>
        <v>42858</v>
      </c>
      <c r="S298" s="32">
        <f>_xll.qlDayCounterYearFraction(DayCounter,Q298,R298,,,Trigger)</f>
        <v>0.24722222222222223</v>
      </c>
      <c r="T298" s="33">
        <f>_xll.qlIndexFixing(Index,P298,,AllTriggers)</f>
        <v>1.148494891792619E-3</v>
      </c>
      <c r="U298" s="34">
        <f>_xll.qlYieldTSDiscount(OisCurve,Q298,,AllTriggers)</f>
        <v>1.0019384416053381</v>
      </c>
      <c r="V298" s="34">
        <f>_xll.qlYieldTSDiscount(OisCurve,R298,,AllTriggers)</f>
        <v>1.0020133412346637</v>
      </c>
      <c r="W298" s="33">
        <f t="shared" si="32"/>
        <v>-3.0235604688090664E-4</v>
      </c>
      <c r="X298" s="35">
        <f t="shared" si="33"/>
        <v>3.5864508555157412E-4</v>
      </c>
      <c r="Y298" s="33">
        <f t="shared" si="34"/>
        <v>1.4508509386735257E-3</v>
      </c>
      <c r="Z298" s="54"/>
    </row>
    <row r="299" spans="15:26" x14ac:dyDescent="0.25">
      <c r="O299" s="37" t="s">
        <v>31</v>
      </c>
      <c r="P299" s="31">
        <f>_xll.qlCalendarAdvance(Calendar,P298,O298,"f",,Trigger)</f>
        <v>42774</v>
      </c>
      <c r="Q299" s="31">
        <f>_xll.qlInterestRateIndexValueDate(Index,P299,Trigger)</f>
        <v>42776</v>
      </c>
      <c r="R299" s="31">
        <f>_xll.qlInterestRateIndexMaturity(Index,Q299,Trigger)</f>
        <v>42865</v>
      </c>
      <c r="S299" s="32">
        <f>_xll.qlDayCounterYearFraction(DayCounter,Q299,R299,,,Trigger)</f>
        <v>0.24722222222222223</v>
      </c>
      <c r="T299" s="33">
        <f>_xll.qlIndexFixing(Index,P299,,AllTriggers)</f>
        <v>1.1867043093075412E-3</v>
      </c>
      <c r="U299" s="34">
        <f>_xll.qlYieldTSDiscount(OisCurve,Q299,,AllTriggers)</f>
        <v>1.0019499465771142</v>
      </c>
      <c r="V299" s="34">
        <f>_xll.qlYieldTSDiscount(OisCurve,R299,,AllTriggers)</f>
        <v>1.002013492712051</v>
      </c>
      <c r="W299" s="33">
        <f t="shared" si="32"/>
        <v>-2.5652403653354415E-4</v>
      </c>
      <c r="X299" s="35">
        <f t="shared" si="33"/>
        <v>3.5675710246553809E-4</v>
      </c>
      <c r="Y299" s="33">
        <f t="shared" si="34"/>
        <v>1.4432283458410853E-3</v>
      </c>
      <c r="Z299" s="54"/>
    </row>
    <row r="300" spans="15:26" x14ac:dyDescent="0.25">
      <c r="O300" s="37" t="s">
        <v>31</v>
      </c>
      <c r="P300" s="31">
        <f>_xll.qlCalendarAdvance(Calendar,P299,O299,"f",,Trigger)</f>
        <v>42781</v>
      </c>
      <c r="Q300" s="31">
        <f>_xll.qlInterestRateIndexValueDate(Index,P300,Trigger)</f>
        <v>42783</v>
      </c>
      <c r="R300" s="31">
        <f>_xll.qlInterestRateIndexMaturity(Index,Q300,Trigger)</f>
        <v>42872</v>
      </c>
      <c r="S300" s="32">
        <f>_xll.qlDayCounterYearFraction(DayCounter,Q300,R300,,,Trigger)</f>
        <v>0.24722222222222223</v>
      </c>
      <c r="T300" s="33">
        <f>_xll.qlIndexFixing(Index,P300,,AllTriggers)</f>
        <v>1.2251235907464551E-3</v>
      </c>
      <c r="U300" s="34">
        <f>_xll.qlYieldTSDiscount(OisCurve,Q300,,AllTriggers)</f>
        <v>1.0019603971965487</v>
      </c>
      <c r="V300" s="34">
        <f>_xll.qlYieldTSDiscount(OisCurve,R300,,AllTriggers)</f>
        <v>1.0020129215642508</v>
      </c>
      <c r="W300" s="33">
        <f t="shared" si="32"/>
        <v>-2.1203131414312241E-4</v>
      </c>
      <c r="X300" s="35">
        <f t="shared" si="33"/>
        <v>3.5525214496610836E-4</v>
      </c>
      <c r="Y300" s="33">
        <f t="shared" si="34"/>
        <v>1.4371549048895775E-3</v>
      </c>
      <c r="Z300" s="54"/>
    </row>
    <row r="301" spans="15:26" x14ac:dyDescent="0.25">
      <c r="O301" s="37" t="s">
        <v>31</v>
      </c>
      <c r="P301" s="31">
        <f>_xll.qlCalendarAdvance(Calendar,P300,O300,"f",,Trigger)</f>
        <v>42788</v>
      </c>
      <c r="Q301" s="31">
        <f>_xll.qlInterestRateIndexValueDate(Index,P301,Trigger)</f>
        <v>42790</v>
      </c>
      <c r="R301" s="31">
        <f>_xll.qlInterestRateIndexMaturity(Index,Q301,Trigger)</f>
        <v>42879</v>
      </c>
      <c r="S301" s="32">
        <f>_xll.qlDayCounterYearFraction(DayCounter,Q301,R301,,,Trigger)</f>
        <v>0.24722222222222223</v>
      </c>
      <c r="T301" s="33">
        <f>_xll.qlIndexFixing(Index,P301,,AllTriggers)</f>
        <v>1.2636052463568148E-3</v>
      </c>
      <c r="U301" s="34">
        <f>_xll.qlYieldTSDiscount(OisCurve,Q301,,AllTriggers)</f>
        <v>1.0019698133000048</v>
      </c>
      <c r="V301" s="34">
        <f>_xll.qlYieldTSDiscount(OisCurve,R301,,AllTriggers)</f>
        <v>1.0020116194412616</v>
      </c>
      <c r="W301" s="33">
        <f t="shared" si="32"/>
        <v>-1.6876400377309583E-4</v>
      </c>
      <c r="X301" s="35">
        <f t="shared" si="33"/>
        <v>3.5406559545397614E-4</v>
      </c>
      <c r="Y301" s="33">
        <f t="shared" si="34"/>
        <v>1.4323692501299107E-3</v>
      </c>
      <c r="Z301" s="54"/>
    </row>
    <row r="302" spans="15:26" x14ac:dyDescent="0.25">
      <c r="O302" s="37" t="s">
        <v>31</v>
      </c>
      <c r="P302" s="31">
        <f>_xll.qlCalendarAdvance(Calendar,P301,O301,"f",,Trigger)</f>
        <v>42795</v>
      </c>
      <c r="Q302" s="31">
        <f>_xll.qlInterestRateIndexValueDate(Index,P302,Trigger)</f>
        <v>42797</v>
      </c>
      <c r="R302" s="31">
        <f>_xll.qlInterestRateIndexMaturity(Index,Q302,Trigger)</f>
        <v>42891</v>
      </c>
      <c r="S302" s="32">
        <f>_xll.qlDayCounterYearFraction(DayCounter,Q302,R302,,,Trigger)</f>
        <v>0.26111111111111113</v>
      </c>
      <c r="T302" s="33">
        <f>_xll.qlIndexFixing(Index,P302,,AllTriggers)</f>
        <v>1.315330604396183E-3</v>
      </c>
      <c r="U302" s="34">
        <f>_xll.qlYieldTSDiscount(OisCurve,Q302,,AllTriggers)</f>
        <v>1.0019782238858104</v>
      </c>
      <c r="V302" s="34">
        <f>_xll.qlYieldTSDiscount(OisCurve,R302,,AllTriggers)</f>
        <v>1.0020076726747382</v>
      </c>
      <c r="W302" s="33">
        <f t="shared" si="32"/>
        <v>-1.1255661904561506E-4</v>
      </c>
      <c r="X302" s="35">
        <f t="shared" si="33"/>
        <v>3.7277868677244126E-4</v>
      </c>
      <c r="Y302" s="33">
        <f t="shared" si="34"/>
        <v>1.4278872234417981E-3</v>
      </c>
      <c r="Z302" s="54"/>
    </row>
    <row r="303" spans="15:26" x14ac:dyDescent="0.25">
      <c r="O303" s="37" t="s">
        <v>31</v>
      </c>
      <c r="P303" s="31">
        <f>_xll.qlCalendarAdvance(Calendar,P302,O302,"f",,Trigger)</f>
        <v>42802</v>
      </c>
      <c r="Q303" s="31">
        <f>_xll.qlInterestRateIndexValueDate(Index,P303,Trigger)</f>
        <v>42804</v>
      </c>
      <c r="R303" s="31">
        <f>_xll.qlInterestRateIndexMaturity(Index,Q303,Trigger)</f>
        <v>42898</v>
      </c>
      <c r="S303" s="32">
        <f>_xll.qlDayCounterYearFraction(DayCounter,Q303,R303,,,Trigger)</f>
        <v>0.26111111111111113</v>
      </c>
      <c r="T303" s="33">
        <f>_xll.qlIndexFixing(Index,P303,,AllTriggers)</f>
        <v>1.3532938368312863E-3</v>
      </c>
      <c r="U303" s="34">
        <f>_xll.qlYieldTSDiscount(OisCurve,Q303,,AllTriggers)</f>
        <v>1.0019856579563546</v>
      </c>
      <c r="V303" s="34">
        <f>_xll.qlYieldTSDiscount(OisCurve,R303,,AllTriggers)</f>
        <v>1.0020043621203512</v>
      </c>
      <c r="W303" s="33">
        <f t="shared" si="32"/>
        <v>-7.1489677296274843E-5</v>
      </c>
      <c r="X303" s="35">
        <f t="shared" si="33"/>
        <v>3.7196456373077562E-4</v>
      </c>
      <c r="Y303" s="33">
        <f t="shared" si="34"/>
        <v>1.4247835141275613E-3</v>
      </c>
      <c r="Z303" s="54"/>
    </row>
    <row r="304" spans="15:26" x14ac:dyDescent="0.25">
      <c r="O304" s="37" t="s">
        <v>31</v>
      </c>
      <c r="P304" s="31">
        <f>_xll.qlCalendarAdvance(Calendar,P303,O303,"f",,Trigger)</f>
        <v>42809</v>
      </c>
      <c r="Q304" s="31">
        <f>_xll.qlInterestRateIndexValueDate(Index,P304,Trigger)</f>
        <v>42811</v>
      </c>
      <c r="R304" s="31">
        <f>_xll.qlInterestRateIndexMaturity(Index,Q304,Trigger)</f>
        <v>42905</v>
      </c>
      <c r="S304" s="32">
        <f>_xll.qlDayCounterYearFraction(DayCounter,Q304,R304,,,Trigger)</f>
        <v>0.26111111111111113</v>
      </c>
      <c r="T304" s="33">
        <f>_xll.qlIndexFixing(Index,P304,,AllTriggers)</f>
        <v>1.390867252690775E-3</v>
      </c>
      <c r="U304" s="34">
        <f>_xll.qlYieldTSDiscount(OisCurve,Q304,,AllTriggers)</f>
        <v>1.0019921445178015</v>
      </c>
      <c r="V304" s="34">
        <f>_xll.qlYieldTSDiscount(OisCurve,R304,,AllTriggers)</f>
        <v>1.0020003026492481</v>
      </c>
      <c r="W304" s="33">
        <f t="shared" si="32"/>
        <v>-3.1181535160290294E-5</v>
      </c>
      <c r="X304" s="35">
        <f t="shared" si="33"/>
        <v>3.7124684160828864E-4</v>
      </c>
      <c r="Y304" s="33">
        <f t="shared" si="34"/>
        <v>1.4220487878510654E-3</v>
      </c>
      <c r="Z304" s="54"/>
    </row>
    <row r="305" spans="15:26" x14ac:dyDescent="0.25">
      <c r="O305" s="37" t="s">
        <v>31</v>
      </c>
      <c r="P305" s="31">
        <f>_xll.qlCalendarAdvance(Calendar,P304,O304,"f",,Trigger)</f>
        <v>42816</v>
      </c>
      <c r="Q305" s="31">
        <f>_xll.qlInterestRateIndexValueDate(Index,P305,Trigger)</f>
        <v>42818</v>
      </c>
      <c r="R305" s="31">
        <f>_xll.qlInterestRateIndexMaturity(Index,Q305,Trigger)</f>
        <v>42912</v>
      </c>
      <c r="S305" s="32">
        <f>_xll.qlDayCounterYearFraction(DayCounter,Q305,R305,,,Trigger)</f>
        <v>0.26111111111111113</v>
      </c>
      <c r="T305" s="33">
        <f>_xll.qlIndexFixing(Index,P305,,AllTriggers)</f>
        <v>1.4279598856167983E-3</v>
      </c>
      <c r="U305" s="34">
        <f>_xll.qlYieldTSDiscount(OisCurve,Q305,,AllTriggers)</f>
        <v>1.001997712579809</v>
      </c>
      <c r="V305" s="34">
        <f>_xll.qlYieldTSDiscount(OisCurve,R305,,AllTriggers)</f>
        <v>1.0019954894350667</v>
      </c>
      <c r="W305" s="33">
        <f t="shared" si="32"/>
        <v>8.4972152505736113E-6</v>
      </c>
      <c r="X305" s="35">
        <f t="shared" si="33"/>
        <v>3.7056798390485606E-4</v>
      </c>
      <c r="Y305" s="33">
        <f t="shared" si="34"/>
        <v>1.4194626703662248E-3</v>
      </c>
      <c r="Z305" s="54"/>
    </row>
    <row r="306" spans="15:26" x14ac:dyDescent="0.25">
      <c r="O306" s="37" t="s">
        <v>31</v>
      </c>
      <c r="P306" s="31">
        <f>_xll.qlCalendarAdvance(Calendar,P305,O305,"f",,Trigger)</f>
        <v>42823</v>
      </c>
      <c r="Q306" s="31">
        <f>_xll.qlInterestRateIndexValueDate(Index,P306,Trigger)</f>
        <v>42825</v>
      </c>
      <c r="R306" s="31">
        <f>_xll.qlInterestRateIndexMaturity(Index,Q306,Trigger)</f>
        <v>42916</v>
      </c>
      <c r="S306" s="32">
        <f>_xll.qlDayCounterYearFraction(DayCounter,Q306,R306,,,Trigger)</f>
        <v>0.25277777777777777</v>
      </c>
      <c r="T306" s="33">
        <f>_xll.qlIndexFixing(Index,P306,,AllTriggers)</f>
        <v>1.4570060649967784E-3</v>
      </c>
      <c r="U306" s="34">
        <f>_xll.qlYieldTSDiscount(OisCurve,Q306,,AllTriggers)</f>
        <v>1.0020023911552611</v>
      </c>
      <c r="V306" s="34">
        <f>_xll.qlYieldTSDiscount(OisCurve,R306,,AllTriggers)</f>
        <v>1.0019923987549411</v>
      </c>
      <c r="W306" s="33">
        <f t="shared" si="32"/>
        <v>3.9451771232736276E-5</v>
      </c>
      <c r="X306" s="35">
        <f t="shared" si="33"/>
        <v>3.5825846864365299E-4</v>
      </c>
      <c r="Y306" s="33">
        <f t="shared" si="34"/>
        <v>1.4175542937640421E-3</v>
      </c>
      <c r="Z306" s="54"/>
    </row>
    <row r="307" spans="15:26" x14ac:dyDescent="0.25">
      <c r="O307" s="37" t="s">
        <v>31</v>
      </c>
      <c r="P307" s="31">
        <f>_xll.qlCalendarAdvance(Calendar,P306,O306,"f",,Trigger)</f>
        <v>42830</v>
      </c>
      <c r="Q307" s="31">
        <f>_xll.qlInterestRateIndexValueDate(Index,P307,Trigger)</f>
        <v>42832</v>
      </c>
      <c r="R307" s="31">
        <f>_xll.qlInterestRateIndexMaturity(Index,Q307,Trigger)</f>
        <v>42923</v>
      </c>
      <c r="S307" s="32">
        <f>_xll.qlDayCounterYearFraction(DayCounter,Q307,R307,,,Trigger)</f>
        <v>0.25277777777777777</v>
      </c>
      <c r="T307" s="33">
        <f>_xll.qlIndexFixing(Index,P307,,AllTriggers)</f>
        <v>1.493266862261818E-3</v>
      </c>
      <c r="U307" s="34">
        <f>_xll.qlYieldTSDiscount(OisCurve,Q307,,AllTriggers)</f>
        <v>1.0020062092600053</v>
      </c>
      <c r="V307" s="34">
        <f>_xll.qlYieldTSDiscount(OisCurve,R307,,AllTriggers)</f>
        <v>1.0019863913404408</v>
      </c>
      <c r="W307" s="33">
        <f t="shared" si="32"/>
        <v>7.8245135454802425E-5</v>
      </c>
      <c r="X307" s="35">
        <f t="shared" si="33"/>
        <v>3.5761502133403191E-4</v>
      </c>
      <c r="Y307" s="33">
        <f t="shared" si="34"/>
        <v>1.4150217268070156E-3</v>
      </c>
      <c r="Z307" s="54"/>
    </row>
    <row r="308" spans="15:26" x14ac:dyDescent="0.25">
      <c r="O308" s="37" t="s">
        <v>31</v>
      </c>
      <c r="P308" s="31">
        <f>_xll.qlCalendarAdvance(Calendar,P307,O307,"f",,Trigger)</f>
        <v>42837</v>
      </c>
      <c r="Q308" s="31">
        <f>_xll.qlInterestRateIndexValueDate(Index,P308,Trigger)</f>
        <v>42843</v>
      </c>
      <c r="R308" s="31">
        <f>_xll.qlInterestRateIndexMaturity(Index,Q308,Trigger)</f>
        <v>42934</v>
      </c>
      <c r="S308" s="32">
        <f>_xll.qlDayCounterYearFraction(DayCounter,Q308,R308,,,Trigger)</f>
        <v>0.25277777777777777</v>
      </c>
      <c r="T308" s="33">
        <f>_xll.qlIndexFixing(Index,P308,,AllTriggers)</f>
        <v>1.5496008529876874E-3</v>
      </c>
      <c r="U308" s="34">
        <f>_xll.qlYieldTSDiscount(OisCurve,Q308,,AllTriggers)</f>
        <v>1.0020105404345208</v>
      </c>
      <c r="V308" s="34">
        <f>_xll.qlYieldTSDiscount(OisCurve,R308,,AllTriggers)</f>
        <v>1.0019754013362376</v>
      </c>
      <c r="W308" s="33">
        <f t="shared" si="32"/>
        <v>1.3873775463765263E-4</v>
      </c>
      <c r="X308" s="35">
        <f t="shared" si="33"/>
        <v>3.5655875743856503E-4</v>
      </c>
      <c r="Y308" s="33">
        <f t="shared" si="34"/>
        <v>1.4108630983500348E-3</v>
      </c>
      <c r="Z308" s="54"/>
    </row>
    <row r="309" spans="15:26" x14ac:dyDescent="0.25">
      <c r="O309" s="37" t="s">
        <v>31</v>
      </c>
      <c r="P309" s="31">
        <f>_xll.qlCalendarAdvance(Calendar,P308,O308,"f",,Trigger)</f>
        <v>42844</v>
      </c>
      <c r="Q309" s="31">
        <f>_xll.qlInterestRateIndexValueDate(Index,P309,Trigger)</f>
        <v>42846</v>
      </c>
      <c r="R309" s="31">
        <f>_xll.qlInterestRateIndexMaturity(Index,Q309,Trigger)</f>
        <v>42937</v>
      </c>
      <c r="S309" s="32">
        <f>_xll.qlDayCounterYearFraction(DayCounter,Q309,R309,,,Trigger)</f>
        <v>0.25277777777777777</v>
      </c>
      <c r="T309" s="33">
        <f>_xll.qlIndexFixing(Index,P309,,AllTriggers)</f>
        <v>1.5648648598707562E-3</v>
      </c>
      <c r="U309" s="34">
        <f>_xll.qlYieldTSDiscount(OisCurve,Q309,,AllTriggers)</f>
        <v>1.0020113801340624</v>
      </c>
      <c r="V309" s="34">
        <f>_xll.qlYieldTSDiscount(OisCurve,R309,,AllTriggers)</f>
        <v>1.0019720732553343</v>
      </c>
      <c r="W309" s="33">
        <f t="shared" si="32"/>
        <v>1.5519368670432868E-4</v>
      </c>
      <c r="X309" s="35">
        <f t="shared" si="33"/>
        <v>3.562561015649748E-4</v>
      </c>
      <c r="Y309" s="33">
        <f t="shared" si="34"/>
        <v>1.4096711731664275E-3</v>
      </c>
      <c r="Z309" s="54"/>
    </row>
    <row r="310" spans="15:26" x14ac:dyDescent="0.25">
      <c r="O310" s="37" t="s">
        <v>31</v>
      </c>
      <c r="P310" s="31">
        <f>_xll.qlCalendarAdvance(Calendar,P309,O309,"f",,Trigger)</f>
        <v>42851</v>
      </c>
      <c r="Q310" s="31">
        <f>_xll.qlInterestRateIndexValueDate(Index,P310,Trigger)</f>
        <v>42853</v>
      </c>
      <c r="R310" s="31">
        <f>_xll.qlInterestRateIndexMaturity(Index,Q310,Trigger)</f>
        <v>42947</v>
      </c>
      <c r="S310" s="32">
        <f>_xll.qlDayCounterYearFraction(DayCounter,Q310,R310,,,Trigger)</f>
        <v>0.26111111111111113</v>
      </c>
      <c r="T310" s="33">
        <f>_xll.qlIndexFixing(Index,P310,,AllTriggers)</f>
        <v>1.6079555360642391E-3</v>
      </c>
      <c r="U310" s="34">
        <f>_xll.qlYieldTSDiscount(OisCurve,Q310,,AllTriggers)</f>
        <v>1.0020127909476475</v>
      </c>
      <c r="V310" s="34">
        <f>_xll.qlYieldTSDiscount(OisCurve,R310,,AllTriggers)</f>
        <v>1.0019599484224413</v>
      </c>
      <c r="W310" s="33">
        <f t="shared" si="32"/>
        <v>2.019797585405435E-4</v>
      </c>
      <c r="X310" s="35">
        <f t="shared" si="33"/>
        <v>3.6702917365351962E-4</v>
      </c>
      <c r="Y310" s="33">
        <f t="shared" si="34"/>
        <v>1.4059757775236957E-3</v>
      </c>
      <c r="Z310" s="54"/>
    </row>
    <row r="311" spans="15:26" x14ac:dyDescent="0.25">
      <c r="O311" s="37" t="s">
        <v>31</v>
      </c>
      <c r="P311" s="31">
        <f>_xll.qlCalendarAdvance(Calendar,P310,O310,"f",,Trigger)</f>
        <v>42858</v>
      </c>
      <c r="Q311" s="31">
        <f>_xll.qlInterestRateIndexValueDate(Index,P311,Trigger)</f>
        <v>42860</v>
      </c>
      <c r="R311" s="31">
        <f>_xll.qlInterestRateIndexMaturity(Index,Q311,Trigger)</f>
        <v>42954</v>
      </c>
      <c r="S311" s="32">
        <f>_xll.qlDayCounterYearFraction(DayCounter,Q311,R311,,,Trigger)</f>
        <v>0.26111111111111113</v>
      </c>
      <c r="T311" s="33">
        <f>_xll.qlIndexFixing(Index,P311,,AllTriggers)</f>
        <v>1.6434496091942388E-3</v>
      </c>
      <c r="U311" s="34">
        <f>_xll.qlYieldTSDiscount(OisCurve,Q311,,AllTriggers)</f>
        <v>1.0020134573786044</v>
      </c>
      <c r="V311" s="34">
        <f>_xll.qlYieldTSDiscount(OisCurve,R311,,AllTriggers)</f>
        <v>1.0019505114988114</v>
      </c>
      <c r="W311" s="33">
        <f t="shared" si="32"/>
        <v>2.4060003373457047E-4</v>
      </c>
      <c r="X311" s="35">
        <f t="shared" si="33"/>
        <v>3.6620953775092863E-4</v>
      </c>
      <c r="Y311" s="33">
        <f t="shared" si="34"/>
        <v>1.4028495754596685E-3</v>
      </c>
      <c r="Z311" s="54"/>
    </row>
    <row r="312" spans="15:26" x14ac:dyDescent="0.25">
      <c r="O312" s="37" t="s">
        <v>31</v>
      </c>
      <c r="P312" s="31">
        <f>_xll.qlCalendarAdvance(Calendar,P311,O311,"f",,Trigger)</f>
        <v>42865</v>
      </c>
      <c r="Q312" s="31">
        <f>_xll.qlInterestRateIndexValueDate(Index,P312,Trigger)</f>
        <v>42867</v>
      </c>
      <c r="R312" s="31">
        <f>_xll.qlInterestRateIndexMaturity(Index,Q312,Trigger)</f>
        <v>42961</v>
      </c>
      <c r="S312" s="32">
        <f>_xll.qlDayCounterYearFraction(DayCounter,Q312,R312,,,Trigger)</f>
        <v>0.26111111111111113</v>
      </c>
      <c r="T312" s="33">
        <f>_xll.qlIndexFixing(Index,P312,,AllTriggers)</f>
        <v>1.6789729412684422E-3</v>
      </c>
      <c r="U312" s="34">
        <f>_xll.qlYieldTSDiscount(OisCurve,Q312,,AllTriggers)</f>
        <v>1.0020134038344168</v>
      </c>
      <c r="V312" s="34">
        <f>_xll.qlYieldTSDiscount(OisCurve,R312,,AllTriggers)</f>
        <v>1.0019402870996541</v>
      </c>
      <c r="W312" s="33">
        <f t="shared" si="32"/>
        <v>2.7947926737222219E-4</v>
      </c>
      <c r="X312" s="35">
        <f t="shared" si="33"/>
        <v>3.6532994219844368E-4</v>
      </c>
      <c r="Y312" s="33">
        <f t="shared" si="34"/>
        <v>1.39949367389622E-3</v>
      </c>
      <c r="Z312" s="54"/>
    </row>
    <row r="313" spans="15:26" x14ac:dyDescent="0.25">
      <c r="O313" s="37" t="s">
        <v>31</v>
      </c>
      <c r="P313" s="31">
        <f>_xll.qlCalendarAdvance(Calendar,P312,O312,"f",,Trigger)</f>
        <v>42872</v>
      </c>
      <c r="Q313" s="31">
        <f>_xll.qlInterestRateIndexValueDate(Index,P313,Trigger)</f>
        <v>42874</v>
      </c>
      <c r="R313" s="31">
        <f>_xll.qlInterestRateIndexMaturity(Index,Q313,Trigger)</f>
        <v>42968</v>
      </c>
      <c r="S313" s="32">
        <f>_xll.qlDayCounterYearFraction(DayCounter,Q313,R313,,,Trigger)</f>
        <v>0.26111111111111113</v>
      </c>
      <c r="T313" s="33">
        <f>_xll.qlIndexFixing(Index,P313,,AllTriggers)</f>
        <v>1.7146102291321309E-3</v>
      </c>
      <c r="U313" s="34">
        <f>_xll.qlYieldTSDiscount(OisCurve,Q313,,AllTriggers)</f>
        <v>1.0020126243297884</v>
      </c>
      <c r="V313" s="34">
        <f>_xll.qlYieldTSDiscount(OisCurve,R313,,AllTriggers)</f>
        <v>1.0019292704139344</v>
      </c>
      <c r="W313" s="33">
        <f t="shared" si="32"/>
        <v>3.1861307207197673E-4</v>
      </c>
      <c r="X313" s="35">
        <f t="shared" si="33"/>
        <v>3.6441363973217425E-4</v>
      </c>
      <c r="Y313" s="33">
        <f t="shared" si="34"/>
        <v>1.3959971570601541E-3</v>
      </c>
      <c r="Z313" s="54"/>
    </row>
    <row r="314" spans="15:26" x14ac:dyDescent="0.25">
      <c r="O314" s="37" t="s">
        <v>31</v>
      </c>
      <c r="P314" s="31">
        <f>_xll.qlCalendarAdvance(Calendar,P313,O313,"f",,Trigger)</f>
        <v>42879</v>
      </c>
      <c r="Q314" s="31">
        <f>_xll.qlInterestRateIndexValueDate(Index,P314,Trigger)</f>
        <v>42881</v>
      </c>
      <c r="R314" s="31">
        <f>_xll.qlInterestRateIndexMaturity(Index,Q314,Trigger)</f>
        <v>42975</v>
      </c>
      <c r="S314" s="32">
        <f>_xll.qlDayCounterYearFraction(DayCounter,Q314,R314,,,Trigger)</f>
        <v>0.26111111111111113</v>
      </c>
      <c r="T314" s="33">
        <f>_xll.qlIndexFixing(Index,P314,,AllTriggers)</f>
        <v>1.750446172788912E-3</v>
      </c>
      <c r="U314" s="34">
        <f>_xll.qlYieldTSDiscount(OisCurve,Q314,,AllTriggers)</f>
        <v>1.0020111124690381</v>
      </c>
      <c r="V314" s="34">
        <f>_xll.qlYieldTSDiscount(OisCurve,R314,,AllTriggers)</f>
        <v>1.0019174566327009</v>
      </c>
      <c r="W314" s="33">
        <f t="shared" si="32"/>
        <v>3.5799548557931417E-4</v>
      </c>
      <c r="X314" s="35">
        <f t="shared" si="33"/>
        <v>3.6348429423256325E-4</v>
      </c>
      <c r="Y314" s="33">
        <f t="shared" si="34"/>
        <v>1.3924506872095978E-3</v>
      </c>
      <c r="Z314" s="54"/>
    </row>
    <row r="315" spans="15:26" x14ac:dyDescent="0.25">
      <c r="O315" s="37" t="s">
        <v>31</v>
      </c>
      <c r="P315" s="31">
        <f>_xll.qlCalendarAdvance(Calendar,P314,O314,"f",,Trigger)</f>
        <v>42886</v>
      </c>
      <c r="Q315" s="31">
        <f>_xll.qlInterestRateIndexValueDate(Index,P315,Trigger)</f>
        <v>42888</v>
      </c>
      <c r="R315" s="31">
        <f>_xll.qlInterestRateIndexMaturity(Index,Q315,Trigger)</f>
        <v>42982</v>
      </c>
      <c r="S315" s="32">
        <f>_xll.qlDayCounterYearFraction(DayCounter,Q315,R315,,,Trigger)</f>
        <v>0.26111111111111113</v>
      </c>
      <c r="T315" s="33">
        <f>_xll.qlIndexFixing(Index,P315,,AllTriggers)</f>
        <v>1.7865654754364324E-3</v>
      </c>
      <c r="U315" s="34">
        <f>_xll.qlYieldTSDiscount(OisCurve,Q315,,AllTriggers)</f>
        <v>1.002008863419952</v>
      </c>
      <c r="V315" s="34">
        <f>_xll.qlYieldTSDiscount(OisCurve,R315,,AllTriggers)</f>
        <v>1.0019048409491258</v>
      </c>
      <c r="W315" s="33">
        <f t="shared" si="32"/>
        <v>3.9762651555448993E-4</v>
      </c>
      <c r="X315" s="35">
        <f t="shared" si="33"/>
        <v>3.6256401088028263E-4</v>
      </c>
      <c r="Y315" s="33">
        <f t="shared" si="34"/>
        <v>1.3889389598819423E-3</v>
      </c>
      <c r="Z315" s="54"/>
    </row>
    <row r="316" spans="15:26" x14ac:dyDescent="0.25">
      <c r="O316" s="37" t="s">
        <v>31</v>
      </c>
      <c r="P316" s="31">
        <f>_xll.qlCalendarAdvance(Calendar,P315,O315,"f",,Trigger)</f>
        <v>42893</v>
      </c>
      <c r="Q316" s="31">
        <f>_xll.qlInterestRateIndexValueDate(Index,P316,Trigger)</f>
        <v>42895</v>
      </c>
      <c r="R316" s="31">
        <f>_xll.qlInterestRateIndexMaturity(Index,Q316,Trigger)</f>
        <v>42989</v>
      </c>
      <c r="S316" s="32">
        <f>_xll.qlDayCounterYearFraction(DayCounter,Q316,R316,,,Trigger)</f>
        <v>0.26111111111111113</v>
      </c>
      <c r="T316" s="33">
        <f>_xll.qlIndexFixing(Index,P316,,AllTriggers)</f>
        <v>1.8230528435157027E-3</v>
      </c>
      <c r="U316" s="34">
        <f>_xll.qlYieldTSDiscount(OisCurve,Q316,,AllTriggers)</f>
        <v>1.0020058723519791</v>
      </c>
      <c r="V316" s="34">
        <f>_xll.qlYieldTSDiscount(OisCurve,R316,,AllTriggers)</f>
        <v>1.0018914185585426</v>
      </c>
      <c r="W316" s="33">
        <f t="shared" si="32"/>
        <v>4.3750616970197941E-4</v>
      </c>
      <c r="X316" s="35">
        <f t="shared" si="33"/>
        <v>3.6167489485669111E-4</v>
      </c>
      <c r="Y316" s="33">
        <f t="shared" si="34"/>
        <v>1.3855466738137232E-3</v>
      </c>
      <c r="Z316" s="54"/>
    </row>
    <row r="317" spans="15:26" x14ac:dyDescent="0.25">
      <c r="O317" s="37" t="s">
        <v>31</v>
      </c>
      <c r="P317" s="31">
        <f>_xll.qlCalendarAdvance(Calendar,P316,O316,"f",,Trigger)</f>
        <v>42900</v>
      </c>
      <c r="Q317" s="31">
        <f>_xll.qlInterestRateIndexValueDate(Index,P317,Trigger)</f>
        <v>42902</v>
      </c>
      <c r="R317" s="31">
        <f>_xll.qlInterestRateIndexMaturity(Index,Q317,Trigger)</f>
        <v>42996</v>
      </c>
      <c r="S317" s="32">
        <f>_xll.qlDayCounterYearFraction(DayCounter,Q317,R317,,,Trigger)</f>
        <v>0.26111111111111113</v>
      </c>
      <c r="T317" s="33">
        <f>_xll.qlIndexFixing(Index,P317,,AllTriggers)</f>
        <v>1.8599929456324664E-3</v>
      </c>
      <c r="U317" s="34">
        <f>_xll.qlYieldTSDiscount(OisCurve,Q317,,AllTriggers)</f>
        <v>1.0020021344362688</v>
      </c>
      <c r="V317" s="34">
        <f>_xll.qlYieldTSDiscount(OisCurve,R317,,AllTriggers)</f>
        <v>1.0018771846584842</v>
      </c>
      <c r="W317" s="33">
        <f t="shared" si="32"/>
        <v>4.7763445578323364E-4</v>
      </c>
      <c r="X317" s="35">
        <f t="shared" si="33"/>
        <v>3.6083904060007929E-4</v>
      </c>
      <c r="Y317" s="33">
        <f t="shared" si="34"/>
        <v>1.3823584898492328E-3</v>
      </c>
      <c r="Z317" s="54"/>
    </row>
    <row r="318" spans="15:26" x14ac:dyDescent="0.25">
      <c r="O318" s="37" t="s">
        <v>31</v>
      </c>
      <c r="P318" s="31">
        <f>_xll.qlCalendarAdvance(Calendar,P317,O317,"f",,Trigger)</f>
        <v>42907</v>
      </c>
      <c r="Q318" s="31">
        <f>_xll.qlInterestRateIndexValueDate(Index,P318,Trigger)</f>
        <v>42909</v>
      </c>
      <c r="R318" s="31">
        <f>_xll.qlInterestRateIndexMaturity(Index,Q318,Trigger)</f>
        <v>43003</v>
      </c>
      <c r="S318" s="32">
        <f>_xll.qlDayCounterYearFraction(DayCounter,Q318,R318,,,Trigger)</f>
        <v>0.26111111111111113</v>
      </c>
      <c r="T318" s="33">
        <f>_xll.qlIndexFixing(Index,P318,,AllTriggers)</f>
        <v>1.8974495462927392E-3</v>
      </c>
      <c r="U318" s="34">
        <f>_xll.qlYieldTSDiscount(OisCurve,Q318,,AllTriggers)</f>
        <v>1.0019976448457044</v>
      </c>
      <c r="V318" s="34">
        <f>_xll.qlYieldTSDiscount(OisCurve,R318,,AllTriggers)</f>
        <v>1.0018621344487226</v>
      </c>
      <c r="W318" s="33">
        <f t="shared" si="32"/>
        <v>5.1801138160222288E-4</v>
      </c>
      <c r="X318" s="35">
        <f t="shared" si="33"/>
        <v>3.6007308607166475E-4</v>
      </c>
      <c r="Y318" s="33">
        <f t="shared" si="34"/>
        <v>1.3794381646905162E-3</v>
      </c>
      <c r="Z318" s="54"/>
    </row>
    <row r="319" spans="15:26" x14ac:dyDescent="0.25">
      <c r="O319" s="37" t="s">
        <v>31</v>
      </c>
      <c r="P319" s="31">
        <f>_xll.qlCalendarAdvance(Calendar,P318,O318,"f",,Trigger)</f>
        <v>42914</v>
      </c>
      <c r="Q319" s="31">
        <f>_xll.qlInterestRateIndexValueDate(Index,P319,Trigger)</f>
        <v>42916</v>
      </c>
      <c r="R319" s="31">
        <f>_xll.qlInterestRateIndexMaturity(Index,Q319,Trigger)</f>
        <v>43007</v>
      </c>
      <c r="S319" s="32">
        <f>_xll.qlDayCounterYearFraction(DayCounter,Q319,R319,,,Trigger)</f>
        <v>0.25277777777777777</v>
      </c>
      <c r="T319" s="33">
        <f>_xll.qlIndexFixing(Index,P319,,AllTriggers)</f>
        <v>1.9269850639088374E-3</v>
      </c>
      <c r="U319" s="34">
        <f>_xll.qlYieldTSDiscount(OisCurve,Q319,,AllTriggers)</f>
        <v>1.0019923987549411</v>
      </c>
      <c r="V319" s="34">
        <f>_xll.qlYieldTSDiscount(OisCurve,R319,,AllTriggers)</f>
        <v>1.0018531659759247</v>
      </c>
      <c r="W319" s="33">
        <f t="shared" si="32"/>
        <v>5.4979213782756025E-4</v>
      </c>
      <c r="X319" s="35">
        <f t="shared" si="33"/>
        <v>3.4801482938024044E-4</v>
      </c>
      <c r="Y319" s="33">
        <f t="shared" si="34"/>
        <v>1.3771929260812772E-3</v>
      </c>
      <c r="Z319" s="54"/>
    </row>
    <row r="320" spans="15:26" x14ac:dyDescent="0.25">
      <c r="O320" s="37" t="s">
        <v>31</v>
      </c>
      <c r="P320" s="31">
        <f>_xll.qlCalendarAdvance(Calendar,P319,O319,"f",,Trigger)</f>
        <v>42921</v>
      </c>
      <c r="Q320" s="31">
        <f>_xll.qlInterestRateIndexValueDate(Index,P320,Trigger)</f>
        <v>42923</v>
      </c>
      <c r="R320" s="31">
        <f>_xll.qlInterestRateIndexMaturity(Index,Q320,Trigger)</f>
        <v>43017</v>
      </c>
      <c r="S320" s="32">
        <f>_xll.qlDayCounterYearFraction(DayCounter,Q320,R320,,,Trigger)</f>
        <v>0.26111111111111113</v>
      </c>
      <c r="T320" s="33">
        <f>_xll.qlIndexFixing(Index,P320,,AllTriggers)</f>
        <v>1.9739389739635775E-3</v>
      </c>
      <c r="U320" s="34">
        <f>_xll.qlYieldTSDiscount(OisCurve,Q320,,AllTriggers)</f>
        <v>1.0019863913404408</v>
      </c>
      <c r="V320" s="34">
        <f>_xll.qlYieldTSDiscount(OisCurve,R320,,AllTriggers)</f>
        <v>1.0018295659106069</v>
      </c>
      <c r="W320" s="33">
        <f t="shared" si="32"/>
        <v>5.9951118392610303E-4</v>
      </c>
      <c r="X320" s="35">
        <f t="shared" si="33"/>
        <v>3.5875783643024621E-4</v>
      </c>
      <c r="Y320" s="33">
        <f t="shared" si="34"/>
        <v>1.3744277900374744E-3</v>
      </c>
      <c r="Z320" s="54"/>
    </row>
    <row r="321" spans="15:26" x14ac:dyDescent="0.25">
      <c r="O321" s="37" t="s">
        <v>31</v>
      </c>
      <c r="P321" s="31">
        <f>_xll.qlCalendarAdvance(Calendar,P320,O320,"f",,Trigger)</f>
        <v>42928</v>
      </c>
      <c r="Q321" s="31">
        <f>_xll.qlInterestRateIndexValueDate(Index,P321,Trigger)</f>
        <v>42930</v>
      </c>
      <c r="R321" s="31">
        <f>_xll.qlInterestRateIndexMaturity(Index,Q321,Trigger)</f>
        <v>43024</v>
      </c>
      <c r="S321" s="32">
        <f>_xll.qlDayCounterYearFraction(DayCounter,Q321,R321,,,Trigger)</f>
        <v>0.26111111111111113</v>
      </c>
      <c r="T321" s="33">
        <f>_xll.qlIndexFixing(Index,P321,,AllTriggers)</f>
        <v>2.0129718324238795E-3</v>
      </c>
      <c r="U321" s="34">
        <f>_xll.qlYieldTSDiscount(OisCurve,Q321,,AllTriggers)</f>
        <v>1.0019796177805094</v>
      </c>
      <c r="V321" s="34">
        <f>_xll.qlYieldTSDiscount(OisCurve,R321,,AllTriggers)</f>
        <v>1.0018120379933446</v>
      </c>
      <c r="W321" s="33">
        <f t="shared" si="32"/>
        <v>6.4063407628129373E-4</v>
      </c>
      <c r="X321" s="35">
        <f t="shared" si="33"/>
        <v>3.5820854131831108E-4</v>
      </c>
      <c r="Y321" s="33">
        <f t="shared" si="34"/>
        <v>1.3723377561425858E-3</v>
      </c>
      <c r="Z321" s="54"/>
    </row>
    <row r="322" spans="15:26" x14ac:dyDescent="0.25">
      <c r="O322" s="37" t="s">
        <v>31</v>
      </c>
      <c r="P322" s="31">
        <f>_xll.qlCalendarAdvance(Calendar,P321,O321,"f",,Trigger)</f>
        <v>42935</v>
      </c>
      <c r="Q322" s="31">
        <f>_xll.qlInterestRateIndexValueDate(Index,P322,Trigger)</f>
        <v>42937</v>
      </c>
      <c r="R322" s="31">
        <f>_xll.qlInterestRateIndexMaturity(Index,Q322,Trigger)</f>
        <v>43031</v>
      </c>
      <c r="S322" s="32">
        <f>_xll.qlDayCounterYearFraction(DayCounter,Q322,R322,,,Trigger)</f>
        <v>0.26111111111111113</v>
      </c>
      <c r="T322" s="33">
        <f>_xll.qlIndexFixing(Index,P322,,AllTriggers)</f>
        <v>2.052530141961724E-3</v>
      </c>
      <c r="U322" s="34">
        <f>_xll.qlYieldTSDiscount(OisCurve,Q322,,AllTriggers)</f>
        <v>1.0019720732553343</v>
      </c>
      <c r="V322" s="34">
        <f>_xll.qlYieldTSDiscount(OisCurve,R322,,AllTriggers)</f>
        <v>1.001793674588642</v>
      </c>
      <c r="W322" s="33">
        <f t="shared" si="32"/>
        <v>6.8200564008247255E-4</v>
      </c>
      <c r="X322" s="35">
        <f t="shared" si="33"/>
        <v>3.5773146601201508E-4</v>
      </c>
      <c r="Y322" s="33">
        <f t="shared" si="34"/>
        <v>1.3705245018792514E-3</v>
      </c>
      <c r="Z322" s="54"/>
    </row>
    <row r="323" spans="15:26" x14ac:dyDescent="0.25">
      <c r="O323" s="37" t="s">
        <v>31</v>
      </c>
      <c r="P323" s="31">
        <f>_xll.qlCalendarAdvance(Calendar,P322,O322,"f",,Trigger)</f>
        <v>42942</v>
      </c>
      <c r="Q323" s="31">
        <f>_xll.qlInterestRateIndexValueDate(Index,P323,Trigger)</f>
        <v>42944</v>
      </c>
      <c r="R323" s="31">
        <f>_xll.qlInterestRateIndexMaturity(Index,Q323,Trigger)</f>
        <v>43038</v>
      </c>
      <c r="S323" s="32">
        <f>_xll.qlDayCounterYearFraction(DayCounter,Q323,R323,,,Trigger)</f>
        <v>0.26111111111111113</v>
      </c>
      <c r="T323" s="33">
        <f>_xll.qlIndexFixing(Index,P323,,AllTriggers)</f>
        <v>2.0926139188415472E-3</v>
      </c>
      <c r="U323" s="34">
        <f>_xll.qlYieldTSDiscount(OisCurve,Q323,,AllTriggers)</f>
        <v>1.0019637529470204</v>
      </c>
      <c r="V323" s="34">
        <f>_xll.qlYieldTSDiscount(OisCurve,R323,,AllTriggers)</f>
        <v>1.0017744709080567</v>
      </c>
      <c r="W323" s="33">
        <f t="shared" si="32"/>
        <v>7.2362588337852006E-4</v>
      </c>
      <c r="X323" s="35">
        <f t="shared" si="33"/>
        <v>3.5732661051084158E-4</v>
      </c>
      <c r="Y323" s="33">
        <f t="shared" si="34"/>
        <v>1.3689880354630273E-3</v>
      </c>
      <c r="Z323" s="54"/>
    </row>
    <row r="324" spans="15:26" x14ac:dyDescent="0.25">
      <c r="O324" s="37" t="s">
        <v>31</v>
      </c>
      <c r="P324" s="31">
        <f>_xll.qlCalendarAdvance(Calendar,P323,O323,"f",,Trigger)</f>
        <v>42949</v>
      </c>
      <c r="Q324" s="31">
        <f>_xll.qlInterestRateIndexValueDate(Index,P324,Trigger)</f>
        <v>42951</v>
      </c>
      <c r="R324" s="31">
        <f>_xll.qlInterestRateIndexMaturity(Index,Q324,Trigger)</f>
        <v>43045</v>
      </c>
      <c r="S324" s="32">
        <f>_xll.qlDayCounterYearFraction(DayCounter,Q324,R324,,,Trigger)</f>
        <v>0.26111111111111113</v>
      </c>
      <c r="T324" s="33">
        <f>_xll.qlIndexFixing(Index,P324,,AllTriggers)</f>
        <v>2.1332231795463349E-3</v>
      </c>
      <c r="U324" s="34">
        <f>_xll.qlYieldTSDiscount(OisCurve,Q324,,AllTriggers)</f>
        <v>1.0019546520396279</v>
      </c>
      <c r="V324" s="34">
        <f>_xll.qlYieldTSDiscount(OisCurve,R324,,AllTriggers)</f>
        <v>1.0017544221656238</v>
      </c>
      <c r="W324" s="33">
        <f t="shared" ref="W324:W387" si="35">(U324/V324-1)/S324</f>
        <v>7.6549481426508811E-4</v>
      </c>
      <c r="X324" s="35">
        <f t="shared" ref="X324:X387" si="36">LN((1+T324*S324)/(1+W324*S324))</f>
        <v>3.5699397481527408E-4</v>
      </c>
      <c r="Y324" s="33">
        <f t="shared" ref="Y324:Y387" si="37">T324-W324</f>
        <v>1.3677283652812468E-3</v>
      </c>
      <c r="Z324" s="54"/>
    </row>
    <row r="325" spans="15:26" x14ac:dyDescent="0.25">
      <c r="O325" s="37" t="s">
        <v>31</v>
      </c>
      <c r="P325" s="31">
        <f>_xll.qlCalendarAdvance(Calendar,P324,O324,"f",,Trigger)</f>
        <v>42956</v>
      </c>
      <c r="Q325" s="31">
        <f>_xll.qlInterestRateIndexValueDate(Index,P325,Trigger)</f>
        <v>42958</v>
      </c>
      <c r="R325" s="31">
        <f>_xll.qlInterestRateIndexMaturity(Index,Q325,Trigger)</f>
        <v>43052</v>
      </c>
      <c r="S325" s="32">
        <f>_xll.qlDayCounterYearFraction(DayCounter,Q325,R325,,,Trigger)</f>
        <v>0.26111111111111113</v>
      </c>
      <c r="T325" s="33">
        <f>_xll.qlIndexFixing(Index,P325,,AllTriggers)</f>
        <v>2.1743579407725181E-3</v>
      </c>
      <c r="U325" s="34">
        <f>_xll.qlYieldTSDiscount(OisCurve,Q325,,AllTriggers)</f>
        <v>1.0019447657192087</v>
      </c>
      <c r="V325" s="34">
        <f>_xll.qlYieldTSDiscount(OisCurve,R325,,AllTriggers)</f>
        <v>1.0017335235778952</v>
      </c>
      <c r="W325" s="33">
        <f t="shared" si="35"/>
        <v>8.0761244088544998E-4</v>
      </c>
      <c r="X325" s="35">
        <f t="shared" si="36"/>
        <v>3.5673355892568636E-4</v>
      </c>
      <c r="Y325" s="33">
        <f t="shared" si="37"/>
        <v>1.3667454998870681E-3</v>
      </c>
      <c r="Z325" s="54"/>
    </row>
    <row r="326" spans="15:26" x14ac:dyDescent="0.25">
      <c r="O326" s="37" t="s">
        <v>31</v>
      </c>
      <c r="P326" s="31">
        <f>_xll.qlCalendarAdvance(Calendar,P325,O325,"f",,Trigger)</f>
        <v>42963</v>
      </c>
      <c r="Q326" s="31">
        <f>_xll.qlInterestRateIndexValueDate(Index,P326,Trigger)</f>
        <v>42965</v>
      </c>
      <c r="R326" s="31">
        <f>_xll.qlInterestRateIndexMaturity(Index,Q326,Trigger)</f>
        <v>43059</v>
      </c>
      <c r="S326" s="32">
        <f>_xll.qlDayCounterYearFraction(DayCounter,Q326,R326,,,Trigger)</f>
        <v>0.26111111111111113</v>
      </c>
      <c r="T326" s="33">
        <f>_xll.qlIndexFixing(Index,P326,,AllTriggers)</f>
        <v>2.2160182194350766E-3</v>
      </c>
      <c r="U326" s="34">
        <f>_xll.qlYieldTSDiscount(OisCurve,Q326,,AllTriggers)</f>
        <v>1.0019340891738466</v>
      </c>
      <c r="V326" s="34">
        <f>_xll.qlYieldTSDiscount(OisCurve,R326,,AllTriggers)</f>
        <v>1.0017117703639817</v>
      </c>
      <c r="W326" s="33">
        <f t="shared" si="35"/>
        <v>8.4997877143730351E-4</v>
      </c>
      <c r="X326" s="35">
        <f t="shared" si="36"/>
        <v>3.5654536284078915E-4</v>
      </c>
      <c r="Y326" s="33">
        <f t="shared" si="37"/>
        <v>1.3660394479977731E-3</v>
      </c>
      <c r="Z326" s="54"/>
    </row>
    <row r="327" spans="15:26" x14ac:dyDescent="0.25">
      <c r="O327" s="37" t="s">
        <v>31</v>
      </c>
      <c r="P327" s="31">
        <f>_xll.qlCalendarAdvance(Calendar,P326,O326,"f",,Trigger)</f>
        <v>42970</v>
      </c>
      <c r="Q327" s="31">
        <f>_xll.qlInterestRateIndexValueDate(Index,P327,Trigger)</f>
        <v>42972</v>
      </c>
      <c r="R327" s="31">
        <f>_xll.qlInterestRateIndexMaturity(Index,Q327,Trigger)</f>
        <v>43066</v>
      </c>
      <c r="S327" s="32">
        <f>_xll.qlDayCounterYearFraction(DayCounter,Q327,R327,,,Trigger)</f>
        <v>0.26111111111111113</v>
      </c>
      <c r="T327" s="33">
        <f>_xll.qlIndexFixing(Index,P327,,AllTriggers)</f>
        <v>2.2582040326641385E-3</v>
      </c>
      <c r="U327" s="34">
        <f>_xll.qlYieldTSDiscount(OisCurve,Q327,,AllTriggers)</f>
        <v>1.0019226175936919</v>
      </c>
      <c r="V327" s="34">
        <f>_xll.qlYieldTSDiscount(OisCurve,R327,,AllTriggers)</f>
        <v>1.0016891577455924</v>
      </c>
      <c r="W327" s="33">
        <f t="shared" si="35"/>
        <v>8.9259381415831467E-4</v>
      </c>
      <c r="X327" s="35">
        <f t="shared" si="36"/>
        <v>3.5642938656162501E-4</v>
      </c>
      <c r="Y327" s="33">
        <f t="shared" si="37"/>
        <v>1.3656102185058239E-3</v>
      </c>
      <c r="Z327" s="54"/>
    </row>
    <row r="328" spans="15:26" x14ac:dyDescent="0.25">
      <c r="O328" s="37" t="s">
        <v>31</v>
      </c>
      <c r="P328" s="31">
        <f>_xll.qlCalendarAdvance(Calendar,P327,O327,"f",,Trigger)</f>
        <v>42977</v>
      </c>
      <c r="Q328" s="31">
        <f>_xll.qlInterestRateIndexValueDate(Index,P328,Trigger)</f>
        <v>42979</v>
      </c>
      <c r="R328" s="31">
        <f>_xll.qlInterestRateIndexMaturity(Index,Q328,Trigger)</f>
        <v>43070</v>
      </c>
      <c r="S328" s="32">
        <f>_xll.qlDayCounterYearFraction(DayCounter,Q328,R328,,,Trigger)</f>
        <v>0.25277777777777777</v>
      </c>
      <c r="T328" s="33">
        <f>_xll.qlIndexFixing(Index,P328,,AllTriggers)</f>
        <v>2.2914490360926355E-3</v>
      </c>
      <c r="U328" s="34">
        <f>_xll.qlYieldTSDiscount(OisCurve,Q328,,AllTriggers)</f>
        <v>1.0019103461710024</v>
      </c>
      <c r="V328" s="34">
        <f>_xll.qlYieldTSDiscount(OisCurve,R328,,AllTriggers)</f>
        <v>1.0016758485563297</v>
      </c>
      <c r="W328" s="33">
        <f t="shared" si="35"/>
        <v>9.2613081624066723E-4</v>
      </c>
      <c r="X328" s="35">
        <f t="shared" si="36"/>
        <v>3.4498181650305447E-4</v>
      </c>
      <c r="Y328" s="33">
        <f t="shared" si="37"/>
        <v>1.3653182198519681E-3</v>
      </c>
      <c r="Z328" s="54"/>
    </row>
    <row r="329" spans="15:26" x14ac:dyDescent="0.25">
      <c r="O329" s="37" t="s">
        <v>31</v>
      </c>
      <c r="P329" s="31">
        <f>_xll.qlCalendarAdvance(Calendar,P328,O328,"f",,Trigger)</f>
        <v>42984</v>
      </c>
      <c r="Q329" s="31">
        <f>_xll.qlInterestRateIndexValueDate(Index,P329,Trigger)</f>
        <v>42986</v>
      </c>
      <c r="R329" s="31">
        <f>_xll.qlInterestRateIndexMaturity(Index,Q329,Trigger)</f>
        <v>43077</v>
      </c>
      <c r="S329" s="32">
        <f>_xll.qlDayCounterYearFraction(DayCounter,Q329,R329,,,Trigger)</f>
        <v>0.25277777777777777</v>
      </c>
      <c r="T329" s="33">
        <f>_xll.qlIndexFixing(Index,P329,,AllTriggers)</f>
        <v>2.3345725134276082E-3</v>
      </c>
      <c r="U329" s="34">
        <f>_xll.qlYieldTSDiscount(OisCurve,Q329,,AllTriggers)</f>
        <v>1.0018972701001807</v>
      </c>
      <c r="V329" s="34">
        <f>_xll.qlYieldTSDiscount(OisCurve,R329,,AllTriggers)</f>
        <v>1.0016518757974604</v>
      </c>
      <c r="W329" s="33">
        <f t="shared" si="35"/>
        <v>9.6918966717031386E-4</v>
      </c>
      <c r="X329" s="35">
        <f t="shared" si="36"/>
        <v>3.4499438966198188E-4</v>
      </c>
      <c r="Y329" s="33">
        <f t="shared" si="37"/>
        <v>1.3653828462572943E-3</v>
      </c>
      <c r="Z329" s="54"/>
    </row>
    <row r="330" spans="15:26" x14ac:dyDescent="0.25">
      <c r="O330" s="37" t="s">
        <v>31</v>
      </c>
      <c r="P330" s="31">
        <f>_xll.qlCalendarAdvance(Calendar,P329,O329,"f",,Trigger)</f>
        <v>42991</v>
      </c>
      <c r="Q330" s="31">
        <f>_xll.qlInterestRateIndexValueDate(Index,P330,Trigger)</f>
        <v>42993</v>
      </c>
      <c r="R330" s="31">
        <f>_xll.qlInterestRateIndexMaturity(Index,Q330,Trigger)</f>
        <v>43084</v>
      </c>
      <c r="S330" s="32">
        <f>_xll.qlDayCounterYearFraction(DayCounter,Q330,R330,,,Trigger)</f>
        <v>0.25277777777777777</v>
      </c>
      <c r="T330" s="33">
        <f>_xll.qlIndexFixing(Index,P330,,AllTriggers)</f>
        <v>2.3782215482554907E-3</v>
      </c>
      <c r="U330" s="34">
        <f>_xll.qlYieldTSDiscount(OisCurve,Q330,,AllTriggers)</f>
        <v>1.0018833845778117</v>
      </c>
      <c r="V330" s="34">
        <f>_xll.qlYieldTSDiscount(OisCurve,R330,,AllTriggers)</f>
        <v>1.0016270313593056</v>
      </c>
      <c r="W330" s="33">
        <f t="shared" si="35"/>
        <v>1.0124972359287106E-3</v>
      </c>
      <c r="X330" s="35">
        <f t="shared" si="36"/>
        <v>3.4507687773978714E-4</v>
      </c>
      <c r="Y330" s="33">
        <f t="shared" si="37"/>
        <v>1.3657243123267801E-3</v>
      </c>
      <c r="Z330" s="54"/>
    </row>
    <row r="331" spans="15:26" x14ac:dyDescent="0.25">
      <c r="O331" s="37" t="s">
        <v>31</v>
      </c>
      <c r="P331" s="31">
        <f>_xll.qlCalendarAdvance(Calendar,P330,O330,"f",,Trigger)</f>
        <v>42998</v>
      </c>
      <c r="Q331" s="31">
        <f>_xll.qlInterestRateIndexValueDate(Index,P331,Trigger)</f>
        <v>43000</v>
      </c>
      <c r="R331" s="31">
        <f>_xll.qlInterestRateIndexMaturity(Index,Q331,Trigger)</f>
        <v>43091</v>
      </c>
      <c r="S331" s="32">
        <f>_xll.qlDayCounterYearFraction(DayCounter,Q331,R331,,,Trigger)</f>
        <v>0.25277777777777777</v>
      </c>
      <c r="T331" s="33">
        <f>_xll.qlIndexFixing(Index,P331,,AllTriggers)</f>
        <v>2.4223961579531526E-3</v>
      </c>
      <c r="U331" s="34">
        <f>_xll.qlYieldTSDiscount(OisCurve,Q331,,AllTriggers)</f>
        <v>1.0018686848027034</v>
      </c>
      <c r="V331" s="34">
        <f>_xll.qlYieldTSDiscount(OisCurve,R331,,AllTriggers)</f>
        <v>1.0016013104731942</v>
      </c>
      <c r="W331" s="33">
        <f t="shared" si="35"/>
        <v>1.056053530677241E-3</v>
      </c>
      <c r="X331" s="35">
        <f t="shared" si="36"/>
        <v>3.4522928073581644E-4</v>
      </c>
      <c r="Y331" s="33">
        <f t="shared" si="37"/>
        <v>1.3663426272759115E-3</v>
      </c>
      <c r="Z331" s="54"/>
    </row>
    <row r="332" spans="15:26" x14ac:dyDescent="0.25">
      <c r="O332" s="37" t="s">
        <v>31</v>
      </c>
      <c r="P332" s="31">
        <f>_xll.qlCalendarAdvance(Calendar,P331,O331,"f",,Trigger)</f>
        <v>43005</v>
      </c>
      <c r="Q332" s="31">
        <f>_xll.qlInterestRateIndexValueDate(Index,P332,Trigger)</f>
        <v>43007</v>
      </c>
      <c r="R332" s="31">
        <f>_xll.qlInterestRateIndexMaturity(Index,Q332,Trigger)</f>
        <v>43098</v>
      </c>
      <c r="S332" s="32">
        <f>_xll.qlDayCounterYearFraction(DayCounter,Q332,R332,,,Trigger)</f>
        <v>0.25277777777777777</v>
      </c>
      <c r="T332" s="33">
        <f>_xll.qlIndexFixing(Index,P332,,AllTriggers)</f>
        <v>2.4670963601030123E-3</v>
      </c>
      <c r="U332" s="34">
        <f>_xll.qlYieldTSDiscount(OisCurve,Q332,,AllTriggers)</f>
        <v>1.0018531659759247</v>
      </c>
      <c r="V332" s="34">
        <f>_xll.qlYieldTSDiscount(OisCurve,R332,,AllTriggers)</f>
        <v>1.001574708373244</v>
      </c>
      <c r="W332" s="33">
        <f t="shared" si="35"/>
        <v>1.0998585596159391E-3</v>
      </c>
      <c r="X332" s="35">
        <f t="shared" si="36"/>
        <v>3.4545159864984555E-4</v>
      </c>
      <c r="Y332" s="33">
        <f t="shared" si="37"/>
        <v>1.3672378004870732E-3</v>
      </c>
      <c r="Z332" s="54"/>
    </row>
    <row r="333" spans="15:26" x14ac:dyDescent="0.25">
      <c r="O333" s="37" t="s">
        <v>31</v>
      </c>
      <c r="P333" s="31">
        <f>_xll.qlCalendarAdvance(Calendar,P332,O332,"f",,Trigger)</f>
        <v>43012</v>
      </c>
      <c r="Q333" s="31">
        <f>_xll.qlInterestRateIndexValueDate(Index,P333,Trigger)</f>
        <v>43014</v>
      </c>
      <c r="R333" s="31">
        <f>_xll.qlInterestRateIndexMaturity(Index,Q333,Trigger)</f>
        <v>43108</v>
      </c>
      <c r="S333" s="32">
        <f>_xll.qlDayCounterYearFraction(DayCounter,Q333,R333,,,Trigger)</f>
        <v>0.26111111111111113</v>
      </c>
      <c r="T333" s="33">
        <f>_xll.qlIndexFixing(Index,P333,,AllTriggers)</f>
        <v>2.5223561244769794E-3</v>
      </c>
      <c r="U333" s="34">
        <f>_xll.qlYieldTSDiscount(OisCurve,Q333,,AllTriggers)</f>
        <v>1.0018368233008452</v>
      </c>
      <c r="V333" s="34">
        <f>_xll.qlYieldTSDiscount(OisCurve,R333,,AllTriggers)</f>
        <v>1.0015351672948898</v>
      </c>
      <c r="W333" s="33">
        <f t="shared" si="35"/>
        <v>1.1535074937017453E-3</v>
      </c>
      <c r="X333" s="35">
        <f t="shared" si="36"/>
        <v>3.5725014480367858E-4</v>
      </c>
      <c r="Y333" s="33">
        <f t="shared" si="37"/>
        <v>1.3688486307752341E-3</v>
      </c>
      <c r="Z333" s="54"/>
    </row>
    <row r="334" spans="15:26" x14ac:dyDescent="0.25">
      <c r="O334" s="37" t="s">
        <v>31</v>
      </c>
      <c r="P334" s="31">
        <f>_xll.qlCalendarAdvance(Calendar,P333,O333,"f",,Trigger)</f>
        <v>43019</v>
      </c>
      <c r="Q334" s="31">
        <f>_xll.qlInterestRateIndexValueDate(Index,P334,Trigger)</f>
        <v>43021</v>
      </c>
      <c r="R334" s="31">
        <f>_xll.qlInterestRateIndexMaturity(Index,Q334,Trigger)</f>
        <v>43115</v>
      </c>
      <c r="S334" s="32">
        <f>_xll.qlDayCounterYearFraction(DayCounter,Q334,R334,,,Trigger)</f>
        <v>0.26111111111111113</v>
      </c>
      <c r="T334" s="33">
        <f>_xll.qlIndexFixing(Index,P334,,AllTriggers)</f>
        <v>2.5682211774827146E-3</v>
      </c>
      <c r="U334" s="34">
        <f>_xll.qlYieldTSDiscount(OisCurve,Q334,,AllTriggers)</f>
        <v>1.0018196519831741</v>
      </c>
      <c r="V334" s="34">
        <f>_xll.qlYieldTSDiscount(OisCurve,R334,,AllTriggers)</f>
        <v>1.0015064052800473</v>
      </c>
      <c r="W334" s="33">
        <f t="shared" si="35"/>
        <v>1.1978637564538947E-3</v>
      </c>
      <c r="X334" s="35">
        <f t="shared" si="36"/>
        <v>3.5763970716288747E-4</v>
      </c>
      <c r="Y334" s="33">
        <f t="shared" si="37"/>
        <v>1.3703574210288199E-3</v>
      </c>
      <c r="Z334" s="54"/>
    </row>
    <row r="335" spans="15:26" x14ac:dyDescent="0.25">
      <c r="O335" s="37" t="s">
        <v>31</v>
      </c>
      <c r="P335" s="31">
        <f>_xll.qlCalendarAdvance(Calendar,P334,O334,"f",,Trigger)</f>
        <v>43026</v>
      </c>
      <c r="Q335" s="31">
        <f>_xll.qlInterestRateIndexValueDate(Index,P335,Trigger)</f>
        <v>43028</v>
      </c>
      <c r="R335" s="31">
        <f>_xll.qlInterestRateIndexMaturity(Index,Q335,Trigger)</f>
        <v>43122</v>
      </c>
      <c r="S335" s="32">
        <f>_xll.qlDayCounterYearFraction(DayCounter,Q335,R335,,,Trigger)</f>
        <v>0.26111111111111113</v>
      </c>
      <c r="T335" s="33">
        <f>_xll.qlIndexFixing(Index,P335,,AllTriggers)</f>
        <v>2.6146119098829318E-3</v>
      </c>
      <c r="U335" s="34">
        <f>_xll.qlYieldTSDiscount(OisCurve,Q335,,AllTriggers)</f>
        <v>1.0018016472310001</v>
      </c>
      <c r="V335" s="34">
        <f>_xll.qlYieldTSDiscount(OisCurve,R335,,AllTriggers)</f>
        <v>1.001476745732951</v>
      </c>
      <c r="W335" s="33">
        <f t="shared" si="35"/>
        <v>1.2424687990521294E-3</v>
      </c>
      <c r="X335" s="35">
        <f t="shared" si="36"/>
        <v>3.5810148932823228E-4</v>
      </c>
      <c r="Y335" s="33">
        <f t="shared" si="37"/>
        <v>1.3721431108308024E-3</v>
      </c>
      <c r="Z335" s="54"/>
    </row>
    <row r="336" spans="15:26" x14ac:dyDescent="0.25">
      <c r="O336" s="37" t="s">
        <v>31</v>
      </c>
      <c r="P336" s="31">
        <f>_xll.qlCalendarAdvance(Calendar,P335,O335,"f",,Trigger)</f>
        <v>43033</v>
      </c>
      <c r="Q336" s="31">
        <f>_xll.qlInterestRateIndexValueDate(Index,P336,Trigger)</f>
        <v>43035</v>
      </c>
      <c r="R336" s="31">
        <f>_xll.qlInterestRateIndexMaturity(Index,Q336,Trigger)</f>
        <v>43129</v>
      </c>
      <c r="S336" s="32">
        <f>_xll.qlDayCounterYearFraction(DayCounter,Q336,R336,,,Trigger)</f>
        <v>0.26111111111111113</v>
      </c>
      <c r="T336" s="33">
        <f>_xll.qlIndexFixing(Index,P336,,AllTriggers)</f>
        <v>2.6615283407534366E-3</v>
      </c>
      <c r="U336" s="34">
        <f>_xll.qlYieldTSDiscount(OisCurve,Q336,,AllTriggers)</f>
        <v>1.0017828042548322</v>
      </c>
      <c r="V336" s="34">
        <f>_xll.qlYieldTSDiscount(OisCurve,R336,,AllTriggers)</f>
        <v>1.0014461839005779</v>
      </c>
      <c r="W336" s="33">
        <f t="shared" si="35"/>
        <v>1.2873226301797166E-3</v>
      </c>
      <c r="X336" s="35">
        <f t="shared" si="36"/>
        <v>3.5863549129821592E-4</v>
      </c>
      <c r="Y336" s="33">
        <f t="shared" si="37"/>
        <v>1.37420571057372E-3</v>
      </c>
      <c r="Z336" s="54"/>
    </row>
    <row r="337" spans="15:26" x14ac:dyDescent="0.25">
      <c r="O337" s="37" t="s">
        <v>31</v>
      </c>
      <c r="P337" s="31">
        <f>_xll.qlCalendarAdvance(Calendar,P336,O336,"f",,Trigger)</f>
        <v>43040</v>
      </c>
      <c r="Q337" s="31">
        <f>_xll.qlInterestRateIndexValueDate(Index,P337,Trigger)</f>
        <v>43042</v>
      </c>
      <c r="R337" s="31">
        <f>_xll.qlInterestRateIndexMaturity(Index,Q337,Trigger)</f>
        <v>43136</v>
      </c>
      <c r="S337" s="32">
        <f>_xll.qlDayCounterYearFraction(DayCounter,Q337,R337,,,Trigger)</f>
        <v>0.26111111111111113</v>
      </c>
      <c r="T337" s="33">
        <f>_xll.qlIndexFixing(Index,P337,,AllTriggers)</f>
        <v>2.7089704893885811E-3</v>
      </c>
      <c r="U337" s="34">
        <f>_xll.qlYieldTSDiscount(OisCurve,Q337,,AllTriggers)</f>
        <v>1.0017631182676385</v>
      </c>
      <c r="V337" s="34">
        <f>_xll.qlYieldTSDiscount(OisCurve,R337,,AllTriggers)</f>
        <v>1.001414715032926</v>
      </c>
      <c r="W337" s="33">
        <f t="shared" si="35"/>
        <v>1.3324252585573397E-3</v>
      </c>
      <c r="X337" s="35">
        <f t="shared" si="36"/>
        <v>3.5924171307478314E-4</v>
      </c>
      <c r="Y337" s="33">
        <f t="shared" si="37"/>
        <v>1.3765452308312413E-3</v>
      </c>
      <c r="Z337" s="54"/>
    </row>
    <row r="338" spans="15:26" x14ac:dyDescent="0.25">
      <c r="O338" s="37" t="s">
        <v>31</v>
      </c>
      <c r="P338" s="31">
        <f>_xll.qlCalendarAdvance(Calendar,P337,O337,"f",,Trigger)</f>
        <v>43047</v>
      </c>
      <c r="Q338" s="31">
        <f>_xll.qlInterestRateIndexValueDate(Index,P338,Trigger)</f>
        <v>43049</v>
      </c>
      <c r="R338" s="31">
        <f>_xll.qlInterestRateIndexMaturity(Index,Q338,Trigger)</f>
        <v>43143</v>
      </c>
      <c r="S338" s="32">
        <f>_xll.qlDayCounterYearFraction(DayCounter,Q338,R338,,,Trigger)</f>
        <v>0.26111111111111113</v>
      </c>
      <c r="T338" s="33">
        <f>_xll.qlIndexFixing(Index,P338,,AllTriggers)</f>
        <v>2.7569383752944652E-3</v>
      </c>
      <c r="U338" s="34">
        <f>_xll.qlYieldTSDiscount(OisCurve,Q338,,AllTriggers)</f>
        <v>1.0017425844848875</v>
      </c>
      <c r="V338" s="34">
        <f>_xll.qlYieldTSDiscount(OisCurve,R338,,AllTriggers)</f>
        <v>1.0013823343830557</v>
      </c>
      <c r="W338" s="33">
        <f t="shared" si="35"/>
        <v>1.3777766929635087E-3</v>
      </c>
      <c r="X338" s="35">
        <f t="shared" si="36"/>
        <v>3.5992015465599559E-4</v>
      </c>
      <c r="Y338" s="33">
        <f t="shared" si="37"/>
        <v>1.3791616823309566E-3</v>
      </c>
      <c r="Z338" s="54"/>
    </row>
    <row r="339" spans="15:26" x14ac:dyDescent="0.25">
      <c r="O339" s="37" t="s">
        <v>31</v>
      </c>
      <c r="P339" s="31">
        <f>_xll.qlCalendarAdvance(Calendar,P338,O338,"f",,Trigger)</f>
        <v>43054</v>
      </c>
      <c r="Q339" s="31">
        <f>_xll.qlInterestRateIndexValueDate(Index,P339,Trigger)</f>
        <v>43056</v>
      </c>
      <c r="R339" s="31">
        <f>_xll.qlInterestRateIndexMaturity(Index,Q339,Trigger)</f>
        <v>43150</v>
      </c>
      <c r="S339" s="32">
        <f>_xll.qlDayCounterYearFraction(DayCounter,Q339,R339,,,Trigger)</f>
        <v>0.26111111111111113</v>
      </c>
      <c r="T339" s="33">
        <f>_xll.qlIndexFixing(Index,P339,,AllTriggers)</f>
        <v>2.805432018200838E-3</v>
      </c>
      <c r="U339" s="34">
        <f>_xll.qlYieldTSDiscount(OisCurve,Q339,,AllTriggers)</f>
        <v>1.0017211981245884</v>
      </c>
      <c r="V339" s="34">
        <f>_xll.qlYieldTSDiscount(OisCurve,R339,,AllTriggers)</f>
        <v>1.0013490372071345</v>
      </c>
      <c r="W339" s="33">
        <f t="shared" si="35"/>
        <v>1.4233769422192528E-3</v>
      </c>
      <c r="X339" s="35">
        <f t="shared" si="36"/>
        <v>3.606708160433567E-4</v>
      </c>
      <c r="Y339" s="33">
        <f t="shared" si="37"/>
        <v>1.3820550759815853E-3</v>
      </c>
      <c r="Z339" s="54"/>
    </row>
    <row r="340" spans="15:26" x14ac:dyDescent="0.25">
      <c r="O340" s="37" t="s">
        <v>31</v>
      </c>
      <c r="P340" s="31">
        <f>_xll.qlCalendarAdvance(Calendar,P339,O339,"f",,Trigger)</f>
        <v>43061</v>
      </c>
      <c r="Q340" s="31">
        <f>_xll.qlInterestRateIndexValueDate(Index,P340,Trigger)</f>
        <v>43063</v>
      </c>
      <c r="R340" s="31">
        <f>_xll.qlInterestRateIndexMaturity(Index,Q340,Trigger)</f>
        <v>43157</v>
      </c>
      <c r="S340" s="32">
        <f>_xll.qlDayCounterYearFraction(DayCounter,Q340,R340,,,Trigger)</f>
        <v>0.26111111111111113</v>
      </c>
      <c r="T340" s="33">
        <f>_xll.qlIndexFixing(Index,P340,,AllTriggers)</f>
        <v>2.8544514380466437E-3</v>
      </c>
      <c r="U340" s="34">
        <f>_xll.qlYieldTSDiscount(OisCurve,Q340,,AllTriggers)</f>
        <v>1.0016989544073314</v>
      </c>
      <c r="V340" s="34">
        <f>_xll.qlYieldTSDiscount(OisCurve,R340,,AllTriggers)</f>
        <v>1.0013148187644803</v>
      </c>
      <c r="W340" s="33">
        <f t="shared" si="35"/>
        <v>1.469226015197474E-3</v>
      </c>
      <c r="X340" s="35">
        <f t="shared" si="36"/>
        <v>3.6149369723559646E-4</v>
      </c>
      <c r="Y340" s="33">
        <f t="shared" si="37"/>
        <v>1.3852254228491697E-3</v>
      </c>
      <c r="Z340" s="54"/>
    </row>
    <row r="341" spans="15:26" x14ac:dyDescent="0.25">
      <c r="O341" s="37" t="s">
        <v>31</v>
      </c>
      <c r="P341" s="31">
        <f>_xll.qlCalendarAdvance(Calendar,P340,O340,"f",,Trigger)</f>
        <v>43068</v>
      </c>
      <c r="Q341" s="31">
        <f>_xll.qlInterestRateIndexValueDate(Index,P341,Trigger)</f>
        <v>43070</v>
      </c>
      <c r="R341" s="31">
        <f>_xll.qlInterestRateIndexMaturity(Index,Q341,Trigger)</f>
        <v>43160</v>
      </c>
      <c r="S341" s="32">
        <f>_xll.qlDayCounterYearFraction(DayCounter,Q341,R341,,,Trigger)</f>
        <v>0.25</v>
      </c>
      <c r="T341" s="33">
        <f>_xll.qlIndexFixing(Index,P341,,AllTriggers)</f>
        <v>2.8894121770628445E-3</v>
      </c>
      <c r="U341" s="34">
        <f>_xll.qlYieldTSDiscount(OisCurve,Q341,,AllTriggers)</f>
        <v>1.0016758485563297</v>
      </c>
      <c r="V341" s="34">
        <f>_xll.qlYieldTSDiscount(OisCurve,R341,,AllTriggers)</f>
        <v>1.0012998705230731</v>
      </c>
      <c r="W341" s="33">
        <f t="shared" si="35"/>
        <v>1.5019597797820694E-3</v>
      </c>
      <c r="X341" s="35">
        <f t="shared" si="36"/>
        <v>3.4667280663895872E-4</v>
      </c>
      <c r="Y341" s="33">
        <f t="shared" si="37"/>
        <v>1.3874523972807751E-3</v>
      </c>
      <c r="Z341" s="54"/>
    </row>
    <row r="342" spans="15:26" x14ac:dyDescent="0.25">
      <c r="O342" s="37" t="s">
        <v>31</v>
      </c>
      <c r="P342" s="31">
        <f>_xll.qlCalendarAdvance(Calendar,P341,O341,"f",,Trigger)</f>
        <v>43075</v>
      </c>
      <c r="Q342" s="31">
        <f>_xll.qlInterestRateIndexValueDate(Index,P342,Trigger)</f>
        <v>43077</v>
      </c>
      <c r="R342" s="31">
        <f>_xll.qlInterestRateIndexMaturity(Index,Q342,Trigger)</f>
        <v>43167</v>
      </c>
      <c r="S342" s="32">
        <f>_xll.qlDayCounterYearFraction(DayCounter,Q342,R342,,,Trigger)</f>
        <v>0.25</v>
      </c>
      <c r="T342" s="33">
        <f>_xll.qlIndexFixing(Index,P342,,AllTriggers)</f>
        <v>2.9393313556296263E-3</v>
      </c>
      <c r="U342" s="34">
        <f>_xll.qlYieldTSDiscount(OisCurve,Q342,,AllTriggers)</f>
        <v>1.0016518757974604</v>
      </c>
      <c r="V342" s="34">
        <f>_xll.qlYieldTSDiscount(OisCurve,R342,,AllTriggers)</f>
        <v>1.0012643277677964</v>
      </c>
      <c r="W342" s="33">
        <f t="shared" si="35"/>
        <v>1.5482346426063387E-3</v>
      </c>
      <c r="X342" s="35">
        <f t="shared" si="36"/>
        <v>3.4757920867721048E-4</v>
      </c>
      <c r="Y342" s="33">
        <f t="shared" si="37"/>
        <v>1.3910967130232876E-3</v>
      </c>
      <c r="Z342" s="54"/>
    </row>
    <row r="343" spans="15:26" x14ac:dyDescent="0.25">
      <c r="O343" s="37" t="s">
        <v>31</v>
      </c>
      <c r="P343" s="31">
        <f>_xll.qlCalendarAdvance(Calendar,P342,O342,"f",,Trigger)</f>
        <v>43082</v>
      </c>
      <c r="Q343" s="31">
        <f>_xll.qlInterestRateIndexValueDate(Index,P343,Trigger)</f>
        <v>43084</v>
      </c>
      <c r="R343" s="31">
        <f>_xll.qlInterestRateIndexMaturity(Index,Q343,Trigger)</f>
        <v>43174</v>
      </c>
      <c r="S343" s="32">
        <f>_xll.qlDayCounterYearFraction(DayCounter,Q343,R343,,,Trigger)</f>
        <v>0.25</v>
      </c>
      <c r="T343" s="33">
        <f>_xll.qlIndexFixing(Index,P343,,AllTriggers)</f>
        <v>2.9897763211845785E-3</v>
      </c>
      <c r="U343" s="34">
        <f>_xll.qlYieldTSDiscount(OisCurve,Q343,,AllTriggers)</f>
        <v>1.0016270313593056</v>
      </c>
      <c r="V343" s="34">
        <f>_xll.qlYieldTSDiscount(OisCurve,R343,,AllTriggers)</f>
        <v>1.0012278522460889</v>
      </c>
      <c r="W343" s="33">
        <f t="shared" si="35"/>
        <v>1.5947583252753361E-3</v>
      </c>
      <c r="X343" s="35">
        <f t="shared" si="36"/>
        <v>3.4855475733801928E-4</v>
      </c>
      <c r="Y343" s="33">
        <f t="shared" si="37"/>
        <v>1.3950179959092424E-3</v>
      </c>
      <c r="Z343" s="54"/>
    </row>
    <row r="344" spans="15:26" x14ac:dyDescent="0.25">
      <c r="O344" s="37" t="s">
        <v>31</v>
      </c>
      <c r="P344" s="31">
        <f>_xll.qlCalendarAdvance(Calendar,P343,O343,"f",,Trigger)</f>
        <v>43089</v>
      </c>
      <c r="Q344" s="31">
        <f>_xll.qlInterestRateIndexValueDate(Index,P344,Trigger)</f>
        <v>43091</v>
      </c>
      <c r="R344" s="31">
        <f>_xll.qlInterestRateIndexMaturity(Index,Q344,Trigger)</f>
        <v>43181</v>
      </c>
      <c r="S344" s="32">
        <f>_xll.qlDayCounterYearFraction(DayCounter,Q344,R344,,,Trigger)</f>
        <v>0.25</v>
      </c>
      <c r="T344" s="33">
        <f>_xll.qlIndexFixing(Index,P344,,AllTriggers)</f>
        <v>3.0407470935891467E-3</v>
      </c>
      <c r="U344" s="34">
        <f>_xll.qlYieldTSDiscount(OisCurve,Q344,,AllTriggers)</f>
        <v>1.0016013104731942</v>
      </c>
      <c r="V344" s="34">
        <f>_xll.qlYieldTSDiscount(OisCurve,R344,,AllTriggers)</f>
        <v>1.0011904392284048</v>
      </c>
      <c r="W344" s="33">
        <f t="shared" si="35"/>
        <v>1.6415308364550185E-3</v>
      </c>
      <c r="X344" s="35">
        <f t="shared" si="36"/>
        <v>3.4959945262100678E-4</v>
      </c>
      <c r="Y344" s="33">
        <f t="shared" si="37"/>
        <v>1.3992162571341282E-3</v>
      </c>
      <c r="Z344" s="54"/>
    </row>
    <row r="345" spans="15:26" x14ac:dyDescent="0.25">
      <c r="O345" s="37" t="s">
        <v>31</v>
      </c>
      <c r="P345" s="31">
        <f>_xll.qlCalendarAdvance(Calendar,P344,O344,"f",,Trigger)</f>
        <v>43096</v>
      </c>
      <c r="Q345" s="31">
        <f>_xll.qlInterestRateIndexValueDate(Index,P345,Trigger)</f>
        <v>43098</v>
      </c>
      <c r="R345" s="31">
        <f>_xll.qlInterestRateIndexMaturity(Index,Q345,Trigger)</f>
        <v>43188</v>
      </c>
      <c r="S345" s="32">
        <f>_xll.qlDayCounterYearFraction(DayCounter,Q345,R345,,,Trigger)</f>
        <v>0.25</v>
      </c>
      <c r="T345" s="33">
        <f>_xll.qlIndexFixing(Index,P345,,AllTriggers)</f>
        <v>3.0922436929134989E-3</v>
      </c>
      <c r="U345" s="34">
        <f>_xll.qlYieldTSDiscount(OisCurve,Q345,,AllTriggers)</f>
        <v>1.001574708373244</v>
      </c>
      <c r="V345" s="34">
        <f>_xll.qlYieldTSDiscount(OisCurve,R345,,AllTriggers)</f>
        <v>1.0011520839885453</v>
      </c>
      <c r="W345" s="33">
        <f t="shared" si="35"/>
        <v>1.6885521848593044E-3</v>
      </c>
      <c r="X345" s="35">
        <f t="shared" si="36"/>
        <v>3.5071329452632217E-4</v>
      </c>
      <c r="Y345" s="33">
        <f t="shared" si="37"/>
        <v>1.4036915080541945E-3</v>
      </c>
      <c r="Z345" s="54"/>
    </row>
    <row r="346" spans="15:26" x14ac:dyDescent="0.25">
      <c r="O346" s="37" t="s">
        <v>31</v>
      </c>
      <c r="P346" s="31">
        <f>_xll.qlCalendarAdvance(Calendar,P345,O345,"f",,Trigger)</f>
        <v>43103</v>
      </c>
      <c r="Q346" s="31">
        <f>_xll.qlInterestRateIndexValueDate(Index,P346,Trigger)</f>
        <v>43105</v>
      </c>
      <c r="R346" s="31">
        <f>_xll.qlInterestRateIndexMaturity(Index,Q346,Trigger)</f>
        <v>43195</v>
      </c>
      <c r="S346" s="32">
        <f>_xll.qlDayCounterYearFraction(DayCounter,Q346,R346,,,Trigger)</f>
        <v>0.25</v>
      </c>
      <c r="T346" s="33">
        <f>_xll.qlIndexFixing(Index,P346,,AllTriggers)</f>
        <v>3.1442661394320837E-3</v>
      </c>
      <c r="U346" s="34">
        <f>_xll.qlYieldTSDiscount(OisCurve,Q346,,AllTriggers)</f>
        <v>1.001547220296404</v>
      </c>
      <c r="V346" s="34">
        <f>_xll.qlYieldTSDiscount(OisCurve,R346,,AllTriggers)</f>
        <v>1.0011127818037029</v>
      </c>
      <c r="W346" s="33">
        <f t="shared" si="35"/>
        <v>1.7358223792465211E-3</v>
      </c>
      <c r="X346" s="35">
        <f t="shared" si="36"/>
        <v>3.5189628305353252E-4</v>
      </c>
      <c r="Y346" s="33">
        <f t="shared" si="37"/>
        <v>1.4084437601855626E-3</v>
      </c>
      <c r="Z346" s="54"/>
    </row>
    <row r="347" spans="15:26" x14ac:dyDescent="0.25">
      <c r="O347" s="37" t="s">
        <v>31</v>
      </c>
      <c r="P347" s="31">
        <f>_xll.qlCalendarAdvance(Calendar,P346,O346,"f",,Trigger)</f>
        <v>43110</v>
      </c>
      <c r="Q347" s="31">
        <f>_xll.qlInterestRateIndexValueDate(Index,P347,Trigger)</f>
        <v>43112</v>
      </c>
      <c r="R347" s="31">
        <f>_xll.qlInterestRateIndexMaturity(Index,Q347,Trigger)</f>
        <v>43202</v>
      </c>
      <c r="S347" s="32">
        <f>_xll.qlDayCounterYearFraction(DayCounter,Q347,R347,,,Trigger)</f>
        <v>0.25</v>
      </c>
      <c r="T347" s="33">
        <f>_xll.qlIndexFixing(Index,P347,,AllTriggers)</f>
        <v>3.1968144536316245E-3</v>
      </c>
      <c r="U347" s="34">
        <f>_xll.qlYieldTSDiscount(OisCurve,Q347,,AllTriggers)</f>
        <v>1.0015188414824954</v>
      </c>
      <c r="V347" s="34">
        <f>_xll.qlYieldTSDiscount(OisCurve,R347,,AllTriggers)</f>
        <v>1.0010725279545067</v>
      </c>
      <c r="W347" s="33">
        <f t="shared" si="35"/>
        <v>1.7833414284202931E-3</v>
      </c>
      <c r="X347" s="35">
        <f t="shared" si="36"/>
        <v>3.5314841820384201E-4</v>
      </c>
      <c r="Y347" s="33">
        <f t="shared" si="37"/>
        <v>1.4134730252113314E-3</v>
      </c>
      <c r="Z347" s="54"/>
    </row>
    <row r="348" spans="15:26" x14ac:dyDescent="0.25">
      <c r="O348" s="37" t="s">
        <v>31</v>
      </c>
      <c r="P348" s="31">
        <f>_xll.qlCalendarAdvance(Calendar,P347,O347,"f",,Trigger)</f>
        <v>43117</v>
      </c>
      <c r="Q348" s="31">
        <f>_xll.qlInterestRateIndexValueDate(Index,P348,Trigger)</f>
        <v>43119</v>
      </c>
      <c r="R348" s="31">
        <f>_xll.qlInterestRateIndexMaturity(Index,Q348,Trigger)</f>
        <v>43209</v>
      </c>
      <c r="S348" s="32">
        <f>_xll.qlDayCounterYearFraction(DayCounter,Q348,R348,,,Trigger)</f>
        <v>0.25</v>
      </c>
      <c r="T348" s="33">
        <f>_xll.qlIndexFixing(Index,P348,,AllTriggers)</f>
        <v>3.2498886562004614E-3</v>
      </c>
      <c r="U348" s="34">
        <f>_xll.qlYieldTSDiscount(OisCurve,Q348,,AllTriggers)</f>
        <v>1.0014895671742565</v>
      </c>
      <c r="V348" s="34">
        <f>_xll.qlYieldTSDiscount(OisCurve,R348,,AllTriggers)</f>
        <v>1.0010313177250678</v>
      </c>
      <c r="W348" s="33">
        <f t="shared" si="35"/>
        <v>1.8311093412348711E-3</v>
      </c>
      <c r="X348" s="35">
        <f t="shared" si="36"/>
        <v>3.5446969997587479E-4</v>
      </c>
      <c r="Y348" s="33">
        <f t="shared" si="37"/>
        <v>1.4187793149655903E-3</v>
      </c>
      <c r="Z348" s="54"/>
    </row>
    <row r="349" spans="15:26" x14ac:dyDescent="0.25">
      <c r="O349" s="37" t="s">
        <v>31</v>
      </c>
      <c r="P349" s="31">
        <f>_xll.qlCalendarAdvance(Calendar,P348,O348,"f",,Trigger)</f>
        <v>43124</v>
      </c>
      <c r="Q349" s="31">
        <f>_xll.qlInterestRateIndexValueDate(Index,P349,Trigger)</f>
        <v>43126</v>
      </c>
      <c r="R349" s="31">
        <f>_xll.qlInterestRateIndexMaturity(Index,Q349,Trigger)</f>
        <v>43216</v>
      </c>
      <c r="S349" s="32">
        <f>_xll.qlDayCounterYearFraction(DayCounter,Q349,R349,,,Trigger)</f>
        <v>0.25</v>
      </c>
      <c r="T349" s="33">
        <f>_xll.qlIndexFixing(Index,P349,,AllTriggers)</f>
        <v>3.3034887680383207E-3</v>
      </c>
      <c r="U349" s="34">
        <f>_xll.qlYieldTSDiscount(OisCurve,Q349,,AllTriggers)</f>
        <v>1.0014593926173838</v>
      </c>
      <c r="V349" s="34">
        <f>_xll.qlYieldTSDiscount(OisCurve,R349,,AllTriggers)</f>
        <v>1.0009891464030247</v>
      </c>
      <c r="W349" s="33">
        <f t="shared" si="35"/>
        <v>1.8791261265871384E-3</v>
      </c>
      <c r="X349" s="35">
        <f t="shared" si="36"/>
        <v>3.5586012837033601E-4</v>
      </c>
      <c r="Y349" s="33">
        <f t="shared" si="37"/>
        <v>1.4243626414511823E-3</v>
      </c>
      <c r="Z349" s="54"/>
    </row>
    <row r="350" spans="15:26" x14ac:dyDescent="0.25">
      <c r="O350" s="37" t="s">
        <v>31</v>
      </c>
      <c r="P350" s="31">
        <f>_xll.qlCalendarAdvance(Calendar,P349,O349,"f",,Trigger)</f>
        <v>43131</v>
      </c>
      <c r="Q350" s="31">
        <f>_xll.qlInterestRateIndexValueDate(Index,P350,Trigger)</f>
        <v>43133</v>
      </c>
      <c r="R350" s="31">
        <f>_xll.qlInterestRateIndexMaturity(Index,Q350,Trigger)</f>
        <v>43222</v>
      </c>
      <c r="S350" s="32">
        <f>_xll.qlDayCounterYearFraction(DayCounter,Q350,R350,,,Trigger)</f>
        <v>0.24722222222222223</v>
      </c>
      <c r="T350" s="33">
        <f>_xll.qlIndexFixing(Index,P350,,AllTriggers)</f>
        <v>3.3536356629488414E-3</v>
      </c>
      <c r="U350" s="34">
        <f>_xll.qlYieldTSDiscount(OisCurve,Q350,,AllTriggers)</f>
        <v>1.0014283130605746</v>
      </c>
      <c r="V350" s="34">
        <f>_xll.qlYieldTSDiscount(OisCurve,R350,,AllTriggers)</f>
        <v>1.0009522310348606</v>
      </c>
      <c r="W350" s="33">
        <f t="shared" si="35"/>
        <v>1.9238930571546734E-3</v>
      </c>
      <c r="X350" s="35">
        <f t="shared" si="36"/>
        <v>3.532337119210855E-4</v>
      </c>
      <c r="Y350" s="33">
        <f t="shared" si="37"/>
        <v>1.429742605794168E-3</v>
      </c>
      <c r="Z350" s="54"/>
    </row>
    <row r="351" spans="15:26" x14ac:dyDescent="0.25">
      <c r="O351" s="37" t="s">
        <v>31</v>
      </c>
      <c r="P351" s="31">
        <f>_xll.qlCalendarAdvance(Calendar,P350,O350,"f",,Trigger)</f>
        <v>43138</v>
      </c>
      <c r="Q351" s="31">
        <f>_xll.qlInterestRateIndexValueDate(Index,P351,Trigger)</f>
        <v>43140</v>
      </c>
      <c r="R351" s="31">
        <f>_xll.qlInterestRateIndexMaturity(Index,Q351,Trigger)</f>
        <v>43229</v>
      </c>
      <c r="S351" s="32">
        <f>_xll.qlDayCounterYearFraction(DayCounter,Q351,R351,,,Trigger)</f>
        <v>0.24722222222222223</v>
      </c>
      <c r="T351" s="33">
        <f>_xll.qlIndexFixing(Index,P351,,AllTriggers)</f>
        <v>3.408249545992659E-3</v>
      </c>
      <c r="U351" s="34">
        <f>_xll.qlYieldTSDiscount(OisCurve,Q351,,AllTriggers)</f>
        <v>1.0013963237555716</v>
      </c>
      <c r="V351" s="34">
        <f>_xll.qlYieldTSDiscount(OisCurve,R351,,AllTriggers)</f>
        <v>1.0009082623179282</v>
      </c>
      <c r="W351" s="33">
        <f t="shared" si="35"/>
        <v>1.9723896488912773E-3</v>
      </c>
      <c r="X351" s="35">
        <f t="shared" si="36"/>
        <v>3.5474053794352971E-4</v>
      </c>
      <c r="Y351" s="33">
        <f t="shared" si="37"/>
        <v>1.4358598971013817E-3</v>
      </c>
      <c r="Z351" s="54"/>
    </row>
    <row r="352" spans="15:26" x14ac:dyDescent="0.25">
      <c r="O352" s="37" t="s">
        <v>31</v>
      </c>
      <c r="P352" s="31">
        <f>_xll.qlCalendarAdvance(Calendar,P351,O351,"f",,Trigger)</f>
        <v>43145</v>
      </c>
      <c r="Q352" s="31">
        <f>_xll.qlInterestRateIndexValueDate(Index,P352,Trigger)</f>
        <v>43147</v>
      </c>
      <c r="R352" s="31">
        <f>_xll.qlInterestRateIndexMaturity(Index,Q352,Trigger)</f>
        <v>43236</v>
      </c>
      <c r="S352" s="32">
        <f>_xll.qlDayCounterYearFraction(DayCounter,Q352,R352,,,Trigger)</f>
        <v>0.24722222222222223</v>
      </c>
      <c r="T352" s="33">
        <f>_xll.qlIndexFixing(Index,P352,,AllTriggers)</f>
        <v>3.4633749132864872E-3</v>
      </c>
      <c r="U352" s="34">
        <f>_xll.qlYieldTSDiscount(OisCurve,Q352,,AllTriggers)</f>
        <v>1.0013634199572059</v>
      </c>
      <c r="V352" s="34">
        <f>_xll.qlYieldTSDiscount(OisCurve,R352,,AllTriggers)</f>
        <v>1.0008633193243515</v>
      </c>
      <c r="W352" s="33">
        <f t="shared" si="35"/>
        <v>2.021134080246372E-3</v>
      </c>
      <c r="X352" s="35">
        <f t="shared" si="36"/>
        <v>3.5631242682222168E-4</v>
      </c>
      <c r="Y352" s="33">
        <f t="shared" si="37"/>
        <v>1.4422408330401152E-3</v>
      </c>
      <c r="Z352" s="54"/>
    </row>
    <row r="353" spans="15:26" x14ac:dyDescent="0.25">
      <c r="O353" s="37" t="s">
        <v>31</v>
      </c>
      <c r="P353" s="31">
        <f>_xll.qlCalendarAdvance(Calendar,P352,O352,"f",,Trigger)</f>
        <v>43152</v>
      </c>
      <c r="Q353" s="31">
        <f>_xll.qlInterestRateIndexValueDate(Index,P353,Trigger)</f>
        <v>43154</v>
      </c>
      <c r="R353" s="31">
        <f>_xll.qlInterestRateIndexMaturity(Index,Q353,Trigger)</f>
        <v>43243</v>
      </c>
      <c r="S353" s="32">
        <f>_xll.qlDayCounterYearFraction(DayCounter,Q353,R353,,,Trigger)</f>
        <v>0.24722222222222223</v>
      </c>
      <c r="T353" s="33">
        <f>_xll.qlIndexFixing(Index,P353,,AllTriggers)</f>
        <v>3.518959508067813E-3</v>
      </c>
      <c r="U353" s="34">
        <f>_xll.qlYieldTSDiscount(OisCurve,Q353,,AllTriggers)</f>
        <v>1.0013295969234395</v>
      </c>
      <c r="V353" s="34">
        <f>_xll.qlYieldTSDiscount(OisCurve,R353,,AllTriggers)</f>
        <v>1.0008174023958458</v>
      </c>
      <c r="W353" s="33">
        <f t="shared" si="35"/>
        <v>2.0701059795551527E-3</v>
      </c>
      <c r="X353" s="35">
        <f t="shared" si="36"/>
        <v>3.5794150155967408E-4</v>
      </c>
      <c r="Y353" s="33">
        <f t="shared" si="37"/>
        <v>1.4488535285126602E-3</v>
      </c>
      <c r="Z353" s="54"/>
    </row>
    <row r="354" spans="15:26" x14ac:dyDescent="0.25">
      <c r="O354" s="37" t="s">
        <v>31</v>
      </c>
      <c r="P354" s="31">
        <f>_xll.qlCalendarAdvance(Calendar,P353,O353,"f",,Trigger)</f>
        <v>43159</v>
      </c>
      <c r="Q354" s="31">
        <f>_xll.qlInterestRateIndexValueDate(Index,P354,Trigger)</f>
        <v>43161</v>
      </c>
      <c r="R354" s="31">
        <f>_xll.qlInterestRateIndexMaturity(Index,Q354,Trigger)</f>
        <v>43255</v>
      </c>
      <c r="S354" s="32">
        <f>_xll.qlDayCounterYearFraction(DayCounter,Q354,R354,,,Trigger)</f>
        <v>0.26111111111111113</v>
      </c>
      <c r="T354" s="33">
        <f>_xll.qlIndexFixing(Index,P354,,AllTriggers)</f>
        <v>3.5954126333838403E-3</v>
      </c>
      <c r="U354" s="34">
        <f>_xll.qlYieldTSDiscount(OisCurve,Q354,,AllTriggers)</f>
        <v>1.0012948499154102</v>
      </c>
      <c r="V354" s="34">
        <f>_xll.qlYieldTSDiscount(OisCurve,R354,,AllTriggers)</f>
        <v>1.0007364269959818</v>
      </c>
      <c r="W354" s="33">
        <f t="shared" si="35"/>
        <v>2.1370671740647729E-3</v>
      </c>
      <c r="X354" s="35">
        <f t="shared" si="36"/>
        <v>3.8050543489735836E-4</v>
      </c>
      <c r="Y354" s="33">
        <f t="shared" si="37"/>
        <v>1.4583454593190674E-3</v>
      </c>
      <c r="Z354" s="54"/>
    </row>
    <row r="355" spans="15:26" x14ac:dyDescent="0.25">
      <c r="O355" s="37" t="s">
        <v>31</v>
      </c>
      <c r="P355" s="31">
        <f>_xll.qlCalendarAdvance(Calendar,P354,O354,"f",,Trigger)</f>
        <v>43166</v>
      </c>
      <c r="Q355" s="31">
        <f>_xll.qlInterestRateIndexValueDate(Index,P355,Trigger)</f>
        <v>43168</v>
      </c>
      <c r="R355" s="31">
        <f>_xll.qlInterestRateIndexMaturity(Index,Q355,Trigger)</f>
        <v>43262</v>
      </c>
      <c r="S355" s="32">
        <f>_xll.qlDayCounterYearFraction(DayCounter,Q355,R355,,,Trigger)</f>
        <v>0.26111111111111113</v>
      </c>
      <c r="T355" s="33">
        <f>_xll.qlIndexFixing(Index,P355,,AllTriggers)</f>
        <v>3.6517939541321548E-3</v>
      </c>
      <c r="U355" s="34">
        <f>_xll.qlYieldTSDiscount(OisCurve,Q355,,AllTriggers)</f>
        <v>1.0012591741974761</v>
      </c>
      <c r="V355" s="34">
        <f>_xll.qlYieldTSDiscount(OisCurve,R355,,AllTriggers)</f>
        <v>1.0006878756770474</v>
      </c>
      <c r="W355" s="33">
        <f t="shared" si="35"/>
        <v>2.1864477761206762E-3</v>
      </c>
      <c r="X355" s="35">
        <f t="shared" si="36"/>
        <v>3.823267582147546E-4</v>
      </c>
      <c r="Y355" s="33">
        <f t="shared" si="37"/>
        <v>1.4653461780114786E-3</v>
      </c>
      <c r="Z355" s="54"/>
    </row>
    <row r="356" spans="15:26" x14ac:dyDescent="0.25">
      <c r="O356" s="37" t="s">
        <v>31</v>
      </c>
      <c r="P356" s="31">
        <f>_xll.qlCalendarAdvance(Calendar,P355,O355,"f",,Trigger)</f>
        <v>43173</v>
      </c>
      <c r="Q356" s="31">
        <f>_xll.qlInterestRateIndexValueDate(Index,P356,Trigger)</f>
        <v>43175</v>
      </c>
      <c r="R356" s="31">
        <f>_xll.qlInterestRateIndexMaturity(Index,Q356,Trigger)</f>
        <v>43269</v>
      </c>
      <c r="S356" s="32">
        <f>_xll.qlDayCounterYearFraction(DayCounter,Q356,R356,,,Trigger)</f>
        <v>0.26111111111111113</v>
      </c>
      <c r="T356" s="33">
        <f>_xll.qlIndexFixing(Index,P356,,AllTriggers)</f>
        <v>3.7084327527382274E-3</v>
      </c>
      <c r="U356" s="34">
        <f>_xll.qlYieldTSDiscount(OisCurve,Q356,,AllTriggers)</f>
        <v>1.0012225650372581</v>
      </c>
      <c r="V356" s="34">
        <f>_xll.qlYieldTSDiscount(OisCurve,R356,,AllTriggers)</f>
        <v>1.0006383571705681</v>
      </c>
      <c r="W356" s="33">
        <f t="shared" si="35"/>
        <v>2.2359644859135754E-3</v>
      </c>
      <c r="X356" s="35">
        <f t="shared" si="36"/>
        <v>3.8417967806366648E-4</v>
      </c>
      <c r="Y356" s="33">
        <f t="shared" si="37"/>
        <v>1.472468266824652E-3</v>
      </c>
      <c r="Z356" s="54"/>
    </row>
    <row r="357" spans="15:26" x14ac:dyDescent="0.25">
      <c r="O357" s="37" t="s">
        <v>31</v>
      </c>
      <c r="P357" s="31">
        <f>_xll.qlCalendarAdvance(Calendar,P356,O356,"f",,Trigger)</f>
        <v>43180</v>
      </c>
      <c r="Q357" s="31">
        <f>_xll.qlInterestRateIndexValueDate(Index,P357,Trigger)</f>
        <v>43182</v>
      </c>
      <c r="R357" s="31">
        <f>_xll.qlInterestRateIndexMaturity(Index,Q357,Trigger)</f>
        <v>43276</v>
      </c>
      <c r="S357" s="32">
        <f>_xll.qlDayCounterYearFraction(DayCounter,Q357,R357,,,Trigger)</f>
        <v>0.26111111111111113</v>
      </c>
      <c r="T357" s="33">
        <f>_xll.qlIndexFixing(Index,P357,,AllTriggers)</f>
        <v>3.7652737332274505E-3</v>
      </c>
      <c r="U357" s="34">
        <f>_xll.qlYieldTSDiscount(OisCurve,Q357,,AllTriggers)</f>
        <v>1.0011850177056867</v>
      </c>
      <c r="V357" s="34">
        <f>_xll.qlYieldTSDiscount(OisCurve,R357,,AllTriggers)</f>
        <v>1.0005878732990185</v>
      </c>
      <c r="W357" s="33">
        <f t="shared" si="35"/>
        <v>2.2855923868011045E-3</v>
      </c>
      <c r="X357" s="35">
        <f t="shared" si="36"/>
        <v>3.8605627076547316E-4</v>
      </c>
      <c r="Y357" s="33">
        <f t="shared" si="37"/>
        <v>1.479681346426346E-3</v>
      </c>
      <c r="Z357" s="54"/>
    </row>
    <row r="358" spans="15:26" x14ac:dyDescent="0.25">
      <c r="O358" s="37" t="s">
        <v>31</v>
      </c>
      <c r="P358" s="31">
        <f>_xll.qlCalendarAdvance(Calendar,P357,O357,"f",,Trigger)</f>
        <v>43187</v>
      </c>
      <c r="Q358" s="31">
        <f>_xll.qlInterestRateIndexValueDate(Index,P358,Trigger)</f>
        <v>43193</v>
      </c>
      <c r="R358" s="31">
        <f>_xll.qlInterestRateIndexMaturity(Index,Q358,Trigger)</f>
        <v>43284</v>
      </c>
      <c r="S358" s="32">
        <f>_xll.qlDayCounterYearFraction(DayCounter,Q358,R358,,,Trigger)</f>
        <v>0.25277777777777777</v>
      </c>
      <c r="T358" s="33">
        <f>_xll.qlIndexFixing(Index,P358,,AllTriggers)</f>
        <v>3.8425639736444214E-3</v>
      </c>
      <c r="U358" s="34">
        <f>_xll.qlYieldTSDiscount(OisCurve,Q358,,AllTriggers)</f>
        <v>1.001124107901658</v>
      </c>
      <c r="V358" s="34">
        <f>_xll.qlYieldTSDiscount(OisCurve,R358,,AllTriggers)</f>
        <v>1.0005289977072749</v>
      </c>
      <c r="W358" s="33">
        <f t="shared" si="35"/>
        <v>2.353037336313253E-3</v>
      </c>
      <c r="X358" s="35">
        <f t="shared" si="36"/>
        <v>3.7622463312412234E-4</v>
      </c>
      <c r="Y358" s="33">
        <f t="shared" si="37"/>
        <v>1.4895266373311684E-3</v>
      </c>
      <c r="Z358" s="54"/>
    </row>
    <row r="359" spans="15:26" x14ac:dyDescent="0.25">
      <c r="O359" s="37" t="s">
        <v>31</v>
      </c>
      <c r="P359" s="31">
        <f>_xll.qlCalendarAdvance(Calendar,P358,O358,"f",,Trigger)</f>
        <v>43194</v>
      </c>
      <c r="Q359" s="31">
        <f>_xll.qlInterestRateIndexValueDate(Index,P359,Trigger)</f>
        <v>43196</v>
      </c>
      <c r="R359" s="31">
        <f>_xll.qlInterestRateIndexMaturity(Index,Q359,Trigger)</f>
        <v>43287</v>
      </c>
      <c r="S359" s="32">
        <f>_xll.qlDayCounterYearFraction(DayCounter,Q359,R359,,,Trigger)</f>
        <v>0.25277777777777777</v>
      </c>
      <c r="T359" s="33">
        <f>_xll.qlIndexFixing(Index,P359,,AllTriggers)</f>
        <v>3.8670444068116213E-3</v>
      </c>
      <c r="U359" s="34">
        <f>_xll.qlYieldTSDiscount(OisCurve,Q359,,AllTriggers)</f>
        <v>1.0011070896290117</v>
      </c>
      <c r="V359" s="34">
        <f>_xll.qlYieldTSDiscount(OisCurve,R359,,AllTriggers)</f>
        <v>1.0005065954596557</v>
      </c>
      <c r="W359" s="33">
        <f t="shared" si="35"/>
        <v>2.3743784799628827E-3</v>
      </c>
      <c r="X359" s="35">
        <f t="shared" si="36"/>
        <v>3.770153731638095E-4</v>
      </c>
      <c r="Y359" s="33">
        <f t="shared" si="37"/>
        <v>1.4926659268487386E-3</v>
      </c>
      <c r="Z359" s="54"/>
    </row>
    <row r="360" spans="15:26" x14ac:dyDescent="0.25">
      <c r="O360" s="37" t="s">
        <v>31</v>
      </c>
      <c r="P360" s="31">
        <f>_xll.qlCalendarAdvance(Calendar,P359,O359,"f",,Trigger)</f>
        <v>43201</v>
      </c>
      <c r="Q360" s="31">
        <f>_xll.qlInterestRateIndexValueDate(Index,P360,Trigger)</f>
        <v>43203</v>
      </c>
      <c r="R360" s="31">
        <f>_xll.qlInterestRateIndexMaturity(Index,Q360,Trigger)</f>
        <v>43294</v>
      </c>
      <c r="S360" s="32">
        <f>_xll.qlDayCounterYearFraction(DayCounter,Q360,R360,,,Trigger)</f>
        <v>0.25277777777777777</v>
      </c>
      <c r="T360" s="33">
        <f>_xll.qlIndexFixing(Index,P360,,AllTriggers)</f>
        <v>3.9241894892165863E-3</v>
      </c>
      <c r="U360" s="34">
        <f>_xll.qlYieldTSDiscount(OisCurve,Q360,,AllTriggers)</f>
        <v>1.0010666994427129</v>
      </c>
      <c r="V360" s="34">
        <f>_xll.qlYieldTSDiscount(OisCurve,R360,,AllTriggers)</f>
        <v>1.0004536376064428</v>
      </c>
      <c r="W360" s="33">
        <f t="shared" si="35"/>
        <v>2.4241998638340704E-3</v>
      </c>
      <c r="X360" s="35">
        <f t="shared" si="36"/>
        <v>3.7886006434146994E-4</v>
      </c>
      <c r="Y360" s="33">
        <f t="shared" si="37"/>
        <v>1.4999896253825159E-3</v>
      </c>
      <c r="Z360" s="54"/>
    </row>
    <row r="361" spans="15:26" x14ac:dyDescent="0.25">
      <c r="O361" s="37" t="s">
        <v>31</v>
      </c>
      <c r="P361" s="31">
        <f>_xll.qlCalendarAdvance(Calendar,P360,O360,"f",,Trigger)</f>
        <v>43208</v>
      </c>
      <c r="Q361" s="31">
        <f>_xll.qlInterestRateIndexValueDate(Index,P361,Trigger)</f>
        <v>43210</v>
      </c>
      <c r="R361" s="31">
        <f>_xll.qlInterestRateIndexMaturity(Index,Q361,Trigger)</f>
        <v>43301</v>
      </c>
      <c r="S361" s="32">
        <f>_xll.qlDayCounterYearFraction(DayCounter,Q361,R361,,,Trigger)</f>
        <v>0.25277777777777777</v>
      </c>
      <c r="T361" s="33">
        <f>_xll.qlIndexFixing(Index,P361,,AllTriggers)</f>
        <v>3.9813220234199516E-3</v>
      </c>
      <c r="U361" s="34">
        <f>_xll.qlYieldTSDiscount(OisCurve,Q361,,AllTriggers)</f>
        <v>1.0010253522027597</v>
      </c>
      <c r="V361" s="34">
        <f>_xll.qlYieldTSDiscount(OisCurve,R361,,AllTriggers)</f>
        <v>1.0003997209169475</v>
      </c>
      <c r="W361" s="33">
        <f t="shared" si="35"/>
        <v>2.4740359430332889E-3</v>
      </c>
      <c r="X361" s="35">
        <f t="shared" si="36"/>
        <v>3.8069782463424321E-4</v>
      </c>
      <c r="Y361" s="33">
        <f t="shared" si="37"/>
        <v>1.5072860803866626E-3</v>
      </c>
      <c r="Z361" s="54"/>
    </row>
    <row r="362" spans="15:26" x14ac:dyDescent="0.25">
      <c r="O362" s="37" t="s">
        <v>31</v>
      </c>
      <c r="P362" s="31">
        <f>_xll.qlCalendarAdvance(Calendar,P361,O361,"f",,Trigger)</f>
        <v>43215</v>
      </c>
      <c r="Q362" s="31">
        <f>_xll.qlInterestRateIndexValueDate(Index,P362,Trigger)</f>
        <v>43217</v>
      </c>
      <c r="R362" s="31">
        <f>_xll.qlInterestRateIndexMaturity(Index,Q362,Trigger)</f>
        <v>43308</v>
      </c>
      <c r="S362" s="32">
        <f>_xll.qlDayCounterYearFraction(DayCounter,Q362,R362,,,Trigger)</f>
        <v>0.25277777777777777</v>
      </c>
      <c r="T362" s="33">
        <f>_xll.qlIndexFixing(Index,P362,,AllTriggers)</f>
        <v>4.0383848760195337E-3</v>
      </c>
      <c r="U362" s="34">
        <f>_xll.qlYieldTSDiscount(OisCurve,Q362,,AllTriggers)</f>
        <v>1.0009830431972981</v>
      </c>
      <c r="V362" s="34">
        <f>_xll.qlYieldTSDiscount(OisCurve,R362,,AllTriggers)</f>
        <v>1.0003448472247449</v>
      </c>
      <c r="W362" s="33">
        <f t="shared" si="35"/>
        <v>2.5238609735382406E-3</v>
      </c>
      <c r="X362" s="35">
        <f t="shared" si="36"/>
        <v>3.8252073036223138E-4</v>
      </c>
      <c r="Y362" s="33">
        <f t="shared" si="37"/>
        <v>1.5145239024812931E-3</v>
      </c>
      <c r="Z362" s="54"/>
    </row>
    <row r="363" spans="15:26" x14ac:dyDescent="0.25">
      <c r="O363" s="37" t="s">
        <v>31</v>
      </c>
      <c r="P363" s="31">
        <f>_xll.qlCalendarAdvance(Calendar,P362,O362,"f",,Trigger)</f>
        <v>43222</v>
      </c>
      <c r="Q363" s="31">
        <f>_xll.qlInterestRateIndexValueDate(Index,P363,Trigger)</f>
        <v>43224</v>
      </c>
      <c r="R363" s="31">
        <f>_xll.qlInterestRateIndexMaturity(Index,Q363,Trigger)</f>
        <v>43318</v>
      </c>
      <c r="S363" s="32">
        <f>_xll.qlDayCounterYearFraction(DayCounter,Q363,R363,,,Trigger)</f>
        <v>0.26111111111111113</v>
      </c>
      <c r="T363" s="33">
        <f>_xll.qlIndexFixing(Index,P363,,AllTriggers)</f>
        <v>4.1074684500622891E-3</v>
      </c>
      <c r="U363" s="34">
        <f>_xll.qlYieldTSDiscount(OisCurve,Q363,,AllTriggers)</f>
        <v>1.0009397677180538</v>
      </c>
      <c r="V363" s="34">
        <f>_xll.qlYieldTSDiscount(OisCurve,R363,,AllTriggers)</f>
        <v>1.0002647997694476</v>
      </c>
      <c r="W363" s="33">
        <f t="shared" si="35"/>
        <v>2.5842993110978354E-3</v>
      </c>
      <c r="X363" s="35">
        <f t="shared" si="36"/>
        <v>3.9736923090007088E-4</v>
      </c>
      <c r="Y363" s="33">
        <f t="shared" si="37"/>
        <v>1.5231691389644537E-3</v>
      </c>
      <c r="Z363" s="54"/>
    </row>
    <row r="364" spans="15:26" x14ac:dyDescent="0.25">
      <c r="O364" s="37" t="s">
        <v>31</v>
      </c>
      <c r="P364" s="31">
        <f>_xll.qlCalendarAdvance(Calendar,P363,O363,"f",,Trigger)</f>
        <v>43229</v>
      </c>
      <c r="Q364" s="31">
        <f>_xll.qlInterestRateIndexValueDate(Index,P364,Trigger)</f>
        <v>43231</v>
      </c>
      <c r="R364" s="31">
        <f>_xll.qlInterestRateIndexMaturity(Index,Q364,Trigger)</f>
        <v>43325</v>
      </c>
      <c r="S364" s="32">
        <f>_xll.qlDayCounterYearFraction(DayCounter,Q364,R364,,,Trigger)</f>
        <v>0.26111111111111113</v>
      </c>
      <c r="T364" s="33">
        <f>_xll.qlIndexFixing(Index,P364,,AllTriggers)</f>
        <v>4.1641768676079112E-3</v>
      </c>
      <c r="U364" s="34">
        <f>_xll.qlYieldTSDiscount(OisCurve,Q364,,AllTriggers)</f>
        <v>1.0008955209493611</v>
      </c>
      <c r="V364" s="34">
        <f>_xll.qlYieldTSDiscount(OisCurve,R364,,AllTriggers)</f>
        <v>1.0002076095760728</v>
      </c>
      <c r="W364" s="33">
        <f t="shared" si="35"/>
        <v>2.6340073504225272E-3</v>
      </c>
      <c r="X364" s="35">
        <f t="shared" si="36"/>
        <v>3.991899707732214E-4</v>
      </c>
      <c r="Y364" s="33">
        <f t="shared" si="37"/>
        <v>1.530169517185384E-3</v>
      </c>
      <c r="Z364" s="54"/>
    </row>
    <row r="365" spans="15:26" x14ac:dyDescent="0.25">
      <c r="O365" s="37" t="s">
        <v>31</v>
      </c>
      <c r="P365" s="31">
        <f>_xll.qlCalendarAdvance(Calendar,P364,O364,"f",,Trigger)</f>
        <v>43236</v>
      </c>
      <c r="Q365" s="31">
        <f>_xll.qlInterestRateIndexValueDate(Index,P365,Trigger)</f>
        <v>43238</v>
      </c>
      <c r="R365" s="31">
        <f>_xll.qlInterestRateIndexMaturity(Index,Q365,Trigger)</f>
        <v>43332</v>
      </c>
      <c r="S365" s="32">
        <f>_xll.qlDayCounterYearFraction(DayCounter,Q365,R365,,,Trigger)</f>
        <v>0.26111111111111113</v>
      </c>
      <c r="T365" s="33">
        <f>_xll.qlIndexFixing(Index,P365,,AllTriggers)</f>
        <v>4.220670407572273E-3</v>
      </c>
      <c r="U365" s="34">
        <f>_xll.qlYieldTSDiscount(OisCurve,Q365,,AllTriggers)</f>
        <v>1.0008502995037898</v>
      </c>
      <c r="V365" s="34">
        <f>_xll.qlYieldTSDiscount(OisCurve,R365,,AllTriggers)</f>
        <v>1.0001494686845107</v>
      </c>
      <c r="W365" s="33">
        <f t="shared" si="35"/>
        <v>2.6836318059826289E-3</v>
      </c>
      <c r="X365" s="35">
        <f t="shared" si="36"/>
        <v>4.0097642431055494E-4</v>
      </c>
      <c r="Y365" s="33">
        <f t="shared" si="37"/>
        <v>1.5370386015896441E-3</v>
      </c>
      <c r="Z365" s="54"/>
    </row>
    <row r="366" spans="15:26" x14ac:dyDescent="0.25">
      <c r="O366" s="37" t="s">
        <v>31</v>
      </c>
      <c r="P366" s="31">
        <f>_xll.qlCalendarAdvance(Calendar,P365,O365,"f",,Trigger)</f>
        <v>43243</v>
      </c>
      <c r="Q366" s="31">
        <f>_xll.qlInterestRateIndexValueDate(Index,P366,Trigger)</f>
        <v>43245</v>
      </c>
      <c r="R366" s="31">
        <f>_xll.qlInterestRateIndexMaturity(Index,Q366,Trigger)</f>
        <v>43339</v>
      </c>
      <c r="S366" s="32">
        <f>_xll.qlDayCounterYearFraction(DayCounter,Q366,R366,,,Trigger)</f>
        <v>0.26111111111111113</v>
      </c>
      <c r="T366" s="33">
        <f>_xll.qlIndexFixing(Index,P366,,AllTriggers)</f>
        <v>4.2769473402436819E-3</v>
      </c>
      <c r="U366" s="34">
        <f>_xll.qlYieldTSDiscount(OisCurve,Q366,,AllTriggers)</f>
        <v>1.0008041046410865</v>
      </c>
      <c r="V366" s="34">
        <f>_xll.qlYieldTSDiscount(OisCurve,R366,,AllTriggers)</f>
        <v>1.0000903789387563</v>
      </c>
      <c r="W366" s="33">
        <f t="shared" si="35"/>
        <v>2.7331705623375511E-3</v>
      </c>
      <c r="X366" s="35">
        <f t="shared" si="36"/>
        <v>4.0272869397233005E-4</v>
      </c>
      <c r="Y366" s="33">
        <f t="shared" si="37"/>
        <v>1.5437767779061307E-3</v>
      </c>
      <c r="Z366" s="54"/>
    </row>
    <row r="367" spans="15:26" x14ac:dyDescent="0.25">
      <c r="O367" s="37" t="s">
        <v>31</v>
      </c>
      <c r="P367" s="31">
        <f>_xll.qlCalendarAdvance(Calendar,P366,O366,"f",,Trigger)</f>
        <v>43250</v>
      </c>
      <c r="Q367" s="31">
        <f>_xll.qlInterestRateIndexValueDate(Index,P367,Trigger)</f>
        <v>43252</v>
      </c>
      <c r="R367" s="31">
        <f>_xll.qlInterestRateIndexMaturity(Index,Q367,Trigger)</f>
        <v>43346</v>
      </c>
      <c r="S367" s="32">
        <f>_xll.qlDayCounterYearFraction(DayCounter,Q367,R367,,,Trigger)</f>
        <v>0.26111111111111113</v>
      </c>
      <c r="T367" s="33">
        <f>_xll.qlIndexFixing(Index,P367,,AllTriggers)</f>
        <v>4.3330076560612746E-3</v>
      </c>
      <c r="U367" s="34">
        <f>_xll.qlYieldTSDiscount(OisCurve,Q367,,AllTriggers)</f>
        <v>1.0007569381751684</v>
      </c>
      <c r="V367" s="34">
        <f>_xll.qlYieldTSDiscount(OisCurve,R367,,AllTriggers)</f>
        <v>1.0000303421851102</v>
      </c>
      <c r="W367" s="33">
        <f t="shared" si="35"/>
        <v>2.7826236161503887E-3</v>
      </c>
      <c r="X367" s="35">
        <f t="shared" si="36"/>
        <v>4.0444677975823361E-4</v>
      </c>
      <c r="Y367" s="33">
        <f t="shared" si="37"/>
        <v>1.5503840399108859E-3</v>
      </c>
      <c r="Z367" s="54"/>
    </row>
    <row r="368" spans="15:26" x14ac:dyDescent="0.25">
      <c r="O368" s="37" t="s">
        <v>31</v>
      </c>
      <c r="P368" s="31">
        <f>_xll.qlCalendarAdvance(Calendar,P367,O367,"f",,Trigger)</f>
        <v>43257</v>
      </c>
      <c r="Q368" s="31">
        <f>_xll.qlInterestRateIndexValueDate(Index,P368,Trigger)</f>
        <v>43259</v>
      </c>
      <c r="R368" s="31">
        <f>_xll.qlInterestRateIndexMaturity(Index,Q368,Trigger)</f>
        <v>43353</v>
      </c>
      <c r="S368" s="32">
        <f>_xll.qlDayCounterYearFraction(DayCounter,Q368,R368,,,Trigger)</f>
        <v>0.26111111111111113</v>
      </c>
      <c r="T368" s="33">
        <f>_xll.qlIndexFixing(Index,P368,,AllTriggers)</f>
        <v>4.3888513454982039E-3</v>
      </c>
      <c r="U368" s="34">
        <f>_xll.qlYieldTSDiscount(OisCurve,Q368,,AllTriggers)</f>
        <v>1.0007088019224695</v>
      </c>
      <c r="V368" s="34">
        <f>_xll.qlYieldTSDiscount(OisCurve,R368,,AllTriggers)</f>
        <v>0.99996936027216443</v>
      </c>
      <c r="W368" s="33">
        <f t="shared" si="35"/>
        <v>2.83199096409019E-3</v>
      </c>
      <c r="X368" s="35">
        <f t="shared" si="36"/>
        <v>4.0613068166733287E-4</v>
      </c>
      <c r="Y368" s="33">
        <f t="shared" si="37"/>
        <v>1.5568603814080139E-3</v>
      </c>
      <c r="Z368" s="54"/>
    </row>
    <row r="369" spans="15:26" x14ac:dyDescent="0.25">
      <c r="O369" s="37" t="s">
        <v>31</v>
      </c>
      <c r="P369" s="31">
        <f>_xll.qlCalendarAdvance(Calendar,P368,O368,"f",,Trigger)</f>
        <v>43264</v>
      </c>
      <c r="Q369" s="31">
        <f>_xll.qlInterestRateIndexValueDate(Index,P369,Trigger)</f>
        <v>43266</v>
      </c>
      <c r="R369" s="31">
        <f>_xll.qlInterestRateIndexMaturity(Index,Q369,Trigger)</f>
        <v>43360</v>
      </c>
      <c r="S369" s="32">
        <f>_xll.qlDayCounterYearFraction(DayCounter,Q369,R369,,,Trigger)</f>
        <v>0.26111111111111113</v>
      </c>
      <c r="T369" s="33">
        <f>_xll.qlIndexFixing(Index,P369,,AllTriggers)</f>
        <v>4.4444783990658897E-3</v>
      </c>
      <c r="U369" s="34">
        <f>_xll.qlYieldTSDiscount(OisCurve,Q369,,AllTriggers)</f>
        <v>1.0006596977019218</v>
      </c>
      <c r="V369" s="34">
        <f>_xll.qlYieldTSDiscount(OisCurve,R369,,AllTriggers)</f>
        <v>0.99990743505078505</v>
      </c>
      <c r="W369" s="33">
        <f t="shared" si="35"/>
        <v>2.8812726028225998E-3</v>
      </c>
      <c r="X369" s="35">
        <f t="shared" si="36"/>
        <v>4.0778039970140495E-4</v>
      </c>
      <c r="Y369" s="33">
        <f t="shared" si="37"/>
        <v>1.5632057962432899E-3</v>
      </c>
      <c r="Z369" s="54"/>
    </row>
    <row r="370" spans="15:26" x14ac:dyDescent="0.25">
      <c r="O370" s="37" t="s">
        <v>31</v>
      </c>
      <c r="P370" s="31">
        <f>_xll.qlCalendarAdvance(Calendar,P369,O369,"f",,Trigger)</f>
        <v>43271</v>
      </c>
      <c r="Q370" s="31">
        <f>_xll.qlInterestRateIndexValueDate(Index,P370,Trigger)</f>
        <v>43273</v>
      </c>
      <c r="R370" s="31">
        <f>_xll.qlInterestRateIndexMaturity(Index,Q370,Trigger)</f>
        <v>43367</v>
      </c>
      <c r="S370" s="32">
        <f>_xll.qlDayCounterYearFraction(DayCounter,Q370,R370,,,Trigger)</f>
        <v>0.26111111111111113</v>
      </c>
      <c r="T370" s="33">
        <f>_xll.qlIndexFixing(Index,P370,,AllTriggers)</f>
        <v>4.4998888073106182E-3</v>
      </c>
      <c r="U370" s="34">
        <f>_xll.qlYieldTSDiscount(OisCurve,Q370,,AllTriggers)</f>
        <v>1.0006096273349412</v>
      </c>
      <c r="V370" s="34">
        <f>_xll.qlYieldTSDiscount(OisCurve,R370,,AllTriggers)</f>
        <v>0.99984456837409474</v>
      </c>
      <c r="W370" s="33">
        <f t="shared" si="35"/>
        <v>2.9304685290277217E-3</v>
      </c>
      <c r="X370" s="35">
        <f t="shared" si="36"/>
        <v>4.0939593385916573E-4</v>
      </c>
      <c r="Y370" s="33">
        <f t="shared" si="37"/>
        <v>1.5694202782828965E-3</v>
      </c>
      <c r="Z370" s="54"/>
    </row>
    <row r="371" spans="15:26" x14ac:dyDescent="0.25">
      <c r="O371" s="37" t="s">
        <v>31</v>
      </c>
      <c r="P371" s="31">
        <f>_xll.qlCalendarAdvance(Calendar,P370,O370,"f",,Trigger)</f>
        <v>43278</v>
      </c>
      <c r="Q371" s="31">
        <f>_xll.qlInterestRateIndexValueDate(Index,P371,Trigger)</f>
        <v>43280</v>
      </c>
      <c r="R371" s="31">
        <f>_xll.qlInterestRateIndexMaturity(Index,Q371,Trigger)</f>
        <v>43371</v>
      </c>
      <c r="S371" s="32">
        <f>_xll.qlDayCounterYearFraction(DayCounter,Q371,R371,,,Trigger)</f>
        <v>0.25277777777777777</v>
      </c>
      <c r="T371" s="33">
        <f>_xll.qlIndexFixing(Index,P371,,AllTriggers)</f>
        <v>4.543290218181212E-3</v>
      </c>
      <c r="U371" s="34">
        <f>_xll.qlYieldTSDiscount(OisCurve,Q371,,AllTriggers)</f>
        <v>1.0005585926454093</v>
      </c>
      <c r="V371" s="34">
        <f>_xll.qlYieldTSDiscount(OisCurve,R371,,AllTriggers)</f>
        <v>0.9998082225785474</v>
      </c>
      <c r="W371" s="33">
        <f t="shared" si="35"/>
        <v>2.96906636769763E-3</v>
      </c>
      <c r="X371" s="35">
        <f t="shared" si="36"/>
        <v>3.975513454747701E-4</v>
      </c>
      <c r="Y371" s="33">
        <f t="shared" si="37"/>
        <v>1.574223850483582E-3</v>
      </c>
      <c r="Z371" s="54"/>
    </row>
    <row r="372" spans="15:26" x14ac:dyDescent="0.25">
      <c r="O372" s="37" t="s">
        <v>31</v>
      </c>
      <c r="P372" s="31">
        <f>_xll.qlCalendarAdvance(Calendar,P371,O371,"f",,Trigger)</f>
        <v>43285</v>
      </c>
      <c r="Q372" s="31">
        <f>_xll.qlInterestRateIndexValueDate(Index,P372,Trigger)</f>
        <v>43287</v>
      </c>
      <c r="R372" s="31">
        <f>_xll.qlInterestRateIndexMaturity(Index,Q372,Trigger)</f>
        <v>43381</v>
      </c>
      <c r="S372" s="32">
        <f>_xll.qlDayCounterYearFraction(DayCounter,Q372,R372,,,Trigger)</f>
        <v>0.26111111111111113</v>
      </c>
      <c r="T372" s="33">
        <f>_xll.qlIndexFixing(Index,P372,,AllTriggers)</f>
        <v>4.610059650207679E-3</v>
      </c>
      <c r="U372" s="34">
        <f>_xll.qlYieldTSDiscount(OisCurve,Q372,,AllTriggers)</f>
        <v>1.0005065954596557</v>
      </c>
      <c r="V372" s="34">
        <f>_xll.qlYieldTSDiscount(OisCurve,R372,,AllTriggers)</f>
        <v>0.99971601807845878</v>
      </c>
      <c r="W372" s="33">
        <f t="shared" si="35"/>
        <v>3.0286032305960678E-3</v>
      </c>
      <c r="X372" s="35">
        <f t="shared" si="36"/>
        <v>4.1252445054684077E-4</v>
      </c>
      <c r="Y372" s="33">
        <f t="shared" si="37"/>
        <v>1.5814564196116113E-3</v>
      </c>
      <c r="Z372" s="54"/>
    </row>
    <row r="373" spans="15:26" x14ac:dyDescent="0.25">
      <c r="O373" s="37" t="s">
        <v>31</v>
      </c>
      <c r="P373" s="31">
        <f>_xll.qlCalendarAdvance(Calendar,P372,O372,"f",,Trigger)</f>
        <v>43292</v>
      </c>
      <c r="Q373" s="31">
        <f>_xll.qlInterestRateIndexValueDate(Index,P373,Trigger)</f>
        <v>43294</v>
      </c>
      <c r="R373" s="31">
        <f>_xll.qlInterestRateIndexMaturity(Index,Q373,Trigger)</f>
        <v>43388</v>
      </c>
      <c r="S373" s="32">
        <f>_xll.qlDayCounterYearFraction(DayCounter,Q373,R373,,,Trigger)</f>
        <v>0.26111111111111113</v>
      </c>
      <c r="T373" s="33">
        <f>_xll.qlIndexFixing(Index,P373,,AllTriggers)</f>
        <v>4.6648200661379667E-3</v>
      </c>
      <c r="U373" s="34">
        <f>_xll.qlYieldTSDiscount(OisCurve,Q373,,AllTriggers)</f>
        <v>1.0004536376064428</v>
      </c>
      <c r="V373" s="34">
        <f>_xll.qlYieldTSDiscount(OisCurve,R373,,AllTriggers)</f>
        <v>0.99965033817689519</v>
      </c>
      <c r="W373" s="33">
        <f t="shared" si="35"/>
        <v>3.0775419993416073E-3</v>
      </c>
      <c r="X373" s="35">
        <f t="shared" si="36"/>
        <v>4.1403743307685917E-4</v>
      </c>
      <c r="Y373" s="33">
        <f t="shared" si="37"/>
        <v>1.5872780667963594E-3</v>
      </c>
      <c r="Z373" s="54"/>
    </row>
    <row r="374" spans="15:26" x14ac:dyDescent="0.25">
      <c r="O374" s="37" t="s">
        <v>31</v>
      </c>
      <c r="P374" s="31">
        <f>_xll.qlCalendarAdvance(Calendar,P373,O373,"f",,Trigger)</f>
        <v>43299</v>
      </c>
      <c r="Q374" s="31">
        <f>_xll.qlInterestRateIndexValueDate(Index,P374,Trigger)</f>
        <v>43301</v>
      </c>
      <c r="R374" s="31">
        <f>_xll.qlInterestRateIndexMaturity(Index,Q374,Trigger)</f>
        <v>43395</v>
      </c>
      <c r="S374" s="32">
        <f>_xll.qlDayCounterYearFraction(DayCounter,Q374,R374,,,Trigger)</f>
        <v>0.26111111111111113</v>
      </c>
      <c r="T374" s="33">
        <f>_xll.qlIndexFixing(Index,P374,,AllTriggers)</f>
        <v>4.7193637993037576E-3</v>
      </c>
      <c r="U374" s="34">
        <f>_xll.qlYieldTSDiscount(OisCurve,Q374,,AllTriggers)</f>
        <v>1.0003997209169475</v>
      </c>
      <c r="V374" s="34">
        <f>_xll.qlYieldTSDiscount(OisCurve,R374,,AllTriggers)</f>
        <v>0.99958372425475128</v>
      </c>
      <c r="W374" s="33">
        <f t="shared" si="35"/>
        <v>3.1263950423270391E-3</v>
      </c>
      <c r="X374" s="35">
        <f t="shared" si="36"/>
        <v>4.1551623173121858E-4</v>
      </c>
      <c r="Y374" s="33">
        <f t="shared" si="37"/>
        <v>1.5929687569767184E-3</v>
      </c>
      <c r="Z374" s="54"/>
    </row>
    <row r="375" spans="15:26" x14ac:dyDescent="0.25">
      <c r="O375" s="37" t="s">
        <v>31</v>
      </c>
      <c r="P375" s="31">
        <f>_xll.qlCalendarAdvance(Calendar,P374,O374,"f",,Trigger)</f>
        <v>43306</v>
      </c>
      <c r="Q375" s="31">
        <f>_xll.qlInterestRateIndexValueDate(Index,P375,Trigger)</f>
        <v>43308</v>
      </c>
      <c r="R375" s="31">
        <f>_xll.qlInterestRateIndexMaturity(Index,Q375,Trigger)</f>
        <v>43402</v>
      </c>
      <c r="S375" s="32">
        <f>_xll.qlDayCounterYearFraction(DayCounter,Q375,R375,,,Trigger)</f>
        <v>0.26111111111111113</v>
      </c>
      <c r="T375" s="33">
        <f>_xll.qlIndexFixing(Index,P375,,AllTriggers)</f>
        <v>4.7736908404350199E-3</v>
      </c>
      <c r="U375" s="34">
        <f>_xll.qlYieldTSDiscount(OisCurve,Q375,,AllTriggers)</f>
        <v>1.0003448472247449</v>
      </c>
      <c r="V375" s="34">
        <f>_xll.qlYieldTSDiscount(OisCurve,R375,,AllTriggers)</f>
        <v>0.99951617817618632</v>
      </c>
      <c r="W375" s="33">
        <f t="shared" si="35"/>
        <v>3.1751623562579776E-3</v>
      </c>
      <c r="X375" s="35">
        <f t="shared" si="36"/>
        <v>4.1696084650953138E-4</v>
      </c>
      <c r="Y375" s="33">
        <f t="shared" si="37"/>
        <v>1.5985284841770423E-3</v>
      </c>
      <c r="Z375" s="54"/>
    </row>
    <row r="376" spans="15:26" x14ac:dyDescent="0.25">
      <c r="O376" s="37" t="s">
        <v>31</v>
      </c>
      <c r="P376" s="31">
        <f>_xll.qlCalendarAdvance(Calendar,P375,O375,"f",,Trigger)</f>
        <v>43313</v>
      </c>
      <c r="Q376" s="31">
        <f>_xll.qlInterestRateIndexValueDate(Index,P376,Trigger)</f>
        <v>43315</v>
      </c>
      <c r="R376" s="31">
        <f>_xll.qlInterestRateIndexMaturity(Index,Q376,Trigger)</f>
        <v>43409</v>
      </c>
      <c r="S376" s="32">
        <f>_xll.qlDayCounterYearFraction(DayCounter,Q376,R376,,,Trigger)</f>
        <v>0.26111111111111113</v>
      </c>
      <c r="T376" s="33">
        <f>_xll.qlIndexFixing(Index,P376,,AllTriggers)</f>
        <v>4.827801180299989E-3</v>
      </c>
      <c r="U376" s="34">
        <f>_xll.qlYieldTSDiscount(OisCurve,Q376,,AllTriggers)</f>
        <v>1.000289018365792</v>
      </c>
      <c r="V376" s="34">
        <f>_xll.qlYieldTSDiscount(OisCurve,R376,,AllTriggers)</f>
        <v>0.99944770180751785</v>
      </c>
      <c r="W376" s="33">
        <f t="shared" si="35"/>
        <v>3.2238439378468394E-3</v>
      </c>
      <c r="X376" s="35">
        <f t="shared" si="36"/>
        <v>4.1837127741190005E-4</v>
      </c>
      <c r="Y376" s="33">
        <f t="shared" si="37"/>
        <v>1.6039572424531496E-3</v>
      </c>
      <c r="Z376" s="54"/>
    </row>
    <row r="377" spans="15:26" x14ac:dyDescent="0.25">
      <c r="O377" s="37" t="s">
        <v>31</v>
      </c>
      <c r="P377" s="31">
        <f>_xll.qlCalendarAdvance(Calendar,P376,O376,"f",,Trigger)</f>
        <v>43320</v>
      </c>
      <c r="Q377" s="31">
        <f>_xll.qlInterestRateIndexValueDate(Index,P377,Trigger)</f>
        <v>43322</v>
      </c>
      <c r="R377" s="31">
        <f>_xll.qlInterestRateIndexMaturity(Index,Q377,Trigger)</f>
        <v>43416</v>
      </c>
      <c r="S377" s="32">
        <f>_xll.qlDayCounterYearFraction(DayCounter,Q377,R377,,,Trigger)</f>
        <v>0.26111111111111113</v>
      </c>
      <c r="T377" s="33">
        <f>_xll.qlIndexFixing(Index,P377,,AllTriggers)</f>
        <v>4.8816948097034673E-3</v>
      </c>
      <c r="U377" s="34">
        <f>_xll.qlYieldTSDiscount(OisCurve,Q377,,AllTriggers)</f>
        <v>1.00023223617841</v>
      </c>
      <c r="V377" s="34">
        <f>_xll.qlYieldTSDiscount(OisCurve,R377,,AllTriggers)</f>
        <v>0.99937829701720371</v>
      </c>
      <c r="W377" s="33">
        <f t="shared" si="35"/>
        <v>3.2724397838111438E-3</v>
      </c>
      <c r="X377" s="35">
        <f t="shared" si="36"/>
        <v>4.1974752443847316E-4</v>
      </c>
      <c r="Y377" s="33">
        <f t="shared" si="37"/>
        <v>1.6092550258923234E-3</v>
      </c>
      <c r="Z377" s="54"/>
    </row>
    <row r="378" spans="15:26" x14ac:dyDescent="0.25">
      <c r="O378" s="37" t="s">
        <v>31</v>
      </c>
      <c r="P378" s="31">
        <f>_xll.qlCalendarAdvance(Calendar,P377,O377,"f",,Trigger)</f>
        <v>43327</v>
      </c>
      <c r="Q378" s="31">
        <f>_xll.qlInterestRateIndexValueDate(Index,P378,Trigger)</f>
        <v>43329</v>
      </c>
      <c r="R378" s="31">
        <f>_xll.qlInterestRateIndexMaturity(Index,Q378,Trigger)</f>
        <v>43423</v>
      </c>
      <c r="S378" s="32">
        <f>_xll.qlDayCounterYearFraction(DayCounter,Q378,R378,,,Trigger)</f>
        <v>0.26111111111111113</v>
      </c>
      <c r="T378" s="33">
        <f>_xll.qlIndexFixing(Index,P378,,AllTriggers)</f>
        <v>4.9353717194851226E-3</v>
      </c>
      <c r="U378" s="34">
        <f>_xll.qlYieldTSDiscount(OisCurve,Q378,,AllTriggers)</f>
        <v>1.0001745025032682</v>
      </c>
      <c r="V378" s="34">
        <f>_xll.qlYieldTSDiscount(OisCurve,R378,,AllTriggers)</f>
        <v>0.99930796567582714</v>
      </c>
      <c r="W378" s="33">
        <f t="shared" si="35"/>
        <v>3.3209498908752136E-3</v>
      </c>
      <c r="X378" s="35">
        <f t="shared" si="36"/>
        <v>4.2108958758833539E-4</v>
      </c>
      <c r="Y378" s="33">
        <f t="shared" si="37"/>
        <v>1.614421828609909E-3</v>
      </c>
      <c r="Z378" s="54"/>
    </row>
    <row r="379" spans="15:26" x14ac:dyDescent="0.25">
      <c r="O379" s="37" t="s">
        <v>31</v>
      </c>
      <c r="P379" s="31">
        <f>_xll.qlCalendarAdvance(Calendar,P378,O378,"f",,Trigger)</f>
        <v>43334</v>
      </c>
      <c r="Q379" s="31">
        <f>_xll.qlInterestRateIndexValueDate(Index,P379,Trigger)</f>
        <v>43336</v>
      </c>
      <c r="R379" s="31">
        <f>_xll.qlInterestRateIndexMaturity(Index,Q379,Trigger)</f>
        <v>43430</v>
      </c>
      <c r="S379" s="32">
        <f>_xll.qlDayCounterYearFraction(DayCounter,Q379,R379,,,Trigger)</f>
        <v>0.26111111111111113</v>
      </c>
      <c r="T379" s="33">
        <f>_xll.qlIndexFixing(Index,P379,,AllTriggers)</f>
        <v>4.9888319005262924E-3</v>
      </c>
      <c r="U379" s="34">
        <f>_xll.qlYieldTSDiscount(OisCurve,Q379,,AllTriggers)</f>
        <v>1.000115819183367</v>
      </c>
      <c r="V379" s="34">
        <f>_xll.qlYieldTSDiscount(OisCurve,R379,,AllTriggers)</f>
        <v>0.99923670965607903</v>
      </c>
      <c r="W379" s="33">
        <f t="shared" si="35"/>
        <v>3.3693742557667724E-3</v>
      </c>
      <c r="X379" s="35">
        <f t="shared" si="36"/>
        <v>4.2239746686305904E-4</v>
      </c>
      <c r="Y379" s="33">
        <f t="shared" si="37"/>
        <v>1.61945764475952E-3</v>
      </c>
      <c r="Z379" s="54"/>
    </row>
    <row r="380" spans="15:26" x14ac:dyDescent="0.25">
      <c r="O380" s="37" t="s">
        <v>31</v>
      </c>
      <c r="P380" s="31">
        <f>_xll.qlCalendarAdvance(Calendar,P379,O379,"f",,Trigger)</f>
        <v>43341</v>
      </c>
      <c r="Q380" s="31">
        <f>_xll.qlInterestRateIndexValueDate(Index,P380,Trigger)</f>
        <v>43343</v>
      </c>
      <c r="R380" s="31">
        <f>_xll.qlInterestRateIndexMaturity(Index,Q380,Trigger)</f>
        <v>43434</v>
      </c>
      <c r="S380" s="32">
        <f>_xll.qlDayCounterYearFraction(DayCounter,Q380,R380,,,Trigger)</f>
        <v>0.25277777777777777</v>
      </c>
      <c r="T380" s="33">
        <f>_xll.qlIndexFixing(Index,P380,,AllTriggers)</f>
        <v>5.0306815133416404E-3</v>
      </c>
      <c r="U380" s="34">
        <f>_xll.qlYieldTSDiscount(OisCurve,Q380,,AllTriggers)</f>
        <v>1.0000561880640206</v>
      </c>
      <c r="V380" s="34">
        <f>_xll.qlYieldTSDiscount(OisCurve,R380,,AllTriggers)</f>
        <v>0.99919557749019605</v>
      </c>
      <c r="W380" s="33">
        <f t="shared" si="35"/>
        <v>3.4073542115126082E-3</v>
      </c>
      <c r="X380" s="35">
        <f t="shared" si="36"/>
        <v>4.099039218491377E-4</v>
      </c>
      <c r="Y380" s="33">
        <f t="shared" si="37"/>
        <v>1.6233273018290322E-3</v>
      </c>
      <c r="Z380" s="54"/>
    </row>
    <row r="381" spans="15:26" x14ac:dyDescent="0.25">
      <c r="O381" s="37" t="s">
        <v>31</v>
      </c>
      <c r="P381" s="31">
        <f>_xll.qlCalendarAdvance(Calendar,P380,O380,"f",,Trigger)</f>
        <v>43348</v>
      </c>
      <c r="Q381" s="31">
        <f>_xll.qlInterestRateIndexValueDate(Index,P381,Trigger)</f>
        <v>43350</v>
      </c>
      <c r="R381" s="31">
        <f>_xll.qlInterestRateIndexMaturity(Index,Q381,Trigger)</f>
        <v>43441</v>
      </c>
      <c r="S381" s="32">
        <f>_xll.qlDayCounterYearFraction(DayCounter,Q381,R381,,,Trigger)</f>
        <v>0.25277777777777777</v>
      </c>
      <c r="T381" s="33">
        <f>_xll.qlIndexFixing(Index,P381,,AllTriggers)</f>
        <v>5.0837524224068096E-3</v>
      </c>
      <c r="U381" s="34">
        <f>_xll.qlYieldTSDiscount(OisCurve,Q381,,AllTriggers)</f>
        <v>0.99999561099284184</v>
      </c>
      <c r="V381" s="34">
        <f>_xll.qlYieldTSDiscount(OisCurve,R381,,AllTriggers)</f>
        <v>0.99912287219306151</v>
      </c>
      <c r="W381" s="33">
        <f t="shared" si="35"/>
        <v>3.4556240780454547E-3</v>
      </c>
      <c r="X381" s="35">
        <f t="shared" si="36"/>
        <v>4.1111096582920786E-4</v>
      </c>
      <c r="Y381" s="33">
        <f t="shared" si="37"/>
        <v>1.6281283443613549E-3</v>
      </c>
      <c r="Z381" s="54"/>
    </row>
    <row r="382" spans="15:26" x14ac:dyDescent="0.25">
      <c r="O382" s="37" t="s">
        <v>31</v>
      </c>
      <c r="P382" s="31">
        <f>_xll.qlCalendarAdvance(Calendar,P381,O381,"f",,Trigger)</f>
        <v>43355</v>
      </c>
      <c r="Q382" s="31">
        <f>_xll.qlInterestRateIndexValueDate(Index,P382,Trigger)</f>
        <v>43357</v>
      </c>
      <c r="R382" s="31">
        <f>_xll.qlInterestRateIndexMaturity(Index,Q382,Trigger)</f>
        <v>43448</v>
      </c>
      <c r="S382" s="32">
        <f>_xll.qlDayCounterYearFraction(DayCounter,Q382,R382,,,Trigger)</f>
        <v>0.25277777777777777</v>
      </c>
      <c r="T382" s="33">
        <f>_xll.qlIndexFixing(Index,P382,,AllTriggers)</f>
        <v>5.1366065633379875E-3</v>
      </c>
      <c r="U382" s="34">
        <f>_xll.qlYieldTSDiscount(OisCurve,Q382,,AllTriggers)</f>
        <v>0.99993408981972365</v>
      </c>
      <c r="V382" s="34">
        <f>_xll.qlYieldTSDiscount(OisCurve,R382,,AllTriggers)</f>
        <v>0.99904924704261244</v>
      </c>
      <c r="W382" s="33">
        <f t="shared" si="35"/>
        <v>3.5038081764261599E-3</v>
      </c>
      <c r="X382" s="35">
        <f t="shared" si="36"/>
        <v>4.1228491690834164E-4</v>
      </c>
      <c r="Y382" s="33">
        <f t="shared" si="37"/>
        <v>1.6327983869118276E-3</v>
      </c>
      <c r="Z382" s="54"/>
    </row>
    <row r="383" spans="15:26" x14ac:dyDescent="0.25">
      <c r="O383" s="37" t="s">
        <v>31</v>
      </c>
      <c r="P383" s="31">
        <f>_xll.qlCalendarAdvance(Calendar,P382,O382,"f",,Trigger)</f>
        <v>43362</v>
      </c>
      <c r="Q383" s="31">
        <f>_xll.qlInterestRateIndexValueDate(Index,P383,Trigger)</f>
        <v>43364</v>
      </c>
      <c r="R383" s="31">
        <f>_xll.qlInterestRateIndexMaturity(Index,Q383,Trigger)</f>
        <v>43455</v>
      </c>
      <c r="S383" s="32">
        <f>_xll.qlDayCounterYearFraction(DayCounter,Q383,R383,,,Trigger)</f>
        <v>0.25277777777777777</v>
      </c>
      <c r="T383" s="33">
        <f>_xll.qlIndexFixing(Index,P383,,AllTriggers)</f>
        <v>5.1892439274379533E-3</v>
      </c>
      <c r="U383" s="34">
        <f>_xll.qlYieldTSDiscount(OisCurve,Q383,,AllTriggers)</f>
        <v>0.99987162639682381</v>
      </c>
      <c r="V383" s="34">
        <f>_xll.qlYieldTSDiscount(OisCurve,R383,,AllTriggers)</f>
        <v>0.99897470391893506</v>
      </c>
      <c r="W383" s="33">
        <f t="shared" si="35"/>
        <v>3.5519065035099868E-3</v>
      </c>
      <c r="X383" s="35">
        <f t="shared" si="36"/>
        <v>4.1342577508633841E-4</v>
      </c>
      <c r="Y383" s="33">
        <f t="shared" si="37"/>
        <v>1.6373374239279665E-3</v>
      </c>
      <c r="Z383" s="54"/>
    </row>
    <row r="384" spans="15:26" x14ac:dyDescent="0.25">
      <c r="O384" s="37" t="s">
        <v>31</v>
      </c>
      <c r="P384" s="31">
        <f>_xll.qlCalendarAdvance(Calendar,P383,O383,"f",,Trigger)</f>
        <v>43369</v>
      </c>
      <c r="Q384" s="31">
        <f>_xll.qlInterestRateIndexValueDate(Index,P384,Trigger)</f>
        <v>43371</v>
      </c>
      <c r="R384" s="31">
        <f>_xll.qlInterestRateIndexMaturity(Index,Q384,Trigger)</f>
        <v>43465</v>
      </c>
      <c r="S384" s="32">
        <f>_xll.qlDayCounterYearFraction(DayCounter,Q384,R384,,,Trigger)</f>
        <v>0.26111111111111113</v>
      </c>
      <c r="T384" s="33">
        <f>_xll.qlIndexFixing(Index,P384,,AllTriggers)</f>
        <v>5.2528815578960775E-3</v>
      </c>
      <c r="U384" s="34">
        <f>_xll.qlYieldTSDiscount(OisCurve,Q384,,AllTriggers)</f>
        <v>0.9998082225785474</v>
      </c>
      <c r="V384" s="34">
        <f>_xll.qlYieldTSDiscount(OisCurve,R384,,AllTriggers)</f>
        <v>0.99886662507145829</v>
      </c>
      <c r="W384" s="33">
        <f t="shared" si="35"/>
        <v>3.6102098335681469E-3</v>
      </c>
      <c r="X384" s="35">
        <f t="shared" si="36"/>
        <v>4.2842410509659484E-4</v>
      </c>
      <c r="Y384" s="33">
        <f t="shared" si="37"/>
        <v>1.6426717243279306E-3</v>
      </c>
      <c r="Z384" s="54"/>
    </row>
    <row r="385" spans="15:26" x14ac:dyDescent="0.25">
      <c r="O385" s="37" t="s">
        <v>31</v>
      </c>
      <c r="P385" s="31">
        <f>_xll.qlCalendarAdvance(Calendar,P384,O384,"f",,Trigger)</f>
        <v>43376</v>
      </c>
      <c r="Q385" s="31">
        <f>_xll.qlInterestRateIndexValueDate(Index,P385,Trigger)</f>
        <v>43378</v>
      </c>
      <c r="R385" s="31">
        <f>_xll.qlInterestRateIndexMaturity(Index,Q385,Trigger)</f>
        <v>43472</v>
      </c>
      <c r="S385" s="32">
        <f>_xll.qlDayCounterYearFraction(DayCounter,Q385,R385,,,Trigger)</f>
        <v>0.26111111111111113</v>
      </c>
      <c r="T385" s="33">
        <f>_xll.qlIndexFixing(Index,P385,,AllTriggers)</f>
        <v>5.3050411769786938E-3</v>
      </c>
      <c r="U385" s="34">
        <f>_xll.qlYieldTSDiscount(OisCurve,Q385,,AllTriggers)</f>
        <v>0.99974388022153071</v>
      </c>
      <c r="V385" s="34">
        <f>_xll.qlYieldTSDiscount(OisCurve,R385,,AllTriggers)</f>
        <v>0.99878986042398421</v>
      </c>
      <c r="W385" s="33">
        <f t="shared" si="35"/>
        <v>3.658119677062303E-3</v>
      </c>
      <c r="X385" s="35">
        <f t="shared" si="36"/>
        <v>4.2952688111523655E-4</v>
      </c>
      <c r="Y385" s="33">
        <f t="shared" si="37"/>
        <v>1.6469214999163908E-3</v>
      </c>
      <c r="Z385" s="54"/>
    </row>
    <row r="386" spans="15:26" x14ac:dyDescent="0.25">
      <c r="O386" s="37" t="s">
        <v>31</v>
      </c>
      <c r="P386" s="31">
        <f>_xll.qlCalendarAdvance(Calendar,P385,O385,"f",,Trigger)</f>
        <v>43383</v>
      </c>
      <c r="Q386" s="31">
        <f>_xll.qlInterestRateIndexValueDate(Index,P386,Trigger)</f>
        <v>43385</v>
      </c>
      <c r="R386" s="31">
        <f>_xll.qlInterestRateIndexMaturity(Index,Q386,Trigger)</f>
        <v>43479</v>
      </c>
      <c r="S386" s="32">
        <f>_xll.qlDayCounterYearFraction(DayCounter,Q386,R386,,,Trigger)</f>
        <v>0.26111111111111113</v>
      </c>
      <c r="T386" s="33">
        <f>_xll.qlIndexFixing(Index,P386,,AllTriggers)</f>
        <v>5.3569840044944833E-3</v>
      </c>
      <c r="U386" s="34">
        <f>_xll.qlYieldTSDiscount(OisCurve,Q386,,AllTriggers)</f>
        <v>0.99967860118462437</v>
      </c>
      <c r="V386" s="34">
        <f>_xll.qlYieldTSDiscount(OisCurve,R386,,AllTriggers)</f>
        <v>0.99871218426462738</v>
      </c>
      <c r="W386" s="33">
        <f t="shared" si="35"/>
        <v>3.7059437556497929E-3</v>
      </c>
      <c r="X386" s="35">
        <f t="shared" si="36"/>
        <v>4.3059547325815774E-4</v>
      </c>
      <c r="Y386" s="33">
        <f t="shared" si="37"/>
        <v>1.6510402488446904E-3</v>
      </c>
      <c r="Z386" s="54"/>
    </row>
    <row r="387" spans="15:26" x14ac:dyDescent="0.25">
      <c r="O387" s="37" t="s">
        <v>31</v>
      </c>
      <c r="P387" s="31">
        <f>_xll.qlCalendarAdvance(Calendar,P386,O386,"f",,Trigger)</f>
        <v>43390</v>
      </c>
      <c r="Q387" s="31">
        <f>_xll.qlInterestRateIndexValueDate(Index,P387,Trigger)</f>
        <v>43392</v>
      </c>
      <c r="R387" s="31">
        <f>_xll.qlInterestRateIndexMaturity(Index,Q387,Trigger)</f>
        <v>43486</v>
      </c>
      <c r="S387" s="32">
        <f>_xll.qlDayCounterYearFraction(DayCounter,Q387,R387,,,Trigger)</f>
        <v>0.26111111111111113</v>
      </c>
      <c r="T387" s="33">
        <f>_xll.qlIndexFixing(Index,P387,,AllTriggers)</f>
        <v>5.4087100316156152E-3</v>
      </c>
      <c r="U387" s="34">
        <f>_xll.qlYieldTSDiscount(OisCurve,Q387,,AllTriggers)</f>
        <v>0.99961238732887658</v>
      </c>
      <c r="V387" s="34">
        <f>_xll.qlYieldTSDiscount(OisCurve,R387,,AllTriggers)</f>
        <v>0.99863359848235445</v>
      </c>
      <c r="W387" s="33">
        <f t="shared" si="35"/>
        <v>3.7536820661059627E-3</v>
      </c>
      <c r="X387" s="35">
        <f t="shared" si="36"/>
        <v>4.3162988152530013E-4</v>
      </c>
      <c r="Y387" s="33">
        <f t="shared" si="37"/>
        <v>1.6550279655096526E-3</v>
      </c>
      <c r="Z387" s="54"/>
    </row>
    <row r="388" spans="15:26" x14ac:dyDescent="0.25">
      <c r="O388" s="37" t="s">
        <v>31</v>
      </c>
      <c r="P388" s="31">
        <f>_xll.qlCalendarAdvance(Calendar,P387,O387,"f",,Trigger)</f>
        <v>43397</v>
      </c>
      <c r="Q388" s="31">
        <f>_xll.qlInterestRateIndexValueDate(Index,P388,Trigger)</f>
        <v>43399</v>
      </c>
      <c r="R388" s="31">
        <f>_xll.qlInterestRateIndexMaturity(Index,Q388,Trigger)</f>
        <v>43493</v>
      </c>
      <c r="S388" s="32">
        <f>_xll.qlDayCounterYearFraction(DayCounter,Q388,R388,,,Trigger)</f>
        <v>0.26111111111111113</v>
      </c>
      <c r="T388" s="33">
        <f>_xll.qlIndexFixing(Index,P388,,AllTriggers)</f>
        <v>5.4602192495508232E-3</v>
      </c>
      <c r="U388" s="34">
        <f>_xll.qlYieldTSDiscount(OisCurve,Q388,,AllTriggers)</f>
        <v>0.9995452405175177</v>
      </c>
      <c r="V388" s="34">
        <f>_xll.qlYieldTSDiscount(OisCurve,R388,,AllTriggers)</f>
        <v>0.99855410496809316</v>
      </c>
      <c r="W388" s="33">
        <f t="shared" ref="W388:W451" si="38">(U388/V388-1)/S388</f>
        <v>3.8013346052121096E-3</v>
      </c>
      <c r="X388" s="35">
        <f t="shared" ref="X388:X451" si="39">LN((1+T388*S388)/(1+W388*S388))</f>
        <v>4.3263010591620748E-4</v>
      </c>
      <c r="Y388" s="33">
        <f t="shared" ref="Y388:Y451" si="40">T388-W388</f>
        <v>1.6588846443387137E-3</v>
      </c>
      <c r="Z388" s="54"/>
    </row>
    <row r="389" spans="15:26" x14ac:dyDescent="0.25">
      <c r="O389" s="37" t="s">
        <v>31</v>
      </c>
      <c r="P389" s="31">
        <f>_xll.qlCalendarAdvance(Calendar,P388,O388,"f",,Trigger)</f>
        <v>43404</v>
      </c>
      <c r="Q389" s="31">
        <f>_xll.qlInterestRateIndexValueDate(Index,P389,Trigger)</f>
        <v>43406</v>
      </c>
      <c r="R389" s="31">
        <f>_xll.qlInterestRateIndexMaturity(Index,Q389,Trigger)</f>
        <v>43500</v>
      </c>
      <c r="S389" s="32">
        <f>_xll.qlDayCounterYearFraction(DayCounter,Q389,R389,,,Trigger)</f>
        <v>0.26111111111111113</v>
      </c>
      <c r="T389" s="33">
        <f>_xll.qlIndexFixing(Index,P389,,AllTriggers)</f>
        <v>5.5115116495454081E-3</v>
      </c>
      <c r="U389" s="34">
        <f>_xll.qlYieldTSDiscount(OisCurve,Q389,,AllTriggers)</f>
        <v>0.99947716261594144</v>
      </c>
      <c r="V389" s="34">
        <f>_xll.qlYieldTSDiscount(OisCurve,R389,,AllTriggers)</f>
        <v>0.99847370561471616</v>
      </c>
      <c r="W389" s="33">
        <f t="shared" si="38"/>
        <v>3.8489013697537845E-3</v>
      </c>
      <c r="X389" s="35">
        <f t="shared" si="39"/>
        <v>4.3359614643135696E-4</v>
      </c>
      <c r="Y389" s="33">
        <f t="shared" si="40"/>
        <v>1.6626102797916236E-3</v>
      </c>
      <c r="Z389" s="54"/>
    </row>
    <row r="390" spans="15:26" x14ac:dyDescent="0.25">
      <c r="O390" s="37" t="s">
        <v>31</v>
      </c>
      <c r="P390" s="31">
        <f>_xll.qlCalendarAdvance(Calendar,P389,O389,"f",,Trigger)</f>
        <v>43411</v>
      </c>
      <c r="Q390" s="31">
        <f>_xll.qlInterestRateIndexValueDate(Index,P390,Trigger)</f>
        <v>43413</v>
      </c>
      <c r="R390" s="31">
        <f>_xll.qlInterestRateIndexMaturity(Index,Q390,Trigger)</f>
        <v>43507</v>
      </c>
      <c r="S390" s="32">
        <f>_xll.qlDayCounterYearFraction(DayCounter,Q390,R390,,,Trigger)</f>
        <v>0.26111111111111113</v>
      </c>
      <c r="T390" s="33">
        <f>_xll.qlIndexFixing(Index,P390,,AllTriggers)</f>
        <v>5.5625872228812386E-3</v>
      </c>
      <c r="U390" s="34">
        <f>_xll.qlYieldTSDiscount(OisCurve,Q390,,AllTriggers)</f>
        <v>0.99940815549169082</v>
      </c>
      <c r="V390" s="34">
        <f>_xll.qlYieldTSDiscount(OisCurve,R390,,AllTriggers)</f>
        <v>0.99839240231702453</v>
      </c>
      <c r="W390" s="33">
        <f t="shared" si="38"/>
        <v>3.8963823565233398E-3</v>
      </c>
      <c r="X390" s="35">
        <f t="shared" si="39"/>
        <v>4.3452800307060578E-4</v>
      </c>
      <c r="Y390" s="33">
        <f t="shared" si="40"/>
        <v>1.6662048663578987E-3</v>
      </c>
      <c r="Z390" s="54"/>
    </row>
    <row r="391" spans="15:26" x14ac:dyDescent="0.25">
      <c r="O391" s="37" t="s">
        <v>31</v>
      </c>
      <c r="P391" s="31">
        <f>_xll.qlCalendarAdvance(Calendar,P390,O390,"f",,Trigger)</f>
        <v>43418</v>
      </c>
      <c r="Q391" s="31">
        <f>_xll.qlInterestRateIndexValueDate(Index,P391,Trigger)</f>
        <v>43420</v>
      </c>
      <c r="R391" s="31">
        <f>_xll.qlInterestRateIndexMaturity(Index,Q391,Trigger)</f>
        <v>43514</v>
      </c>
      <c r="S391" s="32">
        <f>_xll.qlDayCounterYearFraction(DayCounter,Q391,R391,,,Trigger)</f>
        <v>0.26111111111111113</v>
      </c>
      <c r="T391" s="33">
        <f>_xll.qlIndexFixing(Index,P391,,AllTriggers)</f>
        <v>5.6134459608792988E-3</v>
      </c>
      <c r="U391" s="34">
        <f>_xll.qlYieldTSDiscount(OisCurve,Q391,,AllTriggers)</f>
        <v>0.99933822101444025</v>
      </c>
      <c r="V391" s="34">
        <f>_xll.qlYieldTSDiscount(OisCurve,R391,,AllTriggers)</f>
        <v>0.99831019697173196</v>
      </c>
      <c r="W391" s="33">
        <f t="shared" si="38"/>
        <v>3.9437775623207827E-3</v>
      </c>
      <c r="X391" s="35">
        <f t="shared" si="39"/>
        <v>4.3542567583385679E-4</v>
      </c>
      <c r="Y391" s="33">
        <f t="shared" si="40"/>
        <v>1.6696683985585161E-3</v>
      </c>
      <c r="Z391" s="54"/>
    </row>
    <row r="392" spans="15:26" x14ac:dyDescent="0.25">
      <c r="O392" s="37" t="s">
        <v>31</v>
      </c>
      <c r="P392" s="31">
        <f>_xll.qlCalendarAdvance(Calendar,P391,O391,"f",,Trigger)</f>
        <v>43425</v>
      </c>
      <c r="Q392" s="31">
        <f>_xll.qlInterestRateIndexValueDate(Index,P392,Trigger)</f>
        <v>43427</v>
      </c>
      <c r="R392" s="31">
        <f>_xll.qlInterestRateIndexMaturity(Index,Q392,Trigger)</f>
        <v>43521</v>
      </c>
      <c r="S392" s="32">
        <f>_xll.qlDayCounterYearFraction(DayCounter,Q392,R392,,,Trigger)</f>
        <v>0.26111111111111113</v>
      </c>
      <c r="T392" s="33">
        <f>_xll.qlIndexFixing(Index,P392,,AllTriggers)</f>
        <v>5.6640878548945882E-3</v>
      </c>
      <c r="U392" s="34">
        <f>_xll.qlYieldTSDiscount(OisCurve,Q392,,AllTriggers)</f>
        <v>0.99926736105597913</v>
      </c>
      <c r="V392" s="34">
        <f>_xll.qlYieldTSDiscount(OisCurve,R392,,AllTriggers)</f>
        <v>0.99822709147744815</v>
      </c>
      <c r="W392" s="33">
        <f t="shared" si="38"/>
        <v>3.9910869839486704E-3</v>
      </c>
      <c r="X392" s="35">
        <f t="shared" si="39"/>
        <v>4.3628916472128064E-4</v>
      </c>
      <c r="Y392" s="33">
        <f t="shared" si="40"/>
        <v>1.6730008709459178E-3</v>
      </c>
      <c r="Z392" s="54"/>
    </row>
    <row r="393" spans="15:26" x14ac:dyDescent="0.25">
      <c r="O393" s="37" t="s">
        <v>31</v>
      </c>
      <c r="P393" s="31">
        <f>_xll.qlCalendarAdvance(Calendar,P392,O392,"f",,Trigger)</f>
        <v>43432</v>
      </c>
      <c r="Q393" s="31">
        <f>_xll.qlInterestRateIndexValueDate(Index,P393,Trigger)</f>
        <v>43434</v>
      </c>
      <c r="R393" s="31">
        <f>_xll.qlInterestRateIndexMaturity(Index,Q393,Trigger)</f>
        <v>43524</v>
      </c>
      <c r="S393" s="32">
        <f>_xll.qlDayCounterYearFraction(DayCounter,Q393,R393,,,Trigger)</f>
        <v>0.25</v>
      </c>
      <c r="T393" s="33">
        <f>_xll.qlIndexFixing(Index,P393,,AllTriggers)</f>
        <v>5.7000835817628825E-3</v>
      </c>
      <c r="U393" s="34">
        <f>_xll.qlYieldTSDiscount(OisCurve,Q393,,AllTriggers)</f>
        <v>0.99919557749019605</v>
      </c>
      <c r="V393" s="34">
        <f>_xll.qlYieldTSDiscount(OisCurve,R393,,AllTriggers)</f>
        <v>0.998191199752128</v>
      </c>
      <c r="W393" s="33">
        <f t="shared" si="38"/>
        <v>4.0247909952215721E-3</v>
      </c>
      <c r="X393" s="35">
        <f t="shared" si="39"/>
        <v>4.1831464555991811E-4</v>
      </c>
      <c r="Y393" s="33">
        <f t="shared" si="40"/>
        <v>1.6752925865413104E-3</v>
      </c>
      <c r="Z393" s="54"/>
    </row>
    <row r="394" spans="15:26" x14ac:dyDescent="0.25">
      <c r="O394" s="37" t="s">
        <v>31</v>
      </c>
      <c r="P394" s="31">
        <f>_xll.qlCalendarAdvance(Calendar,P393,O393,"f",,Trigger)</f>
        <v>43439</v>
      </c>
      <c r="Q394" s="31">
        <f>_xll.qlInterestRateIndexValueDate(Index,P394,Trigger)</f>
        <v>43441</v>
      </c>
      <c r="R394" s="31">
        <f>_xll.qlInterestRateIndexMaturity(Index,Q394,Trigger)</f>
        <v>43531</v>
      </c>
      <c r="S394" s="32">
        <f>_xll.qlDayCounterYearFraction(DayCounter,Q394,R394,,,Trigger)</f>
        <v>0.25</v>
      </c>
      <c r="T394" s="33">
        <f>_xll.qlIndexFixing(Index,P394,,AllTriggers)</f>
        <v>5.7503505295413149E-3</v>
      </c>
      <c r="U394" s="34">
        <f>_xll.qlYieldTSDiscount(OisCurve,Q394,,AllTriggers)</f>
        <v>0.99912287219306151</v>
      </c>
      <c r="V394" s="34">
        <f>_xll.qlYieldTSDiscount(OisCurve,R394,,AllTriggers)</f>
        <v>0.99810681162794523</v>
      </c>
      <c r="W394" s="33">
        <f t="shared" si="38"/>
        <v>4.0719512311877537E-3</v>
      </c>
      <c r="X394" s="35">
        <f t="shared" si="39"/>
        <v>4.1908528296556702E-4</v>
      </c>
      <c r="Y394" s="33">
        <f t="shared" si="40"/>
        <v>1.6783992983535612E-3</v>
      </c>
      <c r="Z394" s="54"/>
    </row>
    <row r="395" spans="15:26" x14ac:dyDescent="0.25">
      <c r="O395" s="37" t="s">
        <v>31</v>
      </c>
      <c r="P395" s="31">
        <f>_xll.qlCalendarAdvance(Calendar,P394,O394,"f",,Trigger)</f>
        <v>43446</v>
      </c>
      <c r="Q395" s="31">
        <f>_xll.qlInterestRateIndexValueDate(Index,P395,Trigger)</f>
        <v>43448</v>
      </c>
      <c r="R395" s="31">
        <f>_xll.qlInterestRateIndexMaturity(Index,Q395,Trigger)</f>
        <v>43538</v>
      </c>
      <c r="S395" s="32">
        <f>_xll.qlDayCounterYearFraction(DayCounter,Q395,R395,,,Trigger)</f>
        <v>0.25</v>
      </c>
      <c r="T395" s="33">
        <f>_xll.qlIndexFixing(Index,P395,,AllTriggers)</f>
        <v>5.800400595985522E-3</v>
      </c>
      <c r="U395" s="34">
        <f>_xll.qlYieldTSDiscount(OisCurve,Q395,,AllTriggers)</f>
        <v>0.99904924704261244</v>
      </c>
      <c r="V395" s="34">
        <f>_xll.qlYieldTSDiscount(OisCurve,R395,,AllTriggers)</f>
        <v>0.99802152797347665</v>
      </c>
      <c r="W395" s="33">
        <f t="shared" si="38"/>
        <v>4.1190256535754699E-3</v>
      </c>
      <c r="X395" s="35">
        <f t="shared" si="39"/>
        <v>4.1982319112864757E-4</v>
      </c>
      <c r="Y395" s="33">
        <f t="shared" si="40"/>
        <v>1.6813749424100521E-3</v>
      </c>
      <c r="Z395" s="54"/>
    </row>
    <row r="396" spans="15:26" x14ac:dyDescent="0.25">
      <c r="O396" s="37" t="s">
        <v>31</v>
      </c>
      <c r="P396" s="31">
        <f>_xll.qlCalendarAdvance(Calendar,P395,O395,"f",,Trigger)</f>
        <v>43453</v>
      </c>
      <c r="Q396" s="31">
        <f>_xll.qlInterestRateIndexValueDate(Index,P396,Trigger)</f>
        <v>43455</v>
      </c>
      <c r="R396" s="31">
        <f>_xll.qlInterestRateIndexMaturity(Index,Q396,Trigger)</f>
        <v>43545</v>
      </c>
      <c r="S396" s="32">
        <f>_xll.qlDayCounterYearFraction(DayCounter,Q396,R396,,,Trigger)</f>
        <v>0.25</v>
      </c>
      <c r="T396" s="33">
        <f>_xll.qlIndexFixing(Index,P396,,AllTriggers)</f>
        <v>5.8502337729473552E-3</v>
      </c>
      <c r="U396" s="34">
        <f>_xll.qlYieldTSDiscount(OisCurve,Q396,,AllTriggers)</f>
        <v>0.99897470391893506</v>
      </c>
      <c r="V396" s="34">
        <f>_xll.qlYieldTSDiscount(OisCurve,R396,,AllTriggers)</f>
        <v>0.99793535069371164</v>
      </c>
      <c r="W396" s="33">
        <f t="shared" si="38"/>
        <v>4.166014259344486E-3</v>
      </c>
      <c r="X396" s="35">
        <f t="shared" si="39"/>
        <v>4.2052837004836894E-4</v>
      </c>
      <c r="Y396" s="33">
        <f t="shared" si="40"/>
        <v>1.6842195136028693E-3</v>
      </c>
      <c r="Z396" s="54"/>
    </row>
    <row r="397" spans="15:26" x14ac:dyDescent="0.25">
      <c r="O397" s="37" t="s">
        <v>31</v>
      </c>
      <c r="P397" s="31">
        <f>_xll.qlCalendarAdvance(Calendar,P396,O396,"f",,Trigger)</f>
        <v>43461</v>
      </c>
      <c r="Q397" s="31">
        <f>_xll.qlInterestRateIndexValueDate(Index,P397,Trigger)</f>
        <v>43465</v>
      </c>
      <c r="R397" s="31">
        <f>_xll.qlInterestRateIndexMaturity(Index,Q397,Trigger)</f>
        <v>43553</v>
      </c>
      <c r="S397" s="32">
        <f>_xll.qlDayCounterYearFraction(DayCounter,Q397,R397,,,Trigger)</f>
        <v>0.24444444444444444</v>
      </c>
      <c r="T397" s="33">
        <f>_xll.qlIndexFixing(Index,P397,,AllTriggers)</f>
        <v>5.9139550333675572E-3</v>
      </c>
      <c r="U397" s="34">
        <f>_xll.qlYieldTSDiscount(OisCurve,Q397,,AllTriggers)</f>
        <v>0.99886662507145829</v>
      </c>
      <c r="V397" s="34">
        <f>_xll.qlYieldTSDiscount(OisCurve,R397,,AllTriggers)</f>
        <v>0.99783577058506512</v>
      </c>
      <c r="W397" s="33">
        <f t="shared" si="38"/>
        <v>4.2262786263088962E-3</v>
      </c>
      <c r="X397" s="35">
        <f t="shared" si="39"/>
        <v>4.1203247022024387E-4</v>
      </c>
      <c r="Y397" s="33">
        <f t="shared" si="40"/>
        <v>1.687676407058661E-3</v>
      </c>
      <c r="Z397" s="54"/>
    </row>
    <row r="398" spans="15:26" x14ac:dyDescent="0.25">
      <c r="O398" s="37" t="s">
        <v>31</v>
      </c>
      <c r="P398" s="31">
        <f>_xll.qlCalendarAdvance(Calendar,P397,O397,"f",,Trigger)</f>
        <v>43468</v>
      </c>
      <c r="Q398" s="31">
        <f>_xll.qlInterestRateIndexValueDate(Index,P398,Trigger)</f>
        <v>43472</v>
      </c>
      <c r="R398" s="31">
        <f>_xll.qlInterestRateIndexMaturity(Index,Q398,Trigger)</f>
        <v>43563</v>
      </c>
      <c r="S398" s="32">
        <f>_xll.qlDayCounterYearFraction(DayCounter,Q398,R398,,,Trigger)</f>
        <v>0.25277777777777777</v>
      </c>
      <c r="T398" s="33">
        <f>_xll.qlIndexFixing(Index,P398,,AllTriggers)</f>
        <v>5.973883832130605E-3</v>
      </c>
      <c r="U398" s="34">
        <f>_xll.qlYieldTSDiscount(OisCurve,Q398,,AllTriggers)</f>
        <v>0.99878986042398421</v>
      </c>
      <c r="V398" s="34">
        <f>_xll.qlYieldTSDiscount(OisCurve,R398,,AllTriggers)</f>
        <v>0.99770966193995969</v>
      </c>
      <c r="W398" s="33">
        <f t="shared" si="38"/>
        <v>4.2831224824903457E-3</v>
      </c>
      <c r="X398" s="35">
        <f t="shared" si="39"/>
        <v>4.2683356827406013E-4</v>
      </c>
      <c r="Y398" s="33">
        <f t="shared" si="40"/>
        <v>1.6907613496402593E-3</v>
      </c>
      <c r="Z398" s="54"/>
    </row>
    <row r="399" spans="15:26" x14ac:dyDescent="0.25">
      <c r="O399" s="37" t="s">
        <v>31</v>
      </c>
      <c r="P399" s="31">
        <f>_xll.qlCalendarAdvance(Calendar,P398,O398,"f",,Trigger)</f>
        <v>43475</v>
      </c>
      <c r="Q399" s="31">
        <f>_xll.qlInterestRateIndexValueDate(Index,P399,Trigger)</f>
        <v>43479</v>
      </c>
      <c r="R399" s="31">
        <f>_xll.qlInterestRateIndexMaturity(Index,Q399,Trigger)</f>
        <v>43570</v>
      </c>
      <c r="S399" s="32">
        <f>_xll.qlDayCounterYearFraction(DayCounter,Q399,R399,,,Trigger)</f>
        <v>0.25277777777777777</v>
      </c>
      <c r="T399" s="33">
        <f>_xll.qlIndexFixing(Index,P399,,AllTriggers)</f>
        <v>6.0229586489360422E-3</v>
      </c>
      <c r="U399" s="34">
        <f>_xll.qlYieldTSDiscount(OisCurve,Q399,,AllTriggers)</f>
        <v>0.99871218426462738</v>
      </c>
      <c r="V399" s="34">
        <f>_xll.qlYieldTSDiscount(OisCurve,R399,,AllTriggers)</f>
        <v>0.99762030871972218</v>
      </c>
      <c r="W399" s="33">
        <f t="shared" si="38"/>
        <v>4.3298112642848937E-3</v>
      </c>
      <c r="X399" s="35">
        <f t="shared" si="39"/>
        <v>4.2743075736122806E-4</v>
      </c>
      <c r="Y399" s="33">
        <f t="shared" si="40"/>
        <v>1.6931473846511485E-3</v>
      </c>
      <c r="Z399" s="54"/>
    </row>
    <row r="400" spans="15:26" x14ac:dyDescent="0.25">
      <c r="O400" s="37" t="s">
        <v>31</v>
      </c>
      <c r="P400" s="31">
        <f>_xll.qlCalendarAdvance(Calendar,P399,O399,"f",,Trigger)</f>
        <v>43482</v>
      </c>
      <c r="Q400" s="31">
        <f>_xll.qlInterestRateIndexValueDate(Index,P400,Trigger)</f>
        <v>43486</v>
      </c>
      <c r="R400" s="31">
        <f>_xll.qlInterestRateIndexMaturity(Index,Q400,Trigger)</f>
        <v>43578</v>
      </c>
      <c r="S400" s="32">
        <f>_xll.qlDayCounterYearFraction(DayCounter,Q400,R400,,,Trigger)</f>
        <v>0.25555555555555554</v>
      </c>
      <c r="T400" s="33">
        <f>_xll.qlIndexFixing(Index,P400,,AllTriggers)</f>
        <v>6.0753154777198658E-3</v>
      </c>
      <c r="U400" s="34">
        <f>_xll.qlYieldTSDiscount(OisCurve,Q400,,AllTriggers)</f>
        <v>0.99863359848235445</v>
      </c>
      <c r="V400" s="34">
        <f>_xll.qlYieldTSDiscount(OisCurve,R400,,AllTriggers)</f>
        <v>0.99751710732197441</v>
      </c>
      <c r="W400" s="33">
        <f t="shared" si="38"/>
        <v>4.3797529100928784E-3</v>
      </c>
      <c r="X400" s="35">
        <f t="shared" si="39"/>
        <v>4.3273234258071468E-4</v>
      </c>
      <c r="Y400" s="33">
        <f t="shared" si="40"/>
        <v>1.6955625676269874E-3</v>
      </c>
      <c r="Z400" s="54"/>
    </row>
    <row r="401" spans="15:26" x14ac:dyDescent="0.25">
      <c r="O401" s="37" t="s">
        <v>31</v>
      </c>
      <c r="P401" s="31">
        <f>_xll.qlCalendarAdvance(Calendar,P400,O400,"f",,Trigger)</f>
        <v>43489</v>
      </c>
      <c r="Q401" s="31">
        <f>_xll.qlInterestRateIndexValueDate(Index,P401,Trigger)</f>
        <v>43493</v>
      </c>
      <c r="R401" s="31">
        <f>_xll.qlInterestRateIndexMaturity(Index,Q401,Trigger)</f>
        <v>43584</v>
      </c>
      <c r="S401" s="32">
        <f>_xll.qlDayCounterYearFraction(DayCounter,Q401,R401,,,Trigger)</f>
        <v>0.25277777777777777</v>
      </c>
      <c r="T401" s="33">
        <f>_xll.qlIndexFixing(Index,P401,,AllTriggers)</f>
        <v>6.1204575064870625E-3</v>
      </c>
      <c r="U401" s="34">
        <f>_xll.qlYieldTSDiscount(OisCurve,Q401,,AllTriggers)</f>
        <v>0.99855410496809316</v>
      </c>
      <c r="V401" s="34">
        <f>_xll.qlYieldTSDiscount(OisCurve,R401,,AllTriggers)</f>
        <v>0.99743894951287226</v>
      </c>
      <c r="W401" s="33">
        <f t="shared" si="38"/>
        <v>4.422931349162231E-3</v>
      </c>
      <c r="X401" s="35">
        <f t="shared" si="39"/>
        <v>4.2852585683244594E-4</v>
      </c>
      <c r="Y401" s="33">
        <f t="shared" si="40"/>
        <v>1.6975261573248315E-3</v>
      </c>
      <c r="Z401" s="54"/>
    </row>
    <row r="402" spans="15:26" x14ac:dyDescent="0.25">
      <c r="O402" s="37" t="s">
        <v>31</v>
      </c>
      <c r="P402" s="31">
        <f>_xll.qlCalendarAdvance(Calendar,P401,O401,"f",,Trigger)</f>
        <v>43496</v>
      </c>
      <c r="Q402" s="31">
        <f>_xll.qlInterestRateIndexValueDate(Index,P402,Trigger)</f>
        <v>43500</v>
      </c>
      <c r="R402" s="31">
        <f>_xll.qlInterestRateIndexMaturity(Index,Q402,Trigger)</f>
        <v>43591</v>
      </c>
      <c r="S402" s="32">
        <f>_xll.qlDayCounterYearFraction(DayCounter,Q402,R402,,,Trigger)</f>
        <v>0.25277777777777777</v>
      </c>
      <c r="T402" s="33">
        <f>_xll.qlIndexFixing(Index,P402,,AllTriggers)</f>
        <v>6.1688815311883366E-3</v>
      </c>
      <c r="U402" s="34">
        <f>_xll.qlYieldTSDiscount(OisCurve,Q402,,AllTriggers)</f>
        <v>0.99847370561471616</v>
      </c>
      <c r="V402" s="34">
        <f>_xll.qlYieldTSDiscount(OisCurve,R402,,AllTriggers)</f>
        <v>0.99734694735790275</v>
      </c>
      <c r="W402" s="33">
        <f t="shared" si="38"/>
        <v>4.4693626461663662E-3</v>
      </c>
      <c r="X402" s="35">
        <f t="shared" si="39"/>
        <v>4.2902376721579442E-4</v>
      </c>
      <c r="Y402" s="33">
        <f t="shared" si="40"/>
        <v>1.6995188850219703E-3</v>
      </c>
      <c r="Z402" s="54"/>
    </row>
    <row r="403" spans="15:26" x14ac:dyDescent="0.25">
      <c r="O403" s="37" t="s">
        <v>31</v>
      </c>
      <c r="P403" s="31">
        <f>_xll.qlCalendarAdvance(Calendar,P402,O402,"f",,Trigger)</f>
        <v>43503</v>
      </c>
      <c r="Q403" s="31">
        <f>_xll.qlInterestRateIndexValueDate(Index,P403,Trigger)</f>
        <v>43507</v>
      </c>
      <c r="R403" s="31">
        <f>_xll.qlInterestRateIndexMaturity(Index,Q403,Trigger)</f>
        <v>43598</v>
      </c>
      <c r="S403" s="32">
        <f>_xll.qlDayCounterYearFraction(DayCounter,Q403,R403,,,Trigger)</f>
        <v>0.25277777777777777</v>
      </c>
      <c r="T403" s="33">
        <f>_xll.qlIndexFixing(Index,P403,,AllTriggers)</f>
        <v>6.2170887844738487E-3</v>
      </c>
      <c r="U403" s="34">
        <f>_xll.qlYieldTSDiscount(OisCurve,Q403,,AllTriggers)</f>
        <v>0.99839240231702453</v>
      </c>
      <c r="V403" s="34">
        <f>_xll.qlYieldTSDiscount(OisCurve,R403,,AllTriggers)</f>
        <v>0.99725406609765344</v>
      </c>
      <c r="W403" s="33">
        <f t="shared" si="38"/>
        <v>4.5157079561587059E-3</v>
      </c>
      <c r="X403" s="35">
        <f t="shared" si="39"/>
        <v>4.2948866748246573E-4</v>
      </c>
      <c r="Y403" s="33">
        <f t="shared" si="40"/>
        <v>1.7013808283151428E-3</v>
      </c>
      <c r="Z403" s="54"/>
    </row>
    <row r="404" spans="15:26" x14ac:dyDescent="0.25">
      <c r="O404" s="37" t="s">
        <v>31</v>
      </c>
      <c r="P404" s="31">
        <f>_xll.qlCalendarAdvance(Calendar,P403,O403,"f",,Trigger)</f>
        <v>43510</v>
      </c>
      <c r="Q404" s="31">
        <f>_xll.qlInterestRateIndexValueDate(Index,P404,Trigger)</f>
        <v>43514</v>
      </c>
      <c r="R404" s="31">
        <f>_xll.qlInterestRateIndexMaturity(Index,Q404,Trigger)</f>
        <v>43605</v>
      </c>
      <c r="S404" s="32">
        <f>_xll.qlDayCounterYearFraction(DayCounter,Q404,R404,,,Trigger)</f>
        <v>0.25277777777777777</v>
      </c>
      <c r="T404" s="33">
        <f>_xll.qlIndexFixing(Index,P404,,AllTriggers)</f>
        <v>6.2650811555594148E-3</v>
      </c>
      <c r="U404" s="34">
        <f>_xll.qlYieldTSDiscount(OisCurve,Q404,,AllTriggers)</f>
        <v>0.99831019697173196</v>
      </c>
      <c r="V404" s="34">
        <f>_xll.qlYieldTSDiscount(OisCurve,R404,,AllTriggers)</f>
        <v>0.99716030806829881</v>
      </c>
      <c r="W404" s="33">
        <f t="shared" si="38"/>
        <v>4.5619656235229445E-3</v>
      </c>
      <c r="X404" s="35">
        <f t="shared" si="39"/>
        <v>4.2992145368483188E-4</v>
      </c>
      <c r="Y404" s="33">
        <f t="shared" si="40"/>
        <v>1.7031155320364703E-3</v>
      </c>
      <c r="Z404" s="54"/>
    </row>
    <row r="405" spans="15:26" x14ac:dyDescent="0.25">
      <c r="O405" s="37" t="s">
        <v>31</v>
      </c>
      <c r="P405" s="31">
        <f>_xll.qlCalendarAdvance(Calendar,P404,O404,"f",,Trigger)</f>
        <v>43517</v>
      </c>
      <c r="Q405" s="31">
        <f>_xll.qlInterestRateIndexValueDate(Index,P405,Trigger)</f>
        <v>43521</v>
      </c>
      <c r="R405" s="31">
        <f>_xll.qlInterestRateIndexMaturity(Index,Q405,Trigger)</f>
        <v>43612</v>
      </c>
      <c r="S405" s="32">
        <f>_xll.qlDayCounterYearFraction(DayCounter,Q405,R405,,,Trigger)</f>
        <v>0.25277777777777777</v>
      </c>
      <c r="T405" s="33">
        <f>_xll.qlIndexFixing(Index,P405,,AllTriggers)</f>
        <v>6.312861511116331E-3</v>
      </c>
      <c r="U405" s="34">
        <f>_xll.qlYieldTSDiscount(OisCurve,Q405,,AllTriggers)</f>
        <v>0.99822709147744815</v>
      </c>
      <c r="V405" s="34">
        <f>_xll.qlYieldTSDiscount(OisCurve,R405,,AllTriggers)</f>
        <v>0.99706567582186312</v>
      </c>
      <c r="W405" s="33">
        <f t="shared" si="38"/>
        <v>4.6081331412245038E-3</v>
      </c>
      <c r="X405" s="35">
        <f t="shared" si="39"/>
        <v>4.3032348348069047E-4</v>
      </c>
      <c r="Y405" s="33">
        <f t="shared" si="40"/>
        <v>1.7047283698918272E-3</v>
      </c>
      <c r="Z405" s="54"/>
    </row>
    <row r="406" spans="15:26" x14ac:dyDescent="0.25">
      <c r="O406" s="37" t="s">
        <v>31</v>
      </c>
      <c r="P406" s="31">
        <f>_xll.qlCalendarAdvance(Calendar,P405,O405,"f",,Trigger)</f>
        <v>43524</v>
      </c>
      <c r="Q406" s="31">
        <f>_xll.qlInterestRateIndexValueDate(Index,P406,Trigger)</f>
        <v>43528</v>
      </c>
      <c r="R406" s="31">
        <f>_xll.qlInterestRateIndexMaturity(Index,Q406,Trigger)</f>
        <v>43620</v>
      </c>
      <c r="S406" s="32">
        <f>_xll.qlDayCounterYearFraction(DayCounter,Q406,R406,,,Trigger)</f>
        <v>0.25555555555555554</v>
      </c>
      <c r="T406" s="33">
        <f>_xll.qlIndexFixing(Index,P406,,AllTriggers)</f>
        <v>6.3638463160588313E-3</v>
      </c>
      <c r="U406" s="34">
        <f>_xll.qlYieldTSDiscount(OisCurve,Q406,,AllTriggers)</f>
        <v>0.99814308773466354</v>
      </c>
      <c r="V406" s="34">
        <f>_xll.qlYieldTSDiscount(OisCurve,R406,,AllTriggers)</f>
        <v>0.99695645749197126</v>
      </c>
      <c r="W406" s="33">
        <f t="shared" si="38"/>
        <v>4.657511065182916E-3</v>
      </c>
      <c r="X406" s="35">
        <f t="shared" si="39"/>
        <v>4.3545022207010302E-4</v>
      </c>
      <c r="Y406" s="33">
        <f t="shared" si="40"/>
        <v>1.7063352508759153E-3</v>
      </c>
      <c r="Z406" s="54"/>
    </row>
    <row r="407" spans="15:26" x14ac:dyDescent="0.25">
      <c r="O407" s="37" t="s">
        <v>31</v>
      </c>
      <c r="P407" s="31">
        <f>_xll.qlCalendarAdvance(Calendar,P406,O406,"f",,Trigger)</f>
        <v>43531</v>
      </c>
      <c r="Q407" s="31">
        <f>_xll.qlInterestRateIndexValueDate(Index,P407,Trigger)</f>
        <v>43535</v>
      </c>
      <c r="R407" s="31">
        <f>_xll.qlInterestRateIndexMaturity(Index,Q407,Trigger)</f>
        <v>43627</v>
      </c>
      <c r="S407" s="32">
        <f>_xll.qlDayCounterYearFraction(DayCounter,Q407,R407,,,Trigger)</f>
        <v>0.25555555555555554</v>
      </c>
      <c r="T407" s="33">
        <f>_xll.qlIndexFixing(Index,P407,,AllTriggers)</f>
        <v>6.4111980830488845E-3</v>
      </c>
      <c r="U407" s="34">
        <f>_xll.qlYieldTSDiscount(OisCurve,Q407,,AllTriggers)</f>
        <v>0.99805818764573173</v>
      </c>
      <c r="V407" s="34">
        <f>_xll.qlYieldTSDiscount(OisCurve,R407,,AllTriggers)</f>
        <v>0.99685996053166814</v>
      </c>
      <c r="W407" s="33">
        <f t="shared" si="38"/>
        <v>4.7034839193073391E-3</v>
      </c>
      <c r="X407" s="35">
        <f t="shared" si="39"/>
        <v>4.3579692587589783E-4</v>
      </c>
      <c r="Y407" s="33">
        <f t="shared" si="40"/>
        <v>1.7077141637415454E-3</v>
      </c>
      <c r="Z407" s="54"/>
    </row>
    <row r="408" spans="15:26" x14ac:dyDescent="0.25">
      <c r="O408" s="37" t="s">
        <v>31</v>
      </c>
      <c r="P408" s="31">
        <f>_xll.qlCalendarAdvance(Calendar,P407,O407,"f",,Trigger)</f>
        <v>43538</v>
      </c>
      <c r="Q408" s="31">
        <f>_xll.qlInterestRateIndexValueDate(Index,P408,Trigger)</f>
        <v>43542</v>
      </c>
      <c r="R408" s="31">
        <f>_xll.qlInterestRateIndexMaturity(Index,Q408,Trigger)</f>
        <v>43634</v>
      </c>
      <c r="S408" s="32">
        <f>_xll.qlDayCounterYearFraction(DayCounter,Q408,R408,,,Trigger)</f>
        <v>0.25555555555555554</v>
      </c>
      <c r="T408" s="33">
        <f>_xll.qlIndexFixing(Index,P408,,AllTriggers)</f>
        <v>6.4583467311841586E-3</v>
      </c>
      <c r="U408" s="34">
        <f>_xll.qlYieldTSDiscount(OisCurve,Q408,,AllTriggers)</f>
        <v>0.99797239311485519</v>
      </c>
      <c r="V408" s="34">
        <f>_xll.qlYieldTSDiscount(OisCurve,R408,,AllTriggers)</f>
        <v>0.99676259739186246</v>
      </c>
      <c r="W408" s="33">
        <f t="shared" si="38"/>
        <v>4.7493588506149513E-3</v>
      </c>
      <c r="X408" s="35">
        <f t="shared" si="39"/>
        <v>4.3611679318887939E-4</v>
      </c>
      <c r="Y408" s="33">
        <f t="shared" si="40"/>
        <v>1.7089878805692073E-3</v>
      </c>
      <c r="Z408" s="54"/>
    </row>
    <row r="409" spans="15:26" x14ac:dyDescent="0.25">
      <c r="O409" s="37" t="s">
        <v>31</v>
      </c>
      <c r="P409" s="31">
        <f>_xll.qlCalendarAdvance(Calendar,P408,O408,"f",,Trigger)</f>
        <v>43545</v>
      </c>
      <c r="Q409" s="31">
        <f>_xll.qlInterestRateIndexValueDate(Index,P409,Trigger)</f>
        <v>43549</v>
      </c>
      <c r="R409" s="31">
        <f>_xll.qlInterestRateIndexMaturity(Index,Q409,Trigger)</f>
        <v>43641</v>
      </c>
      <c r="S409" s="32">
        <f>_xll.qlDayCounterYearFraction(DayCounter,Q409,R409,,,Trigger)</f>
        <v>0.25555555555555554</v>
      </c>
      <c r="T409" s="33">
        <f>_xll.qlIndexFixing(Index,P409,,AllTriggers)</f>
        <v>6.5052951076540943E-3</v>
      </c>
      <c r="U409" s="34">
        <f>_xll.qlYieldTSDiscount(OisCurve,Q409,,AllTriggers)</f>
        <v>0.99788570604806792</v>
      </c>
      <c r="V409" s="34">
        <f>_xll.qlYieldTSDiscount(OisCurve,R409,,AllTriggers)</f>
        <v>0.99666437063281643</v>
      </c>
      <c r="W409" s="33">
        <f t="shared" si="38"/>
        <v>4.7951333691045031E-3</v>
      </c>
      <c r="X409" s="35">
        <f t="shared" si="39"/>
        <v>4.3641118696405599E-4</v>
      </c>
      <c r="Y409" s="33">
        <f t="shared" si="40"/>
        <v>1.7101617385495912E-3</v>
      </c>
      <c r="Z409" s="54"/>
    </row>
    <row r="410" spans="15:26" x14ac:dyDescent="0.25">
      <c r="O410" s="37" t="s">
        <v>31</v>
      </c>
      <c r="P410" s="31">
        <f>_xll.qlCalendarAdvance(Calendar,P409,O409,"f",,Trigger)</f>
        <v>43552</v>
      </c>
      <c r="Q410" s="31">
        <f>_xll.qlInterestRateIndexValueDate(Index,P410,Trigger)</f>
        <v>43556</v>
      </c>
      <c r="R410" s="31">
        <f>_xll.qlInterestRateIndexMaturity(Index,Q410,Trigger)</f>
        <v>43647</v>
      </c>
      <c r="S410" s="32">
        <f>_xll.qlDayCounterYearFraction(DayCounter,Q410,R410,,,Trigger)</f>
        <v>0.25277777777777777</v>
      </c>
      <c r="T410" s="33">
        <f>_xll.qlIndexFixing(Index,P410,,AllTriggers)</f>
        <v>6.5486837941256867E-3</v>
      </c>
      <c r="U410" s="34">
        <f>_xll.qlYieldTSDiscount(OisCurve,Q410,,AllTriggers)</f>
        <v>0.99779812835321946</v>
      </c>
      <c r="V410" s="34">
        <f>_xll.qlYieldTSDiscount(OisCurve,R410,,AllTriggers)</f>
        <v>0.99657949083920749</v>
      </c>
      <c r="W410" s="33">
        <f t="shared" si="38"/>
        <v>4.8375303889265538E-3</v>
      </c>
      <c r="X410" s="35">
        <f t="shared" si="39"/>
        <v>4.3191998977509669E-4</v>
      </c>
      <c r="Y410" s="33">
        <f t="shared" si="40"/>
        <v>1.7111534051991329E-3</v>
      </c>
      <c r="Z410" s="54"/>
    </row>
    <row r="411" spans="15:26" x14ac:dyDescent="0.25">
      <c r="O411" s="37" t="s">
        <v>31</v>
      </c>
      <c r="P411" s="31">
        <f>_xll.qlCalendarAdvance(Calendar,P410,O410,"f",,Trigger)</f>
        <v>43559</v>
      </c>
      <c r="Q411" s="31">
        <f>_xll.qlInterestRateIndexValueDate(Index,P411,Trigger)</f>
        <v>43563</v>
      </c>
      <c r="R411" s="31">
        <f>_xll.qlInterestRateIndexMaturity(Index,Q411,Trigger)</f>
        <v>43654</v>
      </c>
      <c r="S411" s="32">
        <f>_xll.qlDayCounterYearFraction(DayCounter,Q411,R411,,,Trigger)</f>
        <v>0.25277777777777777</v>
      </c>
      <c r="T411" s="33">
        <f>_xll.qlIndexFixing(Index,P411,,AllTriggers)</f>
        <v>6.5952525017788357E-3</v>
      </c>
      <c r="U411" s="34">
        <f>_xll.qlYieldTSDiscount(OisCurve,Q411,,AllTriggers)</f>
        <v>0.99770966193995969</v>
      </c>
      <c r="V411" s="34">
        <f>_xll.qlYieldTSDiscount(OisCurve,R411,,AllTriggers)</f>
        <v>0.99647966701294599</v>
      </c>
      <c r="W411" s="33">
        <f t="shared" si="38"/>
        <v>4.8831041495942433E-3</v>
      </c>
      <c r="X411" s="35">
        <f t="shared" si="39"/>
        <v>4.3216610318200569E-4</v>
      </c>
      <c r="Y411" s="33">
        <f t="shared" si="40"/>
        <v>1.7121483521845924E-3</v>
      </c>
      <c r="Z411" s="54"/>
    </row>
    <row r="412" spans="15:26" x14ac:dyDescent="0.25">
      <c r="O412" s="37" t="s">
        <v>31</v>
      </c>
      <c r="P412" s="31">
        <f>_xll.qlCalendarAdvance(Calendar,P411,O411,"f",,Trigger)</f>
        <v>43566</v>
      </c>
      <c r="Q412" s="31">
        <f>_xll.qlInterestRateIndexValueDate(Index,P412,Trigger)</f>
        <v>43570</v>
      </c>
      <c r="R412" s="31">
        <f>_xll.qlInterestRateIndexMaturity(Index,Q412,Trigger)</f>
        <v>43661</v>
      </c>
      <c r="S412" s="32">
        <f>_xll.qlDayCounterYearFraction(DayCounter,Q412,R412,,,Trigger)</f>
        <v>0.25277777777777777</v>
      </c>
      <c r="T412" s="33">
        <f>_xll.qlIndexFixing(Index,P412,,AllTriggers)</f>
        <v>6.6416293438949E-3</v>
      </c>
      <c r="U412" s="34">
        <f>_xll.qlYieldTSDiscount(OisCurve,Q412,,AllTriggers)</f>
        <v>0.99762030871972218</v>
      </c>
      <c r="V412" s="34">
        <f>_xll.qlYieldTSDiscount(OisCurve,R412,,AllTriggers)</f>
        <v>0.99637898688979121</v>
      </c>
      <c r="W412" s="33">
        <f t="shared" si="38"/>
        <v>4.9285701398952362E-3</v>
      </c>
      <c r="X412" s="35">
        <f t="shared" si="39"/>
        <v>4.323910008654599E-4</v>
      </c>
      <c r="Y412" s="33">
        <f t="shared" si="40"/>
        <v>1.7130592039996638E-3</v>
      </c>
      <c r="Z412" s="54"/>
    </row>
    <row r="413" spans="15:26" x14ac:dyDescent="0.25">
      <c r="O413" s="37" t="s">
        <v>31</v>
      </c>
      <c r="P413" s="31">
        <f>_xll.qlCalendarAdvance(Calendar,P412,O412,"f",,Trigger)</f>
        <v>43573</v>
      </c>
      <c r="Q413" s="31">
        <f>_xll.qlInterestRateIndexValueDate(Index,P413,Trigger)</f>
        <v>43579</v>
      </c>
      <c r="R413" s="31">
        <f>_xll.qlInterestRateIndexMaturity(Index,Q413,Trigger)</f>
        <v>43670</v>
      </c>
      <c r="S413" s="32">
        <f>_xll.qlDayCounterYearFraction(DayCounter,Q413,R413,,,Trigger)</f>
        <v>0.25277777777777777</v>
      </c>
      <c r="T413" s="33">
        <f>_xll.qlIndexFixing(Index,P413,,AllTriggers)</f>
        <v>6.7009794211186852E-3</v>
      </c>
      <c r="U413" s="34">
        <f>_xll.qlYieldTSDiscount(OisCurve,Q413,,AllTriggers)</f>
        <v>0.9975041260238473</v>
      </c>
      <c r="V413" s="34">
        <f>_xll.qlYieldTSDiscount(OisCurve,R413,,AllTriggers)</f>
        <v>0.99624828691357625</v>
      </c>
      <c r="W413" s="33">
        <f t="shared" si="38"/>
        <v>4.9868640048989187E-3</v>
      </c>
      <c r="X413" s="35">
        <f t="shared" si="39"/>
        <v>4.3265117435087834E-4</v>
      </c>
      <c r="Y413" s="33">
        <f t="shared" si="40"/>
        <v>1.7141154162197665E-3</v>
      </c>
      <c r="Z413" s="54"/>
    </row>
    <row r="414" spans="15:26" x14ac:dyDescent="0.25">
      <c r="O414" s="37" t="s">
        <v>31</v>
      </c>
      <c r="P414" s="31">
        <f>_xll.qlCalendarAdvance(Calendar,P413,O413,"f",,Trigger)</f>
        <v>43580</v>
      </c>
      <c r="Q414" s="31">
        <f>_xll.qlInterestRateIndexValueDate(Index,P414,Trigger)</f>
        <v>43584</v>
      </c>
      <c r="R414" s="31">
        <f>_xll.qlInterestRateIndexMaturity(Index,Q414,Trigger)</f>
        <v>43675</v>
      </c>
      <c r="S414" s="32">
        <f>_xll.qlDayCounterYearFraction(DayCounter,Q414,R414,,,Trigger)</f>
        <v>0.25277777777777777</v>
      </c>
      <c r="T414" s="33">
        <f>_xll.qlIndexFixing(Index,P414,,AllTriggers)</f>
        <v>6.7338189486230429E-3</v>
      </c>
      <c r="U414" s="34">
        <f>_xll.qlYieldTSDiscount(OisCurve,Q414,,AllTriggers)</f>
        <v>0.99743894951287226</v>
      </c>
      <c r="V414" s="34">
        <f>_xll.qlYieldTSDiscount(OisCurve,R414,,AllTriggers)</f>
        <v>0.99617506801532174</v>
      </c>
      <c r="W414" s="33">
        <f t="shared" si="38"/>
        <v>5.0191687385852555E-3</v>
      </c>
      <c r="X414" s="35">
        <f t="shared" si="39"/>
        <v>4.3278260088469036E-4</v>
      </c>
      <c r="Y414" s="33">
        <f t="shared" si="40"/>
        <v>1.7146502100377874E-3</v>
      </c>
      <c r="Z414" s="54"/>
    </row>
    <row r="415" spans="15:26" x14ac:dyDescent="0.25">
      <c r="O415" s="37" t="s">
        <v>31</v>
      </c>
      <c r="P415" s="31">
        <f>_xll.qlCalendarAdvance(Calendar,P414,O414,"f",,Trigger)</f>
        <v>43587</v>
      </c>
      <c r="Q415" s="31">
        <f>_xll.qlInterestRateIndexValueDate(Index,P415,Trigger)</f>
        <v>43591</v>
      </c>
      <c r="R415" s="31">
        <f>_xll.qlInterestRateIndexMaturity(Index,Q415,Trigger)</f>
        <v>43683</v>
      </c>
      <c r="S415" s="32">
        <f>_xll.qlDayCounterYearFraction(DayCounter,Q415,R415,,,Trigger)</f>
        <v>0.25555555555555554</v>
      </c>
      <c r="T415" s="33">
        <f>_xll.qlIndexFixing(Index,P415,,AllTriggers)</f>
        <v>6.7829391251543174E-3</v>
      </c>
      <c r="U415" s="34">
        <f>_xll.qlYieldTSDiscount(OisCurve,Q415,,AllTriggers)</f>
        <v>0.99734694735790275</v>
      </c>
      <c r="V415" s="34">
        <f>_xll.qlYieldTSDiscount(OisCurve,R415,,AllTriggers)</f>
        <v>0.99605701761537524</v>
      </c>
      <c r="W415" s="33">
        <f t="shared" si="38"/>
        <v>5.0675323572304245E-3</v>
      </c>
      <c r="X415" s="35">
        <f t="shared" si="39"/>
        <v>4.3771893079524689E-4</v>
      </c>
      <c r="Y415" s="33">
        <f t="shared" si="40"/>
        <v>1.7154067679238929E-3</v>
      </c>
      <c r="Z415" s="54"/>
    </row>
    <row r="416" spans="15:26" x14ac:dyDescent="0.25">
      <c r="O416" s="37" t="s">
        <v>31</v>
      </c>
      <c r="P416" s="31">
        <f>_xll.qlCalendarAdvance(Calendar,P415,O415,"f",,Trigger)</f>
        <v>43594</v>
      </c>
      <c r="Q416" s="31">
        <f>_xll.qlInterestRateIndexValueDate(Index,P416,Trigger)</f>
        <v>43598</v>
      </c>
      <c r="R416" s="31">
        <f>_xll.qlInterestRateIndexMaturity(Index,Q416,Trigger)</f>
        <v>43690</v>
      </c>
      <c r="S416" s="32">
        <f>_xll.qlDayCounterYearFraction(DayCounter,Q416,R416,,,Trigger)</f>
        <v>0.25555555555555554</v>
      </c>
      <c r="T416" s="33">
        <f>_xll.qlIndexFixing(Index,P416,,AllTriggers)</f>
        <v>6.8285651618318058E-3</v>
      </c>
      <c r="U416" s="34">
        <f>_xll.qlYieldTSDiscount(OisCurve,Q416,,AllTriggers)</f>
        <v>0.99725406609765344</v>
      </c>
      <c r="V416" s="34">
        <f>_xll.qlYieldTSDiscount(OisCurve,R416,,AllTriggers)</f>
        <v>0.99595281731890739</v>
      </c>
      <c r="W416" s="33">
        <f t="shared" si="38"/>
        <v>5.1125344079797682E-3</v>
      </c>
      <c r="X416" s="35">
        <f t="shared" si="39"/>
        <v>4.3787308975922103E-4</v>
      </c>
      <c r="Y416" s="33">
        <f t="shared" si="40"/>
        <v>1.7160307538520376E-3</v>
      </c>
      <c r="Z416" s="54"/>
    </row>
    <row r="417" spans="15:26" x14ac:dyDescent="0.25">
      <c r="O417" s="37" t="s">
        <v>31</v>
      </c>
      <c r="P417" s="31">
        <f>_xll.qlCalendarAdvance(Calendar,P416,O416,"f",,Trigger)</f>
        <v>43601</v>
      </c>
      <c r="Q417" s="31">
        <f>_xll.qlInterestRateIndexValueDate(Index,P417,Trigger)</f>
        <v>43605</v>
      </c>
      <c r="R417" s="31">
        <f>_xll.qlInterestRateIndexMaturity(Index,Q417,Trigger)</f>
        <v>43697</v>
      </c>
      <c r="S417" s="32">
        <f>_xll.qlDayCounterYearFraction(DayCounter,Q417,R417,,,Trigger)</f>
        <v>0.25555555555555554</v>
      </c>
      <c r="T417" s="33">
        <f>_xll.qlIndexFixing(Index,P417,,AllTriggers)</f>
        <v>6.8740116600443301E-3</v>
      </c>
      <c r="U417" s="34">
        <f>_xll.qlYieldTSDiscount(OisCurve,Q417,,AllTriggers)</f>
        <v>0.99716030806829881</v>
      </c>
      <c r="V417" s="34">
        <f>_xll.qlYieldTSDiscount(OisCurve,R417,,AllTriggers)</f>
        <v>0.99584777393177704</v>
      </c>
      <c r="W417" s="33">
        <f t="shared" si="38"/>
        <v>5.1574179079937965E-3</v>
      </c>
      <c r="X417" s="35">
        <f t="shared" si="39"/>
        <v>4.3801169998691476E-4</v>
      </c>
      <c r="Y417" s="33">
        <f t="shared" si="40"/>
        <v>1.7165937520505336E-3</v>
      </c>
      <c r="Z417" s="54"/>
    </row>
    <row r="418" spans="15:26" x14ac:dyDescent="0.25">
      <c r="O418" s="37" t="s">
        <v>31</v>
      </c>
      <c r="P418" s="31">
        <f>_xll.qlCalendarAdvance(Calendar,P417,O417,"f",,Trigger)</f>
        <v>43608</v>
      </c>
      <c r="Q418" s="31">
        <f>_xll.qlInterestRateIndexValueDate(Index,P418,Trigger)</f>
        <v>43612</v>
      </c>
      <c r="R418" s="31">
        <f>_xll.qlInterestRateIndexMaturity(Index,Q418,Trigger)</f>
        <v>43704</v>
      </c>
      <c r="S418" s="32">
        <f>_xll.qlDayCounterYearFraction(DayCounter,Q418,R418,,,Trigger)</f>
        <v>0.25555555555555554</v>
      </c>
      <c r="T418" s="33">
        <f>_xll.qlIndexFixing(Index,P418,,AllTriggers)</f>
        <v>6.9192786246341032E-3</v>
      </c>
      <c r="U418" s="34">
        <f>_xll.qlYieldTSDiscount(OisCurve,Q418,,AllTriggers)</f>
        <v>0.99706567582186312</v>
      </c>
      <c r="V418" s="34">
        <f>_xll.qlYieldTSDiscount(OisCurve,R418,,AllTriggers)</f>
        <v>0.99574189002555358</v>
      </c>
      <c r="W418" s="33">
        <f t="shared" si="38"/>
        <v>5.2021828435182939E-3</v>
      </c>
      <c r="X418" s="35">
        <f t="shared" si="39"/>
        <v>4.3813476677734996E-4</v>
      </c>
      <c r="Y418" s="33">
        <f t="shared" si="40"/>
        <v>1.7170957811158093E-3</v>
      </c>
      <c r="Z418" s="54"/>
    </row>
    <row r="419" spans="15:26" x14ac:dyDescent="0.25">
      <c r="O419" s="37" t="s">
        <v>31</v>
      </c>
      <c r="P419" s="31">
        <f>_xll.qlCalendarAdvance(Calendar,P418,O418,"f",,Trigger)</f>
        <v>43615</v>
      </c>
      <c r="Q419" s="31">
        <f>_xll.qlInterestRateIndexValueDate(Index,P419,Trigger)</f>
        <v>43619</v>
      </c>
      <c r="R419" s="31">
        <f>_xll.qlInterestRateIndexMaturity(Index,Q419,Trigger)</f>
        <v>43711</v>
      </c>
      <c r="S419" s="32">
        <f>_xll.qlDayCounterYearFraction(DayCounter,Q419,R419,,,Trigger)</f>
        <v>0.25555555555555554</v>
      </c>
      <c r="T419" s="33">
        <f>_xll.qlIndexFixing(Index,P419,,AllTriggers)</f>
        <v>6.9643660493687197E-3</v>
      </c>
      <c r="U419" s="34">
        <f>_xll.qlYieldTSDiscount(OisCurve,Q419,,AllTriggers)</f>
        <v>0.99697017191425952</v>
      </c>
      <c r="V419" s="34">
        <f>_xll.qlYieldTSDiscount(OisCurve,R419,,AllTriggers)</f>
        <v>0.99563516817295883</v>
      </c>
      <c r="W419" s="33">
        <f t="shared" si="38"/>
        <v>5.2468292104791286E-3</v>
      </c>
      <c r="X419" s="35">
        <f t="shared" si="39"/>
        <v>4.3824229012982878E-4</v>
      </c>
      <c r="Y419" s="33">
        <f t="shared" si="40"/>
        <v>1.717536838889591E-3</v>
      </c>
      <c r="Z419" s="54"/>
    </row>
    <row r="420" spans="15:26" x14ac:dyDescent="0.25">
      <c r="O420" s="37" t="s">
        <v>31</v>
      </c>
      <c r="P420" s="31">
        <f>_xll.qlCalendarAdvance(Calendar,P419,O419,"f",,Trigger)</f>
        <v>43622</v>
      </c>
      <c r="Q420" s="31">
        <f>_xll.qlInterestRateIndexValueDate(Index,P420,Trigger)</f>
        <v>43626</v>
      </c>
      <c r="R420" s="31">
        <f>_xll.qlInterestRateIndexMaturity(Index,Q420,Trigger)</f>
        <v>43718</v>
      </c>
      <c r="S420" s="32">
        <f>_xll.qlDayCounterYearFraction(DayCounter,Q420,R420,,,Trigger)</f>
        <v>0.25555555555555554</v>
      </c>
      <c r="T420" s="33">
        <f>_xll.qlIndexFixing(Index,P420,,AllTriggers)</f>
        <v>7.0092739280401013E-3</v>
      </c>
      <c r="U420" s="34">
        <f>_xll.qlYieldTSDiscount(OisCurve,Q420,,AllTriggers)</f>
        <v>0.99687379890280725</v>
      </c>
      <c r="V420" s="34">
        <f>_xll.qlYieldTSDiscount(OisCurve,R420,,AllTriggers)</f>
        <v>0.9955276109478467</v>
      </c>
      <c r="W420" s="33">
        <f t="shared" si="38"/>
        <v>5.2913570048108566E-3</v>
      </c>
      <c r="X420" s="35">
        <f t="shared" si="39"/>
        <v>4.383342700442603E-4</v>
      </c>
      <c r="Y420" s="33">
        <f t="shared" si="40"/>
        <v>1.7179169232292447E-3</v>
      </c>
      <c r="Z420" s="54"/>
    </row>
    <row r="421" spans="15:26" x14ac:dyDescent="0.25">
      <c r="O421" s="37" t="s">
        <v>31</v>
      </c>
      <c r="P421" s="31">
        <f>_xll.qlCalendarAdvance(Calendar,P420,O420,"f",,Trigger)</f>
        <v>43629</v>
      </c>
      <c r="Q421" s="31">
        <f>_xll.qlInterestRateIndexValueDate(Index,P421,Trigger)</f>
        <v>43633</v>
      </c>
      <c r="R421" s="31">
        <f>_xll.qlInterestRateIndexMaturity(Index,Q421,Trigger)</f>
        <v>43725</v>
      </c>
      <c r="S421" s="32">
        <f>_xll.qlDayCounterYearFraction(DayCounter,Q421,R421,,,Trigger)</f>
        <v>0.25555555555555554</v>
      </c>
      <c r="T421" s="33">
        <f>_xll.qlIndexFixing(Index,P421,,AllTriggers)</f>
        <v>7.0540022544671064E-3</v>
      </c>
      <c r="U421" s="34">
        <f>_xll.qlYieldTSDiscount(OisCurve,Q421,,AllTriggers)</f>
        <v>0.99677655934621123</v>
      </c>
      <c r="V421" s="34">
        <f>_xll.qlYieldTSDiscount(OisCurve,R421,,AllTriggers)</f>
        <v>0.9954192209251822</v>
      </c>
      <c r="W421" s="33">
        <f t="shared" si="38"/>
        <v>5.3357662224601983E-3</v>
      </c>
      <c r="X421" s="35">
        <f t="shared" si="39"/>
        <v>4.384107065211605E-4</v>
      </c>
      <c r="Y421" s="33">
        <f t="shared" si="40"/>
        <v>1.7182360320069081E-3</v>
      </c>
      <c r="Z421" s="54"/>
    </row>
    <row r="422" spans="15:26" x14ac:dyDescent="0.25">
      <c r="O422" s="37" t="s">
        <v>31</v>
      </c>
      <c r="P422" s="31">
        <f>_xll.qlCalendarAdvance(Calendar,P421,O421,"f",,Trigger)</f>
        <v>43636</v>
      </c>
      <c r="Q422" s="31">
        <f>_xll.qlInterestRateIndexValueDate(Index,P422,Trigger)</f>
        <v>43640</v>
      </c>
      <c r="R422" s="31">
        <f>_xll.qlInterestRateIndexMaturity(Index,Q422,Trigger)</f>
        <v>43732</v>
      </c>
      <c r="S422" s="32">
        <f>_xll.qlDayCounterYearFraction(DayCounter,Q422,R422,,,Trigger)</f>
        <v>0.25555555555555554</v>
      </c>
      <c r="T422" s="33">
        <f>_xll.qlIndexFixing(Index,P422,,AllTriggers)</f>
        <v>7.0985510224911823E-3</v>
      </c>
      <c r="U422" s="34">
        <f>_xll.qlYieldTSDiscount(OisCurve,Q422,,AllTriggers)</f>
        <v>0.99667845580454062</v>
      </c>
      <c r="V422" s="34">
        <f>_xll.qlYieldTSDiscount(OisCurve,R422,,AllTriggers)</f>
        <v>0.99531000068102216</v>
      </c>
      <c r="W422" s="33">
        <f t="shared" si="38"/>
        <v>5.3800568593834319E-3</v>
      </c>
      <c r="X422" s="35">
        <f t="shared" si="39"/>
        <v>4.3847159956009857E-4</v>
      </c>
      <c r="Y422" s="33">
        <f t="shared" si="40"/>
        <v>1.7184941631077505E-3</v>
      </c>
      <c r="Z422" s="54"/>
    </row>
    <row r="423" spans="15:26" x14ac:dyDescent="0.25">
      <c r="O423" s="37" t="s">
        <v>31</v>
      </c>
      <c r="P423" s="31">
        <f>_xll.qlCalendarAdvance(Calendar,P422,O422,"f",,Trigger)</f>
        <v>43643</v>
      </c>
      <c r="Q423" s="31">
        <f>_xll.qlInterestRateIndexValueDate(Index,P423,Trigger)</f>
        <v>43647</v>
      </c>
      <c r="R423" s="31">
        <f>_xll.qlInterestRateIndexMaturity(Index,Q423,Trigger)</f>
        <v>43739</v>
      </c>
      <c r="S423" s="32">
        <f>_xll.qlDayCounterYearFraction(DayCounter,Q423,R423,,,Trigger)</f>
        <v>0.25555555555555554</v>
      </c>
      <c r="T423" s="33">
        <f>_xll.qlIndexFixing(Index,P423,,AllTriggers)</f>
        <v>7.1429202259789748E-3</v>
      </c>
      <c r="U423" s="34">
        <f>_xll.qlYieldTSDiscount(OisCurve,Q423,,AllTriggers)</f>
        <v>0.99657949083920749</v>
      </c>
      <c r="V423" s="34">
        <f>_xll.qlYieldTSDiscount(OisCurve,R423,,AllTriggers)</f>
        <v>0.99519995279249329</v>
      </c>
      <c r="W423" s="33">
        <f t="shared" si="38"/>
        <v>5.4242289115472627E-3</v>
      </c>
      <c r="X423" s="35">
        <f t="shared" si="39"/>
        <v>4.3851694916169446E-4</v>
      </c>
      <c r="Y423" s="33">
        <f t="shared" si="40"/>
        <v>1.7186913144317121E-3</v>
      </c>
      <c r="Z423" s="54"/>
    </row>
    <row r="424" spans="15:26" x14ac:dyDescent="0.25">
      <c r="O424" s="37" t="s">
        <v>31</v>
      </c>
      <c r="P424" s="31">
        <f>_xll.qlCalendarAdvance(Calendar,P423,O423,"f",,Trigger)</f>
        <v>43650</v>
      </c>
      <c r="Q424" s="31">
        <f>_xll.qlInterestRateIndexValueDate(Index,P424,Trigger)</f>
        <v>43654</v>
      </c>
      <c r="R424" s="31">
        <f>_xll.qlInterestRateIndexMaturity(Index,Q424,Trigger)</f>
        <v>43746</v>
      </c>
      <c r="S424" s="32">
        <f>_xll.qlDayCounterYearFraction(DayCounter,Q424,R424,,,Trigger)</f>
        <v>0.25555555555555554</v>
      </c>
      <c r="T424" s="33">
        <f>_xll.qlIndexFixing(Index,P424,,AllTriggers)</f>
        <v>7.1871098588214572E-3</v>
      </c>
      <c r="U424" s="34">
        <f>_xll.qlYieldTSDiscount(OisCurve,Q424,,AllTriggers)</f>
        <v>0.99647966701294599</v>
      </c>
      <c r="V424" s="34">
        <f>_xll.qlYieldTSDiscount(OisCurve,R424,,AllTriggers)</f>
        <v>0.99508907983777295</v>
      </c>
      <c r="W424" s="33">
        <f t="shared" si="38"/>
        <v>5.4682823749322967E-3</v>
      </c>
      <c r="X424" s="35">
        <f t="shared" si="39"/>
        <v>4.3854675532473369E-4</v>
      </c>
      <c r="Y424" s="33">
        <f t="shared" si="40"/>
        <v>1.7188274838891605E-3</v>
      </c>
      <c r="Z424" s="54"/>
    </row>
    <row r="425" spans="15:26" x14ac:dyDescent="0.25">
      <c r="O425" s="37" t="s">
        <v>31</v>
      </c>
      <c r="P425" s="31">
        <f>_xll.qlCalendarAdvance(Calendar,P424,O424,"f",,Trigger)</f>
        <v>43657</v>
      </c>
      <c r="Q425" s="31">
        <f>_xll.qlInterestRateIndexValueDate(Index,P425,Trigger)</f>
        <v>43661</v>
      </c>
      <c r="R425" s="31">
        <f>_xll.qlInterestRateIndexMaturity(Index,Q425,Trigger)</f>
        <v>43753</v>
      </c>
      <c r="S425" s="32">
        <f>_xll.qlDayCounterYearFraction(DayCounter,Q425,R425,,,Trigger)</f>
        <v>0.25555555555555554</v>
      </c>
      <c r="T425" s="33">
        <f>_xll.qlIndexFixing(Index,P425,,AllTriggers)</f>
        <v>7.23111991493567E-3</v>
      </c>
      <c r="U425" s="34">
        <f>_xll.qlYieldTSDiscount(OisCurve,Q425,,AllTriggers)</f>
        <v>0.99637898688979121</v>
      </c>
      <c r="V425" s="34">
        <f>_xll.qlYieldTSDiscount(OisCurve,R425,,AllTriggers)</f>
        <v>0.99497738439606864</v>
      </c>
      <c r="W425" s="33">
        <f t="shared" si="38"/>
        <v>5.5122172455252215E-3</v>
      </c>
      <c r="X425" s="35">
        <f t="shared" si="39"/>
        <v>4.3856101805038412E-4</v>
      </c>
      <c r="Y425" s="33">
        <f t="shared" si="40"/>
        <v>1.7189026694104485E-3</v>
      </c>
      <c r="Z425" s="54"/>
    </row>
    <row r="426" spans="15:26" x14ac:dyDescent="0.25">
      <c r="O426" s="37" t="s">
        <v>31</v>
      </c>
      <c r="P426" s="31">
        <f>_xll.qlCalendarAdvance(Calendar,P425,O425,"f",,Trigger)</f>
        <v>43664</v>
      </c>
      <c r="Q426" s="31">
        <f>_xll.qlInterestRateIndexValueDate(Index,P426,Trigger)</f>
        <v>43668</v>
      </c>
      <c r="R426" s="31">
        <f>_xll.qlInterestRateIndexMaturity(Index,Q426,Trigger)</f>
        <v>43760</v>
      </c>
      <c r="S426" s="32">
        <f>_xll.qlDayCounterYearFraction(DayCounter,Q426,R426,,,Trigger)</f>
        <v>0.25555555555555554</v>
      </c>
      <c r="T426" s="33">
        <f>_xll.qlIndexFixing(Index,P426,,AllTriggers)</f>
        <v>7.2749503882629804E-3</v>
      </c>
      <c r="U426" s="34">
        <f>_xll.qlYieldTSDiscount(OisCurve,Q426,,AllTriggers)</f>
        <v>0.99627745303505832</v>
      </c>
      <c r="V426" s="34">
        <f>_xll.qlYieldTSDiscount(OisCurve,R426,,AllTriggers)</f>
        <v>0.99486486904759752</v>
      </c>
      <c r="W426" s="33">
        <f t="shared" si="38"/>
        <v>5.5560335193266296E-3</v>
      </c>
      <c r="X426" s="35">
        <f t="shared" si="39"/>
        <v>4.3855973733864499E-4</v>
      </c>
      <c r="Y426" s="33">
        <f t="shared" si="40"/>
        <v>1.7189168689363508E-3</v>
      </c>
      <c r="Z426" s="54"/>
    </row>
    <row r="427" spans="15:26" x14ac:dyDescent="0.25">
      <c r="O427" s="37" t="s">
        <v>31</v>
      </c>
      <c r="P427" s="31">
        <f>_xll.qlCalendarAdvance(Calendar,P426,O426,"f",,Trigger)</f>
        <v>43671</v>
      </c>
      <c r="Q427" s="31">
        <f>_xll.qlInterestRateIndexValueDate(Index,P427,Trigger)</f>
        <v>43675</v>
      </c>
      <c r="R427" s="31">
        <f>_xll.qlInterestRateIndexMaturity(Index,Q427,Trigger)</f>
        <v>43767</v>
      </c>
      <c r="S427" s="32">
        <f>_xll.qlDayCounterYearFraction(DayCounter,Q427,R427,,,Trigger)</f>
        <v>0.25555555555555554</v>
      </c>
      <c r="T427" s="33">
        <f>_xll.qlIndexFixing(Index,P427,,AllTriggers)</f>
        <v>7.3186012727682161E-3</v>
      </c>
      <c r="U427" s="34">
        <f>_xll.qlYieldTSDiscount(OisCurve,Q427,,AllTriggers)</f>
        <v>0.99617506801532174</v>
      </c>
      <c r="V427" s="34">
        <f>_xll.qlYieldTSDiscount(OisCurve,R427,,AllTriggers)</f>
        <v>0.99475153637356661</v>
      </c>
      <c r="W427" s="33">
        <f t="shared" si="38"/>
        <v>5.5997311923484047E-3</v>
      </c>
      <c r="X427" s="35">
        <f t="shared" si="39"/>
        <v>4.385429131887908E-4</v>
      </c>
      <c r="Y427" s="33">
        <f t="shared" si="40"/>
        <v>1.7188700804198114E-3</v>
      </c>
      <c r="Z427" s="54"/>
    </row>
    <row r="428" spans="15:26" x14ac:dyDescent="0.25">
      <c r="O428" s="37" t="s">
        <v>31</v>
      </c>
      <c r="P428" s="31">
        <f>_xll.qlCalendarAdvance(Calendar,P427,O427,"f",,Trigger)</f>
        <v>43678</v>
      </c>
      <c r="Q428" s="31">
        <f>_xll.qlInterestRateIndexValueDate(Index,P428,Trigger)</f>
        <v>43682</v>
      </c>
      <c r="R428" s="31">
        <f>_xll.qlInterestRateIndexMaturity(Index,Q428,Trigger)</f>
        <v>43774</v>
      </c>
      <c r="S428" s="32">
        <f>_xll.qlDayCounterYearFraction(DayCounter,Q428,R428,,,Trigger)</f>
        <v>0.25555555555555554</v>
      </c>
      <c r="T428" s="33">
        <f>_xll.qlIndexFixing(Index,P428,,AllTriggers)</f>
        <v>7.3620725624405341E-3</v>
      </c>
      <c r="U428" s="34">
        <f>_xll.qlYieldTSDiscount(OisCurve,Q428,,AllTriggers)</f>
        <v>0.99607183439839397</v>
      </c>
      <c r="V428" s="34">
        <f>_xll.qlYieldTSDiscount(OisCurve,R428,,AllTriggers)</f>
        <v>0.99463738895615261</v>
      </c>
      <c r="W428" s="33">
        <f t="shared" si="38"/>
        <v>5.6433102606111233E-3</v>
      </c>
      <c r="X428" s="35">
        <f t="shared" si="39"/>
        <v>4.3851054560092471E-4</v>
      </c>
      <c r="Y428" s="33">
        <f t="shared" si="40"/>
        <v>1.7187623018294108E-3</v>
      </c>
      <c r="Z428" s="54"/>
    </row>
    <row r="429" spans="15:26" x14ac:dyDescent="0.25">
      <c r="O429" s="37" t="s">
        <v>31</v>
      </c>
      <c r="P429" s="31">
        <f>_xll.qlCalendarAdvance(Calendar,P428,O428,"f",,Trigger)</f>
        <v>43685</v>
      </c>
      <c r="Q429" s="31">
        <f>_xll.qlInterestRateIndexValueDate(Index,P429,Trigger)</f>
        <v>43689</v>
      </c>
      <c r="R429" s="31">
        <f>_xll.qlInterestRateIndexMaturity(Index,Q429,Trigger)</f>
        <v>43781</v>
      </c>
      <c r="S429" s="32">
        <f>_xll.qlDayCounterYearFraction(DayCounter,Q429,R429,,,Trigger)</f>
        <v>0.25555555555555554</v>
      </c>
      <c r="T429" s="33">
        <f>_xll.qlIndexFixing(Index,P429,,AllTriggers)</f>
        <v>7.4053642512960241E-3</v>
      </c>
      <c r="U429" s="34">
        <f>_xll.qlYieldTSDiscount(OisCurve,Q429,,AllTriggers)</f>
        <v>0.99596775475330501</v>
      </c>
      <c r="V429" s="34">
        <f>_xll.qlYieldTSDiscount(OisCurve,R429,,AllTriggers)</f>
        <v>0.99452242937848145</v>
      </c>
      <c r="W429" s="33">
        <f t="shared" si="38"/>
        <v>5.6867707201466531E-3</v>
      </c>
      <c r="X429" s="35">
        <f t="shared" si="39"/>
        <v>4.3846263457553505E-4</v>
      </c>
      <c r="Y429" s="33">
        <f t="shared" si="40"/>
        <v>1.718593531149371E-3</v>
      </c>
      <c r="Z429" s="54"/>
    </row>
    <row r="430" spans="15:26" x14ac:dyDescent="0.25">
      <c r="O430" s="37" t="s">
        <v>31</v>
      </c>
      <c r="P430" s="31">
        <f>_xll.qlCalendarAdvance(Calendar,P429,O429,"f",,Trigger)</f>
        <v>43692</v>
      </c>
      <c r="Q430" s="31">
        <f>_xll.qlInterestRateIndexValueDate(Index,P430,Trigger)</f>
        <v>43696</v>
      </c>
      <c r="R430" s="31">
        <f>_xll.qlInterestRateIndexMaturity(Index,Q430,Trigger)</f>
        <v>43788</v>
      </c>
      <c r="S430" s="32">
        <f>_xll.qlDayCounterYearFraction(DayCounter,Q430,R430,,,Trigger)</f>
        <v>0.25555555555555554</v>
      </c>
      <c r="T430" s="33">
        <f>_xll.qlIndexFixing(Index,P430,,AllTriggers)</f>
        <v>7.4484763333742378E-3</v>
      </c>
      <c r="U430" s="34">
        <f>_xll.qlYieldTSDiscount(OisCurve,Q430,,AllTriggers)</f>
        <v>0.995862831650282</v>
      </c>
      <c r="V430" s="34">
        <f>_xll.qlYieldTSDiscount(OisCurve,R430,,AllTriggers)</f>
        <v>0.99440666022460911</v>
      </c>
      <c r="W430" s="33">
        <f t="shared" si="38"/>
        <v>5.7301125669972927E-3</v>
      </c>
      <c r="X430" s="35">
        <f t="shared" si="39"/>
        <v>4.3839918011238525E-4</v>
      </c>
      <c r="Y430" s="33">
        <f t="shared" si="40"/>
        <v>1.7183637663769451E-3</v>
      </c>
      <c r="Z430" s="54"/>
    </row>
    <row r="431" spans="15:26" x14ac:dyDescent="0.25">
      <c r="O431" s="37" t="s">
        <v>31</v>
      </c>
      <c r="P431" s="31">
        <f>_xll.qlCalendarAdvance(Calendar,P430,O430,"f",,Trigger)</f>
        <v>43699</v>
      </c>
      <c r="Q431" s="31">
        <f>_xll.qlInterestRateIndexValueDate(Index,P431,Trigger)</f>
        <v>43703</v>
      </c>
      <c r="R431" s="31">
        <f>_xll.qlInterestRateIndexMaturity(Index,Q431,Trigger)</f>
        <v>43795</v>
      </c>
      <c r="S431" s="32">
        <f>_xll.qlDayCounterYearFraction(DayCounter,Q431,R431,,,Trigger)</f>
        <v>0.25555555555555554</v>
      </c>
      <c r="T431" s="33">
        <f>_xll.qlIndexFixing(Index,P431,,AllTriggers)</f>
        <v>7.491408802739922E-3</v>
      </c>
      <c r="U431" s="34">
        <f>_xll.qlYieldTSDiscount(OisCurve,Q431,,AllTriggers)</f>
        <v>0.9957570676607278</v>
      </c>
      <c r="V431" s="34">
        <f>_xll.qlYieldTSDiscount(OisCurve,R431,,AllTriggers)</f>
        <v>0.99429008407950092</v>
      </c>
      <c r="W431" s="33">
        <f t="shared" si="38"/>
        <v>5.7733357972183695E-3</v>
      </c>
      <c r="X431" s="35">
        <f t="shared" si="39"/>
        <v>4.3832018221162352E-4</v>
      </c>
      <c r="Y431" s="33">
        <f t="shared" si="40"/>
        <v>1.7180730055215525E-3</v>
      </c>
      <c r="Z431" s="54"/>
    </row>
    <row r="432" spans="15:26" x14ac:dyDescent="0.25">
      <c r="O432" s="37" t="s">
        <v>31</v>
      </c>
      <c r="P432" s="31">
        <f>_xll.qlCalendarAdvance(Calendar,P431,O431,"f",,Trigger)</f>
        <v>43706</v>
      </c>
      <c r="Q432" s="31">
        <f>_xll.qlInterestRateIndexValueDate(Index,P432,Trigger)</f>
        <v>43710</v>
      </c>
      <c r="R432" s="31">
        <f>_xll.qlInterestRateIndexMaturity(Index,Q432,Trigger)</f>
        <v>43801</v>
      </c>
      <c r="S432" s="32">
        <f>_xll.qlDayCounterYearFraction(DayCounter,Q432,R432,,,Trigger)</f>
        <v>0.25277777777777777</v>
      </c>
      <c r="T432" s="33">
        <f>_xll.qlIndexFixing(Index,P432,,AllTriggers)</f>
        <v>7.5310631351897363E-3</v>
      </c>
      <c r="U432" s="34">
        <f>_xll.qlYieldTSDiscount(OisCurve,Q432,,AllTriggers)</f>
        <v>0.99565046535720081</v>
      </c>
      <c r="V432" s="34">
        <f>_xll.qlYieldTSDiscount(OisCurve,R432,,AllTriggers)</f>
        <v>0.99418952133036098</v>
      </c>
      <c r="W432" s="33">
        <f t="shared" si="38"/>
        <v>5.8133370584758622E-3</v>
      </c>
      <c r="X432" s="35">
        <f t="shared" si="39"/>
        <v>4.3347190056712169E-4</v>
      </c>
      <c r="Y432" s="33">
        <f t="shared" si="40"/>
        <v>1.7177260767138741E-3</v>
      </c>
      <c r="Z432" s="54"/>
    </row>
    <row r="433" spans="15:26" x14ac:dyDescent="0.25">
      <c r="O433" s="37" t="s">
        <v>31</v>
      </c>
      <c r="P433" s="31">
        <f>_xll.qlCalendarAdvance(Calendar,P432,O432,"f",,Trigger)</f>
        <v>43713</v>
      </c>
      <c r="Q433" s="31">
        <f>_xll.qlInterestRateIndexValueDate(Index,P433,Trigger)</f>
        <v>43717</v>
      </c>
      <c r="R433" s="31">
        <f>_xll.qlInterestRateIndexMaturity(Index,Q433,Trigger)</f>
        <v>43808</v>
      </c>
      <c r="S433" s="32">
        <f>_xll.qlDayCounterYearFraction(DayCounter,Q433,R433,,,Trigger)</f>
        <v>0.25277777777777777</v>
      </c>
      <c r="T433" s="33">
        <f>_xll.qlIndexFixing(Index,P433,,AllTriggers)</f>
        <v>7.5736482997000639E-3</v>
      </c>
      <c r="U433" s="34">
        <f>_xll.qlYieldTSDiscount(OisCurve,Q433,,AllTriggers)</f>
        <v>0.99554302731339439</v>
      </c>
      <c r="V433" s="34">
        <f>_xll.qlYieldTSDiscount(OisCurve,R433,,AllTriggers)</f>
        <v>0.99407145334833558</v>
      </c>
      <c r="W433" s="33">
        <f t="shared" si="38"/>
        <v>5.8563308208213162E-3</v>
      </c>
      <c r="X433" s="35">
        <f t="shared" si="39"/>
        <v>4.333641105423023E-4</v>
      </c>
      <c r="Y433" s="33">
        <f t="shared" si="40"/>
        <v>1.7173174788787477E-3</v>
      </c>
      <c r="Z433" s="54"/>
    </row>
    <row r="434" spans="15:26" x14ac:dyDescent="0.25">
      <c r="O434" s="37" t="s">
        <v>31</v>
      </c>
      <c r="P434" s="31">
        <f>_xll.qlCalendarAdvance(Calendar,P433,O433,"f",,Trigger)</f>
        <v>43720</v>
      </c>
      <c r="Q434" s="31">
        <f>_xll.qlInterestRateIndexValueDate(Index,P434,Trigger)</f>
        <v>43724</v>
      </c>
      <c r="R434" s="31">
        <f>_xll.qlInterestRateIndexMaturity(Index,Q434,Trigger)</f>
        <v>43815</v>
      </c>
      <c r="S434" s="32">
        <f>_xll.qlDayCounterYearFraction(DayCounter,Q434,R434,,,Trigger)</f>
        <v>0.25277777777777777</v>
      </c>
      <c r="T434" s="33">
        <f>_xll.qlIndexFixing(Index,P434,,AllTriggers)</f>
        <v>7.6160538330222243E-3</v>
      </c>
      <c r="U434" s="34">
        <f>_xll.qlYieldTSDiscount(OisCurve,Q434,,AllTriggers)</f>
        <v>0.99543475610411647</v>
      </c>
      <c r="V434" s="34">
        <f>_xll.qlYieldTSDiscount(OisCurve,R434,,AllTriggers)</f>
        <v>0.99395258576552503</v>
      </c>
      <c r="W434" s="33">
        <f t="shared" si="38"/>
        <v>5.8992059518580379E-3</v>
      </c>
      <c r="X434" s="35">
        <f t="shared" si="39"/>
        <v>4.3324094602947117E-4</v>
      </c>
      <c r="Y434" s="33">
        <f t="shared" si="40"/>
        <v>1.7168478811641864E-3</v>
      </c>
      <c r="Z434" s="54"/>
    </row>
    <row r="435" spans="15:26" x14ac:dyDescent="0.25">
      <c r="O435" s="37" t="s">
        <v>31</v>
      </c>
      <c r="P435" s="31">
        <f>_xll.qlCalendarAdvance(Calendar,P434,O434,"f",,Trigger)</f>
        <v>43727</v>
      </c>
      <c r="Q435" s="31">
        <f>_xll.qlInterestRateIndexValueDate(Index,P435,Trigger)</f>
        <v>43731</v>
      </c>
      <c r="R435" s="31">
        <f>_xll.qlInterestRateIndexMaturity(Index,Q435,Trigger)</f>
        <v>43822</v>
      </c>
      <c r="S435" s="32">
        <f>_xll.qlDayCounterYearFraction(DayCounter,Q435,R435,,,Trigger)</f>
        <v>0.25277777777777777</v>
      </c>
      <c r="T435" s="33">
        <f>_xll.qlIndexFixing(Index,P435,,AllTriggers)</f>
        <v>7.658279729382377E-3</v>
      </c>
      <c r="U435" s="34">
        <f>_xll.qlYieldTSDiscount(OisCurve,Q435,,AllTriggers)</f>
        <v>0.99532565430526865</v>
      </c>
      <c r="V435" s="34">
        <f>_xll.qlYieldTSDiscount(OisCurve,R435,,AllTriggers)</f>
        <v>0.99383292117021815</v>
      </c>
      <c r="W435" s="33">
        <f t="shared" si="38"/>
        <v>5.9419624477218651E-3</v>
      </c>
      <c r="X435" s="35">
        <f t="shared" si="39"/>
        <v>4.3310240702960603E-4</v>
      </c>
      <c r="Y435" s="33">
        <f t="shared" si="40"/>
        <v>1.7163172816605119E-3</v>
      </c>
      <c r="Z435" s="54"/>
    </row>
    <row r="436" spans="15:26" x14ac:dyDescent="0.25">
      <c r="O436" s="37" t="s">
        <v>31</v>
      </c>
      <c r="P436" s="31">
        <f>_xll.qlCalendarAdvance(Calendar,P435,O435,"f",,Trigger)</f>
        <v>43734</v>
      </c>
      <c r="Q436" s="31">
        <f>_xll.qlInterestRateIndexValueDate(Index,P436,Trigger)</f>
        <v>43738</v>
      </c>
      <c r="R436" s="31">
        <f>_xll.qlInterestRateIndexMaturity(Index,Q436,Trigger)</f>
        <v>43830</v>
      </c>
      <c r="S436" s="32">
        <f>_xll.qlDayCounterYearFraction(DayCounter,Q436,R436,,,Trigger)</f>
        <v>0.25555555555555554</v>
      </c>
      <c r="T436" s="33">
        <f>_xll.qlIndexFixing(Index,P436,,AllTriggers)</f>
        <v>7.7033767528434799E-3</v>
      </c>
      <c r="U436" s="34">
        <f>_xll.qlYieldTSDiscount(OisCurve,Q436,,AllTriggers)</f>
        <v>0.99521572449382623</v>
      </c>
      <c r="V436" s="34">
        <f>_xll.qlYieldTSDiscount(OisCurve,R436,,AllTriggers)</f>
        <v>0.99369518902038956</v>
      </c>
      <c r="W436" s="33">
        <f t="shared" si="38"/>
        <v>5.9876725615041256E-3</v>
      </c>
      <c r="X436" s="35">
        <f t="shared" si="39"/>
        <v>4.376920411400427E-4</v>
      </c>
      <c r="Y436" s="33">
        <f t="shared" si="40"/>
        <v>1.7157041913393543E-3</v>
      </c>
      <c r="Z436" s="54"/>
    </row>
    <row r="437" spans="15:26" x14ac:dyDescent="0.25">
      <c r="O437" s="37" t="s">
        <v>31</v>
      </c>
      <c r="P437" s="31">
        <f>_xll.qlCalendarAdvance(Calendar,P436,O436,"f",,Trigger)</f>
        <v>43741</v>
      </c>
      <c r="Q437" s="31">
        <f>_xll.qlInterestRateIndexValueDate(Index,P437,Trigger)</f>
        <v>43745</v>
      </c>
      <c r="R437" s="31">
        <f>_xll.qlInterestRateIndexMaturity(Index,Q437,Trigger)</f>
        <v>43837</v>
      </c>
      <c r="S437" s="32">
        <f>_xll.qlDayCounterYearFraction(DayCounter,Q437,R437,,,Trigger)</f>
        <v>0.25555555555555554</v>
      </c>
      <c r="T437" s="33">
        <f>_xll.qlIndexFixing(Index,P437,,AllTriggers)</f>
        <v>7.7452314226612931E-3</v>
      </c>
      <c r="U437" s="34">
        <f>_xll.qlYieldTSDiscount(OisCurve,Q437,,AllTriggers)</f>
        <v>0.99510496924781777</v>
      </c>
      <c r="V437" s="34">
        <f>_xll.qlYieldTSDiscount(OisCurve,R437,,AllTriggers)</f>
        <v>0.99357382526058569</v>
      </c>
      <c r="W437" s="33">
        <f t="shared" si="38"/>
        <v>6.030184009673643E-3</v>
      </c>
      <c r="X437" s="35">
        <f t="shared" si="39"/>
        <v>4.3751978261275838E-4</v>
      </c>
      <c r="Y437" s="33">
        <f t="shared" si="40"/>
        <v>1.7150474129876501E-3</v>
      </c>
      <c r="Z437" s="54"/>
    </row>
    <row r="438" spans="15:26" x14ac:dyDescent="0.25">
      <c r="O438" s="37" t="s">
        <v>31</v>
      </c>
      <c r="P438" s="31">
        <f>_xll.qlCalendarAdvance(Calendar,P437,O437,"f",,Trigger)</f>
        <v>43748</v>
      </c>
      <c r="Q438" s="31">
        <f>_xll.qlInterestRateIndexValueDate(Index,P438,Trigger)</f>
        <v>43752</v>
      </c>
      <c r="R438" s="31">
        <f>_xll.qlInterestRateIndexMaturity(Index,Q438,Trigger)</f>
        <v>43844</v>
      </c>
      <c r="S438" s="32">
        <f>_xll.qlDayCounterYearFraction(DayCounter,Q438,R438,,,Trigger)</f>
        <v>0.25555555555555554</v>
      </c>
      <c r="T438" s="33">
        <f>_xll.qlIndexFixing(Index,P438,,AllTriggers)</f>
        <v>7.7869064389070866E-3</v>
      </c>
      <c r="U438" s="34">
        <f>_xll.qlYieldTSDiscount(OisCurve,Q438,,AllTriggers)</f>
        <v>0.99499339114630492</v>
      </c>
      <c r="V438" s="34">
        <f>_xll.qlYieldTSDiscount(OisCurve,R438,,AllTriggers)</f>
        <v>0.99345167262811318</v>
      </c>
      <c r="W438" s="33">
        <f t="shared" si="38"/>
        <v>6.0725768138928434E-3</v>
      </c>
      <c r="X438" s="35">
        <f t="shared" si="39"/>
        <v>4.3733198064725009E-4</v>
      </c>
      <c r="Y438" s="33">
        <f t="shared" si="40"/>
        <v>1.7143296250142432E-3</v>
      </c>
      <c r="Z438" s="54"/>
    </row>
    <row r="439" spans="15:26" x14ac:dyDescent="0.25">
      <c r="O439" s="37" t="s">
        <v>31</v>
      </c>
      <c r="P439" s="31">
        <f>_xll.qlCalendarAdvance(Calendar,P438,O438,"f",,Trigger)</f>
        <v>43755</v>
      </c>
      <c r="Q439" s="31">
        <f>_xll.qlInterestRateIndexValueDate(Index,P439,Trigger)</f>
        <v>43759</v>
      </c>
      <c r="R439" s="31">
        <f>_xll.qlInterestRateIndexMaturity(Index,Q439,Trigger)</f>
        <v>43851</v>
      </c>
      <c r="S439" s="32">
        <f>_xll.qlDayCounterYearFraction(DayCounter,Q439,R439,,,Trigger)</f>
        <v>0.25555555555555554</v>
      </c>
      <c r="T439" s="33">
        <f>_xll.qlIndexFixing(Index,P439,,AllTriggers)</f>
        <v>7.8284017958411053E-3</v>
      </c>
      <c r="U439" s="34">
        <f>_xll.qlYieldTSDiscount(OisCurve,Q439,,AllTriggers)</f>
        <v>0.99488099276936171</v>
      </c>
      <c r="V439" s="34">
        <f>_xll.qlYieldTSDiscount(OisCurve,R439,,AllTriggers)</f>
        <v>0.99332873371450503</v>
      </c>
      <c r="W439" s="33">
        <f t="shared" si="38"/>
        <v>6.1148509702969936E-3</v>
      </c>
      <c r="X439" s="35">
        <f t="shared" si="39"/>
        <v>4.3712863524430438E-4</v>
      </c>
      <c r="Y439" s="33">
        <f t="shared" si="40"/>
        <v>1.7135508255441117E-3</v>
      </c>
      <c r="Z439" s="54"/>
    </row>
    <row r="440" spans="15:26" x14ac:dyDescent="0.25">
      <c r="O440" s="37" t="s">
        <v>31</v>
      </c>
      <c r="P440" s="31">
        <f>_xll.qlCalendarAdvance(Calendar,P439,O439,"f",,Trigger)</f>
        <v>43762</v>
      </c>
      <c r="Q440" s="31">
        <f>_xll.qlInterestRateIndexValueDate(Index,P440,Trigger)</f>
        <v>43766</v>
      </c>
      <c r="R440" s="31">
        <f>_xll.qlInterestRateIndexMaturity(Index,Q440,Trigger)</f>
        <v>43858</v>
      </c>
      <c r="S440" s="32">
        <f>_xll.qlDayCounterYearFraction(DayCounter,Q440,R440,,,Trigger)</f>
        <v>0.25555555555555554</v>
      </c>
      <c r="T440" s="33">
        <f>_xll.qlIndexFixing(Index,P440,,AllTriggers)</f>
        <v>7.8697174877522657E-3</v>
      </c>
      <c r="U440" s="34">
        <f>_xll.qlYieldTSDiscount(OisCurve,Q440,,AllTriggers)</f>
        <v>0.99476777669805505</v>
      </c>
      <c r="V440" s="34">
        <f>_xll.qlYieldTSDiscount(OisCurve,R440,,AllTriggers)</f>
        <v>0.99320501111202653</v>
      </c>
      <c r="W440" s="33">
        <f t="shared" si="38"/>
        <v>6.1570064750404727E-3</v>
      </c>
      <c r="X440" s="35">
        <f t="shared" si="39"/>
        <v>4.3690974640331695E-4</v>
      </c>
      <c r="Y440" s="33">
        <f t="shared" si="40"/>
        <v>1.712711012711793E-3</v>
      </c>
      <c r="Z440" s="54"/>
    </row>
    <row r="441" spans="15:26" x14ac:dyDescent="0.25">
      <c r="O441" s="37" t="s">
        <v>31</v>
      </c>
      <c r="P441" s="31">
        <f>_xll.qlCalendarAdvance(Calendar,P440,O440,"f",,Trigger)</f>
        <v>43769</v>
      </c>
      <c r="Q441" s="31">
        <f>_xll.qlInterestRateIndexValueDate(Index,P441,Trigger)</f>
        <v>43773</v>
      </c>
      <c r="R441" s="31">
        <f>_xll.qlInterestRateIndexMaturity(Index,Q441,Trigger)</f>
        <v>43865</v>
      </c>
      <c r="S441" s="32">
        <f>_xll.qlDayCounterYearFraction(DayCounter,Q441,R441,,,Trigger)</f>
        <v>0.25555555555555554</v>
      </c>
      <c r="T441" s="33">
        <f>_xll.qlIndexFixing(Index,P441,,AllTriggers)</f>
        <v>7.910853508951203E-3</v>
      </c>
      <c r="U441" s="34">
        <f>_xll.qlYieldTSDiscount(OisCurve,Q441,,AllTriggers)</f>
        <v>0.99465374551442431</v>
      </c>
      <c r="V441" s="34">
        <f>_xll.qlYieldTSDiscount(OisCurve,R441,,AllTriggers)</f>
        <v>0.99308050741365705</v>
      </c>
      <c r="W441" s="33">
        <f t="shared" si="38"/>
        <v>6.1990433242837435E-3</v>
      </c>
      <c r="X441" s="35">
        <f t="shared" si="39"/>
        <v>4.3667531412473455E-4</v>
      </c>
      <c r="Y441" s="33">
        <f t="shared" si="40"/>
        <v>1.7118101846674595E-3</v>
      </c>
      <c r="Z441" s="54"/>
    </row>
    <row r="442" spans="15:26" x14ac:dyDescent="0.25">
      <c r="O442" s="37" t="s">
        <v>31</v>
      </c>
      <c r="P442" s="31">
        <f>_xll.qlCalendarAdvance(Calendar,P441,O441,"f",,Trigger)</f>
        <v>43776</v>
      </c>
      <c r="Q442" s="31">
        <f>_xll.qlInterestRateIndexValueDate(Index,P442,Trigger)</f>
        <v>43780</v>
      </c>
      <c r="R442" s="31">
        <f>_xll.qlInterestRateIndexMaturity(Index,Q442,Trigger)</f>
        <v>43872</v>
      </c>
      <c r="S442" s="32">
        <f>_xll.qlDayCounterYearFraction(DayCounter,Q442,R442,,,Trigger)</f>
        <v>0.25555555555555554</v>
      </c>
      <c r="T442" s="33">
        <f>_xll.qlIndexFixing(Index,P442,,AllTriggers)</f>
        <v>7.9518098537720173E-3</v>
      </c>
      <c r="U442" s="34">
        <f>_xll.qlYieldTSDiscount(OisCurve,Q442,,AllTriggers)</f>
        <v>0.99453890180146109</v>
      </c>
      <c r="V442" s="34">
        <f>_xll.qlYieldTSDiscount(OisCurve,R442,,AllTriggers)</f>
        <v>0.99295522521307045</v>
      </c>
      <c r="W442" s="33">
        <f t="shared" si="38"/>
        <v>6.2409615141976963E-3</v>
      </c>
      <c r="X442" s="35">
        <f t="shared" si="39"/>
        <v>4.3642533840805705E-4</v>
      </c>
      <c r="Y442" s="33">
        <f t="shared" si="40"/>
        <v>1.710848339574321E-3</v>
      </c>
      <c r="Z442" s="54"/>
    </row>
    <row r="443" spans="15:26" x14ac:dyDescent="0.25">
      <c r="O443" s="37" t="s">
        <v>31</v>
      </c>
      <c r="P443" s="31">
        <f>_xll.qlCalendarAdvance(Calendar,P442,O442,"f",,Trigger)</f>
        <v>43783</v>
      </c>
      <c r="Q443" s="31">
        <f>_xll.qlInterestRateIndexValueDate(Index,P443,Trigger)</f>
        <v>43787</v>
      </c>
      <c r="R443" s="31">
        <f>_xll.qlInterestRateIndexMaturity(Index,Q443,Trigger)</f>
        <v>43879</v>
      </c>
      <c r="S443" s="32">
        <f>_xll.qlDayCounterYearFraction(DayCounter,Q443,R443,,,Trigger)</f>
        <v>0.25555555555555554</v>
      </c>
      <c r="T443" s="33">
        <f>_xll.qlIndexFixing(Index,P443,,AllTriggers)</f>
        <v>7.9925865165774799E-3</v>
      </c>
      <c r="U443" s="34">
        <f>_xll.qlYieldTSDiscount(OisCurve,Q443,,AllTriggers)</f>
        <v>0.99442324814308958</v>
      </c>
      <c r="V443" s="34">
        <f>_xll.qlYieldTSDiscount(OisCurve,R443,,AllTriggers)</f>
        <v>0.99282916710461544</v>
      </c>
      <c r="W443" s="33">
        <f t="shared" si="38"/>
        <v>6.2827610409671207E-3</v>
      </c>
      <c r="X443" s="35">
        <f t="shared" si="39"/>
        <v>4.3615981925383516E-4</v>
      </c>
      <c r="Y443" s="33">
        <f t="shared" si="40"/>
        <v>1.7098254756103591E-3</v>
      </c>
      <c r="Z443" s="54"/>
    </row>
    <row r="444" spans="15:26" x14ac:dyDescent="0.25">
      <c r="O444" s="37" t="s">
        <v>31</v>
      </c>
      <c r="P444" s="31">
        <f>_xll.qlCalendarAdvance(Calendar,P443,O443,"f",,Trigger)</f>
        <v>43790</v>
      </c>
      <c r="Q444" s="31">
        <f>_xll.qlInterestRateIndexValueDate(Index,P444,Trigger)</f>
        <v>43794</v>
      </c>
      <c r="R444" s="31">
        <f>_xll.qlInterestRateIndexMaturity(Index,Q444,Trigger)</f>
        <v>43886</v>
      </c>
      <c r="S444" s="32">
        <f>_xll.qlDayCounterYearFraction(DayCounter,Q444,R444,,,Trigger)</f>
        <v>0.25555555555555554</v>
      </c>
      <c r="T444" s="33">
        <f>_xll.qlIndexFixing(Index,P444,,AllTriggers)</f>
        <v>8.0331834917512102E-3</v>
      </c>
      <c r="U444" s="34">
        <f>_xll.qlYieldTSDiscount(OisCurve,Q444,,AllTriggers)</f>
        <v>0.99430678712414644</v>
      </c>
      <c r="V444" s="34">
        <f>_xll.qlYieldTSDiscount(OisCurve,R444,,AllTriggers)</f>
        <v>0.99270233568329702</v>
      </c>
      <c r="W444" s="33">
        <f t="shared" si="38"/>
        <v>6.3244419007846284E-3</v>
      </c>
      <c r="X444" s="35">
        <f t="shared" si="39"/>
        <v>4.3587875666189477E-4</v>
      </c>
      <c r="Y444" s="33">
        <f t="shared" si="40"/>
        <v>1.7087415909665818E-3</v>
      </c>
      <c r="Z444" s="54"/>
    </row>
    <row r="445" spans="15:26" x14ac:dyDescent="0.25">
      <c r="O445" s="37" t="s">
        <v>31</v>
      </c>
      <c r="P445" s="31">
        <f>_xll.qlCalendarAdvance(Calendar,P444,O444,"f",,Trigger)</f>
        <v>43797</v>
      </c>
      <c r="Q445" s="31">
        <f>_xll.qlInterestRateIndexValueDate(Index,P445,Trigger)</f>
        <v>43801</v>
      </c>
      <c r="R445" s="31">
        <f>_xll.qlInterestRateIndexMaturity(Index,Q445,Trigger)</f>
        <v>43892</v>
      </c>
      <c r="S445" s="32">
        <f>_xll.qlDayCounterYearFraction(DayCounter,Q445,R445,,,Trigger)</f>
        <v>0.25277777777777777</v>
      </c>
      <c r="T445" s="33">
        <f>_xll.qlIndexFixing(Index,P445,,AllTriggers)</f>
        <v>8.0706574069729347E-3</v>
      </c>
      <c r="U445" s="34">
        <f>_xll.qlYieldTSDiscount(OisCurve,Q445,,AllTriggers)</f>
        <v>0.99418952133036098</v>
      </c>
      <c r="V445" s="34">
        <f>_xll.qlYieldTSDiscount(OisCurve,R445,,AllTriggers)</f>
        <v>0.99259300951006613</v>
      </c>
      <c r="W445" s="33">
        <f t="shared" si="38"/>
        <v>6.3630016299907445E-3</v>
      </c>
      <c r="X445" s="35">
        <f t="shared" si="39"/>
        <v>4.3087142022603354E-4</v>
      </c>
      <c r="Y445" s="33">
        <f t="shared" si="40"/>
        <v>1.7076557769821902E-3</v>
      </c>
      <c r="Z445" s="54"/>
    </row>
    <row r="446" spans="15:26" x14ac:dyDescent="0.25">
      <c r="O446" s="37" t="s">
        <v>31</v>
      </c>
      <c r="P446" s="31">
        <f>_xll.qlCalendarAdvance(Calendar,P445,O445,"f",,Trigger)</f>
        <v>43804</v>
      </c>
      <c r="Q446" s="31">
        <f>_xll.qlInterestRateIndexValueDate(Index,P446,Trigger)</f>
        <v>43808</v>
      </c>
      <c r="R446" s="31">
        <f>_xll.qlInterestRateIndexMaturity(Index,Q446,Trigger)</f>
        <v>43899</v>
      </c>
      <c r="S446" s="32">
        <f>_xll.qlDayCounterYearFraction(DayCounter,Q446,R446,,,Trigger)</f>
        <v>0.25277777777777777</v>
      </c>
      <c r="T446" s="33">
        <f>_xll.qlIndexFixing(Index,P446,,AllTriggers)</f>
        <v>8.1109069225685469E-3</v>
      </c>
      <c r="U446" s="34">
        <f>_xll.qlYieldTSDiscount(OisCurve,Q446,,AllTriggers)</f>
        <v>0.99407145334833558</v>
      </c>
      <c r="V446" s="34">
        <f>_xll.qlYieldTSDiscount(OisCurve,R446,,AllTriggers)</f>
        <v>0.99246474882315294</v>
      </c>
      <c r="W446" s="33">
        <f t="shared" si="38"/>
        <v>6.4044528871523964E-3</v>
      </c>
      <c r="X446" s="35">
        <f t="shared" si="39"/>
        <v>4.3056376186479084E-4</v>
      </c>
      <c r="Y446" s="33">
        <f t="shared" si="40"/>
        <v>1.7064540354161505E-3</v>
      </c>
      <c r="Z446" s="54"/>
    </row>
    <row r="447" spans="15:26" x14ac:dyDescent="0.25">
      <c r="O447" s="37" t="s">
        <v>31</v>
      </c>
      <c r="P447" s="31">
        <f>_xll.qlCalendarAdvance(Calendar,P446,O446,"f",,Trigger)</f>
        <v>43811</v>
      </c>
      <c r="Q447" s="31">
        <f>_xll.qlInterestRateIndexValueDate(Index,P447,Trigger)</f>
        <v>43815</v>
      </c>
      <c r="R447" s="31">
        <f>_xll.qlInterestRateIndexMaturity(Index,Q447,Trigger)</f>
        <v>43906</v>
      </c>
      <c r="S447" s="32">
        <f>_xll.qlDayCounterYearFraction(DayCounter,Q447,R447,,,Trigger)</f>
        <v>0.25277777777777777</v>
      </c>
      <c r="T447" s="33">
        <f>_xll.qlIndexFixing(Index,P447,,AllTriggers)</f>
        <v>8.1509767338055119E-3</v>
      </c>
      <c r="U447" s="34">
        <f>_xll.qlYieldTSDiscount(OisCurve,Q447,,AllTriggers)</f>
        <v>0.99395258576552503</v>
      </c>
      <c r="V447" s="34">
        <f>_xll.qlYieldTSDiscount(OisCurve,R447,,AllTriggers)</f>
        <v>0.99233572224112099</v>
      </c>
      <c r="W447" s="33">
        <f t="shared" si="38"/>
        <v>6.4457854636338196E-3</v>
      </c>
      <c r="X447" s="35">
        <f t="shared" si="39"/>
        <v>4.3024072901665865E-4</v>
      </c>
      <c r="Y447" s="33">
        <f t="shared" si="40"/>
        <v>1.7051912701716923E-3</v>
      </c>
      <c r="Z447" s="54"/>
    </row>
    <row r="448" spans="15:26" x14ac:dyDescent="0.25">
      <c r="O448" s="37" t="s">
        <v>31</v>
      </c>
      <c r="P448" s="31">
        <f>_xll.qlCalendarAdvance(Calendar,P447,O447,"f",,Trigger)</f>
        <v>43818</v>
      </c>
      <c r="Q448" s="31">
        <f>_xll.qlInterestRateIndexValueDate(Index,P448,Trigger)</f>
        <v>43822</v>
      </c>
      <c r="R448" s="31">
        <f>_xll.qlInterestRateIndexMaturity(Index,Q448,Trigger)</f>
        <v>43913</v>
      </c>
      <c r="S448" s="32">
        <f>_xll.qlDayCounterYearFraction(DayCounter,Q448,R448,,,Trigger)</f>
        <v>0.25277777777777777</v>
      </c>
      <c r="T448" s="33">
        <f>_xll.qlIndexFixing(Index,P448,,AllTriggers)</f>
        <v>8.1908668352244623E-3</v>
      </c>
      <c r="U448" s="34">
        <f>_xll.qlYieldTSDiscount(OisCurve,Q448,,AllTriggers)</f>
        <v>0.99383292117021815</v>
      </c>
      <c r="V448" s="34">
        <f>_xll.qlYieldTSDiscount(OisCurve,R448,,AllTriggers)</f>
        <v>0.99220593236132726</v>
      </c>
      <c r="W448" s="33">
        <f t="shared" si="38"/>
        <v>6.4869993557140349E-3</v>
      </c>
      <c r="X448" s="35">
        <f t="shared" si="39"/>
        <v>4.2990232168116436E-4</v>
      </c>
      <c r="Y448" s="33">
        <f t="shared" si="40"/>
        <v>1.7038674795104274E-3</v>
      </c>
      <c r="Z448" s="54"/>
    </row>
    <row r="449" spans="15:26" x14ac:dyDescent="0.25">
      <c r="O449" s="37" t="s">
        <v>31</v>
      </c>
      <c r="P449" s="31">
        <f>_xll.qlCalendarAdvance(Calendar,P448,O448,"f",,Trigger)</f>
        <v>43826</v>
      </c>
      <c r="Q449" s="31">
        <f>_xll.qlInterestRateIndexValueDate(Index,P449,Trigger)</f>
        <v>43830</v>
      </c>
      <c r="R449" s="31">
        <f>_xll.qlInterestRateIndexMaturity(Index,Q449,Trigger)</f>
        <v>43921</v>
      </c>
      <c r="S449" s="32">
        <f>_xll.qlDayCounterYearFraction(DayCounter,Q449,R449,,,Trigger)</f>
        <v>0.25277777777777777</v>
      </c>
      <c r="T449" s="33">
        <f>_xll.qlIndexFixing(Index,P449,,AllTriggers)</f>
        <v>8.2362354627553008E-3</v>
      </c>
      <c r="U449" s="34">
        <f>_xll.qlYieldTSDiscount(OisCurve,Q449,,AllTriggers)</f>
        <v>0.99369518902038956</v>
      </c>
      <c r="V449" s="34">
        <f>_xll.qlYieldTSDiscount(OisCurve,R449,,AllTriggers)</f>
        <v>0.99205666975244911</v>
      </c>
      <c r="W449" s="33">
        <f t="shared" si="38"/>
        <v>6.5339556140628944E-3</v>
      </c>
      <c r="X449" s="35">
        <f t="shared" si="39"/>
        <v>4.2949674453760027E-4</v>
      </c>
      <c r="Y449" s="33">
        <f t="shared" si="40"/>
        <v>1.7022798486924064E-3</v>
      </c>
      <c r="Z449" s="54"/>
    </row>
    <row r="450" spans="15:26" x14ac:dyDescent="0.25">
      <c r="O450" s="37" t="s">
        <v>31</v>
      </c>
      <c r="P450" s="31">
        <f>_xll.qlCalendarAdvance(Calendar,P449,O449,"f",,Trigger)</f>
        <v>43833</v>
      </c>
      <c r="Q450" s="31">
        <f>_xll.qlInterestRateIndexValueDate(Index,P450,Trigger)</f>
        <v>43837</v>
      </c>
      <c r="R450" s="31">
        <f>_xll.qlInterestRateIndexMaturity(Index,Q450,Trigger)</f>
        <v>43928</v>
      </c>
      <c r="S450" s="32">
        <f>_xll.qlDayCounterYearFraction(DayCounter,Q450,R450,,,Trigger)</f>
        <v>0.25277777777777777</v>
      </c>
      <c r="T450" s="33">
        <f>_xll.qlIndexFixing(Index,P450,,AllTriggers)</f>
        <v>8.2757404534450109E-3</v>
      </c>
      <c r="U450" s="34">
        <f>_xll.qlYieldTSDiscount(OisCurve,Q450,,AllTriggers)</f>
        <v>0.99357382526058569</v>
      </c>
      <c r="V450" s="34">
        <f>_xll.qlYieldTSDiscount(OisCurve,R450,,AllTriggers)</f>
        <v>0.99192525298339385</v>
      </c>
      <c r="W450" s="33">
        <f t="shared" si="38"/>
        <v>6.5749151699391441E-3</v>
      </c>
      <c r="X450" s="35">
        <f t="shared" si="39"/>
        <v>4.2912539187168471E-4</v>
      </c>
      <c r="Y450" s="33">
        <f t="shared" si="40"/>
        <v>1.7008252835058668E-3</v>
      </c>
      <c r="Z450" s="54"/>
    </row>
    <row r="451" spans="15:26" x14ac:dyDescent="0.25">
      <c r="O451" s="37" t="s">
        <v>31</v>
      </c>
      <c r="P451" s="31">
        <f>_xll.qlCalendarAdvance(Calendar,P450,O450,"f",,Trigger)</f>
        <v>43840</v>
      </c>
      <c r="Q451" s="31">
        <f>_xll.qlInterestRateIndexValueDate(Index,P451,Trigger)</f>
        <v>43844</v>
      </c>
      <c r="R451" s="31">
        <f>_xll.qlInterestRateIndexMaturity(Index,Q451,Trigger)</f>
        <v>43935</v>
      </c>
      <c r="S451" s="32">
        <f>_xll.qlDayCounterYearFraction(DayCounter,Q451,R451,,,Trigger)</f>
        <v>0.25277777777777777</v>
      </c>
      <c r="T451" s="33">
        <f>_xll.qlIndexFixing(Index,P451,,AllTriggers)</f>
        <v>8.3150657173237039E-3</v>
      </c>
      <c r="U451" s="34">
        <f>_xll.qlYieldTSDiscount(OisCurve,Q451,,AllTriggers)</f>
        <v>0.99345167262811318</v>
      </c>
      <c r="V451" s="34">
        <f>_xll.qlYieldTSDiscount(OisCurve,R451,,AllTriggers)</f>
        <v>0.99179308108328268</v>
      </c>
      <c r="W451" s="33">
        <f t="shared" si="38"/>
        <v>6.6157560297812933E-3</v>
      </c>
      <c r="X451" s="35">
        <f t="shared" si="39"/>
        <v>4.2873866471867812E-4</v>
      </c>
      <c r="Y451" s="33">
        <f t="shared" si="40"/>
        <v>1.6993096875424106E-3</v>
      </c>
      <c r="Z451" s="54"/>
    </row>
    <row r="452" spans="15:26" x14ac:dyDescent="0.25">
      <c r="O452" s="37" t="s">
        <v>31</v>
      </c>
      <c r="P452" s="31">
        <f>_xll.qlCalendarAdvance(Calendar,P451,O451,"f",,Trigger)</f>
        <v>43847</v>
      </c>
      <c r="Q452" s="31">
        <f>_xll.qlInterestRateIndexValueDate(Index,P452,Trigger)</f>
        <v>43851</v>
      </c>
      <c r="R452" s="31">
        <f>_xll.qlInterestRateIndexMaturity(Index,Q452,Trigger)</f>
        <v>43942</v>
      </c>
      <c r="S452" s="32">
        <f>_xll.qlDayCounterYearFraction(DayCounter,Q452,R452,,,Trigger)</f>
        <v>0.25277777777777777</v>
      </c>
      <c r="T452" s="33">
        <f>_xll.qlIndexFixing(Index,P452,,AllTriggers)</f>
        <v>8.3542112490365434E-3</v>
      </c>
      <c r="U452" s="34">
        <f>_xll.qlYieldTSDiscount(OisCurve,Q452,,AllTriggers)</f>
        <v>0.99332873371450503</v>
      </c>
      <c r="V452" s="34">
        <f>_xll.qlYieldTSDiscount(OisCurve,R452,,AllTriggers)</f>
        <v>0.99166015665168628</v>
      </c>
      <c r="W452" s="33">
        <f t="shared" ref="W452:W515" si="41">(U452/V452-1)/S452</f>
        <v>6.656478189913162E-3</v>
      </c>
      <c r="X452" s="35">
        <f t="shared" ref="X452:X515" si="42">LN((1+T452*S452)/(1+W452*S452))</f>
        <v>4.2833656307827739E-4</v>
      </c>
      <c r="Y452" s="33">
        <f t="shared" ref="Y452:Y515" si="43">T452-W452</f>
        <v>1.6977330591233814E-3</v>
      </c>
      <c r="Z452" s="54"/>
    </row>
    <row r="453" spans="15:26" x14ac:dyDescent="0.25">
      <c r="O453" s="37" t="s">
        <v>31</v>
      </c>
      <c r="P453" s="31">
        <f>_xll.qlCalendarAdvance(Calendar,P452,O452,"f",,Trigger)</f>
        <v>43854</v>
      </c>
      <c r="Q453" s="31">
        <f>_xll.qlInterestRateIndexValueDate(Index,P453,Trigger)</f>
        <v>43858</v>
      </c>
      <c r="R453" s="31">
        <f>_xll.qlInterestRateIndexMaturity(Index,Q453,Trigger)</f>
        <v>43949</v>
      </c>
      <c r="S453" s="32">
        <f>_xll.qlDayCounterYearFraction(DayCounter,Q453,R453,,,Trigger)</f>
        <v>0.25277777777777777</v>
      </c>
      <c r="T453" s="33">
        <f>_xll.qlIndexFixing(Index,P453,,AllTriggers)</f>
        <v>8.3931770432497752E-3</v>
      </c>
      <c r="U453" s="34">
        <f>_xll.qlYieldTSDiscount(OisCurve,Q453,,AllTriggers)</f>
        <v>0.99320501111202653</v>
      </c>
      <c r="V453" s="34">
        <f>_xll.qlYieldTSDiscount(OisCurve,R453,,AllTriggers)</f>
        <v>0.9915264822886618</v>
      </c>
      <c r="W453" s="33">
        <f t="shared" si="41"/>
        <v>6.697081646664718E-3</v>
      </c>
      <c r="X453" s="35">
        <f t="shared" si="42"/>
        <v>4.2791908695058E-4</v>
      </c>
      <c r="Y453" s="33">
        <f t="shared" si="43"/>
        <v>1.6960953965850572E-3</v>
      </c>
      <c r="Z453" s="54"/>
    </row>
    <row r="454" spans="15:26" x14ac:dyDescent="0.25">
      <c r="O454" s="37" t="s">
        <v>31</v>
      </c>
      <c r="P454" s="31">
        <f>_xll.qlCalendarAdvance(Calendar,P453,O453,"f",,Trigger)</f>
        <v>43861</v>
      </c>
      <c r="Q454" s="31">
        <f>_xll.qlInterestRateIndexValueDate(Index,P454,Trigger)</f>
        <v>43865</v>
      </c>
      <c r="R454" s="31">
        <f>_xll.qlInterestRateIndexMaturity(Index,Q454,Trigger)</f>
        <v>43955</v>
      </c>
      <c r="S454" s="32">
        <f>_xll.qlDayCounterYearFraction(DayCounter,Q454,R454,,,Trigger)</f>
        <v>0.25</v>
      </c>
      <c r="T454" s="33">
        <f>_xll.qlIndexFixing(Index,P454,,AllTriggers)</f>
        <v>8.4291277344563653E-3</v>
      </c>
      <c r="U454" s="34">
        <f>_xll.qlYieldTSDiscount(OisCurve,Q454,,AllTriggers)</f>
        <v>0.99308050741365705</v>
      </c>
      <c r="V454" s="34">
        <f>_xll.qlYieldTSDiscount(OisCurve,R454,,AllTriggers)</f>
        <v>0.99141130935024568</v>
      </c>
      <c r="W454" s="33">
        <f t="shared" si="41"/>
        <v>6.7346339412059919E-3</v>
      </c>
      <c r="X454" s="35">
        <f t="shared" si="42"/>
        <v>4.2282200810360595E-4</v>
      </c>
      <c r="Y454" s="33">
        <f t="shared" si="43"/>
        <v>1.6944937932503734E-3</v>
      </c>
      <c r="Z454" s="54"/>
    </row>
    <row r="455" spans="15:26" x14ac:dyDescent="0.25">
      <c r="O455" s="37" t="s">
        <v>31</v>
      </c>
      <c r="P455" s="31">
        <f>_xll.qlCalendarAdvance(Calendar,P454,O454,"f",,Trigger)</f>
        <v>43868</v>
      </c>
      <c r="Q455" s="31">
        <f>_xll.qlInterestRateIndexValueDate(Index,P455,Trigger)</f>
        <v>43872</v>
      </c>
      <c r="R455" s="31">
        <f>_xll.qlInterestRateIndexMaturity(Index,Q455,Trigger)</f>
        <v>43962</v>
      </c>
      <c r="S455" s="32">
        <f>_xll.qlDayCounterYearFraction(DayCounter,Q455,R455,,,Trigger)</f>
        <v>0.25</v>
      </c>
      <c r="T455" s="33">
        <f>_xll.qlIndexFixing(Index,P455,,AllTriggers)</f>
        <v>8.4677463577866874E-3</v>
      </c>
      <c r="U455" s="34">
        <f>_xll.qlYieldTSDiscount(OisCurve,Q455,,AllTriggers)</f>
        <v>0.99295522521307045</v>
      </c>
      <c r="V455" s="34">
        <f>_xll.qlYieldTSDiscount(OisCurve,R455,,AllTriggers)</f>
        <v>0.99127624906602185</v>
      </c>
      <c r="W455" s="33">
        <f t="shared" si="41"/>
        <v>6.7750080711830307E-3</v>
      </c>
      <c r="X455" s="35">
        <f t="shared" si="42"/>
        <v>4.2237979899836228E-4</v>
      </c>
      <c r="Y455" s="33">
        <f t="shared" si="43"/>
        <v>1.6927382866036567E-3</v>
      </c>
      <c r="Z455" s="54"/>
    </row>
    <row r="456" spans="15:26" x14ac:dyDescent="0.25">
      <c r="O456" s="37" t="s">
        <v>31</v>
      </c>
      <c r="P456" s="31">
        <f>_xll.qlCalendarAdvance(Calendar,P455,O455,"f",,Trigger)</f>
        <v>43875</v>
      </c>
      <c r="Q456" s="31">
        <f>_xll.qlInterestRateIndexValueDate(Index,P456,Trigger)</f>
        <v>43879</v>
      </c>
      <c r="R456" s="31">
        <f>_xll.qlInterestRateIndexMaturity(Index,Q456,Trigger)</f>
        <v>43969</v>
      </c>
      <c r="S456" s="32">
        <f>_xll.qlDayCounterYearFraction(DayCounter,Q456,R456,,,Trigger)</f>
        <v>0.25</v>
      </c>
      <c r="T456" s="33">
        <f>_xll.qlIndexFixing(Index,P456,,AllTriggers)</f>
        <v>8.5061987443229015E-3</v>
      </c>
      <c r="U456" s="34">
        <f>_xll.qlYieldTSDiscount(OisCurve,Q456,,AllTriggers)</f>
        <v>0.99282916710461544</v>
      </c>
      <c r="V456" s="34">
        <f>_xll.qlYieldTSDiscount(OisCurve,R456,,AllTriggers)</f>
        <v>0.9911404430902776</v>
      </c>
      <c r="W456" s="33">
        <f t="shared" si="41"/>
        <v>6.8152763863515986E-3</v>
      </c>
      <c r="X456" s="35">
        <f t="shared" si="42"/>
        <v>4.2192253630804537E-4</v>
      </c>
      <c r="Y456" s="33">
        <f t="shared" si="43"/>
        <v>1.6909223579713029E-3</v>
      </c>
      <c r="Z456" s="54"/>
    </row>
    <row r="457" spans="15:26" x14ac:dyDescent="0.25">
      <c r="O457" s="37" t="s">
        <v>31</v>
      </c>
      <c r="P457" s="31">
        <f>_xll.qlCalendarAdvance(Calendar,P456,O456,"f",,Trigger)</f>
        <v>43882</v>
      </c>
      <c r="Q457" s="31">
        <f>_xll.qlInterestRateIndexValueDate(Index,P457,Trigger)</f>
        <v>43886</v>
      </c>
      <c r="R457" s="31">
        <f>_xll.qlInterestRateIndexMaturity(Index,Q457,Trigger)</f>
        <v>43976</v>
      </c>
      <c r="S457" s="32">
        <f>_xll.qlDayCounterYearFraction(DayCounter,Q457,R457,,,Trigger)</f>
        <v>0.25</v>
      </c>
      <c r="T457" s="33">
        <f>_xll.qlIndexFixing(Index,P457,,AllTriggers)</f>
        <v>8.5445133790083005E-3</v>
      </c>
      <c r="U457" s="34">
        <f>_xll.qlYieldTSDiscount(OisCurve,Q457,,AllTriggers)</f>
        <v>0.99270233568329702</v>
      </c>
      <c r="V457" s="34">
        <f>_xll.qlYieldTSDiscount(OisCurve,R457,,AllTriggers)</f>
        <v>0.99100388730018407</v>
      </c>
      <c r="W457" s="33">
        <f t="shared" si="41"/>
        <v>6.8554660778987753E-3</v>
      </c>
      <c r="X457" s="35">
        <f t="shared" si="42"/>
        <v>4.2145054031976601E-4</v>
      </c>
      <c r="Y457" s="33">
        <f t="shared" si="43"/>
        <v>1.6890473011095253E-3</v>
      </c>
      <c r="Z457" s="54"/>
    </row>
    <row r="458" spans="15:26" x14ac:dyDescent="0.25">
      <c r="O458" s="37" t="s">
        <v>31</v>
      </c>
      <c r="P458" s="31">
        <f>_xll.qlCalendarAdvance(Calendar,P457,O457,"f",,Trigger)</f>
        <v>43889</v>
      </c>
      <c r="Q458" s="31">
        <f>_xll.qlInterestRateIndexValueDate(Index,P458,Trigger)</f>
        <v>43893</v>
      </c>
      <c r="R458" s="31">
        <f>_xll.qlInterestRateIndexMaturity(Index,Q458,Trigger)</f>
        <v>43985</v>
      </c>
      <c r="S458" s="32">
        <f>_xll.qlDayCounterYearFraction(DayCounter,Q458,R458,,,Trigger)</f>
        <v>0.25555555555555554</v>
      </c>
      <c r="T458" s="33">
        <f>_xll.qlIndexFixing(Index,P458,,AllTriggers)</f>
        <v>8.5883419693451139E-3</v>
      </c>
      <c r="U458" s="34">
        <f>_xll.qlYieldTSDiscount(OisCurve,Q458,,AllTriggers)</f>
        <v>0.99257473354475723</v>
      </c>
      <c r="V458" s="34">
        <f>_xll.qlYieldTSDiscount(OisCurve,R458,,AllTriggers)</f>
        <v>0.99082720682683456</v>
      </c>
      <c r="W458" s="33">
        <f t="shared" si="41"/>
        <v>6.901453633427564E-3</v>
      </c>
      <c r="X458" s="35">
        <f t="shared" si="42"/>
        <v>4.3024213503530743E-4</v>
      </c>
      <c r="Y458" s="33">
        <f t="shared" si="43"/>
        <v>1.68688833591755E-3</v>
      </c>
      <c r="Z458" s="54"/>
    </row>
    <row r="459" spans="15:26" x14ac:dyDescent="0.25">
      <c r="O459" s="37" t="s">
        <v>31</v>
      </c>
      <c r="P459" s="31">
        <f>_xll.qlCalendarAdvance(Calendar,P458,O458,"f",,Trigger)</f>
        <v>43896</v>
      </c>
      <c r="Q459" s="31">
        <f>_xll.qlInterestRateIndexValueDate(Index,P459,Trigger)</f>
        <v>43900</v>
      </c>
      <c r="R459" s="31">
        <f>_xll.qlInterestRateIndexMaturity(Index,Q459,Trigger)</f>
        <v>43992</v>
      </c>
      <c r="S459" s="32">
        <f>_xll.qlDayCounterYearFraction(DayCounter,Q459,R459,,,Trigger)</f>
        <v>0.25555555555555554</v>
      </c>
      <c r="T459" s="33">
        <f>_xll.qlIndexFixing(Index,P459,,AllTriggers)</f>
        <v>8.6264739453201719E-3</v>
      </c>
      <c r="U459" s="34">
        <f>_xll.qlYieldTSDiscount(OisCurve,Q459,,AllTriggers)</f>
        <v>0.99244636328525559</v>
      </c>
      <c r="V459" s="34">
        <f>_xll.qlYieldTSDiscount(OisCurve,R459,,AllTriggers)</f>
        <v>0.9906889209056513</v>
      </c>
      <c r="W459" s="33">
        <f t="shared" si="41"/>
        <v>6.9415820615444891E-3</v>
      </c>
      <c r="X459" s="35">
        <f t="shared" si="42"/>
        <v>4.2972864963135038E-4</v>
      </c>
      <c r="Y459" s="33">
        <f t="shared" si="43"/>
        <v>1.6848918837756828E-3</v>
      </c>
      <c r="Z459" s="54"/>
    </row>
    <row r="460" spans="15:26" x14ac:dyDescent="0.25">
      <c r="O460" s="37" t="s">
        <v>31</v>
      </c>
      <c r="P460" s="31">
        <f>_xll.qlCalendarAdvance(Calendar,P459,O459,"f",,Trigger)</f>
        <v>43903</v>
      </c>
      <c r="Q460" s="31">
        <f>_xll.qlInterestRateIndexValueDate(Index,P460,Trigger)</f>
        <v>43907</v>
      </c>
      <c r="R460" s="31">
        <f>_xll.qlInterestRateIndexMaturity(Index,Q460,Trigger)</f>
        <v>43999</v>
      </c>
      <c r="S460" s="32">
        <f>_xll.qlDayCounterYearFraction(DayCounter,Q460,R460,,,Trigger)</f>
        <v>0.25555555555555554</v>
      </c>
      <c r="T460" s="33">
        <f>_xll.qlIndexFixing(Index,P460,,AllTriggers)</f>
        <v>8.664561768051561E-3</v>
      </c>
      <c r="U460" s="34">
        <f>_xll.qlYieldTSDiscount(OisCurve,Q460,,AllTriggers)</f>
        <v>0.99231722750165108</v>
      </c>
      <c r="V460" s="34">
        <f>_xll.qlYieldTSDiscount(OisCurve,R460,,AllTriggers)</f>
        <v>0.99054987094423674</v>
      </c>
      <c r="W460" s="33">
        <f t="shared" si="41"/>
        <v>6.9817212172862894E-3</v>
      </c>
      <c r="X460" s="35">
        <f t="shared" si="42"/>
        <v>4.2920117917820465E-4</v>
      </c>
      <c r="Y460" s="33">
        <f t="shared" si="43"/>
        <v>1.6828405507652716E-3</v>
      </c>
      <c r="Z460" s="54"/>
    </row>
    <row r="461" spans="15:26" x14ac:dyDescent="0.25">
      <c r="O461" s="37" t="s">
        <v>31</v>
      </c>
      <c r="P461" s="31">
        <f>_xll.qlCalendarAdvance(Calendar,P460,O460,"f",,Trigger)</f>
        <v>43910</v>
      </c>
      <c r="Q461" s="31">
        <f>_xll.qlInterestRateIndexValueDate(Index,P461,Trigger)</f>
        <v>43914</v>
      </c>
      <c r="R461" s="31">
        <f>_xll.qlInterestRateIndexMaturity(Index,Q461,Trigger)</f>
        <v>44006</v>
      </c>
      <c r="S461" s="32">
        <f>_xll.qlDayCounterYearFraction(DayCounter,Q461,R461,,,Trigger)</f>
        <v>0.25555555555555554</v>
      </c>
      <c r="T461" s="33">
        <f>_xll.qlIndexFixing(Index,P461,,AllTriggers)</f>
        <v>8.7026342036974312E-3</v>
      </c>
      <c r="U461" s="34">
        <f>_xll.qlYieldTSDiscount(OisCurve,Q461,,AllTriggers)</f>
        <v>0.99218732879138216</v>
      </c>
      <c r="V461" s="34">
        <f>_xll.qlYieldTSDiscount(OisCurve,R461,,AllTriggers)</f>
        <v>0.99041005262228232</v>
      </c>
      <c r="W461" s="33">
        <f t="shared" si="41"/>
        <v>7.0218985602493013E-3</v>
      </c>
      <c r="X461" s="35">
        <f t="shared" si="42"/>
        <v>4.2866005424410739E-4</v>
      </c>
      <c r="Y461" s="33">
        <f t="shared" si="43"/>
        <v>1.6807356434481299E-3</v>
      </c>
      <c r="Z461" s="54"/>
    </row>
    <row r="462" spans="15:26" x14ac:dyDescent="0.25">
      <c r="O462" s="37" t="s">
        <v>31</v>
      </c>
      <c r="P462" s="31">
        <f>_xll.qlCalendarAdvance(Calendar,P461,O461,"f",,Trigger)</f>
        <v>43917</v>
      </c>
      <c r="Q462" s="31">
        <f>_xll.qlInterestRateIndexValueDate(Index,P462,Trigger)</f>
        <v>43921</v>
      </c>
      <c r="R462" s="31">
        <f>_xll.qlInterestRateIndexMaturity(Index,Q462,Trigger)</f>
        <v>44012</v>
      </c>
      <c r="S462" s="32">
        <f>_xll.qlDayCounterYearFraction(DayCounter,Q462,R462,,,Trigger)</f>
        <v>0.25277777777777777</v>
      </c>
      <c r="T462" s="33">
        <f>_xll.qlIndexFixing(Index,P462,,AllTriggers)</f>
        <v>8.737884027530304E-3</v>
      </c>
      <c r="U462" s="34">
        <f>_xll.qlYieldTSDiscount(OisCurve,Q462,,AllTriggers)</f>
        <v>0.99205666975244911</v>
      </c>
      <c r="V462" s="34">
        <f>_xll.qlYieldTSDiscount(OisCurve,R462,,AllTriggers)</f>
        <v>0.99028959352240387</v>
      </c>
      <c r="W462" s="33">
        <f t="shared" si="41"/>
        <v>7.0591787346513087E-3</v>
      </c>
      <c r="X462" s="35">
        <f t="shared" si="42"/>
        <v>4.234938633174665E-4</v>
      </c>
      <c r="Y462" s="33">
        <f t="shared" si="43"/>
        <v>1.6787052928789953E-3</v>
      </c>
      <c r="Z462" s="54"/>
    </row>
    <row r="463" spans="15:26" x14ac:dyDescent="0.25">
      <c r="O463" s="37" t="s">
        <v>31</v>
      </c>
      <c r="P463" s="31">
        <f>_xll.qlCalendarAdvance(Calendar,P462,O462,"f",,Trigger)</f>
        <v>43924</v>
      </c>
      <c r="Q463" s="31">
        <f>_xll.qlInterestRateIndexValueDate(Index,P463,Trigger)</f>
        <v>43928</v>
      </c>
      <c r="R463" s="31">
        <f>_xll.qlInterestRateIndexMaturity(Index,Q463,Trigger)</f>
        <v>44019</v>
      </c>
      <c r="S463" s="32">
        <f>_xll.qlDayCounterYearFraction(DayCounter,Q463,R463,,,Trigger)</f>
        <v>0.25277777777777777</v>
      </c>
      <c r="T463" s="33">
        <f>_xll.qlIndexFixing(Index,P463,,AllTriggers)</f>
        <v>8.7760007528316537E-3</v>
      </c>
      <c r="U463" s="34">
        <f>_xll.qlYieldTSDiscount(OisCurve,Q463,,AllTriggers)</f>
        <v>0.99192525298339385</v>
      </c>
      <c r="V463" s="34">
        <f>_xll.qlYieldTSDiscount(OisCurve,R463,,AllTriggers)</f>
        <v>0.99014833679816683</v>
      </c>
      <c r="W463" s="33">
        <f t="shared" si="41"/>
        <v>7.0995004220231689E-3</v>
      </c>
      <c r="X463" s="35">
        <f t="shared" si="42"/>
        <v>4.229334239847295E-4</v>
      </c>
      <c r="Y463" s="33">
        <f t="shared" si="43"/>
        <v>1.6765003308084848E-3</v>
      </c>
      <c r="Z463" s="54"/>
    </row>
    <row r="464" spans="15:26" x14ac:dyDescent="0.25">
      <c r="O464" s="37" t="s">
        <v>31</v>
      </c>
      <c r="P464" s="31">
        <f>_xll.qlCalendarAdvance(Calendar,P463,O463,"f",,Trigger)</f>
        <v>43935</v>
      </c>
      <c r="Q464" s="31">
        <f>_xll.qlInterestRateIndexValueDate(Index,P464,Trigger)</f>
        <v>43937</v>
      </c>
      <c r="R464" s="31">
        <f>_xll.qlInterestRateIndexMaturity(Index,Q464,Trigger)</f>
        <v>44028</v>
      </c>
      <c r="S464" s="32">
        <f>_xll.qlDayCounterYearFraction(DayCounter,Q464,R464,,,Trigger)</f>
        <v>0.25277777777777777</v>
      </c>
      <c r="T464" s="33">
        <f>_xll.qlIndexFixing(Index,P464,,AllTriggers)</f>
        <v>8.8251141816060967E-3</v>
      </c>
      <c r="U464" s="34">
        <f>_xll.qlYieldTSDiscount(OisCurve,Q464,,AllTriggers)</f>
        <v>0.99175517934948598</v>
      </c>
      <c r="V464" s="34">
        <f>_xll.qlYieldTSDiscount(OisCurve,R464,,AllTriggers)</f>
        <v>0.9899655732860897</v>
      </c>
      <c r="W464" s="33">
        <f t="shared" si="41"/>
        <v>7.1515216708983621E-3</v>
      </c>
      <c r="X464" s="35">
        <f t="shared" si="42"/>
        <v>4.2219447771819587E-4</v>
      </c>
      <c r="Y464" s="33">
        <f t="shared" si="43"/>
        <v>1.6735925107077346E-3</v>
      </c>
      <c r="Z464" s="54"/>
    </row>
    <row r="465" spans="15:26" x14ac:dyDescent="0.25">
      <c r="O465" s="37" t="s">
        <v>31</v>
      </c>
      <c r="P465" s="31">
        <f>_xll.qlCalendarAdvance(Calendar,P464,O464,"f",,Trigger)</f>
        <v>43942</v>
      </c>
      <c r="Q465" s="31">
        <f>_xll.qlInterestRateIndexValueDate(Index,P465,Trigger)</f>
        <v>43944</v>
      </c>
      <c r="R465" s="31">
        <f>_xll.qlInterestRateIndexMaturity(Index,Q465,Trigger)</f>
        <v>44035</v>
      </c>
      <c r="S465" s="32">
        <f>_xll.qlDayCounterYearFraction(DayCounter,Q465,R465,,,Trigger)</f>
        <v>0.25277777777777777</v>
      </c>
      <c r="T465" s="33">
        <f>_xll.qlIndexFixing(Index,P465,,AllTriggers)</f>
        <v>8.8634325304262056E-3</v>
      </c>
      <c r="U465" s="34">
        <f>_xll.qlYieldTSDiscount(OisCurve,Q465,,AllTriggers)</f>
        <v>0.99162204038643453</v>
      </c>
      <c r="V465" s="34">
        <f>_xll.qlYieldTSDiscount(OisCurve,R465,,AllTriggers)</f>
        <v>0.98982252582834529</v>
      </c>
      <c r="W465" s="33">
        <f t="shared" si="41"/>
        <v>7.1921566801933538E-3</v>
      </c>
      <c r="X465" s="35">
        <f t="shared" si="42"/>
        <v>4.2160585885336416E-4</v>
      </c>
      <c r="Y465" s="33">
        <f t="shared" si="43"/>
        <v>1.6712758502328518E-3</v>
      </c>
      <c r="Z465" s="54"/>
    </row>
    <row r="466" spans="15:26" x14ac:dyDescent="0.25">
      <c r="O466" s="37" t="s">
        <v>31</v>
      </c>
      <c r="P466" s="31">
        <f>_xll.qlCalendarAdvance(Calendar,P465,O465,"f",,Trigger)</f>
        <v>43949</v>
      </c>
      <c r="Q466" s="31">
        <f>_xll.qlInterestRateIndexValueDate(Index,P466,Trigger)</f>
        <v>43951</v>
      </c>
      <c r="R466" s="31">
        <f>_xll.qlInterestRateIndexMaturity(Index,Q466,Trigger)</f>
        <v>44043</v>
      </c>
      <c r="S466" s="32">
        <f>_xll.qlDayCounterYearFraction(DayCounter,Q466,R466,,,Trigger)</f>
        <v>0.25555555555555554</v>
      </c>
      <c r="T466" s="33">
        <f>_xll.qlIndexFixing(Index,P466,,AllTriggers)</f>
        <v>8.9047792426643225E-3</v>
      </c>
      <c r="U466" s="34">
        <f>_xll.qlYieldTSDiscount(OisCurve,Q466,,AllTriggers)</f>
        <v>0.99148815223491538</v>
      </c>
      <c r="V466" s="34">
        <f>_xll.qlYieldTSDiscount(OisCurve,R466,,AllTriggers)</f>
        <v>0.98965807479900891</v>
      </c>
      <c r="W466" s="33">
        <f t="shared" si="41"/>
        <v>7.2360068165364475E-3</v>
      </c>
      <c r="X466" s="35">
        <f t="shared" si="42"/>
        <v>4.2558632727649241E-4</v>
      </c>
      <c r="Y466" s="33">
        <f t="shared" si="43"/>
        <v>1.668772426127875E-3</v>
      </c>
      <c r="Z466" s="54"/>
    </row>
    <row r="467" spans="15:26" x14ac:dyDescent="0.25">
      <c r="O467" s="37" t="s">
        <v>31</v>
      </c>
      <c r="P467" s="31">
        <f>_xll.qlCalendarAdvance(Calendar,P466,O466,"f",,Trigger)</f>
        <v>43956</v>
      </c>
      <c r="Q467" s="31">
        <f>_xll.qlInterestRateIndexValueDate(Index,P467,Trigger)</f>
        <v>43958</v>
      </c>
      <c r="R467" s="31">
        <f>_xll.qlInterestRateIndexMaturity(Index,Q467,Trigger)</f>
        <v>44050</v>
      </c>
      <c r="S467" s="32">
        <f>_xll.qlDayCounterYearFraction(DayCounter,Q467,R467,,,Trigger)</f>
        <v>0.25555555555555554</v>
      </c>
      <c r="T467" s="33">
        <f>_xll.qlIndexFixing(Index,P467,,AllTriggers)</f>
        <v>8.9434137166208658E-3</v>
      </c>
      <c r="U467" s="34">
        <f>_xll.qlYieldTSDiscount(OisCurve,Q467,,AllTriggers)</f>
        <v>0.99135351749558365</v>
      </c>
      <c r="V467" s="34">
        <f>_xll.qlYieldTSDiscount(OisCurve,R467,,AllTriggers)</f>
        <v>0.98951332813744941</v>
      </c>
      <c r="W467" s="33">
        <f t="shared" si="41"/>
        <v>7.2770530339049269E-3</v>
      </c>
      <c r="X467" s="35">
        <f t="shared" si="42"/>
        <v>4.2496694349156394E-4</v>
      </c>
      <c r="Y467" s="33">
        <f t="shared" si="43"/>
        <v>1.6663606827159389E-3</v>
      </c>
      <c r="Z467" s="54"/>
    </row>
    <row r="468" spans="15:26" x14ac:dyDescent="0.25">
      <c r="O468" s="37" t="s">
        <v>31</v>
      </c>
      <c r="P468" s="31">
        <f>_xll.qlCalendarAdvance(Calendar,P467,O467,"f",,Trigger)</f>
        <v>43963</v>
      </c>
      <c r="Q468" s="31">
        <f>_xll.qlInterestRateIndexValueDate(Index,P468,Trigger)</f>
        <v>43965</v>
      </c>
      <c r="R468" s="31">
        <f>_xll.qlInterestRateIndexMaturity(Index,Q468,Trigger)</f>
        <v>44057</v>
      </c>
      <c r="S468" s="32">
        <f>_xll.qlDayCounterYearFraction(DayCounter,Q468,R468,,,Trigger)</f>
        <v>0.25555555555555554</v>
      </c>
      <c r="T468" s="33">
        <f>_xll.qlIndexFixing(Index,P468,,AllTriggers)</f>
        <v>8.9822393998675518E-3</v>
      </c>
      <c r="U468" s="34">
        <f>_xll.qlYieldTSDiscount(OisCurve,Q468,,AllTriggers)</f>
        <v>0.99121813804079772</v>
      </c>
      <c r="V468" s="34">
        <f>_xll.qlYieldTSDiscount(OisCurve,R468,,AllTriggers)</f>
        <v>0.98936778177397566</v>
      </c>
      <c r="W468" s="33">
        <f t="shared" si="41"/>
        <v>7.3183346534337803E-3</v>
      </c>
      <c r="X468" s="35">
        <f t="shared" si="42"/>
        <v>4.2433627894927816E-4</v>
      </c>
      <c r="Y468" s="33">
        <f t="shared" si="43"/>
        <v>1.6639047464337715E-3</v>
      </c>
      <c r="Z468" s="54"/>
    </row>
    <row r="469" spans="15:26" x14ac:dyDescent="0.25">
      <c r="O469" s="37" t="s">
        <v>31</v>
      </c>
      <c r="P469" s="31">
        <f>_xll.qlCalendarAdvance(Calendar,P468,O468,"f",,Trigger)</f>
        <v>43970</v>
      </c>
      <c r="Q469" s="31">
        <f>_xll.qlInterestRateIndexValueDate(Index,P469,Trigger)</f>
        <v>43972</v>
      </c>
      <c r="R469" s="31">
        <f>_xll.qlInterestRateIndexMaturity(Index,Q469,Trigger)</f>
        <v>44064</v>
      </c>
      <c r="S469" s="32">
        <f>_xll.qlDayCounterYearFraction(DayCounter,Q469,R469,,,Trigger)</f>
        <v>0.25555555555555554</v>
      </c>
      <c r="T469" s="33">
        <f>_xll.qlIndexFixing(Index,P469,,AllTriggers)</f>
        <v>9.0212634136332005E-3</v>
      </c>
      <c r="U469" s="34">
        <f>_xll.qlYieldTSDiscount(OisCurve,Q469,,AllTriggers)</f>
        <v>0.99108201124708006</v>
      </c>
      <c r="V469" s="34">
        <f>_xll.qlYieldTSDiscount(OisCurve,R469,,AllTriggers)</f>
        <v>0.98922143142583574</v>
      </c>
      <c r="W469" s="33">
        <f t="shared" si="41"/>
        <v>7.3598584745683607E-3</v>
      </c>
      <c r="X469" s="35">
        <f t="shared" si="42"/>
        <v>4.236944154079684E-4</v>
      </c>
      <c r="Y469" s="33">
        <f t="shared" si="43"/>
        <v>1.6614049390648398E-3</v>
      </c>
      <c r="Z469" s="54"/>
    </row>
    <row r="470" spans="15:26" x14ac:dyDescent="0.25">
      <c r="O470" s="37" t="s">
        <v>31</v>
      </c>
      <c r="P470" s="31">
        <f>_xll.qlCalendarAdvance(Calendar,P469,O469,"f",,Trigger)</f>
        <v>43977</v>
      </c>
      <c r="Q470" s="31">
        <f>_xll.qlInterestRateIndexValueDate(Index,P470,Trigger)</f>
        <v>43979</v>
      </c>
      <c r="R470" s="31">
        <f>_xll.qlInterestRateIndexMaturity(Index,Q470,Trigger)</f>
        <v>44071</v>
      </c>
      <c r="S470" s="32">
        <f>_xll.qlDayCounterYearFraction(DayCounter,Q470,R470,,,Trigger)</f>
        <v>0.25555555555555554</v>
      </c>
      <c r="T470" s="33">
        <f>_xll.qlIndexFixing(Index,P470,,AllTriggers)</f>
        <v>9.0604857778123337E-3</v>
      </c>
      <c r="U470" s="34">
        <f>_xll.qlYieldTSDiscount(OisCurve,Q470,,AllTriggers)</f>
        <v>0.99094513278083107</v>
      </c>
      <c r="V470" s="34">
        <f>_xll.qlYieldTSDiscount(OisCurve,R470,,AllTriggers)</f>
        <v>0.9890742728149764</v>
      </c>
      <c r="W470" s="33">
        <f t="shared" si="41"/>
        <v>7.4016245183405405E-3</v>
      </c>
      <c r="X470" s="35">
        <f t="shared" si="42"/>
        <v>4.2304135302895744E-4</v>
      </c>
      <c r="Y470" s="33">
        <f t="shared" si="43"/>
        <v>1.6588612594717932E-3</v>
      </c>
      <c r="Z470" s="54"/>
    </row>
    <row r="471" spans="15:26" x14ac:dyDescent="0.25">
      <c r="O471" s="37" t="s">
        <v>31</v>
      </c>
      <c r="P471" s="31">
        <f>_xll.qlCalendarAdvance(Calendar,P470,O470,"f",,Trigger)</f>
        <v>43984</v>
      </c>
      <c r="Q471" s="31">
        <f>_xll.qlInterestRateIndexValueDate(Index,P471,Trigger)</f>
        <v>43986</v>
      </c>
      <c r="R471" s="31">
        <f>_xll.qlInterestRateIndexMaturity(Index,Q471,Trigger)</f>
        <v>44078</v>
      </c>
      <c r="S471" s="32">
        <f>_xll.qlDayCounterYearFraction(DayCounter,Q471,R471,,,Trigger)</f>
        <v>0.25555555555555554</v>
      </c>
      <c r="T471" s="33">
        <f>_xll.qlIndexFixing(Index,P471,,AllTriggers)</f>
        <v>9.0999064983462875E-3</v>
      </c>
      <c r="U471" s="34">
        <f>_xll.qlYieldTSDiscount(OisCurve,Q471,,AllTriggers)</f>
        <v>0.99080749830934833</v>
      </c>
      <c r="V471" s="34">
        <f>_xll.qlYieldTSDiscount(OisCurve,R471,,AllTriggers)</f>
        <v>0.98892630166807904</v>
      </c>
      <c r="W471" s="33">
        <f t="shared" si="41"/>
        <v>7.4436327924823961E-3</v>
      </c>
      <c r="X471" s="35">
        <f t="shared" si="42"/>
        <v>4.2237709181161233E-4</v>
      </c>
      <c r="Y471" s="33">
        <f t="shared" si="43"/>
        <v>1.6562737058638914E-3</v>
      </c>
      <c r="Z471" s="54"/>
    </row>
    <row r="472" spans="15:26" x14ac:dyDescent="0.25">
      <c r="O472" s="37" t="s">
        <v>31</v>
      </c>
      <c r="P472" s="31">
        <f>_xll.qlCalendarAdvance(Calendar,P471,O471,"f",,Trigger)</f>
        <v>43991</v>
      </c>
      <c r="Q472" s="31">
        <f>_xll.qlInterestRateIndexValueDate(Index,P472,Trigger)</f>
        <v>43993</v>
      </c>
      <c r="R472" s="31">
        <f>_xll.qlInterestRateIndexMaturity(Index,Q472,Trigger)</f>
        <v>44085</v>
      </c>
      <c r="S472" s="32">
        <f>_xll.qlDayCounterYearFraction(DayCounter,Q472,R472,,,Trigger)</f>
        <v>0.25555555555555554</v>
      </c>
      <c r="T472" s="33">
        <f>_xll.qlIndexFixing(Index,P472,,AllTriggers)</f>
        <v>9.1395255812085439E-3</v>
      </c>
      <c r="U472" s="34">
        <f>_xll.qlYieldTSDiscount(OisCurve,Q472,,AllTriggers)</f>
        <v>0.9906691035042352</v>
      </c>
      <c r="V472" s="34">
        <f>_xll.qlYieldTSDiscount(OisCurve,R472,,AllTriggers)</f>
        <v>0.98877751371659672</v>
      </c>
      <c r="W472" s="33">
        <f t="shared" si="41"/>
        <v>7.4858833047703154E-3</v>
      </c>
      <c r="X472" s="35">
        <f t="shared" si="42"/>
        <v>4.2170163175647739E-4</v>
      </c>
      <c r="Y472" s="33">
        <f t="shared" si="43"/>
        <v>1.6536422764382285E-3</v>
      </c>
      <c r="Z472" s="54"/>
    </row>
    <row r="473" spans="15:26" x14ac:dyDescent="0.25">
      <c r="O473" s="37" t="s">
        <v>31</v>
      </c>
      <c r="P473" s="31">
        <f>_xll.qlCalendarAdvance(Calendar,P472,O472,"f",,Trigger)</f>
        <v>43998</v>
      </c>
      <c r="Q473" s="31">
        <f>_xll.qlInterestRateIndexValueDate(Index,P473,Trigger)</f>
        <v>44000</v>
      </c>
      <c r="R473" s="31">
        <f>_xll.qlInterestRateIndexMaturity(Index,Q473,Trigger)</f>
        <v>44092</v>
      </c>
      <c r="S473" s="32">
        <f>_xll.qlDayCounterYearFraction(DayCounter,Q473,R473,,,Trigger)</f>
        <v>0.25555555555555554</v>
      </c>
      <c r="T473" s="33">
        <f>_xll.qlIndexFixing(Index,P473,,AllTriggers)</f>
        <v>9.1793430324029965E-3</v>
      </c>
      <c r="U473" s="34">
        <f>_xll.qlYieldTSDiscount(OisCurve,Q473,,AllTriggers)</f>
        <v>0.99052994404143568</v>
      </c>
      <c r="V473" s="34">
        <f>_xll.qlYieldTSDiscount(OisCurve,R473,,AllTriggers)</f>
        <v>0.98862790469679018</v>
      </c>
      <c r="W473" s="33">
        <f t="shared" si="41"/>
        <v>7.5283760630276064E-3</v>
      </c>
      <c r="X473" s="35">
        <f t="shared" si="42"/>
        <v>4.2101497286283298E-4</v>
      </c>
      <c r="Y473" s="33">
        <f t="shared" si="43"/>
        <v>1.6509669693753901E-3</v>
      </c>
      <c r="Z473" s="54"/>
    </row>
    <row r="474" spans="15:26" x14ac:dyDescent="0.25">
      <c r="O474" s="37" t="s">
        <v>31</v>
      </c>
      <c r="P474" s="31">
        <f>_xll.qlCalendarAdvance(Calendar,P473,O473,"f",,Trigger)</f>
        <v>44005</v>
      </c>
      <c r="Q474" s="31">
        <f>_xll.qlInterestRateIndexValueDate(Index,P474,Trigger)</f>
        <v>44007</v>
      </c>
      <c r="R474" s="31">
        <f>_xll.qlInterestRateIndexMaturity(Index,Q474,Trigger)</f>
        <v>44099</v>
      </c>
      <c r="S474" s="32">
        <f>_xll.qlDayCounterYearFraction(DayCounter,Q474,R474,,,Trigger)</f>
        <v>0.25555555555555554</v>
      </c>
      <c r="T474" s="33">
        <f>_xll.qlIndexFixing(Index,P474,,AllTriggers)</f>
        <v>9.2193588579622086E-3</v>
      </c>
      <c r="U474" s="34">
        <f>_xll.qlYieldTSDiscount(OisCurve,Q474,,AllTriggers)</f>
        <v>0.99039001560126783</v>
      </c>
      <c r="V474" s="34">
        <f>_xll.qlYieldTSDiscount(OisCurve,R474,,AllTriggers)</f>
        <v>0.98847747034976496</v>
      </c>
      <c r="W474" s="33">
        <f t="shared" si="41"/>
        <v>7.5711110751201498E-3</v>
      </c>
      <c r="X474" s="35">
        <f t="shared" si="42"/>
        <v>4.2031711513135884E-4</v>
      </c>
      <c r="Y474" s="33">
        <f t="shared" si="43"/>
        <v>1.6482477828420588E-3</v>
      </c>
      <c r="Z474" s="54"/>
    </row>
    <row r="475" spans="15:26" x14ac:dyDescent="0.25">
      <c r="O475" s="37" t="s">
        <v>31</v>
      </c>
      <c r="P475" s="31">
        <f>_xll.qlCalendarAdvance(Calendar,P474,O474,"f",,Trigger)</f>
        <v>44012</v>
      </c>
      <c r="Q475" s="31">
        <f>_xll.qlInterestRateIndexValueDate(Index,P475,Trigger)</f>
        <v>44014</v>
      </c>
      <c r="R475" s="31">
        <f>_xll.qlInterestRateIndexMaturity(Index,Q475,Trigger)</f>
        <v>44106</v>
      </c>
      <c r="S475" s="32">
        <f>_xll.qlDayCounterYearFraction(DayCounter,Q475,R475,,,Trigger)</f>
        <v>0.25555555555555554</v>
      </c>
      <c r="T475" s="33">
        <f>_xll.qlIndexFixing(Index,P475,,AllTriggers)</f>
        <v>9.2595730639491568E-3</v>
      </c>
      <c r="U475" s="34">
        <f>_xll.qlYieldTSDiscount(OisCurve,Q475,,AllTriggers)</f>
        <v>0.9902493138684596</v>
      </c>
      <c r="V475" s="34">
        <f>_xll.qlYieldTSDiscount(OisCurve,R475,,AllTriggers)</f>
        <v>0.9883262064215087</v>
      </c>
      <c r="W475" s="33">
        <f t="shared" si="41"/>
        <v>7.6140883489598781E-3</v>
      </c>
      <c r="X475" s="35">
        <f t="shared" si="42"/>
        <v>4.1960805856147064E-4</v>
      </c>
      <c r="Y475" s="33">
        <f t="shared" si="43"/>
        <v>1.6454847149892787E-3</v>
      </c>
      <c r="Z475" s="54"/>
    </row>
    <row r="476" spans="15:26" x14ac:dyDescent="0.25">
      <c r="O476" s="37" t="s">
        <v>31</v>
      </c>
      <c r="P476" s="31">
        <f>_xll.qlCalendarAdvance(Calendar,P475,O475,"f",,Trigger)</f>
        <v>44019</v>
      </c>
      <c r="Q476" s="31">
        <f>_xll.qlInterestRateIndexValueDate(Index,P476,Trigger)</f>
        <v>44021</v>
      </c>
      <c r="R476" s="31">
        <f>_xll.qlInterestRateIndexMaturity(Index,Q476,Trigger)</f>
        <v>44113</v>
      </c>
      <c r="S476" s="32">
        <f>_xll.qlDayCounterYearFraction(DayCounter,Q476,R476,,,Trigger)</f>
        <v>0.25555555555555554</v>
      </c>
      <c r="T476" s="33">
        <f>_xll.qlIndexFixing(Index,P476,,AllTriggers)</f>
        <v>9.2999856564580999E-3</v>
      </c>
      <c r="U476" s="34">
        <f>_xll.qlYieldTSDiscount(OisCurve,Q476,,AllTriggers)</f>
        <v>0.99010783453218321</v>
      </c>
      <c r="V476" s="34">
        <f>_xll.qlYieldTSDiscount(OisCurve,R476,,AllTriggers)</f>
        <v>0.9881741086629281</v>
      </c>
      <c r="W476" s="33">
        <f t="shared" si="41"/>
        <v>7.6573078925039045E-3</v>
      </c>
      <c r="X476" s="35">
        <f t="shared" si="42"/>
        <v>4.1888780315353966E-4</v>
      </c>
      <c r="Y476" s="33">
        <f t="shared" si="43"/>
        <v>1.6426777639541954E-3</v>
      </c>
      <c r="Z476" s="54"/>
    </row>
    <row r="477" spans="15:26" x14ac:dyDescent="0.25">
      <c r="O477" s="37" t="s">
        <v>31</v>
      </c>
      <c r="P477" s="31">
        <f>_xll.qlCalendarAdvance(Calendar,P476,O476,"f",,Trigger)</f>
        <v>44026</v>
      </c>
      <c r="Q477" s="31">
        <f>_xll.qlInterestRateIndexValueDate(Index,P477,Trigger)</f>
        <v>44028</v>
      </c>
      <c r="R477" s="31">
        <f>_xll.qlInterestRateIndexMaturity(Index,Q477,Trigger)</f>
        <v>44120</v>
      </c>
      <c r="S477" s="32">
        <f>_xll.qlDayCounterYearFraction(DayCounter,Q477,R477,,,Trigger)</f>
        <v>0.25555555555555554</v>
      </c>
      <c r="T477" s="33">
        <f>_xll.qlIndexFixing(Index,P477,,AllTriggers)</f>
        <v>9.3405966416128319E-3</v>
      </c>
      <c r="U477" s="34">
        <f>_xll.qlYieldTSDiscount(OisCurve,Q477,,AllTriggers)</f>
        <v>0.9899655732860897</v>
      </c>
      <c r="V477" s="34">
        <f>_xll.qlYieldTSDiscount(OisCurve,R477,,AllTriggers)</f>
        <v>0.98802117282988589</v>
      </c>
      <c r="W477" s="33">
        <f t="shared" si="41"/>
        <v>7.7007697137536548E-3</v>
      </c>
      <c r="X477" s="35">
        <f t="shared" si="42"/>
        <v>4.1815634890756092E-4</v>
      </c>
      <c r="Y477" s="33">
        <f t="shared" si="43"/>
        <v>1.6398269278591771E-3</v>
      </c>
      <c r="Z477" s="54"/>
    </row>
    <row r="478" spans="15:26" x14ac:dyDescent="0.25">
      <c r="O478" s="37" t="s">
        <v>31</v>
      </c>
      <c r="P478" s="31">
        <f>_xll.qlCalendarAdvance(Calendar,P477,O477,"f",,Trigger)</f>
        <v>44033</v>
      </c>
      <c r="Q478" s="31">
        <f>_xll.qlInterestRateIndexValueDate(Index,P478,Trigger)</f>
        <v>44035</v>
      </c>
      <c r="R478" s="31">
        <f>_xll.qlInterestRateIndexMaturity(Index,Q478,Trigger)</f>
        <v>44127</v>
      </c>
      <c r="S478" s="32">
        <f>_xll.qlDayCounterYearFraction(DayCounter,Q478,R478,,,Trigger)</f>
        <v>0.25555555555555554</v>
      </c>
      <c r="T478" s="33">
        <f>_xll.qlIndexFixing(Index,P478,,AllTriggers)</f>
        <v>9.3814060255658239E-3</v>
      </c>
      <c r="U478" s="34">
        <f>_xll.qlYieldTSDiscount(OisCurve,Q478,,AllTriggers)</f>
        <v>0.98982252582834529</v>
      </c>
      <c r="V478" s="34">
        <f>_xll.qlYieldTSDiscount(OisCurve,R478,,AllTriggers)</f>
        <v>0.98786739468323914</v>
      </c>
      <c r="W478" s="33">
        <f t="shared" si="41"/>
        <v>7.7444738207557351E-3</v>
      </c>
      <c r="X478" s="35">
        <f t="shared" si="42"/>
        <v>4.1741369582293123E-4</v>
      </c>
      <c r="Y478" s="33">
        <f t="shared" si="43"/>
        <v>1.6369322048100888E-3</v>
      </c>
      <c r="Z478" s="54"/>
    </row>
    <row r="479" spans="15:26" x14ac:dyDescent="0.25">
      <c r="O479" s="37" t="s">
        <v>31</v>
      </c>
      <c r="P479" s="31">
        <f>_xll.qlCalendarAdvance(Calendar,P478,O478,"f",,Trigger)</f>
        <v>44040</v>
      </c>
      <c r="Q479" s="31">
        <f>_xll.qlInterestRateIndexValueDate(Index,P479,Trigger)</f>
        <v>44042</v>
      </c>
      <c r="R479" s="31">
        <f>_xll.qlInterestRateIndexMaturity(Index,Q479,Trigger)</f>
        <v>44134</v>
      </c>
      <c r="S479" s="32">
        <f>_xll.qlDayCounterYearFraction(DayCounter,Q479,R479,,,Trigger)</f>
        <v>0.25555555555555554</v>
      </c>
      <c r="T479" s="33">
        <f>_xll.qlIndexFixing(Index,P479,,AllTriggers)</f>
        <v>9.4224138145025619E-3</v>
      </c>
      <c r="U479" s="34">
        <f>_xll.qlYieldTSDiscount(OisCurve,Q479,,AllTriggers)</f>
        <v>0.98967868786166546</v>
      </c>
      <c r="V479" s="34">
        <f>_xll.qlYieldTSDiscount(OisCurve,R479,,AllTriggers)</f>
        <v>0.98771276998887636</v>
      </c>
      <c r="W479" s="33">
        <f t="shared" si="41"/>
        <v>7.7884202216001964E-3</v>
      </c>
      <c r="X479" s="35">
        <f t="shared" si="42"/>
        <v>4.1665984390111283E-4</v>
      </c>
      <c r="Y479" s="33">
        <f t="shared" si="43"/>
        <v>1.6339935929023655E-3</v>
      </c>
      <c r="Z479" s="54"/>
    </row>
    <row r="480" spans="15:26" x14ac:dyDescent="0.25">
      <c r="O480" s="37" t="s">
        <v>31</v>
      </c>
      <c r="P480" s="31">
        <f>_xll.qlCalendarAdvance(Calendar,P479,O479,"f",,Trigger)</f>
        <v>44047</v>
      </c>
      <c r="Q480" s="31">
        <f>_xll.qlInterestRateIndexValueDate(Index,P480,Trigger)</f>
        <v>44049</v>
      </c>
      <c r="R480" s="31">
        <f>_xll.qlInterestRateIndexMaturity(Index,Q480,Trigger)</f>
        <v>44141</v>
      </c>
      <c r="S480" s="32">
        <f>_xll.qlDayCounterYearFraction(DayCounter,Q480,R480,,,Trigger)</f>
        <v>0.25555555555555554</v>
      </c>
      <c r="T480" s="33">
        <f>_xll.qlIndexFixing(Index,P480,,AllTriggers)</f>
        <v>9.4636200146354689E-3</v>
      </c>
      <c r="U480" s="34">
        <f>_xll.qlYieldTSDiscount(OisCurve,Q480,,AllTriggers)</f>
        <v>0.98953405509335191</v>
      </c>
      <c r="V480" s="34">
        <f>_xll.qlYieldTSDiscount(OisCurve,R480,,AllTriggers)</f>
        <v>0.98755729451775554</v>
      </c>
      <c r="W480" s="33">
        <f t="shared" si="41"/>
        <v>7.8326089244248765E-3</v>
      </c>
      <c r="X480" s="35">
        <f t="shared" si="42"/>
        <v>4.1589479314075006E-4</v>
      </c>
      <c r="Y480" s="33">
        <f t="shared" si="43"/>
        <v>1.6310110902105924E-3</v>
      </c>
      <c r="Z480" s="54"/>
    </row>
    <row r="481" spans="15:26" x14ac:dyDescent="0.25">
      <c r="O481" s="37" t="s">
        <v>31</v>
      </c>
      <c r="P481" s="31">
        <f>_xll.qlCalendarAdvance(Calendar,P480,O480,"f",,Trigger)</f>
        <v>44054</v>
      </c>
      <c r="Q481" s="31">
        <f>_xll.qlInterestRateIndexValueDate(Index,P481,Trigger)</f>
        <v>44056</v>
      </c>
      <c r="R481" s="31">
        <f>_xll.qlInterestRateIndexMaturity(Index,Q481,Trigger)</f>
        <v>44148</v>
      </c>
      <c r="S481" s="32">
        <f>_xll.qlDayCounterYearFraction(DayCounter,Q481,R481,,,Trigger)</f>
        <v>0.25555555555555554</v>
      </c>
      <c r="T481" s="33">
        <f>_xll.qlIndexFixing(Index,P481,,AllTriggers)</f>
        <v>9.505024632209114E-3</v>
      </c>
      <c r="U481" s="34">
        <f>_xll.qlYieldTSDiscount(OisCurve,Q481,,AllTriggers)</f>
        <v>0.98938862323532717</v>
      </c>
      <c r="V481" s="34">
        <f>_xll.qlYieldTSDiscount(OisCurve,R481,,AllTriggers)</f>
        <v>0.98740096404594235</v>
      </c>
      <c r="W481" s="33">
        <f t="shared" si="41"/>
        <v>7.87703993741019E-3</v>
      </c>
      <c r="X481" s="35">
        <f t="shared" si="42"/>
        <v>4.1511854354233068E-4</v>
      </c>
      <c r="Y481" s="33">
        <f t="shared" si="43"/>
        <v>1.627984694798924E-3</v>
      </c>
      <c r="Z481" s="54"/>
    </row>
    <row r="482" spans="15:26" x14ac:dyDescent="0.25">
      <c r="O482" s="37" t="s">
        <v>31</v>
      </c>
      <c r="P482" s="31">
        <f>_xll.qlCalendarAdvance(Calendar,P481,O481,"f",,Trigger)</f>
        <v>44061</v>
      </c>
      <c r="Q482" s="31">
        <f>_xll.qlInterestRateIndexValueDate(Index,P482,Trigger)</f>
        <v>44063</v>
      </c>
      <c r="R482" s="31">
        <f>_xll.qlInterestRateIndexMaturity(Index,Q482,Trigger)</f>
        <v>44155</v>
      </c>
      <c r="S482" s="32">
        <f>_xll.qlDayCounterYearFraction(DayCounter,Q482,R482,,,Trigger)</f>
        <v>0.25555555555555554</v>
      </c>
      <c r="T482" s="33">
        <f>_xll.qlIndexFixing(Index,P482,,AllTriggers)</f>
        <v>9.5466276734976086E-3</v>
      </c>
      <c r="U482" s="34">
        <f>_xll.qlYieldTSDiscount(OisCurve,Q482,,AllTriggers)</f>
        <v>0.9892423880041713</v>
      </c>
      <c r="V482" s="34">
        <f>_xll.qlYieldTSDiscount(OisCurve,R482,,AllTriggers)</f>
        <v>0.98724377435464805</v>
      </c>
      <c r="W482" s="33">
        <f t="shared" si="41"/>
        <v>7.9217132687843354E-3</v>
      </c>
      <c r="X482" s="35">
        <f t="shared" si="42"/>
        <v>4.1433109510552246E-4</v>
      </c>
      <c r="Y482" s="33">
        <f t="shared" si="43"/>
        <v>1.6249144047132732E-3</v>
      </c>
      <c r="Z482" s="54"/>
    </row>
    <row r="483" spans="15:26" x14ac:dyDescent="0.25">
      <c r="O483" s="37" t="s">
        <v>31</v>
      </c>
      <c r="P483" s="31">
        <f>_xll.qlCalendarAdvance(Calendar,P482,O482,"f",,Trigger)</f>
        <v>44068</v>
      </c>
      <c r="Q483" s="31">
        <f>_xll.qlInterestRateIndexValueDate(Index,P483,Trigger)</f>
        <v>44070</v>
      </c>
      <c r="R483" s="31">
        <f>_xll.qlInterestRateIndexMaturity(Index,Q483,Trigger)</f>
        <v>44162</v>
      </c>
      <c r="S483" s="32">
        <f>_xll.qlDayCounterYearFraction(DayCounter,Q483,R483,,,Trigger)</f>
        <v>0.25555555555555554</v>
      </c>
      <c r="T483" s="33">
        <f>_xll.qlIndexFixing(Index,P483,,AllTriggers)</f>
        <v>9.5884291448046083E-3</v>
      </c>
      <c r="U483" s="34">
        <f>_xll.qlYieldTSDiscount(OisCurve,Q483,,AllTriggers)</f>
        <v>0.98909534512115715</v>
      </c>
      <c r="V483" s="34">
        <f>_xll.qlYieldTSDiscount(OisCurve,R483,,AllTriggers)</f>
        <v>0.98708572123026839</v>
      </c>
      <c r="W483" s="33">
        <f t="shared" si="41"/>
        <v>7.9666289268154819E-3</v>
      </c>
      <c r="X483" s="35">
        <f t="shared" si="42"/>
        <v>4.1353244783072653E-4</v>
      </c>
      <c r="Y483" s="33">
        <f t="shared" si="43"/>
        <v>1.6218002179891264E-3</v>
      </c>
      <c r="Z483" s="54"/>
    </row>
    <row r="484" spans="15:26" x14ac:dyDescent="0.25">
      <c r="O484" s="37" t="s">
        <v>31</v>
      </c>
      <c r="P484" s="31">
        <f>_xll.qlCalendarAdvance(Calendar,P483,O483,"f",,Trigger)</f>
        <v>44075</v>
      </c>
      <c r="Q484" s="31">
        <f>_xll.qlInterestRateIndexValueDate(Index,P484,Trigger)</f>
        <v>44077</v>
      </c>
      <c r="R484" s="31">
        <f>_xll.qlInterestRateIndexMaturity(Index,Q484,Trigger)</f>
        <v>44168</v>
      </c>
      <c r="S484" s="32">
        <f>_xll.qlDayCounterYearFraction(DayCounter,Q484,R484,,,Trigger)</f>
        <v>0.25277777777777777</v>
      </c>
      <c r="T484" s="33">
        <f>_xll.qlIndexFixing(Index,P484,,AllTriggers)</f>
        <v>9.6272630434479402E-3</v>
      </c>
      <c r="U484" s="34">
        <f>_xll.qlYieldTSDiscount(OisCurve,Q484,,AllTriggers)</f>
        <v>0.98894749031228812</v>
      </c>
      <c r="V484" s="34">
        <f>_xll.qlYieldTSDiscount(OisCurve,R484,,AllTriggers)</f>
        <v>0.9869495567112363</v>
      </c>
      <c r="W484" s="33">
        <f t="shared" si="41"/>
        <v>8.0084266650428167E-3</v>
      </c>
      <c r="X484" s="35">
        <f t="shared" si="42"/>
        <v>4.0829579495736538E-4</v>
      </c>
      <c r="Y484" s="33">
        <f t="shared" si="43"/>
        <v>1.6188363784051234E-3</v>
      </c>
      <c r="Z484" s="54"/>
    </row>
    <row r="485" spans="15:26" x14ac:dyDescent="0.25">
      <c r="O485" s="37" t="s">
        <v>31</v>
      </c>
      <c r="P485" s="31">
        <f>_xll.qlCalendarAdvance(Calendar,P484,O484,"f",,Trigger)</f>
        <v>44082</v>
      </c>
      <c r="Q485" s="31">
        <f>_xll.qlInterestRateIndexValueDate(Index,P485,Trigger)</f>
        <v>44084</v>
      </c>
      <c r="R485" s="31">
        <f>_xll.qlInterestRateIndexMaturity(Index,Q485,Trigger)</f>
        <v>44175</v>
      </c>
      <c r="S485" s="32">
        <f>_xll.qlDayCounterYearFraction(DayCounter,Q485,R485,,,Trigger)</f>
        <v>0.25277777777777777</v>
      </c>
      <c r="T485" s="33">
        <f>_xll.qlIndexFixing(Index,P485,,AllTriggers)</f>
        <v>9.6694460896178842E-3</v>
      </c>
      <c r="U485" s="34">
        <f>_xll.qlYieldTSDiscount(OisCurve,Q485,,AllTriggers)</f>
        <v>0.98879881930833291</v>
      </c>
      <c r="V485" s="34">
        <f>_xll.qlYieldTSDiscount(OisCurve,R485,,AllTriggers)</f>
        <v>0.98678988890716202</v>
      </c>
      <c r="W485" s="33">
        <f t="shared" si="41"/>
        <v>8.0538086790357035E-3</v>
      </c>
      <c r="X485" s="35">
        <f t="shared" si="42"/>
        <v>4.074844656302543E-4</v>
      </c>
      <c r="Y485" s="33">
        <f t="shared" si="43"/>
        <v>1.6156374105821807E-3</v>
      </c>
      <c r="Z485" s="54"/>
    </row>
    <row r="486" spans="15:26" x14ac:dyDescent="0.25">
      <c r="O486" s="37" t="s">
        <v>31</v>
      </c>
      <c r="P486" s="31">
        <f>_xll.qlCalendarAdvance(Calendar,P485,O485,"f",,Trigger)</f>
        <v>44089</v>
      </c>
      <c r="Q486" s="31">
        <f>_xll.qlInterestRateIndexValueDate(Index,P486,Trigger)</f>
        <v>44091</v>
      </c>
      <c r="R486" s="31">
        <f>_xll.qlInterestRateIndexMaturity(Index,Q486,Trigger)</f>
        <v>44182</v>
      </c>
      <c r="S486" s="32">
        <f>_xll.qlDayCounterYearFraction(DayCounter,Q486,R486,,,Trigger)</f>
        <v>0.25277777777777777</v>
      </c>
      <c r="T486" s="33">
        <f>_xll.qlIndexFixing(Index,P486,,AllTriggers)</f>
        <v>9.7118275741638876E-3</v>
      </c>
      <c r="U486" s="34">
        <f>_xll.qlYieldTSDiscount(OisCurve,Q486,,AllTriggers)</f>
        <v>0.98864932784486315</v>
      </c>
      <c r="V486" s="34">
        <f>_xll.qlYieldTSDiscount(OisCurve,R486,,AllTriggers)</f>
        <v>0.98662934566004279</v>
      </c>
      <c r="W486" s="33">
        <f t="shared" si="41"/>
        <v>8.0994330330087638E-3</v>
      </c>
      <c r="X486" s="35">
        <f t="shared" si="42"/>
        <v>4.0666205919186486E-4</v>
      </c>
      <c r="Y486" s="33">
        <f t="shared" si="43"/>
        <v>1.6123945411551238E-3</v>
      </c>
      <c r="Z486" s="54"/>
    </row>
    <row r="487" spans="15:26" x14ac:dyDescent="0.25">
      <c r="O487" s="37" t="s">
        <v>31</v>
      </c>
      <c r="P487" s="31">
        <f>_xll.qlCalendarAdvance(Calendar,P486,O486,"f",,Trigger)</f>
        <v>44096</v>
      </c>
      <c r="Q487" s="31">
        <f>_xll.qlInterestRateIndexValueDate(Index,P487,Trigger)</f>
        <v>44098</v>
      </c>
      <c r="R487" s="31">
        <f>_xll.qlInterestRateIndexMaturity(Index,Q487,Trigger)</f>
        <v>44189</v>
      </c>
      <c r="S487" s="32">
        <f>_xll.qlDayCounterYearFraction(DayCounter,Q487,R487,,,Trigger)</f>
        <v>0.25277777777777777</v>
      </c>
      <c r="T487" s="33">
        <f>_xll.qlIndexFixing(Index,P487,,AllTriggers)</f>
        <v>9.7544075034369151E-3</v>
      </c>
      <c r="U487" s="34">
        <f>_xll.qlYieldTSDiscount(OisCurve,Q487,,AllTriggers)</f>
        <v>0.98849901166229037</v>
      </c>
      <c r="V487" s="34">
        <f>_xll.qlYieldTSDiscount(OisCurve,R487,,AllTriggers)</f>
        <v>0.98646792277663276</v>
      </c>
      <c r="W487" s="33">
        <f t="shared" si="41"/>
        <v>8.1452997353192638E-3</v>
      </c>
      <c r="X487" s="35">
        <f t="shared" si="42"/>
        <v>4.0582857564128058E-4</v>
      </c>
      <c r="Y487" s="33">
        <f t="shared" si="43"/>
        <v>1.6091077681176513E-3</v>
      </c>
      <c r="Z487" s="54"/>
    </row>
    <row r="488" spans="15:26" x14ac:dyDescent="0.25">
      <c r="O488" s="37" t="s">
        <v>31</v>
      </c>
      <c r="P488" s="31">
        <f>_xll.qlCalendarAdvance(Calendar,P487,O487,"f",,Trigger)</f>
        <v>44103</v>
      </c>
      <c r="Q488" s="31">
        <f>_xll.qlInterestRateIndexValueDate(Index,P488,Trigger)</f>
        <v>44105</v>
      </c>
      <c r="R488" s="31">
        <f>_xll.qlInterestRateIndexMaturity(Index,Q488,Trigger)</f>
        <v>44200</v>
      </c>
      <c r="S488" s="32">
        <f>_xll.qlDayCounterYearFraction(DayCounter,Q488,R488,,,Trigger)</f>
        <v>0.2638888888888889</v>
      </c>
      <c r="T488" s="33">
        <f>_xll.qlIndexFixing(Index,P488,,AllTriggers)</f>
        <v>9.8101041673708377E-3</v>
      </c>
      <c r="U488" s="34">
        <f>_xll.qlYieldTSDiscount(OisCurve,Q488,,AllTriggers)</f>
        <v>0.98834786650590223</v>
      </c>
      <c r="V488" s="34">
        <f>_xll.qlYieldTSDiscount(OisCurve,R488,,AllTriggers)</f>
        <v>0.98621247095020403</v>
      </c>
      <c r="W488" s="33">
        <f t="shared" si="41"/>
        <v>8.2051540637095854E-3</v>
      </c>
      <c r="X488" s="35">
        <f t="shared" si="42"/>
        <v>4.2252416035536784E-4</v>
      </c>
      <c r="Y488" s="33">
        <f t="shared" si="43"/>
        <v>1.6049501036612523E-3</v>
      </c>
      <c r="Z488" s="54"/>
    </row>
    <row r="489" spans="15:26" x14ac:dyDescent="0.25">
      <c r="O489" s="37" t="s">
        <v>31</v>
      </c>
      <c r="P489" s="31">
        <f>_xll.qlCalendarAdvance(Calendar,P488,O488,"f",,Trigger)</f>
        <v>44110</v>
      </c>
      <c r="Q489" s="31">
        <f>_xll.qlInterestRateIndexValueDate(Index,P489,Trigger)</f>
        <v>44112</v>
      </c>
      <c r="R489" s="31">
        <f>_xll.qlInterestRateIndexMaturity(Index,Q489,Trigger)</f>
        <v>44204</v>
      </c>
      <c r="S489" s="32">
        <f>_xll.qlDayCounterYearFraction(DayCounter,Q489,R489,,,Trigger)</f>
        <v>0.25555555555555554</v>
      </c>
      <c r="T489" s="33">
        <f>_xll.qlIndexFixing(Index,P489,,AllTriggers)</f>
        <v>9.8434053598827707E-3</v>
      </c>
      <c r="U489" s="34">
        <f>_xll.qlYieldTSDiscount(OisCurve,Q489,,AllTriggers)</f>
        <v>0.98819588812590042</v>
      </c>
      <c r="V489" s="34">
        <f>_xll.qlYieldTSDiscount(OisCurve,R489,,AllTriggers)</f>
        <v>0.98611903509029963</v>
      </c>
      <c r="W489" s="33">
        <f t="shared" si="41"/>
        <v>8.2412122036765057E-3</v>
      </c>
      <c r="X489" s="35">
        <f t="shared" si="42"/>
        <v>4.0850538858169447E-4</v>
      </c>
      <c r="Y489" s="33">
        <f t="shared" si="43"/>
        <v>1.602193156206265E-3</v>
      </c>
      <c r="Z489" s="54"/>
    </row>
    <row r="490" spans="15:26" x14ac:dyDescent="0.25">
      <c r="O490" s="37" t="s">
        <v>31</v>
      </c>
      <c r="P490" s="31">
        <f>_xll.qlCalendarAdvance(Calendar,P489,O489,"f",,Trigger)</f>
        <v>44117</v>
      </c>
      <c r="Q490" s="31">
        <f>_xll.qlInterestRateIndexValueDate(Index,P490,Trigger)</f>
        <v>44119</v>
      </c>
      <c r="R490" s="31">
        <f>_xll.qlInterestRateIndexMaturity(Index,Q490,Trigger)</f>
        <v>44211</v>
      </c>
      <c r="S490" s="32">
        <f>_xll.qlDayCounterYearFraction(DayCounter,Q490,R490,,,Trigger)</f>
        <v>0.25555555555555554</v>
      </c>
      <c r="T490" s="33">
        <f>_xll.qlIndexFixing(Index,P490,,AllTriggers)</f>
        <v>9.8865960203717174E-3</v>
      </c>
      <c r="U490" s="34">
        <f>_xll.qlYieldTSDiscount(OisCurve,Q490,,AllTriggers)</f>
        <v>0.9880430722774376</v>
      </c>
      <c r="V490" s="34">
        <f>_xll.qlYieldTSDiscount(OisCurve,R490,,AllTriggers)</f>
        <v>0.98595482039700411</v>
      </c>
      <c r="W490" s="33">
        <f t="shared" si="41"/>
        <v>8.2878243836835997E-3</v>
      </c>
      <c r="X490" s="35">
        <f t="shared" si="42"/>
        <v>4.0762834943992827E-4</v>
      </c>
      <c r="Y490" s="33">
        <f t="shared" si="43"/>
        <v>1.5987716366881177E-3</v>
      </c>
      <c r="Z490" s="54"/>
    </row>
    <row r="491" spans="15:26" x14ac:dyDescent="0.25">
      <c r="O491" s="37" t="s">
        <v>31</v>
      </c>
      <c r="P491" s="31">
        <f>_xll.qlCalendarAdvance(Calendar,P490,O490,"f",,Trigger)</f>
        <v>44124</v>
      </c>
      <c r="Q491" s="31">
        <f>_xll.qlInterestRateIndexValueDate(Index,P491,Trigger)</f>
        <v>44126</v>
      </c>
      <c r="R491" s="31">
        <f>_xll.qlInterestRateIndexMaturity(Index,Q491,Trigger)</f>
        <v>44218</v>
      </c>
      <c r="S491" s="32">
        <f>_xll.qlDayCounterYearFraction(DayCounter,Q491,R491,,,Trigger)</f>
        <v>0.25555555555555554</v>
      </c>
      <c r="T491" s="33">
        <f>_xll.qlIndexFixing(Index,P491,,AllTriggers)</f>
        <v>9.9299851623979585E-3</v>
      </c>
      <c r="U491" s="34">
        <f>_xll.qlYieldTSDiscount(OisCurve,Q491,,AllTriggers)</f>
        <v>0.98788941472065483</v>
      </c>
      <c r="V491" s="34">
        <f>_xll.qlYieldTSDiscount(OisCurve,R491,,AllTriggers)</f>
        <v>0.98578970875307859</v>
      </c>
      <c r="W491" s="33">
        <f t="shared" si="41"/>
        <v>8.3346789581343391E-3</v>
      </c>
      <c r="X491" s="35">
        <f t="shared" si="42"/>
        <v>4.0674011146049491E-4</v>
      </c>
      <c r="Y491" s="33">
        <f t="shared" si="43"/>
        <v>1.5953062042636194E-3</v>
      </c>
      <c r="Z491" s="54"/>
    </row>
    <row r="492" spans="15:26" x14ac:dyDescent="0.25">
      <c r="O492" s="37" t="s">
        <v>31</v>
      </c>
      <c r="P492" s="31">
        <f>_xll.qlCalendarAdvance(Calendar,P491,O491,"f",,Trigger)</f>
        <v>44131</v>
      </c>
      <c r="Q492" s="31">
        <f>_xll.qlInterestRateIndexValueDate(Index,P492,Trigger)</f>
        <v>44133</v>
      </c>
      <c r="R492" s="31">
        <f>_xll.qlInterestRateIndexMaturity(Index,Q492,Trigger)</f>
        <v>44225</v>
      </c>
      <c r="S492" s="32">
        <f>_xll.qlDayCounterYearFraction(DayCounter,Q492,R492,,,Trigger)</f>
        <v>0.25555555555555554</v>
      </c>
      <c r="T492" s="33">
        <f>_xll.qlIndexFixing(Index,P492,,AllTriggers)</f>
        <v>9.9735727925362328E-3</v>
      </c>
      <c r="U492" s="34">
        <f>_xll.qlYieldTSDiscount(OisCurve,Q492,,AllTriggers)</f>
        <v>0.98773491122071966</v>
      </c>
      <c r="V492" s="34">
        <f>_xll.qlYieldTSDiscount(OisCurve,R492,,AllTriggers)</f>
        <v>0.98562369599333066</v>
      </c>
      <c r="W492" s="33">
        <f t="shared" si="41"/>
        <v>8.3817759357070025E-3</v>
      </c>
      <c r="X492" s="35">
        <f t="shared" si="42"/>
        <v>4.0584067464218541E-4</v>
      </c>
      <c r="Y492" s="33">
        <f t="shared" si="43"/>
        <v>1.5917968568292303E-3</v>
      </c>
      <c r="Z492" s="54"/>
    </row>
    <row r="493" spans="15:26" x14ac:dyDescent="0.25">
      <c r="O493" s="37" t="s">
        <v>31</v>
      </c>
      <c r="P493" s="31">
        <f>_xll.qlCalendarAdvance(Calendar,P492,O492,"f",,Trigger)</f>
        <v>44138</v>
      </c>
      <c r="Q493" s="31">
        <f>_xll.qlInterestRateIndexValueDate(Index,P493,Trigger)</f>
        <v>44140</v>
      </c>
      <c r="R493" s="31">
        <f>_xll.qlInterestRateIndexMaturity(Index,Q493,Trigger)</f>
        <v>44232</v>
      </c>
      <c r="S493" s="32">
        <f>_xll.qlDayCounterYearFraction(DayCounter,Q493,R493,,,Trigger)</f>
        <v>0.25555555555555554</v>
      </c>
      <c r="T493" s="33">
        <f>_xll.qlIndexFixing(Index,P493,,AllTriggers)</f>
        <v>1.0017358917393431E-2</v>
      </c>
      <c r="U493" s="34">
        <f>_xll.qlYieldTSDiscount(OisCurve,Q493,,AllTriggers)</f>
        <v>0.98757955754786353</v>
      </c>
      <c r="V493" s="34">
        <f>_xll.qlYieldTSDiscount(OisCurve,R493,,AllTriggers)</f>
        <v>0.98545677795814568</v>
      </c>
      <c r="W493" s="33">
        <f t="shared" si="41"/>
        <v>8.4291153251207004E-3</v>
      </c>
      <c r="X493" s="35">
        <f t="shared" si="42"/>
        <v>4.0493003898630004E-4</v>
      </c>
      <c r="Y493" s="33">
        <f t="shared" si="43"/>
        <v>1.5882435922727305E-3</v>
      </c>
      <c r="Z493" s="54"/>
    </row>
    <row r="494" spans="15:26" x14ac:dyDescent="0.25">
      <c r="O494" s="37" t="s">
        <v>31</v>
      </c>
      <c r="P494" s="31">
        <f>_xll.qlCalendarAdvance(Calendar,P493,O493,"f",,Trigger)</f>
        <v>44145</v>
      </c>
      <c r="Q494" s="31">
        <f>_xll.qlInterestRateIndexValueDate(Index,P494,Trigger)</f>
        <v>44147</v>
      </c>
      <c r="R494" s="31">
        <f>_xll.qlInterestRateIndexMaturity(Index,Q494,Trigger)</f>
        <v>44239</v>
      </c>
      <c r="S494" s="32">
        <f>_xll.qlDayCounterYearFraction(DayCounter,Q494,R494,,,Trigger)</f>
        <v>0.25555555555555554</v>
      </c>
      <c r="T494" s="33">
        <f>_xll.qlIndexFixing(Index,P494,,AllTriggers)</f>
        <v>1.0061343543603373E-2</v>
      </c>
      <c r="U494" s="34">
        <f>_xll.qlYieldTSDiscount(OisCurve,Q494,,AllTriggers)</f>
        <v>0.98742334947741994</v>
      </c>
      <c r="V494" s="34">
        <f>_xll.qlYieldTSDiscount(OisCurve,R494,,AllTriggers)</f>
        <v>0.98528895049352583</v>
      </c>
      <c r="W494" s="33">
        <f t="shared" si="41"/>
        <v>8.4766971351397276E-3</v>
      </c>
      <c r="X494" s="35">
        <f t="shared" si="42"/>
        <v>4.0400820449243131E-4</v>
      </c>
      <c r="Y494" s="33">
        <f t="shared" si="43"/>
        <v>1.5846464084636452E-3</v>
      </c>
      <c r="Z494" s="54"/>
    </row>
    <row r="495" spans="15:26" x14ac:dyDescent="0.25">
      <c r="O495" s="37" t="s">
        <v>31</v>
      </c>
      <c r="P495" s="31">
        <f>_xll.qlCalendarAdvance(Calendar,P494,O494,"f",,Trigger)</f>
        <v>44152</v>
      </c>
      <c r="Q495" s="31">
        <f>_xll.qlInterestRateIndexValueDate(Index,P495,Trigger)</f>
        <v>44154</v>
      </c>
      <c r="R495" s="31">
        <f>_xll.qlInterestRateIndexMaturity(Index,Q495,Trigger)</f>
        <v>44246</v>
      </c>
      <c r="S495" s="32">
        <f>_xll.qlDayCounterYearFraction(DayCounter,Q495,R495,,,Trigger)</f>
        <v>0.25555555555555554</v>
      </c>
      <c r="T495" s="33">
        <f>_xll.qlIndexFixing(Index,P495,,AllTriggers)</f>
        <v>1.0105526677831166E-2</v>
      </c>
      <c r="U495" s="34">
        <f>_xll.qlYieldTSDiscount(OisCurve,Q495,,AllTriggers)</f>
        <v>0.98726628278986284</v>
      </c>
      <c r="V495" s="34">
        <f>_xll.qlYieldTSDiscount(OisCurve,R495,,AllTriggers)</f>
        <v>0.9851202094511311</v>
      </c>
      <c r="W495" s="33">
        <f t="shared" si="41"/>
        <v>8.5245213745770345E-3</v>
      </c>
      <c r="X495" s="35">
        <f t="shared" si="42"/>
        <v>4.0307517115979529E-4</v>
      </c>
      <c r="Y495" s="33">
        <f t="shared" si="43"/>
        <v>1.5810053032541318E-3</v>
      </c>
      <c r="Z495" s="54"/>
    </row>
    <row r="496" spans="15:26" x14ac:dyDescent="0.25">
      <c r="O496" s="37" t="s">
        <v>31</v>
      </c>
      <c r="P496" s="31">
        <f>_xll.qlCalendarAdvance(Calendar,P495,O495,"f",,Trigger)</f>
        <v>44159</v>
      </c>
      <c r="Q496" s="31">
        <f>_xll.qlInterestRateIndexValueDate(Index,P496,Trigger)</f>
        <v>44161</v>
      </c>
      <c r="R496" s="31">
        <f>_xll.qlInterestRateIndexMaturity(Index,Q496,Trigger)</f>
        <v>44253</v>
      </c>
      <c r="S496" s="32">
        <f>_xll.qlDayCounterYearFraction(DayCounter,Q496,R496,,,Trigger)</f>
        <v>0.25555555555555554</v>
      </c>
      <c r="T496" s="33">
        <f>_xll.qlIndexFixing(Index,P496,,AllTriggers)</f>
        <v>1.0149908326774929E-2</v>
      </c>
      <c r="U496" s="34">
        <f>_xll.qlYieldTSDiscount(OisCurve,Q496,,AllTriggers)</f>
        <v>0.98710835327084512</v>
      </c>
      <c r="V496" s="34">
        <f>_xll.qlYieldTSDiscount(OisCurve,R496,,AllTriggers)</f>
        <v>0.98495055068832027</v>
      </c>
      <c r="W496" s="33">
        <f t="shared" si="41"/>
        <v>8.5725880522864069E-3</v>
      </c>
      <c r="X496" s="35">
        <f t="shared" si="42"/>
        <v>4.0213093898945173E-4</v>
      </c>
      <c r="Y496" s="33">
        <f t="shared" si="43"/>
        <v>1.5773202744885223E-3</v>
      </c>
      <c r="Z496" s="54"/>
    </row>
    <row r="497" spans="15:26" x14ac:dyDescent="0.25">
      <c r="O497" s="37" t="s">
        <v>31</v>
      </c>
      <c r="P497" s="31">
        <f>_xll.qlCalendarAdvance(Calendar,P496,O496,"f",,Trigger)</f>
        <v>44166</v>
      </c>
      <c r="Q497" s="31">
        <f>_xll.qlInterestRateIndexValueDate(Index,P497,Trigger)</f>
        <v>44168</v>
      </c>
      <c r="R497" s="31">
        <f>_xll.qlInterestRateIndexMaturity(Index,Q497,Trigger)</f>
        <v>44258</v>
      </c>
      <c r="S497" s="32">
        <f>_xll.qlDayCounterYearFraction(DayCounter,Q497,R497,,,Trigger)</f>
        <v>0.25</v>
      </c>
      <c r="T497" s="33">
        <f>_xll.qlIndexFixing(Index,P497,,AllTriggers)</f>
        <v>1.0187758387454338E-2</v>
      </c>
      <c r="U497" s="34">
        <f>_xll.qlYieldTSDiscount(OisCurve,Q497,,AllTriggers)</f>
        <v>0.9869495567112363</v>
      </c>
      <c r="V497" s="34">
        <f>_xll.qlYieldTSDiscount(OisCurve,R497,,AllTriggers)</f>
        <v>0.98482880169629128</v>
      </c>
      <c r="W497" s="33">
        <f t="shared" si="41"/>
        <v>8.6137002138535479E-3</v>
      </c>
      <c r="X497" s="35">
        <f t="shared" si="42"/>
        <v>3.9259188594323779E-4</v>
      </c>
      <c r="Y497" s="33">
        <f t="shared" si="43"/>
        <v>1.5740581736007897E-3</v>
      </c>
      <c r="Z497" s="54"/>
    </row>
    <row r="498" spans="15:26" x14ac:dyDescent="0.25">
      <c r="O498" s="37" t="s">
        <v>31</v>
      </c>
      <c r="P498" s="31">
        <f>_xll.qlCalendarAdvance(Calendar,P497,O497,"f",,Trigger)</f>
        <v>44173</v>
      </c>
      <c r="Q498" s="31">
        <f>_xll.qlInterestRateIndexValueDate(Index,P498,Trigger)</f>
        <v>44175</v>
      </c>
      <c r="R498" s="31">
        <f>_xll.qlInterestRateIndexMaturity(Index,Q498,Trigger)</f>
        <v>44265</v>
      </c>
      <c r="S498" s="32">
        <f>_xll.qlDayCounterYearFraction(DayCounter,Q498,R498,,,Trigger)</f>
        <v>0.25</v>
      </c>
      <c r="T498" s="33">
        <f>_xll.qlIndexFixing(Index,P498,,AllTriggers)</f>
        <v>1.0232506188685875E-2</v>
      </c>
      <c r="U498" s="34">
        <f>_xll.qlYieldTSDiscount(OisCurve,Q498,,AllTriggers)</f>
        <v>0.98678988890716202</v>
      </c>
      <c r="V498" s="34">
        <f>_xll.qlYieldTSDiscount(OisCurve,R498,,AllTriggers)</f>
        <v>0.98465756007705019</v>
      </c>
      <c r="W498" s="33">
        <f t="shared" si="41"/>
        <v>8.6622148310926406E-3</v>
      </c>
      <c r="X498" s="35">
        <f t="shared" si="42"/>
        <v>3.9164783484411047E-4</v>
      </c>
      <c r="Y498" s="33">
        <f t="shared" si="43"/>
        <v>1.5702913575932342E-3</v>
      </c>
      <c r="Z498" s="54"/>
    </row>
    <row r="499" spans="15:26" x14ac:dyDescent="0.25">
      <c r="O499" s="37" t="s">
        <v>31</v>
      </c>
      <c r="P499" s="31">
        <f>_xll.qlCalendarAdvance(Calendar,P498,O498,"f",,Trigger)</f>
        <v>44180</v>
      </c>
      <c r="Q499" s="31">
        <f>_xll.qlInterestRateIndexValueDate(Index,P499,Trigger)</f>
        <v>44182</v>
      </c>
      <c r="R499" s="31">
        <f>_xll.qlInterestRateIndexMaturity(Index,Q499,Trigger)</f>
        <v>44272</v>
      </c>
      <c r="S499" s="32">
        <f>_xll.qlDayCounterYearFraction(DayCounter,Q499,R499,,,Trigger)</f>
        <v>0.25</v>
      </c>
      <c r="T499" s="33">
        <f>_xll.qlIndexFixing(Index,P499,,AllTriggers)</f>
        <v>1.0277452501509465E-2</v>
      </c>
      <c r="U499" s="34">
        <f>_xll.qlYieldTSDiscount(OisCurve,Q499,,AllTriggers)</f>
        <v>0.98662934566004279</v>
      </c>
      <c r="V499" s="34">
        <f>_xll.qlYieldTSDiscount(OisCurve,R499,,AllTriggers)</f>
        <v>0.98448538952212661</v>
      </c>
      <c r="W499" s="33">
        <f t="shared" si="41"/>
        <v>8.7109718873810138E-3</v>
      </c>
      <c r="X499" s="35">
        <f t="shared" si="42"/>
        <v>3.9069282835971176E-4</v>
      </c>
      <c r="Y499" s="33">
        <f t="shared" si="43"/>
        <v>1.5664806141284515E-3</v>
      </c>
      <c r="Z499" s="54"/>
    </row>
    <row r="500" spans="15:26" x14ac:dyDescent="0.25">
      <c r="O500" s="37" t="s">
        <v>31</v>
      </c>
      <c r="P500" s="31">
        <f>_xll.qlCalendarAdvance(Calendar,P499,O499,"f",,Trigger)</f>
        <v>44187</v>
      </c>
      <c r="Q500" s="31">
        <f>_xll.qlInterestRateIndexValueDate(Index,P500,Trigger)</f>
        <v>44189</v>
      </c>
      <c r="R500" s="31">
        <f>_xll.qlInterestRateIndexMaturity(Index,Q500,Trigger)</f>
        <v>44279</v>
      </c>
      <c r="S500" s="32">
        <f>_xll.qlDayCounterYearFraction(DayCounter,Q500,R500,,,Trigger)</f>
        <v>0.25</v>
      </c>
      <c r="T500" s="33">
        <f>_xll.qlIndexFixing(Index,P500,,AllTriggers)</f>
        <v>1.0322597332589112E-2</v>
      </c>
      <c r="U500" s="34">
        <f>_xll.qlYieldTSDiscount(OisCurve,Q500,,AllTriggers)</f>
        <v>0.98646792277663276</v>
      </c>
      <c r="V500" s="34">
        <f>_xll.qlYieldTSDiscount(OisCurve,R500,,AllTriggers)</f>
        <v>0.98431228591040121</v>
      </c>
      <c r="W500" s="33">
        <f t="shared" si="41"/>
        <v>8.7599713915498256E-3</v>
      </c>
      <c r="X500" s="35">
        <f t="shared" si="42"/>
        <v>3.8972686649017314E-4</v>
      </c>
      <c r="Y500" s="33">
        <f t="shared" si="43"/>
        <v>1.5626259410392862E-3</v>
      </c>
      <c r="Z500" s="54"/>
    </row>
    <row r="501" spans="15:26" x14ac:dyDescent="0.25">
      <c r="O501" s="37" t="s">
        <v>31</v>
      </c>
      <c r="P501" s="31">
        <f>_xll.qlCalendarAdvance(Calendar,P500,O500,"f",,Trigger)</f>
        <v>44194</v>
      </c>
      <c r="Q501" s="31">
        <f>_xll.qlInterestRateIndexValueDate(Index,P501,Trigger)</f>
        <v>44196</v>
      </c>
      <c r="R501" s="31">
        <f>_xll.qlInterestRateIndexMaturity(Index,Q501,Trigger)</f>
        <v>44286</v>
      </c>
      <c r="S501" s="32">
        <f>_xll.qlDayCounterYearFraction(DayCounter,Q501,R501,,,Trigger)</f>
        <v>0.25</v>
      </c>
      <c r="T501" s="33">
        <f>_xll.qlIndexFixing(Index,P501,,AllTriggers)</f>
        <v>1.0367940688618127E-2</v>
      </c>
      <c r="U501" s="34">
        <f>_xll.qlYieldTSDiscount(OisCurve,Q501,,AllTriggers)</f>
        <v>0.98630561606905931</v>
      </c>
      <c r="V501" s="34">
        <f>_xll.qlYieldTSDiscount(OisCurve,R501,,AllTriggers)</f>
        <v>0.98413824512664638</v>
      </c>
      <c r="W501" s="33">
        <f t="shared" si="41"/>
        <v>8.8092133524755312E-3</v>
      </c>
      <c r="X501" s="35">
        <f t="shared" si="42"/>
        <v>3.8874994923570997E-4</v>
      </c>
      <c r="Y501" s="33">
        <f t="shared" si="43"/>
        <v>1.5587273361425957E-3</v>
      </c>
      <c r="Z501" s="54"/>
    </row>
    <row r="502" spans="15:26" x14ac:dyDescent="0.25">
      <c r="O502" s="37" t="s">
        <v>31</v>
      </c>
      <c r="P502" s="31">
        <f>_xll.qlCalendarAdvance(Calendar,P501,O501,"f",,Trigger)</f>
        <v>44201</v>
      </c>
      <c r="Q502" s="31">
        <f>_xll.qlInterestRateIndexValueDate(Index,P502,Trigger)</f>
        <v>44203</v>
      </c>
      <c r="R502" s="31">
        <f>_xll.qlInterestRateIndexMaturity(Index,Q502,Trigger)</f>
        <v>44293</v>
      </c>
      <c r="S502" s="32">
        <f>_xll.qlDayCounterYearFraction(DayCounter,Q502,R502,,,Trigger)</f>
        <v>0.25</v>
      </c>
      <c r="T502" s="33">
        <f>_xll.qlIndexFixing(Index,P502,,AllTriggers)</f>
        <v>1.0413482576317357E-2</v>
      </c>
      <c r="U502" s="34">
        <f>_xll.qlYieldTSDiscount(OisCurve,Q502,,AllTriggers)</f>
        <v>0.98614242135486174</v>
      </c>
      <c r="V502" s="34">
        <f>_xll.qlYieldTSDiscount(OisCurve,R502,,AllTriggers)</f>
        <v>0.98396326306156745</v>
      </c>
      <c r="W502" s="33">
        <f t="shared" si="41"/>
        <v>8.8586977790772181E-3</v>
      </c>
      <c r="X502" s="35">
        <f t="shared" si="42"/>
        <v>3.877620765959557E-4</v>
      </c>
      <c r="Y502" s="33">
        <f t="shared" si="43"/>
        <v>1.5547847972401385E-3</v>
      </c>
      <c r="Z502" s="54"/>
    </row>
    <row r="503" spans="15:26" x14ac:dyDescent="0.25">
      <c r="O503" s="37" t="s">
        <v>31</v>
      </c>
      <c r="P503" s="31">
        <f>_xll.qlCalendarAdvance(Calendar,P502,O502,"f",,Trigger)</f>
        <v>44208</v>
      </c>
      <c r="Q503" s="31">
        <f>_xll.qlInterestRateIndexValueDate(Index,P503,Trigger)</f>
        <v>44210</v>
      </c>
      <c r="R503" s="31">
        <f>_xll.qlInterestRateIndexMaturity(Index,Q503,Trigger)</f>
        <v>44300</v>
      </c>
      <c r="S503" s="32">
        <f>_xll.qlDayCounterYearFraction(DayCounter,Q503,R503,,,Trigger)</f>
        <v>0.25</v>
      </c>
      <c r="T503" s="33">
        <f>_xll.qlIndexFixing(Index,P503,,AllTriggers)</f>
        <v>1.0459223002439622E-2</v>
      </c>
      <c r="U503" s="34">
        <f>_xll.qlYieldTSDiscount(OisCurve,Q503,,AllTriggers)</f>
        <v>0.98597833445703142</v>
      </c>
      <c r="V503" s="34">
        <f>_xll.qlYieldTSDiscount(OisCurve,R503,,AllTriggers)</f>
        <v>0.98378733561184395</v>
      </c>
      <c r="W503" s="33">
        <f t="shared" si="41"/>
        <v>8.9084246803192713E-3</v>
      </c>
      <c r="X503" s="35">
        <f t="shared" si="42"/>
        <v>3.8676324857107164E-4</v>
      </c>
      <c r="Y503" s="33">
        <f t="shared" si="43"/>
        <v>1.5507983221203503E-3</v>
      </c>
      <c r="Z503" s="54"/>
    </row>
    <row r="504" spans="15:26" x14ac:dyDescent="0.25">
      <c r="O504" s="37" t="s">
        <v>31</v>
      </c>
      <c r="P504" s="31">
        <f>_xll.qlCalendarAdvance(Calendar,P503,O503,"f",,Trigger)</f>
        <v>44215</v>
      </c>
      <c r="Q504" s="31">
        <f>_xll.qlInterestRateIndexValueDate(Index,P504,Trigger)</f>
        <v>44217</v>
      </c>
      <c r="R504" s="31">
        <f>_xll.qlInterestRateIndexMaturity(Index,Q504,Trigger)</f>
        <v>44307</v>
      </c>
      <c r="S504" s="32">
        <f>_xll.qlDayCounterYearFraction(DayCounter,Q504,R504,,,Trigger)</f>
        <v>0.25</v>
      </c>
      <c r="T504" s="33">
        <f>_xll.qlIndexFixing(Index,P504,,AllTriggers)</f>
        <v>1.0505161973766164E-2</v>
      </c>
      <c r="U504" s="34">
        <f>_xll.qlYieldTSDiscount(OisCurve,Q504,,AllTriggers)</f>
        <v>0.98581335120405145</v>
      </c>
      <c r="V504" s="34">
        <f>_xll.qlYieldTSDiscount(OisCurve,R504,,AllTriggers)</f>
        <v>0.98361045868017194</v>
      </c>
      <c r="W504" s="33">
        <f t="shared" si="41"/>
        <v>8.958394065208708E-3</v>
      </c>
      <c r="X504" s="35">
        <f t="shared" si="42"/>
        <v>3.8575346516130299E-4</v>
      </c>
      <c r="Y504" s="33">
        <f t="shared" si="43"/>
        <v>1.5467679085574559E-3</v>
      </c>
      <c r="Z504" s="54"/>
    </row>
    <row r="505" spans="15:26" x14ac:dyDescent="0.25">
      <c r="O505" s="37" t="s">
        <v>31</v>
      </c>
      <c r="P505" s="31">
        <f>_xll.qlCalendarAdvance(Calendar,P504,O504,"f",,Trigger)</f>
        <v>44222</v>
      </c>
      <c r="Q505" s="31">
        <f>_xll.qlInterestRateIndexValueDate(Index,P505,Trigger)</f>
        <v>44224</v>
      </c>
      <c r="R505" s="31">
        <f>_xll.qlInterestRateIndexMaturity(Index,Q505,Trigger)</f>
        <v>44314</v>
      </c>
      <c r="S505" s="32">
        <f>_xll.qlDayCounterYearFraction(DayCounter,Q505,R505,,,Trigger)</f>
        <v>0.25</v>
      </c>
      <c r="T505" s="33">
        <f>_xll.qlIndexFixing(Index,P505,,AllTriggers)</f>
        <v>1.0551299497108424E-2</v>
      </c>
      <c r="U505" s="34">
        <f>_xll.qlYieldTSDiscount(OisCurve,Q505,,AllTriggers)</f>
        <v>0.98564746742993625</v>
      </c>
      <c r="V505" s="34">
        <f>_xll.qlYieldTSDiscount(OisCurve,R505,,AllTriggers)</f>
        <v>0.9834326281753053</v>
      </c>
      <c r="W505" s="33">
        <f t="shared" si="41"/>
        <v>9.0086059428005072E-3</v>
      </c>
      <c r="X505" s="35">
        <f t="shared" si="42"/>
        <v>3.8473272636586903E-4</v>
      </c>
      <c r="Y505" s="33">
        <f t="shared" si="43"/>
        <v>1.5426935543079168E-3</v>
      </c>
      <c r="Z505" s="54"/>
    </row>
    <row r="506" spans="15:26" x14ac:dyDescent="0.25">
      <c r="O506" s="37" t="s">
        <v>31</v>
      </c>
      <c r="P506" s="31">
        <f>_xll.qlCalendarAdvance(Calendar,P505,O505,"f",,Trigger)</f>
        <v>44229</v>
      </c>
      <c r="Q506" s="31">
        <f>_xll.qlInterestRateIndexValueDate(Index,P506,Trigger)</f>
        <v>44231</v>
      </c>
      <c r="R506" s="31">
        <f>_xll.qlInterestRateIndexMaturity(Index,Q506,Trigger)</f>
        <v>44320</v>
      </c>
      <c r="S506" s="32">
        <f>_xll.qlDayCounterYearFraction(DayCounter,Q506,R506,,,Trigger)</f>
        <v>0.24722222222222223</v>
      </c>
      <c r="T506" s="33">
        <f>_xll.qlIndexFixing(Index,P506,,AllTriggers)</f>
        <v>1.0594133383660595E-2</v>
      </c>
      <c r="U506" s="34">
        <f>_xll.qlYieldTSDiscount(OisCurve,Q506,,AllTriggers)</f>
        <v>0.9854806789742715</v>
      </c>
      <c r="V506" s="34">
        <f>_xll.qlYieldTSDiscount(OisCurve,R506,,AllTriggers)</f>
        <v>0.98327943996507883</v>
      </c>
      <c r="W506" s="33">
        <f t="shared" si="41"/>
        <v>9.055297777189308E-3</v>
      </c>
      <c r="X506" s="35">
        <f t="shared" si="42"/>
        <v>3.795125693001581E-4</v>
      </c>
      <c r="Y506" s="33">
        <f t="shared" si="43"/>
        <v>1.5388356064712869E-3</v>
      </c>
      <c r="Z506" s="54"/>
    </row>
    <row r="507" spans="15:26" x14ac:dyDescent="0.25">
      <c r="O507" s="37" t="s">
        <v>31</v>
      </c>
      <c r="P507" s="31">
        <f>_xll.qlCalendarAdvance(Calendar,P506,O506,"f",,Trigger)</f>
        <v>44236</v>
      </c>
      <c r="Q507" s="31">
        <f>_xll.qlInterestRateIndexValueDate(Index,P507,Trigger)</f>
        <v>44238</v>
      </c>
      <c r="R507" s="31">
        <f>_xll.qlInterestRateIndexMaturity(Index,Q507,Trigger)</f>
        <v>44327</v>
      </c>
      <c r="S507" s="32">
        <f>_xll.qlDayCounterYearFraction(DayCounter,Q507,R507,,,Trigger)</f>
        <v>0.24722222222222223</v>
      </c>
      <c r="T507" s="33">
        <f>_xll.qlIndexFixing(Index,P507,,AllTriggers)</f>
        <v>1.0640652454653189E-2</v>
      </c>
      <c r="U507" s="34">
        <f>_xll.qlYieldTSDiscount(OisCurve,Q507,,AllTriggers)</f>
        <v>0.98531298168225478</v>
      </c>
      <c r="V507" s="34">
        <f>_xll.qlYieldTSDiscount(OisCurve,R507,,AllTriggers)</f>
        <v>0.98309982771205584</v>
      </c>
      <c r="W507" s="33">
        <f t="shared" si="41"/>
        <v>9.1059760388690417E-3</v>
      </c>
      <c r="X507" s="35">
        <f t="shared" si="42"/>
        <v>3.7848228001633507E-4</v>
      </c>
      <c r="Y507" s="33">
        <f t="shared" si="43"/>
        <v>1.5346764157841471E-3</v>
      </c>
      <c r="Z507" s="54"/>
    </row>
    <row r="508" spans="15:26" x14ac:dyDescent="0.25">
      <c r="O508" s="37" t="s">
        <v>31</v>
      </c>
      <c r="P508" s="31">
        <f>_xll.qlCalendarAdvance(Calendar,P507,O507,"f",,Trigger)</f>
        <v>44243</v>
      </c>
      <c r="Q508" s="31">
        <f>_xll.qlInterestRateIndexValueDate(Index,P508,Trigger)</f>
        <v>44245</v>
      </c>
      <c r="R508" s="31">
        <f>_xll.qlInterestRateIndexMaturity(Index,Q508,Trigger)</f>
        <v>44334</v>
      </c>
      <c r="S508" s="32">
        <f>_xll.qlDayCounterYearFraction(DayCounter,Q508,R508,,,Trigger)</f>
        <v>0.24722222222222223</v>
      </c>
      <c r="T508" s="33">
        <f>_xll.qlIndexFixing(Index,P508,,AllTriggers)</f>
        <v>1.0687358412646937E-2</v>
      </c>
      <c r="U508" s="34">
        <f>_xll.qlYieldTSDiscount(OisCurve,Q508,,AllTriggers)</f>
        <v>0.98514437140473532</v>
      </c>
      <c r="V508" s="34">
        <f>_xll.qlYieldTSDiscount(OisCurve,R508,,AllTriggers)</f>
        <v>0.98291925378804557</v>
      </c>
      <c r="W508" s="33">
        <f t="shared" si="41"/>
        <v>9.1568821327037142E-3</v>
      </c>
      <c r="X508" s="35">
        <f t="shared" si="42"/>
        <v>3.7744189834416984E-4</v>
      </c>
      <c r="Y508" s="33">
        <f t="shared" si="43"/>
        <v>1.5304762799432225E-3</v>
      </c>
      <c r="Z508" s="54"/>
    </row>
    <row r="509" spans="15:26" x14ac:dyDescent="0.25">
      <c r="O509" s="37" t="s">
        <v>31</v>
      </c>
      <c r="P509" s="31">
        <f>_xll.qlCalendarAdvance(Calendar,P508,O508,"f",,Trigger)</f>
        <v>44250</v>
      </c>
      <c r="Q509" s="31">
        <f>_xll.qlInterestRateIndexValueDate(Index,P509,Trigger)</f>
        <v>44252</v>
      </c>
      <c r="R509" s="31">
        <f>_xll.qlInterestRateIndexMaturity(Index,Q509,Trigger)</f>
        <v>44341</v>
      </c>
      <c r="S509" s="32">
        <f>_xll.qlDayCounterYearFraction(DayCounter,Q509,R509,,,Trigger)</f>
        <v>0.24722222222222223</v>
      </c>
      <c r="T509" s="33">
        <f>_xll.qlIndexFixing(Index,P509,,AllTriggers)</f>
        <v>1.0734209102587563E-2</v>
      </c>
      <c r="U509" s="34">
        <f>_xll.qlYieldTSDiscount(OisCurve,Q509,,AllTriggers)</f>
        <v>0.98497484399825497</v>
      </c>
      <c r="V509" s="34">
        <f>_xll.qlYieldTSDiscount(OisCurve,R509,,AllTriggers)</f>
        <v>0.98273772697089012</v>
      </c>
      <c r="W509" s="33">
        <f t="shared" si="41"/>
        <v>9.2079630674711289E-3</v>
      </c>
      <c r="X509" s="35">
        <f t="shared" si="42"/>
        <v>3.7639410157802486E-4</v>
      </c>
      <c r="Y509" s="33">
        <f t="shared" si="43"/>
        <v>1.5262460351164343E-3</v>
      </c>
      <c r="Z509" s="54"/>
    </row>
    <row r="510" spans="15:26" x14ac:dyDescent="0.25">
      <c r="O510" s="37" t="s">
        <v>31</v>
      </c>
      <c r="P510" s="31">
        <f>_xll.qlCalendarAdvance(Calendar,P509,O509,"f",,Trigger)</f>
        <v>44257</v>
      </c>
      <c r="Q510" s="31">
        <f>_xll.qlInterestRateIndexValueDate(Index,P510,Trigger)</f>
        <v>44259</v>
      </c>
      <c r="R510" s="31">
        <f>_xll.qlInterestRateIndexMaturity(Index,Q510,Trigger)</f>
        <v>44351</v>
      </c>
      <c r="S510" s="32">
        <f>_xll.qlDayCounterYearFraction(DayCounter,Q510,R510,,,Trigger)</f>
        <v>0.25555555555555554</v>
      </c>
      <c r="T510" s="33">
        <f>_xll.qlIndexFixing(Index,P510,,AllTriggers)</f>
        <v>1.0791753264381639E-2</v>
      </c>
      <c r="U510" s="34">
        <f>_xll.qlYieldTSDiscount(OisCurve,Q510,,AllTriggers)</f>
        <v>0.98480439532508879</v>
      </c>
      <c r="V510" s="34">
        <f>_xll.qlYieldTSDiscount(OisCurve,R510,,AllTriggers)</f>
        <v>0.98247677034925651</v>
      </c>
      <c r="W510" s="33">
        <f t="shared" si="41"/>
        <v>9.2705476672796105E-3</v>
      </c>
      <c r="X510" s="35">
        <f t="shared" si="42"/>
        <v>3.877585210903423E-4</v>
      </c>
      <c r="Y510" s="33">
        <f t="shared" si="43"/>
        <v>1.5212055971020287E-3</v>
      </c>
      <c r="Z510" s="54"/>
    </row>
    <row r="511" spans="15:26" x14ac:dyDescent="0.25">
      <c r="O511" s="37" t="s">
        <v>31</v>
      </c>
      <c r="P511" s="31">
        <f>_xll.qlCalendarAdvance(Calendar,P510,O510,"f",,Trigger)</f>
        <v>44264</v>
      </c>
      <c r="Q511" s="31">
        <f>_xll.qlInterestRateIndexValueDate(Index,P511,Trigger)</f>
        <v>44266</v>
      </c>
      <c r="R511" s="31">
        <f>_xll.qlInterestRateIndexMaturity(Index,Q511,Trigger)</f>
        <v>44358</v>
      </c>
      <c r="S511" s="32">
        <f>_xll.qlDayCounterYearFraction(DayCounter,Q511,R511,,,Trigger)</f>
        <v>0.25555555555555554</v>
      </c>
      <c r="T511" s="33">
        <f>_xll.qlIndexFixing(Index,P511,,AllTriggers)</f>
        <v>1.0838733819287143E-2</v>
      </c>
      <c r="U511" s="34">
        <f>_xll.qlYieldTSDiscount(OisCurve,Q511,,AllTriggers)</f>
        <v>0.98463302125328578</v>
      </c>
      <c r="V511" s="34">
        <f>_xll.qlYieldTSDiscount(OisCurve,R511,,AllTriggers)</f>
        <v>0.98229297215572009</v>
      </c>
      <c r="W511" s="33">
        <f t="shared" si="41"/>
        <v>9.3217747857285305E-3</v>
      </c>
      <c r="X511" s="35">
        <f t="shared" si="42"/>
        <v>3.8667122320622618E-4</v>
      </c>
      <c r="Y511" s="33">
        <f t="shared" si="43"/>
        <v>1.5169590335586125E-3</v>
      </c>
      <c r="Z511" s="54"/>
    </row>
    <row r="512" spans="15:26" x14ac:dyDescent="0.25">
      <c r="O512" s="37" t="s">
        <v>31</v>
      </c>
      <c r="P512" s="31">
        <f>_xll.qlCalendarAdvance(Calendar,P511,O511,"f",,Trigger)</f>
        <v>44271</v>
      </c>
      <c r="Q512" s="31">
        <f>_xll.qlInterestRateIndexValueDate(Index,P512,Trigger)</f>
        <v>44273</v>
      </c>
      <c r="R512" s="31">
        <f>_xll.qlInterestRateIndexMaturity(Index,Q512,Trigger)</f>
        <v>44365</v>
      </c>
      <c r="S512" s="32">
        <f>_xll.qlDayCounterYearFraction(DayCounter,Q512,R512,,,Trigger)</f>
        <v>0.25555555555555554</v>
      </c>
      <c r="T512" s="33">
        <f>_xll.qlIndexFixing(Index,P512,,AllTriggers)</f>
        <v>1.0885704646745972E-2</v>
      </c>
      <c r="U512" s="34">
        <f>_xll.qlYieldTSDiscount(OisCurve,Q512,,AllTriggers)</f>
        <v>0.98446071765670984</v>
      </c>
      <c r="V512" s="34">
        <f>_xll.qlYieldTSDiscount(OisCurve,R512,,AllTriggers)</f>
        <v>0.9821082562984963</v>
      </c>
      <c r="W512" s="33">
        <f t="shared" si="41"/>
        <v>9.372982577615362E-3</v>
      </c>
      <c r="X512" s="35">
        <f t="shared" si="42"/>
        <v>3.8558640074159344E-4</v>
      </c>
      <c r="Y512" s="33">
        <f t="shared" si="43"/>
        <v>1.5127220691306103E-3</v>
      </c>
      <c r="Z512" s="54"/>
    </row>
    <row r="513" spans="15:26" x14ac:dyDescent="0.25">
      <c r="O513" s="37" t="s">
        <v>31</v>
      </c>
      <c r="P513" s="31">
        <f>_xll.qlCalendarAdvance(Calendar,P512,O512,"f",,Trigger)</f>
        <v>44278</v>
      </c>
      <c r="Q513" s="31">
        <f>_xll.qlInterestRateIndexValueDate(Index,P513,Trigger)</f>
        <v>44280</v>
      </c>
      <c r="R513" s="31">
        <f>_xll.qlInterestRateIndexMaturity(Index,Q513,Trigger)</f>
        <v>44372</v>
      </c>
      <c r="S513" s="32">
        <f>_xll.qlDayCounterYearFraction(DayCounter,Q513,R513,,,Trigger)</f>
        <v>0.25555555555555554</v>
      </c>
      <c r="T513" s="33">
        <f>_xll.qlIndexFixing(Index,P513,,AllTriggers)</f>
        <v>1.0932620170554448E-2</v>
      </c>
      <c r="U513" s="34">
        <f>_xll.qlYieldTSDiscount(OisCurve,Q513,,AllTriggers)</f>
        <v>0.98428748041508074</v>
      </c>
      <c r="V513" s="34">
        <f>_xll.qlYieldTSDiscount(OisCurve,R513,,AllTriggers)</f>
        <v>0.98192263304252347</v>
      </c>
      <c r="W513" s="33">
        <f t="shared" si="41"/>
        <v>9.4241137507899506E-3</v>
      </c>
      <c r="X513" s="35">
        <f t="shared" si="42"/>
        <v>3.8450704494002834E-4</v>
      </c>
      <c r="Y513" s="33">
        <f t="shared" si="43"/>
        <v>1.5085064197644972E-3</v>
      </c>
      <c r="Z513" s="54"/>
    </row>
    <row r="514" spans="15:26" x14ac:dyDescent="0.25">
      <c r="O514" s="37" t="s">
        <v>31</v>
      </c>
      <c r="P514" s="31">
        <f>_xll.qlCalendarAdvance(Calendar,P513,O513,"f",,Trigger)</f>
        <v>44285</v>
      </c>
      <c r="Q514" s="31">
        <f>_xll.qlInterestRateIndexValueDate(Index,P514,Trigger)</f>
        <v>44287</v>
      </c>
      <c r="R514" s="31">
        <f>_xll.qlInterestRateIndexMaturity(Index,Q514,Trigger)</f>
        <v>44378</v>
      </c>
      <c r="S514" s="32">
        <f>_xll.qlDayCounterYearFraction(DayCounter,Q514,R514,,,Trigger)</f>
        <v>0.25277777777777777</v>
      </c>
      <c r="T514" s="33">
        <f>_xll.qlIndexFixing(Index,P514,,AllTriggers)</f>
        <v>1.0975953709251552E-2</v>
      </c>
      <c r="U514" s="34">
        <f>_xll.qlYieldTSDiscount(OisCurve,Q514,,AllTriggers)</f>
        <v>0.98411330541401598</v>
      </c>
      <c r="V514" s="34">
        <f>_xll.qlYieldTSDiscount(OisCurve,R514,,AllTriggers)</f>
        <v>0.98176281295669066</v>
      </c>
      <c r="W514" s="33">
        <f t="shared" si="41"/>
        <v>9.4713828603111647E-3</v>
      </c>
      <c r="X514" s="35">
        <f t="shared" si="42"/>
        <v>3.7934174127671156E-4</v>
      </c>
      <c r="Y514" s="33">
        <f t="shared" si="43"/>
        <v>1.504570848940387E-3</v>
      </c>
      <c r="Z514" s="54"/>
    </row>
    <row r="515" spans="15:26" x14ac:dyDescent="0.25">
      <c r="O515" s="37" t="s">
        <v>31</v>
      </c>
      <c r="P515" s="31">
        <f>_xll.qlCalendarAdvance(Calendar,P514,O514,"f",,Trigger)</f>
        <v>44292</v>
      </c>
      <c r="Q515" s="31">
        <f>_xll.qlInterestRateIndexValueDate(Index,P515,Trigger)</f>
        <v>44294</v>
      </c>
      <c r="R515" s="31">
        <f>_xll.qlInterestRateIndexMaturity(Index,Q515,Trigger)</f>
        <v>44385</v>
      </c>
      <c r="S515" s="32">
        <f>_xll.qlDayCounterYearFraction(DayCounter,Q515,R515,,,Trigger)</f>
        <v>0.25277777777777777</v>
      </c>
      <c r="T515" s="33">
        <f>_xll.qlIndexFixing(Index,P515,,AllTriggers)</f>
        <v>1.1022642602137016E-2</v>
      </c>
      <c r="U515" s="34">
        <f>_xll.qlYieldTSDiscount(OisCurve,Q515,,AllTriggers)</f>
        <v>0.98393818854507165</v>
      </c>
      <c r="V515" s="34">
        <f>_xll.qlYieldTSDiscount(OisCurve,R515,,AllTriggers)</f>
        <v>0.98157553174858081</v>
      </c>
      <c r="W515" s="33">
        <f t="shared" si="41"/>
        <v>9.5222159045808812E-3</v>
      </c>
      <c r="X515" s="35">
        <f t="shared" si="42"/>
        <v>3.7829224138839014E-4</v>
      </c>
      <c r="Y515" s="33">
        <f t="shared" si="43"/>
        <v>1.5004266975561353E-3</v>
      </c>
      <c r="Z515" s="54"/>
    </row>
    <row r="516" spans="15:26" x14ac:dyDescent="0.25">
      <c r="O516" s="37" t="s">
        <v>31</v>
      </c>
      <c r="P516" s="31">
        <f>_xll.qlCalendarAdvance(Calendar,P515,O515,"f",,Trigger)</f>
        <v>44299</v>
      </c>
      <c r="Q516" s="31">
        <f>_xll.qlInterestRateIndexValueDate(Index,P516,Trigger)</f>
        <v>44301</v>
      </c>
      <c r="R516" s="31">
        <f>_xll.qlInterestRateIndexMaturity(Index,Q516,Trigger)</f>
        <v>44392</v>
      </c>
      <c r="S516" s="32">
        <f>_xll.qlDayCounterYearFraction(DayCounter,Q516,R516,,,Trigger)</f>
        <v>0.25277777777777777</v>
      </c>
      <c r="T516" s="33">
        <f>_xll.qlIndexFixing(Index,P516,,AllTriggers)</f>
        <v>1.1069141739815769E-2</v>
      </c>
      <c r="U516" s="34">
        <f>_xll.qlYieldTSDiscount(OisCurve,Q516,,AllTriggers)</f>
        <v>0.98376212570578425</v>
      </c>
      <c r="V516" s="34">
        <f>_xll.qlYieldTSDiscount(OisCurve,R516,,AllTriggers)</f>
        <v>0.98138737244319152</v>
      </c>
      <c r="W516" s="33">
        <f t="shared" ref="W516:W579" si="44">(U516/V516-1)/S516</f>
        <v>9.5728033143400657E-3</v>
      </c>
      <c r="X516" s="35">
        <f t="shared" ref="X516:X579" si="45">LN((1+T516*S516)/(1+W516*S516))</f>
        <v>3.772568763010271E-4</v>
      </c>
      <c r="Y516" s="33">
        <f t="shared" ref="Y516:Y579" si="46">T516-W516</f>
        <v>1.4963384254757031E-3</v>
      </c>
      <c r="Z516" s="54"/>
    </row>
    <row r="517" spans="15:26" x14ac:dyDescent="0.25">
      <c r="O517" s="37" t="s">
        <v>31</v>
      </c>
      <c r="P517" s="31">
        <f>_xll.qlCalendarAdvance(Calendar,P516,O516,"f",,Trigger)</f>
        <v>44306</v>
      </c>
      <c r="Q517" s="31">
        <f>_xll.qlInterestRateIndexValueDate(Index,P517,Trigger)</f>
        <v>44308</v>
      </c>
      <c r="R517" s="31">
        <f>_xll.qlInterestRateIndexMaturity(Index,Q517,Trigger)</f>
        <v>44399</v>
      </c>
      <c r="S517" s="32">
        <f>_xll.qlDayCounterYearFraction(DayCounter,Q517,R517,,,Trigger)</f>
        <v>0.25277777777777777</v>
      </c>
      <c r="T517" s="33">
        <f>_xll.qlIndexFixing(Index,P517,,AllTriggers)</f>
        <v>1.111540503820181E-2</v>
      </c>
      <c r="U517" s="34">
        <f>_xll.qlYieldTSDiscount(OisCurve,Q517,,AllTriggers)</f>
        <v>0.98358511279971272</v>
      </c>
      <c r="V517" s="34">
        <f>_xll.qlYieldTSDiscount(OisCurve,R517,,AllTriggers)</f>
        <v>0.98119834528632821</v>
      </c>
      <c r="W517" s="33">
        <f t="shared" si="44"/>
        <v>9.6230871578282286E-3</v>
      </c>
      <c r="X517" s="35">
        <f t="shared" si="45"/>
        <v>3.7623863725841394E-4</v>
      </c>
      <c r="Y517" s="33">
        <f t="shared" si="46"/>
        <v>1.4923178803735813E-3</v>
      </c>
      <c r="Z517" s="54"/>
    </row>
    <row r="518" spans="15:26" x14ac:dyDescent="0.25">
      <c r="O518" s="37" t="s">
        <v>31</v>
      </c>
      <c r="P518" s="31">
        <f>_xll.qlCalendarAdvance(Calendar,P517,O517,"f",,Trigger)</f>
        <v>44313</v>
      </c>
      <c r="Q518" s="31">
        <f>_xll.qlInterestRateIndexValueDate(Index,P518,Trigger)</f>
        <v>44315</v>
      </c>
      <c r="R518" s="31">
        <f>_xll.qlInterestRateIndexMaturity(Index,Q518,Trigger)</f>
        <v>44406</v>
      </c>
      <c r="S518" s="32">
        <f>_xll.qlDayCounterYearFraction(DayCounter,Q518,R518,,,Trigger)</f>
        <v>0.25277777777777777</v>
      </c>
      <c r="T518" s="33">
        <f>_xll.qlIndexFixing(Index,P518,,AllTriggers)</f>
        <v>1.1161386411095668E-2</v>
      </c>
      <c r="U518" s="34">
        <f>_xll.qlYieldTSDiscount(OisCurve,Q518,,AllTriggers)</f>
        <v>0.98340714573648014</v>
      </c>
      <c r="V518" s="34">
        <f>_xll.qlYieldTSDiscount(OisCurve,R518,,AllTriggers)</f>
        <v>0.98100846051861834</v>
      </c>
      <c r="W518" s="33">
        <f t="shared" si="44"/>
        <v>9.6730095004045474E-3</v>
      </c>
      <c r="X518" s="35">
        <f t="shared" si="45"/>
        <v>3.7524051550441882E-4</v>
      </c>
      <c r="Y518" s="33">
        <f t="shared" si="46"/>
        <v>1.4883769106911211E-3</v>
      </c>
      <c r="Z518" s="54"/>
    </row>
    <row r="519" spans="15:26" x14ac:dyDescent="0.25">
      <c r="O519" s="37" t="s">
        <v>31</v>
      </c>
      <c r="P519" s="31">
        <f>_xll.qlCalendarAdvance(Calendar,P518,O518,"f",,Trigger)</f>
        <v>44320</v>
      </c>
      <c r="Q519" s="31">
        <f>_xll.qlInterestRateIndexValueDate(Index,P519,Trigger)</f>
        <v>44322</v>
      </c>
      <c r="R519" s="31">
        <f>_xll.qlInterestRateIndexMaturity(Index,Q519,Trigger)</f>
        <v>44414</v>
      </c>
      <c r="S519" s="32">
        <f>_xll.qlDayCounterYearFraction(DayCounter,Q519,R519,,,Trigger)</f>
        <v>0.25555555555555554</v>
      </c>
      <c r="T519" s="33">
        <f>_xll.qlIndexFixing(Index,P519,,AllTriggers)</f>
        <v>1.1210399396535604E-2</v>
      </c>
      <c r="U519" s="34">
        <f>_xll.qlYieldTSDiscount(OisCurve,Q519,,AllTriggers)</f>
        <v>0.98322822043181535</v>
      </c>
      <c r="V519" s="34">
        <f>_xll.qlYieldTSDiscount(OisCurve,R519,,AllTriggers)</f>
        <v>0.98079041234945474</v>
      </c>
      <c r="W519" s="33">
        <f t="shared" si="44"/>
        <v>9.726083063028676E-3</v>
      </c>
      <c r="X519" s="35">
        <f t="shared" si="45"/>
        <v>3.7831321972011761E-4</v>
      </c>
      <c r="Y519" s="33">
        <f t="shared" si="46"/>
        <v>1.4843163335069281E-3</v>
      </c>
      <c r="Z519" s="54"/>
    </row>
    <row r="520" spans="15:26" x14ac:dyDescent="0.25">
      <c r="O520" s="37" t="s">
        <v>31</v>
      </c>
      <c r="P520" s="31">
        <f>_xll.qlCalendarAdvance(Calendar,P519,O519,"f",,Trigger)</f>
        <v>44327</v>
      </c>
      <c r="Q520" s="31">
        <f>_xll.qlInterestRateIndexValueDate(Index,P520,Trigger)</f>
        <v>44329</v>
      </c>
      <c r="R520" s="31">
        <f>_xll.qlInterestRateIndexMaturity(Index,Q520,Trigger)</f>
        <v>44421</v>
      </c>
      <c r="S520" s="32">
        <f>_xll.qlDayCounterYearFraction(DayCounter,Q520,R520,,,Trigger)</f>
        <v>0.25555555555555554</v>
      </c>
      <c r="T520" s="33">
        <f>_xll.qlIndexFixing(Index,P520,,AllTriggers)</f>
        <v>1.1255652077944652E-2</v>
      </c>
      <c r="U520" s="34">
        <f>_xll.qlYieldTSDiscount(OisCurve,Q520,,AllTriggers)</f>
        <v>0.98304833299597116</v>
      </c>
      <c r="V520" s="34">
        <f>_xll.qlYieldTSDiscount(OisCurve,R520,,AllTriggers)</f>
        <v>0.98059872430335526</v>
      </c>
      <c r="W520" s="33">
        <f t="shared" si="44"/>
        <v>9.7750742290039893E-3</v>
      </c>
      <c r="X520" s="35">
        <f t="shared" si="45"/>
        <v>3.773558461471381E-4</v>
      </c>
      <c r="Y520" s="33">
        <f t="shared" si="46"/>
        <v>1.4805778489406628E-3</v>
      </c>
      <c r="Z520" s="54"/>
    </row>
    <row r="521" spans="15:26" x14ac:dyDescent="0.25">
      <c r="O521" s="37" t="s">
        <v>31</v>
      </c>
      <c r="P521" s="31">
        <f>_xll.qlCalendarAdvance(Calendar,P520,O520,"f",,Trigger)</f>
        <v>44334</v>
      </c>
      <c r="Q521" s="31">
        <f>_xll.qlInterestRateIndexValueDate(Index,P521,Trigger)</f>
        <v>44336</v>
      </c>
      <c r="R521" s="31">
        <f>_xll.qlInterestRateIndexMaturity(Index,Q521,Trigger)</f>
        <v>44428</v>
      </c>
      <c r="S521" s="32">
        <f>_xll.qlDayCounterYearFraction(DayCounter,Q521,R521,,,Trigger)</f>
        <v>0.25555555555555554</v>
      </c>
      <c r="T521" s="33">
        <f>_xll.qlIndexFixing(Index,P521,,AllTriggers)</f>
        <v>1.130050572090446E-2</v>
      </c>
      <c r="U521" s="34">
        <f>_xll.qlYieldTSDiscount(OisCurve,Q521,,AllTriggers)</f>
        <v>0.98286748576745786</v>
      </c>
      <c r="V521" s="34">
        <f>_xll.qlYieldTSDiscount(OisCurve,R521,,AllTriggers)</f>
        <v>0.98040621079654899</v>
      </c>
      <c r="W521" s="33">
        <f t="shared" si="44"/>
        <v>9.8235566717766107E-3</v>
      </c>
      <c r="X521" s="35">
        <f t="shared" si="45"/>
        <v>3.7642649420474843E-4</v>
      </c>
      <c r="Y521" s="33">
        <f t="shared" si="46"/>
        <v>1.4769490491278493E-3</v>
      </c>
      <c r="Z521" s="54"/>
    </row>
    <row r="522" spans="15:26" x14ac:dyDescent="0.25">
      <c r="O522" s="37" t="s">
        <v>31</v>
      </c>
      <c r="P522" s="31">
        <f>_xll.qlCalendarAdvance(Calendar,P521,O521,"f",,Trigger)</f>
        <v>44341</v>
      </c>
      <c r="Q522" s="31">
        <f>_xll.qlInterestRateIndexValueDate(Index,P522,Trigger)</f>
        <v>44343</v>
      </c>
      <c r="R522" s="31">
        <f>_xll.qlInterestRateIndexMaturity(Index,Q522,Trigger)</f>
        <v>44435</v>
      </c>
      <c r="S522" s="32">
        <f>_xll.qlDayCounterYearFraction(DayCounter,Q522,R522,,,Trigger)</f>
        <v>0.25555555555555554</v>
      </c>
      <c r="T522" s="33">
        <f>_xll.qlIndexFixing(Index,P522,,AllTriggers)</f>
        <v>1.1344958894244193E-2</v>
      </c>
      <c r="U522" s="34">
        <f>_xll.qlYieldTSDiscount(OisCurve,Q522,,AllTriggers)</f>
        <v>0.98268568858362115</v>
      </c>
      <c r="V522" s="34">
        <f>_xll.qlYieldTSDiscount(OisCurve,R522,,AllTriggers)</f>
        <v>0.98021288204728452</v>
      </c>
      <c r="W522" s="33">
        <f t="shared" si="44"/>
        <v>9.8715285906087157E-3</v>
      </c>
      <c r="X522" s="35">
        <f t="shared" si="45"/>
        <v>3.7552525691512387E-4</v>
      </c>
      <c r="Y522" s="33">
        <f t="shared" si="46"/>
        <v>1.4734303036354774E-3</v>
      </c>
      <c r="Z522" s="54"/>
    </row>
    <row r="523" spans="15:26" x14ac:dyDescent="0.25">
      <c r="O523" s="37" t="s">
        <v>31</v>
      </c>
      <c r="P523" s="31">
        <f>_xll.qlCalendarAdvance(Calendar,P522,O522,"f",,Trigger)</f>
        <v>44348</v>
      </c>
      <c r="Q523" s="31">
        <f>_xll.qlInterestRateIndexValueDate(Index,P523,Trigger)</f>
        <v>44350</v>
      </c>
      <c r="R523" s="31">
        <f>_xll.qlInterestRateIndexMaturity(Index,Q523,Trigger)</f>
        <v>44442</v>
      </c>
      <c r="S523" s="32">
        <f>_xll.qlDayCounterYearFraction(DayCounter,Q523,R523,,,Trigger)</f>
        <v>0.25555555555555554</v>
      </c>
      <c r="T523" s="33">
        <f>_xll.qlIndexFixing(Index,P523,,AllTriggers)</f>
        <v>1.138901158434605E-2</v>
      </c>
      <c r="U523" s="34">
        <f>_xll.qlYieldTSDiscount(OisCurve,Q523,,AllTriggers)</f>
        <v>0.98250295172396962</v>
      </c>
      <c r="V523" s="34">
        <f>_xll.qlYieldTSDiscount(OisCurve,R523,,AllTriggers)</f>
        <v>0.98001874826819091</v>
      </c>
      <c r="W523" s="33">
        <f t="shared" si="44"/>
        <v>9.9189899667587785E-3</v>
      </c>
      <c r="X523" s="35">
        <f t="shared" si="45"/>
        <v>3.746521342779245E-4</v>
      </c>
      <c r="Y523" s="33">
        <f t="shared" si="46"/>
        <v>1.4700216175872714E-3</v>
      </c>
      <c r="Z523" s="54"/>
    </row>
    <row r="524" spans="15:26" x14ac:dyDescent="0.25">
      <c r="O524" s="37" t="s">
        <v>31</v>
      </c>
      <c r="P524" s="31">
        <f>_xll.qlCalendarAdvance(Calendar,P523,O523,"f",,Trigger)</f>
        <v>44355</v>
      </c>
      <c r="Q524" s="31">
        <f>_xll.qlInterestRateIndexValueDate(Index,P524,Trigger)</f>
        <v>44357</v>
      </c>
      <c r="R524" s="31">
        <f>_xll.qlInterestRateIndexMaturity(Index,Q524,Trigger)</f>
        <v>44449</v>
      </c>
      <c r="S524" s="32">
        <f>_xll.qlDayCounterYearFraction(DayCounter,Q524,R524,,,Trigger)</f>
        <v>0.25555555555555554</v>
      </c>
      <c r="T524" s="33">
        <f>_xll.qlIndexFixing(Index,P524,,AllTriggers)</f>
        <v>1.1432663777711263E-2</v>
      </c>
      <c r="U524" s="34">
        <f>_xll.qlYieldTSDiscount(OisCurve,Q524,,AllTriggers)</f>
        <v>0.98231928546347724</v>
      </c>
      <c r="V524" s="34">
        <f>_xll.qlYieldTSDiscount(OisCurve,R524,,AllTriggers)</f>
        <v>0.97982381966619614</v>
      </c>
      <c r="W524" s="33">
        <f t="shared" si="44"/>
        <v>9.965940781680763E-3</v>
      </c>
      <c r="X524" s="35">
        <f t="shared" si="45"/>
        <v>3.7380712629376828E-4</v>
      </c>
      <c r="Y524" s="33">
        <f t="shared" si="46"/>
        <v>1.4667229960304996E-3</v>
      </c>
      <c r="Z524" s="54"/>
    </row>
    <row r="525" spans="15:26" x14ac:dyDescent="0.25">
      <c r="O525" s="37" t="s">
        <v>31</v>
      </c>
      <c r="P525" s="31">
        <f>_xll.qlCalendarAdvance(Calendar,P524,O524,"f",,Trigger)</f>
        <v>44362</v>
      </c>
      <c r="Q525" s="31">
        <f>_xll.qlInterestRateIndexValueDate(Index,P525,Trigger)</f>
        <v>44364</v>
      </c>
      <c r="R525" s="31">
        <f>_xll.qlInterestRateIndexMaturity(Index,Q525,Trigger)</f>
        <v>44456</v>
      </c>
      <c r="S525" s="32">
        <f>_xll.qlDayCounterYearFraction(DayCounter,Q525,R525,,,Trigger)</f>
        <v>0.25555555555555554</v>
      </c>
      <c r="T525" s="33">
        <f>_xll.qlIndexFixing(Index,P525,,AllTriggers)</f>
        <v>1.1475915460964445E-2</v>
      </c>
      <c r="U525" s="34">
        <f>_xll.qlYieldTSDiscount(OisCurve,Q525,,AllTriggers)</f>
        <v>0.9821347000724886</v>
      </c>
      <c r="V525" s="34">
        <f>_xll.qlYieldTSDiscount(OisCurve,R525,,AllTriggers)</f>
        <v>0.97962810644244469</v>
      </c>
      <c r="W525" s="33">
        <f t="shared" si="44"/>
        <v>1.0012381017030213E-2</v>
      </c>
      <c r="X525" s="35">
        <f t="shared" si="45"/>
        <v>3.7299023296201162E-4</v>
      </c>
      <c r="Y525" s="33">
        <f t="shared" si="46"/>
        <v>1.4635344439342321E-3</v>
      </c>
      <c r="Z525" s="54"/>
    </row>
    <row r="526" spans="15:26" x14ac:dyDescent="0.25">
      <c r="O526" s="37" t="s">
        <v>31</v>
      </c>
      <c r="P526" s="31">
        <f>_xll.qlCalendarAdvance(Calendar,P525,O525,"f",,Trigger)</f>
        <v>44369</v>
      </c>
      <c r="Q526" s="31">
        <f>_xll.qlInterestRateIndexValueDate(Index,P526,Trigger)</f>
        <v>44371</v>
      </c>
      <c r="R526" s="31">
        <f>_xll.qlInterestRateIndexMaturity(Index,Q526,Trigger)</f>
        <v>44463</v>
      </c>
      <c r="S526" s="32">
        <f>_xll.qlDayCounterYearFraction(DayCounter,Q526,R526,,,Trigger)</f>
        <v>0.25555555555555554</v>
      </c>
      <c r="T526" s="33">
        <f>_xll.qlIndexFixing(Index,P526,,AllTriggers)</f>
        <v>1.1518766620851849E-2</v>
      </c>
      <c r="U526" s="34">
        <f>_xll.qlYieldTSDiscount(OisCurve,Q526,,AllTriggers)</f>
        <v>0.98194920581662504</v>
      </c>
      <c r="V526" s="34">
        <f>_xll.qlYieldTSDiscount(OisCurve,R526,,AllTriggers)</f>
        <v>0.97943161879221807</v>
      </c>
      <c r="W526" s="33">
        <f t="shared" si="44"/>
        <v>1.0058310654661645E-2</v>
      </c>
      <c r="X526" s="35">
        <f t="shared" si="45"/>
        <v>3.7220145428252496E-4</v>
      </c>
      <c r="Y526" s="33">
        <f t="shared" si="46"/>
        <v>1.4604559661902036E-3</v>
      </c>
      <c r="Z526" s="54"/>
    </row>
    <row r="527" spans="15:26" x14ac:dyDescent="0.25">
      <c r="O527" s="37" t="s">
        <v>31</v>
      </c>
      <c r="P527" s="31">
        <f>_xll.qlCalendarAdvance(Calendar,P526,O526,"f",,Trigger)</f>
        <v>44376</v>
      </c>
      <c r="Q527" s="31">
        <f>_xll.qlInterestRateIndexValueDate(Index,P527,Trigger)</f>
        <v>44378</v>
      </c>
      <c r="R527" s="31">
        <f>_xll.qlInterestRateIndexMaturity(Index,Q527,Trigger)</f>
        <v>44470</v>
      </c>
      <c r="S527" s="32">
        <f>_xll.qlDayCounterYearFraction(DayCounter,Q527,R527,,,Trigger)</f>
        <v>0.25555555555555554</v>
      </c>
      <c r="T527" s="33">
        <f>_xll.qlIndexFixing(Index,P527,,AllTriggers)</f>
        <v>1.1561217244244845E-2</v>
      </c>
      <c r="U527" s="34">
        <f>_xll.qlYieldTSDiscount(OisCurve,Q527,,AllTriggers)</f>
        <v>0.98176281295669066</v>
      </c>
      <c r="V527" s="34">
        <f>_xll.qlYieldTSDiscount(OisCurve,R527,,AllTriggers)</f>
        <v>0.9792343669048551</v>
      </c>
      <c r="W527" s="33">
        <f t="shared" si="44"/>
        <v>1.0103729676626804E-2</v>
      </c>
      <c r="X527" s="35">
        <f t="shared" si="45"/>
        <v>3.7144079025635884E-4</v>
      </c>
      <c r="Y527" s="33">
        <f t="shared" si="46"/>
        <v>1.4574875676180415E-3</v>
      </c>
      <c r="Z527" s="54"/>
    </row>
    <row r="528" spans="15:26" x14ac:dyDescent="0.25">
      <c r="O528" s="37" t="s">
        <v>31</v>
      </c>
      <c r="P528" s="31">
        <f>_xll.qlCalendarAdvance(Calendar,P527,O527,"f",,Trigger)</f>
        <v>44383</v>
      </c>
      <c r="Q528" s="31">
        <f>_xll.qlInterestRateIndexValueDate(Index,P528,Trigger)</f>
        <v>44385</v>
      </c>
      <c r="R528" s="31">
        <f>_xll.qlInterestRateIndexMaturity(Index,Q528,Trigger)</f>
        <v>44477</v>
      </c>
      <c r="S528" s="32">
        <f>_xll.qlDayCounterYearFraction(DayCounter,Q528,R528,,,Trigger)</f>
        <v>0.25555555555555554</v>
      </c>
      <c r="T528" s="33">
        <f>_xll.qlIndexFixing(Index,P528,,AllTriggers)</f>
        <v>1.160326731813645E-2</v>
      </c>
      <c r="U528" s="34">
        <f>_xll.qlYieldTSDiscount(OisCurve,Q528,,AllTriggers)</f>
        <v>0.98157553174858081</v>
      </c>
      <c r="V528" s="34">
        <f>_xll.qlYieldTSDiscount(OisCurve,R528,,AllTriggers)</f>
        <v>0.97903636096367375</v>
      </c>
      <c r="W528" s="33">
        <f t="shared" si="44"/>
        <v>1.0148638065179889E-2</v>
      </c>
      <c r="X528" s="35">
        <f t="shared" si="45"/>
        <v>3.7070824088308001E-4</v>
      </c>
      <c r="Y528" s="33">
        <f t="shared" si="46"/>
        <v>1.4546292529565609E-3</v>
      </c>
      <c r="Z528" s="54"/>
    </row>
    <row r="529" spans="15:26" x14ac:dyDescent="0.25">
      <c r="O529" s="37" t="s">
        <v>31</v>
      </c>
      <c r="P529" s="31">
        <f>_xll.qlCalendarAdvance(Calendar,P528,O528,"f",,Trigger)</f>
        <v>44390</v>
      </c>
      <c r="Q529" s="31">
        <f>_xll.qlInterestRateIndexValueDate(Index,P529,Trigger)</f>
        <v>44392</v>
      </c>
      <c r="R529" s="31">
        <f>_xll.qlInterestRateIndexMaturity(Index,Q529,Trigger)</f>
        <v>44484</v>
      </c>
      <c r="S529" s="32">
        <f>_xll.qlDayCounterYearFraction(DayCounter,Q529,R529,,,Trigger)</f>
        <v>0.25555555555555554</v>
      </c>
      <c r="T529" s="33">
        <f>_xll.qlIndexFixing(Index,P529,,AllTriggers)</f>
        <v>1.1644916829639577E-2</v>
      </c>
      <c r="U529" s="34">
        <f>_xll.qlYieldTSDiscount(OisCurve,Q529,,AllTriggers)</f>
        <v>0.98138737244319152</v>
      </c>
      <c r="V529" s="34">
        <f>_xll.qlYieldTSDiscount(OisCurve,R529,,AllTriggers)</f>
        <v>0.97883761114589418</v>
      </c>
      <c r="W529" s="33">
        <f t="shared" si="44"/>
        <v>1.0193035802773195E-2</v>
      </c>
      <c r="X529" s="35">
        <f t="shared" si="45"/>
        <v>3.700038061618817E-4</v>
      </c>
      <c r="Y529" s="33">
        <f t="shared" si="46"/>
        <v>1.4518810268663827E-3</v>
      </c>
      <c r="Z529" s="54"/>
    </row>
    <row r="530" spans="15:26" x14ac:dyDescent="0.25">
      <c r="O530" s="37" t="s">
        <v>31</v>
      </c>
      <c r="P530" s="31">
        <f>_xll.qlCalendarAdvance(Calendar,P529,O529,"f",,Trigger)</f>
        <v>44397</v>
      </c>
      <c r="Q530" s="31">
        <f>_xll.qlInterestRateIndexValueDate(Index,P530,Trigger)</f>
        <v>44399</v>
      </c>
      <c r="R530" s="31">
        <f>_xll.qlInterestRateIndexMaturity(Index,Q530,Trigger)</f>
        <v>44491</v>
      </c>
      <c r="S530" s="32">
        <f>_xll.qlDayCounterYearFraction(DayCounter,Q530,R530,,,Trigger)</f>
        <v>0.25555555555555554</v>
      </c>
      <c r="T530" s="33">
        <f>_xll.qlIndexFixing(Index,P530,,AllTriggers)</f>
        <v>1.1686165765993134E-2</v>
      </c>
      <c r="U530" s="34">
        <f>_xll.qlYieldTSDiscount(OisCurve,Q530,,AllTriggers)</f>
        <v>0.98119834528632821</v>
      </c>
      <c r="V530" s="34">
        <f>_xll.qlYieldTSDiscount(OisCurve,R530,,AllTriggers)</f>
        <v>0.97863812762256208</v>
      </c>
      <c r="W530" s="33">
        <f t="shared" si="44"/>
        <v>1.023692287205886E-2</v>
      </c>
      <c r="X530" s="35">
        <f t="shared" si="45"/>
        <v>3.6932748609358105E-4</v>
      </c>
      <c r="Y530" s="33">
        <f t="shared" si="46"/>
        <v>1.4492428939342737E-3</v>
      </c>
      <c r="Z530" s="54"/>
    </row>
    <row r="531" spans="15:26" x14ac:dyDescent="0.25">
      <c r="O531" s="37" t="s">
        <v>31</v>
      </c>
      <c r="P531" s="31">
        <f>_xll.qlCalendarAdvance(Calendar,P530,O530,"f",,Trigger)</f>
        <v>44404</v>
      </c>
      <c r="Q531" s="31">
        <f>_xll.qlInterestRateIndexValueDate(Index,P531,Trigger)</f>
        <v>44406</v>
      </c>
      <c r="R531" s="31">
        <f>_xll.qlInterestRateIndexMaturity(Index,Q531,Trigger)</f>
        <v>44498</v>
      </c>
      <c r="S531" s="32">
        <f>_xll.qlDayCounterYearFraction(DayCounter,Q531,R531,,,Trigger)</f>
        <v>0.25555555555555554</v>
      </c>
      <c r="T531" s="33">
        <f>_xll.qlIndexFixing(Index,P531,,AllTriggers)</f>
        <v>1.1727014114558532E-2</v>
      </c>
      <c r="U531" s="34">
        <f>_xll.qlYieldTSDiscount(OisCurve,Q531,,AllTriggers)</f>
        <v>0.98100846051861834</v>
      </c>
      <c r="V531" s="34">
        <f>_xll.qlYieldTSDiscount(OisCurve,R531,,AllTriggers)</f>
        <v>0.97843792055847456</v>
      </c>
      <c r="W531" s="33">
        <f t="shared" si="44"/>
        <v>1.0280299255887993E-2</v>
      </c>
      <c r="X531" s="35">
        <f t="shared" si="45"/>
        <v>3.6867928067773356E-4</v>
      </c>
      <c r="Y531" s="33">
        <f t="shared" si="46"/>
        <v>1.4467148586705392E-3</v>
      </c>
      <c r="Z531" s="54"/>
    </row>
    <row r="532" spans="15:26" x14ac:dyDescent="0.25">
      <c r="O532" s="37" t="s">
        <v>31</v>
      </c>
      <c r="P532" s="31">
        <f>_xll.qlCalendarAdvance(Calendar,P531,O531,"f",,Trigger)</f>
        <v>44411</v>
      </c>
      <c r="Q532" s="31">
        <f>_xll.qlInterestRateIndexValueDate(Index,P532,Trigger)</f>
        <v>44413</v>
      </c>
      <c r="R532" s="31">
        <f>_xll.qlInterestRateIndexMaturity(Index,Q532,Trigger)</f>
        <v>44505</v>
      </c>
      <c r="S532" s="32">
        <f>_xll.qlDayCounterYearFraction(DayCounter,Q532,R532,,,Trigger)</f>
        <v>0.25555555555555554</v>
      </c>
      <c r="T532" s="33">
        <f>_xll.qlIndexFixing(Index,P532,,AllTriggers)</f>
        <v>1.1767461862817959E-2</v>
      </c>
      <c r="U532" s="34">
        <f>_xll.qlYieldTSDiscount(OisCurve,Q532,,AllTriggers)</f>
        <v>0.98081772837542236</v>
      </c>
      <c r="V532" s="34">
        <f>_xll.qlYieldTSDiscount(OisCurve,R532,,AllTriggers)</f>
        <v>0.97823700011210535</v>
      </c>
      <c r="W532" s="33">
        <f t="shared" si="44"/>
        <v>1.0323164937309805E-2</v>
      </c>
      <c r="X532" s="35">
        <f t="shared" si="45"/>
        <v>3.6805918991485279E-4</v>
      </c>
      <c r="Y532" s="33">
        <f t="shared" si="46"/>
        <v>1.4442969255081539E-3</v>
      </c>
      <c r="Z532" s="54"/>
    </row>
    <row r="533" spans="15:26" x14ac:dyDescent="0.25">
      <c r="O533" s="37" t="s">
        <v>31</v>
      </c>
      <c r="P533" s="31">
        <f>_xll.qlCalendarAdvance(Calendar,P532,O532,"f",,Trigger)</f>
        <v>44418</v>
      </c>
      <c r="Q533" s="31">
        <f>_xll.qlInterestRateIndexValueDate(Index,P533,Trigger)</f>
        <v>44420</v>
      </c>
      <c r="R533" s="31">
        <f>_xll.qlInterestRateIndexMaturity(Index,Q533,Trigger)</f>
        <v>44512</v>
      </c>
      <c r="S533" s="32">
        <f>_xll.qlDayCounterYearFraction(DayCounter,Q533,R533,,,Trigger)</f>
        <v>0.25555555555555554</v>
      </c>
      <c r="T533" s="33">
        <f>_xll.qlIndexFixing(Index,P533,,AllTriggers)</f>
        <v>1.1807508998376981E-2</v>
      </c>
      <c r="U533" s="34">
        <f>_xll.qlYieldTSDiscount(OisCurve,Q533,,AllTriggers)</f>
        <v>0.98062615908674766</v>
      </c>
      <c r="V533" s="34">
        <f>_xll.qlYieldTSDiscount(OisCurve,R533,,AllTriggers)</f>
        <v>0.97803537643553196</v>
      </c>
      <c r="W533" s="33">
        <f t="shared" si="44"/>
        <v>1.0365519899575088E-2</v>
      </c>
      <c r="X533" s="35">
        <f t="shared" si="45"/>
        <v>3.6746721380463471E-4</v>
      </c>
      <c r="Y533" s="33">
        <f t="shared" si="46"/>
        <v>1.4419890988018932E-3</v>
      </c>
      <c r="Z533" s="54"/>
    </row>
    <row r="534" spans="15:26" x14ac:dyDescent="0.25">
      <c r="O534" s="37" t="s">
        <v>31</v>
      </c>
      <c r="P534" s="31">
        <f>_xll.qlCalendarAdvance(Calendar,P533,O533,"f",,Trigger)</f>
        <v>44425</v>
      </c>
      <c r="Q534" s="31">
        <f>_xll.qlInterestRateIndexValueDate(Index,P534,Trigger)</f>
        <v>44427</v>
      </c>
      <c r="R534" s="31">
        <f>_xll.qlInterestRateIndexMaturity(Index,Q534,Trigger)</f>
        <v>44519</v>
      </c>
      <c r="S534" s="32">
        <f>_xll.qlDayCounterYearFraction(DayCounter,Q534,R534,,,Trigger)</f>
        <v>0.25555555555555554</v>
      </c>
      <c r="T534" s="33">
        <f>_xll.qlIndexFixing(Index,P534,,AllTriggers)</f>
        <v>1.1847155508964546E-2</v>
      </c>
      <c r="U534" s="34">
        <f>_xll.qlYieldTSDiscount(OisCurve,Q534,,AllTriggers)</f>
        <v>0.98043376287716244</v>
      </c>
      <c r="V534" s="34">
        <f>_xll.qlYieldTSDiscount(OisCurve,R534,,AllTriggers)</f>
        <v>0.97783305967436407</v>
      </c>
      <c r="W534" s="33">
        <f t="shared" si="44"/>
        <v>1.0407364126133601E-2</v>
      </c>
      <c r="X534" s="35">
        <f t="shared" si="45"/>
        <v>3.6690335234684546E-4</v>
      </c>
      <c r="Y534" s="33">
        <f t="shared" si="46"/>
        <v>1.4397913828309451E-3</v>
      </c>
      <c r="Z534" s="54"/>
    </row>
    <row r="535" spans="15:26" x14ac:dyDescent="0.25">
      <c r="O535" s="37" t="s">
        <v>31</v>
      </c>
      <c r="P535" s="31">
        <f>_xll.qlCalendarAdvance(Calendar,P534,O534,"f",,Trigger)</f>
        <v>44432</v>
      </c>
      <c r="Q535" s="31">
        <f>_xll.qlInterestRateIndexValueDate(Index,P535,Trigger)</f>
        <v>44434</v>
      </c>
      <c r="R535" s="31">
        <f>_xll.qlInterestRateIndexMaturity(Index,Q535,Trigger)</f>
        <v>44526</v>
      </c>
      <c r="S535" s="32">
        <f>_xll.qlDayCounterYearFraction(DayCounter,Q535,R535,,,Trigger)</f>
        <v>0.25555555555555554</v>
      </c>
      <c r="T535" s="33">
        <f>_xll.qlIndexFixing(Index,P535,,AllTriggers)</f>
        <v>1.1886401382431241E-2</v>
      </c>
      <c r="U535" s="34">
        <f>_xll.qlYieldTSDiscount(OisCurve,Q535,,AllTriggers)</f>
        <v>0.98024054996571119</v>
      </c>
      <c r="V535" s="34">
        <f>_xll.qlYieldTSDiscount(OisCurve,R535,,AllTriggers)</f>
        <v>0.97763005996767216</v>
      </c>
      <c r="W535" s="33">
        <f t="shared" si="44"/>
        <v>1.0448697600634074E-2</v>
      </c>
      <c r="X535" s="35">
        <f t="shared" si="45"/>
        <v>3.6636760554176548E-4</v>
      </c>
      <c r="Y535" s="33">
        <f t="shared" si="46"/>
        <v>1.4377037817971672E-3</v>
      </c>
      <c r="Z535" s="54"/>
    </row>
    <row r="536" spans="15:26" x14ac:dyDescent="0.25">
      <c r="O536" s="37" t="s">
        <v>31</v>
      </c>
      <c r="P536" s="31">
        <f>_xll.qlCalendarAdvance(Calendar,P535,O535,"f",,Trigger)</f>
        <v>44439</v>
      </c>
      <c r="Q536" s="31">
        <f>_xll.qlInterestRateIndexValueDate(Index,P536,Trigger)</f>
        <v>44441</v>
      </c>
      <c r="R536" s="31">
        <f>_xll.qlInterestRateIndexMaturity(Index,Q536,Trigger)</f>
        <v>44532</v>
      </c>
      <c r="S536" s="32">
        <f>_xll.qlDayCounterYearFraction(DayCounter,Q536,R536,,,Trigger)</f>
        <v>0.25277777777777777</v>
      </c>
      <c r="T536" s="33">
        <f>_xll.qlIndexFixing(Index,P536,,AllTriggers)</f>
        <v>1.1922350417688259E-2</v>
      </c>
      <c r="U536" s="34">
        <f>_xll.qlYieldTSDiscount(OisCurve,Q536,,AllTriggers)</f>
        <v>0.98004653056583113</v>
      </c>
      <c r="V536" s="34">
        <f>_xll.qlYieldTSDiscount(OisCurve,R536,,AllTriggers)</f>
        <v>0.97745552433095639</v>
      </c>
      <c r="W536" s="33">
        <f t="shared" si="44"/>
        <v>1.0486548288286083E-2</v>
      </c>
      <c r="X536" s="35">
        <f t="shared" si="45"/>
        <v>3.619138501942588E-4</v>
      </c>
      <c r="Y536" s="33">
        <f t="shared" si="46"/>
        <v>1.4358021294021764E-3</v>
      </c>
      <c r="Z536" s="54"/>
    </row>
    <row r="537" spans="15:26" x14ac:dyDescent="0.25">
      <c r="O537" s="37" t="s">
        <v>31</v>
      </c>
      <c r="P537" s="31">
        <f>_xll.qlCalendarAdvance(Calendar,P536,O536,"f",,Trigger)</f>
        <v>44446</v>
      </c>
      <c r="Q537" s="31">
        <f>_xll.qlInterestRateIndexValueDate(Index,P537,Trigger)</f>
        <v>44448</v>
      </c>
      <c r="R537" s="31">
        <f>_xll.qlInterestRateIndexMaturity(Index,Q537,Trigger)</f>
        <v>44539</v>
      </c>
      <c r="S537" s="32">
        <f>_xll.qlDayCounterYearFraction(DayCounter,Q537,R537,,,Trigger)</f>
        <v>0.25277777777777777</v>
      </c>
      <c r="T537" s="33">
        <f>_xll.qlIndexFixing(Index,P537,,AllTriggers)</f>
        <v>1.1960822326356282E-2</v>
      </c>
      <c r="U537" s="34">
        <f>_xll.qlYieldTSDiscount(OisCurve,Q537,,AllTriggers)</f>
        <v>0.97985171488526934</v>
      </c>
      <c r="V537" s="34">
        <f>_xll.qlYieldTSDiscount(OisCurve,R537,,AllTriggers)</f>
        <v>0.97725128317384491</v>
      </c>
      <c r="W537" s="33">
        <f t="shared" si="44"/>
        <v>1.0526895520336402E-2</v>
      </c>
      <c r="X537" s="35">
        <f t="shared" si="45"/>
        <v>3.6143755848030762E-4</v>
      </c>
      <c r="Y537" s="33">
        <f t="shared" si="46"/>
        <v>1.4339268060198796E-3</v>
      </c>
      <c r="Z537" s="54"/>
    </row>
    <row r="538" spans="15:26" x14ac:dyDescent="0.25">
      <c r="O538" s="37" t="s">
        <v>31</v>
      </c>
      <c r="P538" s="31">
        <f>_xll.qlCalendarAdvance(Calendar,P537,O537,"f",,Trigger)</f>
        <v>44453</v>
      </c>
      <c r="Q538" s="31">
        <f>_xll.qlInterestRateIndexValueDate(Index,P538,Trigger)</f>
        <v>44455</v>
      </c>
      <c r="R538" s="31">
        <f>_xll.qlInterestRateIndexMaturity(Index,Q538,Trigger)</f>
        <v>44546</v>
      </c>
      <c r="S538" s="32">
        <f>_xll.qlDayCounterYearFraction(DayCounter,Q538,R538,,,Trigger)</f>
        <v>0.25277777777777777</v>
      </c>
      <c r="T538" s="33">
        <f>_xll.qlIndexFixing(Index,P538,,AllTriggers)</f>
        <v>1.19988935722598E-2</v>
      </c>
      <c r="U538" s="34">
        <f>_xll.qlYieldTSDiscount(OisCurve,Q538,,AllTriggers)</f>
        <v>0.97965611312600176</v>
      </c>
      <c r="V538" s="34">
        <f>_xll.qlYieldTSDiscount(OisCurve,R538,,AllTriggers)</f>
        <v>0.97704638800333343</v>
      </c>
      <c r="W538" s="33">
        <f t="shared" si="44"/>
        <v>1.0566731964043233E-2</v>
      </c>
      <c r="X538" s="35">
        <f t="shared" si="45"/>
        <v>3.6098907582496088E-4</v>
      </c>
      <c r="Y538" s="33">
        <f t="shared" si="46"/>
        <v>1.4321616082165669E-3</v>
      </c>
      <c r="Z538" s="54"/>
    </row>
    <row r="539" spans="15:26" x14ac:dyDescent="0.25">
      <c r="O539" s="37" t="s">
        <v>31</v>
      </c>
      <c r="P539" s="31">
        <f>_xll.qlCalendarAdvance(Calendar,P538,O538,"f",,Trigger)</f>
        <v>44460</v>
      </c>
      <c r="Q539" s="31">
        <f>_xll.qlInterestRateIndexValueDate(Index,P539,Trigger)</f>
        <v>44462</v>
      </c>
      <c r="R539" s="31">
        <f>_xll.qlInterestRateIndexMaturity(Index,Q539,Trigger)</f>
        <v>44553</v>
      </c>
      <c r="S539" s="32">
        <f>_xll.qlDayCounterYearFraction(DayCounter,Q539,R539,,,Trigger)</f>
        <v>0.25277777777777777</v>
      </c>
      <c r="T539" s="33">
        <f>_xll.qlIndexFixing(Index,P539,,AllTriggers)</f>
        <v>1.2036564143859034E-2</v>
      </c>
      <c r="U539" s="34">
        <f>_xll.qlYieldTSDiscount(OisCurve,Q539,,AllTriggers)</f>
        <v>0.97945973548415233</v>
      </c>
      <c r="V539" s="34">
        <f>_xll.qlYieldTSDiscount(OisCurve,R539,,AllTriggers)</f>
        <v>0.97684084893262602</v>
      </c>
      <c r="W539" s="33">
        <f t="shared" si="44"/>
        <v>1.0606057604011416E-2</v>
      </c>
      <c r="X539" s="35">
        <f t="shared" si="45"/>
        <v>3.6056840222767832E-4</v>
      </c>
      <c r="Y539" s="33">
        <f t="shared" si="46"/>
        <v>1.4305065398476178E-3</v>
      </c>
      <c r="Z539" s="54"/>
    </row>
    <row r="540" spans="15:26" x14ac:dyDescent="0.25">
      <c r="O540" s="37" t="s">
        <v>31</v>
      </c>
      <c r="P540" s="31">
        <f>_xll.qlCalendarAdvance(Calendar,P539,O539,"f",,Trigger)</f>
        <v>44467</v>
      </c>
      <c r="Q540" s="31">
        <f>_xll.qlInterestRateIndexValueDate(Index,P540,Trigger)</f>
        <v>44469</v>
      </c>
      <c r="R540" s="31">
        <f>_xll.qlInterestRateIndexMaturity(Index,Q540,Trigger)</f>
        <v>44561</v>
      </c>
      <c r="S540" s="32">
        <f>_xll.qlDayCounterYearFraction(DayCounter,Q540,R540,,,Trigger)</f>
        <v>0.25555555555555554</v>
      </c>
      <c r="T540" s="33">
        <f>_xll.qlIndexFixing(Index,P540,,AllTriggers)</f>
        <v>1.2076620776342308E-2</v>
      </c>
      <c r="U540" s="34">
        <f>_xll.qlYieldTSDiscount(OisCurve,Q540,,AllTriggers)</f>
        <v>0.9792625921499134</v>
      </c>
      <c r="V540" s="34">
        <f>_xll.qlYieldTSDiscount(OisCurve,R540,,AllTriggers)</f>
        <v>0.97660517165239158</v>
      </c>
      <c r="W540" s="33">
        <f t="shared" si="44"/>
        <v>1.0647703133939436E-2</v>
      </c>
      <c r="X540" s="35">
        <f t="shared" si="45"/>
        <v>3.6411059130752796E-4</v>
      </c>
      <c r="Y540" s="33">
        <f t="shared" si="46"/>
        <v>1.4289176424028723E-3</v>
      </c>
      <c r="Z540" s="54"/>
    </row>
    <row r="541" spans="15:26" x14ac:dyDescent="0.25">
      <c r="O541" s="37" t="s">
        <v>31</v>
      </c>
      <c r="P541" s="31">
        <f>_xll.qlCalendarAdvance(Calendar,P540,O540,"f",,Trigger)</f>
        <v>44474</v>
      </c>
      <c r="Q541" s="31">
        <f>_xll.qlInterestRateIndexValueDate(Index,P541,Trigger)</f>
        <v>44476</v>
      </c>
      <c r="R541" s="31">
        <f>_xll.qlInterestRateIndexMaturity(Index,Q541,Trigger)</f>
        <v>44568</v>
      </c>
      <c r="S541" s="32">
        <f>_xll.qlDayCounterYearFraction(DayCounter,Q541,R541,,,Trigger)</f>
        <v>0.25555555555555554</v>
      </c>
      <c r="T541" s="33">
        <f>_xll.qlIndexFixing(Index,P541,,AllTriggers)</f>
        <v>1.2113462578832796E-2</v>
      </c>
      <c r="U541" s="34">
        <f>_xll.qlYieldTSDiscount(OisCurve,Q541,,AllTriggers)</f>
        <v>0.97906469330746793</v>
      </c>
      <c r="V541" s="34">
        <f>_xll.qlYieldTSDiscount(OisCurve,R541,,AllTriggers)</f>
        <v>0.9763982868181933</v>
      </c>
      <c r="W541" s="33">
        <f t="shared" si="44"/>
        <v>1.0685971763888719E-2</v>
      </c>
      <c r="X541" s="35">
        <f t="shared" si="45"/>
        <v>3.6374353241875831E-4</v>
      </c>
      <c r="Y541" s="33">
        <f t="shared" si="46"/>
        <v>1.4274908149440775E-3</v>
      </c>
      <c r="Z541" s="54"/>
    </row>
    <row r="542" spans="15:26" x14ac:dyDescent="0.25">
      <c r="O542" s="37" t="s">
        <v>31</v>
      </c>
      <c r="P542" s="31">
        <f>_xll.qlCalendarAdvance(Calendar,P541,O541,"f",,Trigger)</f>
        <v>44481</v>
      </c>
      <c r="Q542" s="31">
        <f>_xll.qlInterestRateIndexValueDate(Index,P542,Trigger)</f>
        <v>44483</v>
      </c>
      <c r="R542" s="31">
        <f>_xll.qlInterestRateIndexMaturity(Index,Q542,Trigger)</f>
        <v>44575</v>
      </c>
      <c r="S542" s="32">
        <f>_xll.qlDayCounterYearFraction(DayCounter,Q542,R542,,,Trigger)</f>
        <v>0.25555555555555554</v>
      </c>
      <c r="T542" s="33">
        <f>_xll.qlIndexFixing(Index,P542,,AllTriggers)</f>
        <v>1.2149903662596389E-2</v>
      </c>
      <c r="U542" s="34">
        <f>_xll.qlYieldTSDiscount(OisCurve,Q542,,AllTriggers)</f>
        <v>0.97886604913491182</v>
      </c>
      <c r="V542" s="34">
        <f>_xll.qlYieldTSDiscount(OisCurve,R542,,AllTriggers)</f>
        <v>0.97619078982314145</v>
      </c>
      <c r="W542" s="33">
        <f t="shared" si="44"/>
        <v>1.0723729532908788E-2</v>
      </c>
      <c r="X542" s="35">
        <f t="shared" si="45"/>
        <v>3.6340458818241017E-4</v>
      </c>
      <c r="Y542" s="33">
        <f t="shared" si="46"/>
        <v>1.4261741296876015E-3</v>
      </c>
      <c r="Z542" s="54"/>
    </row>
    <row r="543" spans="15:26" x14ac:dyDescent="0.25">
      <c r="O543" s="37" t="s">
        <v>31</v>
      </c>
      <c r="P543" s="31">
        <f>_xll.qlCalendarAdvance(Calendar,P542,O542,"f",,Trigger)</f>
        <v>44488</v>
      </c>
      <c r="Q543" s="31">
        <f>_xll.qlInterestRateIndexValueDate(Index,P543,Trigger)</f>
        <v>44490</v>
      </c>
      <c r="R543" s="31">
        <f>_xll.qlInterestRateIndexMaturity(Index,Q543,Trigger)</f>
        <v>44582</v>
      </c>
      <c r="S543" s="32">
        <f>_xll.qlDayCounterYearFraction(DayCounter,Q543,R543,,,Trigger)</f>
        <v>0.25555555555555554</v>
      </c>
      <c r="T543" s="33">
        <f>_xll.qlIndexFixing(Index,P543,,AllTriggers)</f>
        <v>1.2185944016466367E-2</v>
      </c>
      <c r="U543" s="34">
        <f>_xll.qlYieldTSDiscount(OisCurve,Q543,,AllTriggers)</f>
        <v>0.9786666698041776</v>
      </c>
      <c r="V543" s="34">
        <f>_xll.qlYieldTSDiscount(OisCurve,R543,,AllTriggers)</f>
        <v>0.97598269075156907</v>
      </c>
      <c r="W543" s="33">
        <f t="shared" si="44"/>
        <v>1.0760976426242757E-2</v>
      </c>
      <c r="X543" s="35">
        <f t="shared" si="45"/>
        <v>3.6309375859888205E-4</v>
      </c>
      <c r="Y543" s="33">
        <f t="shared" si="46"/>
        <v>1.4249675902236105E-3</v>
      </c>
      <c r="Z543" s="54"/>
    </row>
    <row r="544" spans="15:26" x14ac:dyDescent="0.25">
      <c r="O544" s="37" t="s">
        <v>31</v>
      </c>
      <c r="P544" s="31">
        <f>_xll.qlCalendarAdvance(Calendar,P543,O543,"f",,Trigger)</f>
        <v>44495</v>
      </c>
      <c r="Q544" s="31">
        <f>_xll.qlInterestRateIndexValueDate(Index,P544,Trigger)</f>
        <v>44497</v>
      </c>
      <c r="R544" s="31">
        <f>_xll.qlInterestRateIndexMaturity(Index,Q544,Trigger)</f>
        <v>44589</v>
      </c>
      <c r="S544" s="32">
        <f>_xll.qlDayCounterYearFraction(DayCounter,Q544,R544,,,Trigger)</f>
        <v>0.25555555555555554</v>
      </c>
      <c r="T544" s="33">
        <f>_xll.qlIndexFixing(Index,P544,,AllTriggers)</f>
        <v>1.222158362939765E-2</v>
      </c>
      <c r="U544" s="34">
        <f>_xll.qlYieldTSDiscount(OisCurve,Q544,,AllTriggers)</f>
        <v>0.97846656548095956</v>
      </c>
      <c r="V544" s="34">
        <f>_xll.qlYieldTSDiscount(OisCurve,R544,,AllTriggers)</f>
        <v>0.97577399968067924</v>
      </c>
      <c r="W544" s="33">
        <f t="shared" si="44"/>
        <v>1.0797712429336177E-2</v>
      </c>
      <c r="X544" s="35">
        <f t="shared" si="45"/>
        <v>3.6281104366819882E-4</v>
      </c>
      <c r="Y544" s="33">
        <f t="shared" si="46"/>
        <v>1.4238712000614728E-3</v>
      </c>
      <c r="Z544" s="54"/>
    </row>
    <row r="545" spans="15:26" x14ac:dyDescent="0.25">
      <c r="O545" s="37" t="s">
        <v>31</v>
      </c>
      <c r="P545" s="31">
        <f>_xll.qlCalendarAdvance(Calendar,P544,O544,"f",,Trigger)</f>
        <v>44502</v>
      </c>
      <c r="Q545" s="31">
        <f>_xll.qlInterestRateIndexValueDate(Index,P545,Trigger)</f>
        <v>44504</v>
      </c>
      <c r="R545" s="31">
        <f>_xll.qlInterestRateIndexMaturity(Index,Q545,Trigger)</f>
        <v>44596</v>
      </c>
      <c r="S545" s="32">
        <f>_xll.qlDayCounterYearFraction(DayCounter,Q545,R545,,,Trigger)</f>
        <v>0.25555555555555554</v>
      </c>
      <c r="T545" s="33">
        <f>_xll.qlIndexFixing(Index,P545,,AllTriggers)</f>
        <v>1.225682249046941E-2</v>
      </c>
      <c r="U545" s="34">
        <f>_xll.qlYieldTSDiscount(OisCurve,Q545,,AllTriggers)</f>
        <v>0.97826574632463925</v>
      </c>
      <c r="V545" s="34">
        <f>_xll.qlYieldTSDiscount(OisCurve,R545,,AllTriggers)</f>
        <v>0.97556472668048444</v>
      </c>
      <c r="W545" s="33">
        <f t="shared" si="44"/>
        <v>1.0833937527833576E-2</v>
      </c>
      <c r="X545" s="35">
        <f t="shared" si="45"/>
        <v>3.6255644339001176E-4</v>
      </c>
      <c r="Y545" s="33">
        <f t="shared" si="46"/>
        <v>1.4228849626358349E-3</v>
      </c>
      <c r="Z545" s="54"/>
    </row>
    <row r="546" spans="15:26" x14ac:dyDescent="0.25">
      <c r="O546" s="37" t="s">
        <v>31</v>
      </c>
      <c r="P546" s="31">
        <f>_xll.qlCalendarAdvance(Calendar,P545,O545,"f",,Trigger)</f>
        <v>44509</v>
      </c>
      <c r="Q546" s="31">
        <f>_xll.qlInterestRateIndexValueDate(Index,P546,Trigger)</f>
        <v>44511</v>
      </c>
      <c r="R546" s="31">
        <f>_xll.qlInterestRateIndexMaturity(Index,Q546,Trigger)</f>
        <v>44603</v>
      </c>
      <c r="S546" s="32">
        <f>_xll.qlDayCounterYearFraction(DayCounter,Q546,R546,,,Trigger)</f>
        <v>0.25555555555555554</v>
      </c>
      <c r="T546" s="33">
        <f>_xll.qlIndexFixing(Index,P546,,AllTriggers)</f>
        <v>1.229166058888159E-2</v>
      </c>
      <c r="U546" s="34">
        <f>_xll.qlYieldTSDiscount(OisCurve,Q546,,AllTriggers)</f>
        <v>0.97806422248821212</v>
      </c>
      <c r="V546" s="34">
        <f>_xll.qlYieldTSDiscount(OisCurve,R546,,AllTriggers)</f>
        <v>0.97535488181374763</v>
      </c>
      <c r="W546" s="33">
        <f t="shared" si="44"/>
        <v>1.0869651707576715E-2</v>
      </c>
      <c r="X546" s="35">
        <f t="shared" si="45"/>
        <v>3.6232995776448626E-4</v>
      </c>
      <c r="Y546" s="33">
        <f t="shared" si="46"/>
        <v>1.4220088813048752E-3</v>
      </c>
      <c r="Z546" s="54"/>
    </row>
    <row r="547" spans="15:26" x14ac:dyDescent="0.25">
      <c r="O547" s="37" t="s">
        <v>31</v>
      </c>
      <c r="P547" s="31">
        <f>_xll.qlCalendarAdvance(Calendar,P546,O546,"f",,Trigger)</f>
        <v>44516</v>
      </c>
      <c r="Q547" s="31">
        <f>_xll.qlInterestRateIndexValueDate(Index,P547,Trigger)</f>
        <v>44518</v>
      </c>
      <c r="R547" s="31">
        <f>_xll.qlInterestRateIndexMaturity(Index,Q547,Trigger)</f>
        <v>44610</v>
      </c>
      <c r="S547" s="32">
        <f>_xll.qlDayCounterYearFraction(DayCounter,Q547,R547,,,Trigger)</f>
        <v>0.25555555555555554</v>
      </c>
      <c r="T547" s="33">
        <f>_xll.qlIndexFixing(Index,P547,,AllTriggers)</f>
        <v>1.2326097913959251E-2</v>
      </c>
      <c r="U547" s="34">
        <f>_xll.qlYieldTSDiscount(OisCurve,Q547,,AllTriggers)</f>
        <v>0.97786200411821644</v>
      </c>
      <c r="V547" s="34">
        <f>_xll.qlYieldTSDiscount(OisCurve,R547,,AllTriggers)</f>
        <v>0.97514447513592306</v>
      </c>
      <c r="W547" s="33">
        <f t="shared" si="44"/>
        <v>1.0904854954611538E-2</v>
      </c>
      <c r="X547" s="35">
        <f t="shared" si="45"/>
        <v>3.6213158679163619E-4</v>
      </c>
      <c r="Y547" s="33">
        <f t="shared" si="46"/>
        <v>1.4212429593477138E-3</v>
      </c>
      <c r="Z547" s="54"/>
    </row>
    <row r="548" spans="15:26" x14ac:dyDescent="0.25">
      <c r="O548" s="37" t="s">
        <v>31</v>
      </c>
      <c r="P548" s="31">
        <f>_xll.qlCalendarAdvance(Calendar,P547,O547,"f",,Trigger)</f>
        <v>44523</v>
      </c>
      <c r="Q548" s="31">
        <f>_xll.qlInterestRateIndexValueDate(Index,P548,Trigger)</f>
        <v>44525</v>
      </c>
      <c r="R548" s="31">
        <f>_xll.qlInterestRateIndexMaturity(Index,Q548,Trigger)</f>
        <v>44617</v>
      </c>
      <c r="S548" s="32">
        <f>_xll.qlDayCounterYearFraction(DayCounter,Q548,R548,,,Trigger)</f>
        <v>0.25555555555555554</v>
      </c>
      <c r="T548" s="33">
        <f>_xll.qlIndexFixing(Index,P548,,AllTriggers)</f>
        <v>1.2360134455147359E-2</v>
      </c>
      <c r="U548" s="34">
        <f>_xll.qlYieldTSDiscount(OisCurve,Q548,,AllTriggers)</f>
        <v>0.97765910135466116</v>
      </c>
      <c r="V548" s="34">
        <f>_xll.qlYieldTSDiscount(OisCurve,R548,,AllTriggers)</f>
        <v>0.97493351669510009</v>
      </c>
      <c r="W548" s="33">
        <f t="shared" si="44"/>
        <v>1.0939547255178617E-2</v>
      </c>
      <c r="X548" s="35">
        <f t="shared" si="45"/>
        <v>3.619613304711016E-4</v>
      </c>
      <c r="Y548" s="33">
        <f t="shared" si="46"/>
        <v>1.4205871999687422E-3</v>
      </c>
      <c r="Z548" s="54"/>
    </row>
    <row r="549" spans="15:26" x14ac:dyDescent="0.25">
      <c r="O549" s="37" t="s">
        <v>31</v>
      </c>
      <c r="P549" s="31">
        <f>_xll.qlCalendarAdvance(Calendar,P548,O548,"f",,Trigger)</f>
        <v>44530</v>
      </c>
      <c r="Q549" s="31">
        <f>_xll.qlInterestRateIndexValueDate(Index,P549,Trigger)</f>
        <v>44532</v>
      </c>
      <c r="R549" s="31">
        <f>_xll.qlInterestRateIndexMaturity(Index,Q549,Trigger)</f>
        <v>44622</v>
      </c>
      <c r="S549" s="32">
        <f>_xll.qlDayCounterYearFraction(DayCounter,Q549,R549,,,Trigger)</f>
        <v>0.25</v>
      </c>
      <c r="T549" s="33">
        <f>_xll.qlIndexFixing(Index,P549,,AllTriggers)</f>
        <v>1.2388687878234883E-2</v>
      </c>
      <c r="U549" s="34">
        <f>_xll.qlYieldTSDiscount(OisCurve,Q549,,AllTriggers)</f>
        <v>0.97745552433095639</v>
      </c>
      <c r="V549" s="34">
        <f>_xll.qlYieldTSDiscount(OisCurve,R549,,AllTriggers)</f>
        <v>0.97478249984261234</v>
      </c>
      <c r="W549" s="33">
        <f t="shared" si="44"/>
        <v>1.0968701177034745E-2</v>
      </c>
      <c r="X549" s="35">
        <f t="shared" si="45"/>
        <v>3.5396322192077592E-4</v>
      </c>
      <c r="Y549" s="33">
        <f t="shared" si="46"/>
        <v>1.4199867012001377E-3</v>
      </c>
      <c r="Z549" s="54"/>
    </row>
    <row r="550" spans="15:26" x14ac:dyDescent="0.25">
      <c r="O550" s="37" t="s">
        <v>31</v>
      </c>
      <c r="P550" s="31">
        <f>_xll.qlCalendarAdvance(Calendar,P549,O549,"f",,Trigger)</f>
        <v>44537</v>
      </c>
      <c r="Q550" s="31">
        <f>_xll.qlInterestRateIndexValueDate(Index,P550,Trigger)</f>
        <v>44539</v>
      </c>
      <c r="R550" s="31">
        <f>_xll.qlInterestRateIndexMaturity(Index,Q550,Trigger)</f>
        <v>44629</v>
      </c>
      <c r="S550" s="32">
        <f>_xll.qlDayCounterYearFraction(DayCounter,Q550,R550,,,Trigger)</f>
        <v>0.25</v>
      </c>
      <c r="T550" s="33">
        <f>_xll.qlIndexFixing(Index,P550,,AllTriggers)</f>
        <v>1.2421977789141003E-2</v>
      </c>
      <c r="U550" s="34">
        <f>_xll.qlYieldTSDiscount(OisCurve,Q550,,AllTriggers)</f>
        <v>0.97725128317384491</v>
      </c>
      <c r="V550" s="34">
        <f>_xll.qlYieldTSDiscount(OisCurve,R550,,AllTriggers)</f>
        <v>0.97457061887814278</v>
      </c>
      <c r="W550" s="33">
        <f t="shared" si="44"/>
        <v>1.1002442486057973E-2</v>
      </c>
      <c r="X550" s="35">
        <f t="shared" si="45"/>
        <v>3.5384774468806616E-4</v>
      </c>
      <c r="Y550" s="33">
        <f t="shared" si="46"/>
        <v>1.4195353030830304E-3</v>
      </c>
      <c r="Z550" s="54"/>
    </row>
    <row r="551" spans="15:26" x14ac:dyDescent="0.25">
      <c r="O551" s="37" t="s">
        <v>31</v>
      </c>
      <c r="P551" s="31">
        <f>_xll.qlCalendarAdvance(Calendar,P550,O550,"f",,Trigger)</f>
        <v>44544</v>
      </c>
      <c r="Q551" s="31">
        <f>_xll.qlInterestRateIndexValueDate(Index,P551,Trigger)</f>
        <v>44546</v>
      </c>
      <c r="R551" s="31">
        <f>_xll.qlInterestRateIndexMaturity(Index,Q551,Trigger)</f>
        <v>44636</v>
      </c>
      <c r="S551" s="32">
        <f>_xll.qlDayCounterYearFraction(DayCounter,Q551,R551,,,Trigger)</f>
        <v>0.25</v>
      </c>
      <c r="T551" s="33">
        <f>_xll.qlIndexFixing(Index,P551,,AllTriggers)</f>
        <v>1.245486690822073E-2</v>
      </c>
      <c r="U551" s="34">
        <f>_xll.qlYieldTSDiscount(OisCurve,Q551,,AllTriggers)</f>
        <v>0.97704638800333343</v>
      </c>
      <c r="V551" s="34">
        <f>_xll.qlYieldTSDiscount(OisCurve,R551,,AllTriggers)</f>
        <v>0.97435821338648754</v>
      </c>
      <c r="W551" s="33">
        <f t="shared" si="44"/>
        <v>1.1035672835364885E-2</v>
      </c>
      <c r="X551" s="35">
        <f t="shared" si="45"/>
        <v>3.5375977091921099E-4</v>
      </c>
      <c r="Y551" s="33">
        <f t="shared" si="46"/>
        <v>1.419194072855845E-3</v>
      </c>
      <c r="Z551" s="54"/>
    </row>
    <row r="552" spans="15:26" x14ac:dyDescent="0.25">
      <c r="O552" s="37" t="s">
        <v>31</v>
      </c>
      <c r="P552" s="31">
        <f>_xll.qlCalendarAdvance(Calendar,P551,O551,"f",,Trigger)</f>
        <v>44551</v>
      </c>
      <c r="Q552" s="31">
        <f>_xll.qlInterestRateIndexValueDate(Index,P552,Trigger)</f>
        <v>44553</v>
      </c>
      <c r="R552" s="31">
        <f>_xll.qlInterestRateIndexMaturity(Index,Q552,Trigger)</f>
        <v>44643</v>
      </c>
      <c r="S552" s="32">
        <f>_xll.qlDayCounterYearFraction(DayCounter,Q552,R552,,,Trigger)</f>
        <v>0.25</v>
      </c>
      <c r="T552" s="33">
        <f>_xll.qlIndexFixing(Index,P552,,AllTriggers)</f>
        <v>1.248735522561617E-2</v>
      </c>
      <c r="U552" s="34">
        <f>_xll.qlYieldTSDiscount(OisCurve,Q552,,AllTriggers)</f>
        <v>0.97684084893262602</v>
      </c>
      <c r="V552" s="34">
        <f>_xll.qlYieldTSDiscount(OisCurve,R552,,AllTriggers)</f>
        <v>0.97414529338789257</v>
      </c>
      <c r="W552" s="33">
        <f t="shared" si="44"/>
        <v>1.1068392212249201E-2</v>
      </c>
      <c r="X552" s="35">
        <f t="shared" si="45"/>
        <v>3.5369930061569804E-4</v>
      </c>
      <c r="Y552" s="33">
        <f t="shared" si="46"/>
        <v>1.4189630133669695E-3</v>
      </c>
      <c r="Z552" s="54"/>
    </row>
    <row r="553" spans="15:26" x14ac:dyDescent="0.25">
      <c r="O553" s="37" t="s">
        <v>31</v>
      </c>
      <c r="P553" s="31">
        <f>_xll.qlCalendarAdvance(Calendar,P552,O552,"f",,Trigger)</f>
        <v>44558</v>
      </c>
      <c r="Q553" s="31">
        <f>_xll.qlInterestRateIndexValueDate(Index,P553,Trigger)</f>
        <v>44560</v>
      </c>
      <c r="R553" s="31">
        <f>_xll.qlInterestRateIndexMaturity(Index,Q553,Trigger)</f>
        <v>44650</v>
      </c>
      <c r="S553" s="32">
        <f>_xll.qlDayCounterYearFraction(DayCounter,Q553,R553,,,Trigger)</f>
        <v>0.25</v>
      </c>
      <c r="T553" s="33">
        <f>_xll.qlIndexFixing(Index,P553,,AllTriggers)</f>
        <v>1.2519442731585784E-2</v>
      </c>
      <c r="U553" s="34">
        <f>_xll.qlYieldTSDiscount(OisCurve,Q553,,AllTriggers)</f>
        <v>0.97663467606805909</v>
      </c>
      <c r="V553" s="34">
        <f>_xll.qlYieldTSDiscount(OisCurve,R553,,AllTriggers)</f>
        <v>0.97393186889498151</v>
      </c>
      <c r="W553" s="33">
        <f t="shared" si="44"/>
        <v>1.1100600604205368E-2</v>
      </c>
      <c r="X553" s="35">
        <f t="shared" si="45"/>
        <v>3.5366633377607973E-4</v>
      </c>
      <c r="Y553" s="33">
        <f t="shared" si="46"/>
        <v>1.4188421273804153E-3</v>
      </c>
      <c r="Z553" s="54"/>
    </row>
    <row r="554" spans="15:26" x14ac:dyDescent="0.25">
      <c r="O554" s="37" t="s">
        <v>31</v>
      </c>
      <c r="P554" s="31">
        <f>_xll.qlCalendarAdvance(Calendar,P553,O553,"f",,Trigger)</f>
        <v>44565</v>
      </c>
      <c r="Q554" s="31">
        <f>_xll.qlInterestRateIndexValueDate(Index,P554,Trigger)</f>
        <v>44567</v>
      </c>
      <c r="R554" s="31">
        <f>_xll.qlInterestRateIndexMaturity(Index,Q554,Trigger)</f>
        <v>44657</v>
      </c>
      <c r="S554" s="32">
        <f>_xll.qlDayCounterYearFraction(DayCounter,Q554,R554,,,Trigger)</f>
        <v>0.25</v>
      </c>
      <c r="T554" s="33">
        <f>_xll.qlIndexFixing(Index,P554,,AllTriggers)</f>
        <v>1.2551129416510598E-2</v>
      </c>
      <c r="U554" s="34">
        <f>_xll.qlYieldTSDiscount(OisCurve,Q554,,AllTriggers)</f>
        <v>0.97642787950903487</v>
      </c>
      <c r="V554" s="34">
        <f>_xll.qlYieldTSDiscount(OisCurve,R554,,AllTriggers)</f>
        <v>0.97371794991270455</v>
      </c>
      <c r="W554" s="33">
        <f t="shared" si="44"/>
        <v>1.1132297998915242E-2</v>
      </c>
      <c r="X554" s="35">
        <f t="shared" si="45"/>
        <v>3.5366087040174438E-4</v>
      </c>
      <c r="Y554" s="33">
        <f t="shared" si="46"/>
        <v>1.4188314175953565E-3</v>
      </c>
      <c r="Z554" s="54"/>
    </row>
    <row r="555" spans="15:26" x14ac:dyDescent="0.25">
      <c r="O555" s="37" t="s">
        <v>31</v>
      </c>
      <c r="P555" s="31">
        <f>_xll.qlCalendarAdvance(Calendar,P554,O554,"f",,Trigger)</f>
        <v>44572</v>
      </c>
      <c r="Q555" s="31">
        <f>_xll.qlInterestRateIndexValueDate(Index,P555,Trigger)</f>
        <v>44574</v>
      </c>
      <c r="R555" s="31">
        <f>_xll.qlInterestRateIndexMaturity(Index,Q555,Trigger)</f>
        <v>44664</v>
      </c>
      <c r="S555" s="32">
        <f>_xll.qlDayCounterYearFraction(DayCounter,Q555,R555,,,Trigger)</f>
        <v>0.25</v>
      </c>
      <c r="T555" s="33">
        <f>_xll.qlIndexFixing(Index,P555,,AllTriggers)</f>
        <v>1.2582415270889769E-2</v>
      </c>
      <c r="U555" s="34">
        <f>_xll.qlYieldTSDiscount(OisCurve,Q555,,AllTriggers)</f>
        <v>0.97622046934795992</v>
      </c>
      <c r="V555" s="34">
        <f>_xll.qlYieldTSDiscount(OisCurve,R555,,AllTriggers)</f>
        <v>0.97350354643828763</v>
      </c>
      <c r="W555" s="33">
        <f t="shared" si="44"/>
        <v>1.1163484384264066E-2</v>
      </c>
      <c r="X555" s="35">
        <f t="shared" si="45"/>
        <v>3.5368291049158899E-4</v>
      </c>
      <c r="Y555" s="33">
        <f t="shared" si="46"/>
        <v>1.4189308866257022E-3</v>
      </c>
      <c r="Z555" s="54"/>
    </row>
    <row r="556" spans="15:26" x14ac:dyDescent="0.25">
      <c r="O556" s="37" t="s">
        <v>31</v>
      </c>
      <c r="P556" s="31">
        <f>_xll.qlCalendarAdvance(Calendar,P555,O555,"f",,Trigger)</f>
        <v>44579</v>
      </c>
      <c r="Q556" s="31">
        <f>_xll.qlInterestRateIndexValueDate(Index,P556,Trigger)</f>
        <v>44581</v>
      </c>
      <c r="R556" s="31">
        <f>_xll.qlInterestRateIndexMaturity(Index,Q556,Trigger)</f>
        <v>44671</v>
      </c>
      <c r="S556" s="32">
        <f>_xll.qlDayCounterYearFraction(DayCounter,Q556,R556,,,Trigger)</f>
        <v>0.25</v>
      </c>
      <c r="T556" s="33">
        <f>_xll.qlIndexFixing(Index,P556,,AllTriggers)</f>
        <v>1.2613300285344131E-2</v>
      </c>
      <c r="U556" s="34">
        <f>_xll.qlYieldTSDiscount(OisCurve,Q556,,AllTriggers)</f>
        <v>0.97601245567018047</v>
      </c>
      <c r="V556" s="34">
        <f>_xll.qlYieldTSDiscount(OisCurve,R556,,AllTriggers)</f>
        <v>0.97328866846118278</v>
      </c>
      <c r="W556" s="33">
        <f t="shared" si="44"/>
        <v>1.1194159748327159E-2</v>
      </c>
      <c r="X556" s="35">
        <f t="shared" si="45"/>
        <v>3.5373245404579271E-4</v>
      </c>
      <c r="Y556" s="33">
        <f t="shared" si="46"/>
        <v>1.4191405370169718E-3</v>
      </c>
      <c r="Z556" s="54"/>
    </row>
    <row r="557" spans="15:26" x14ac:dyDescent="0.25">
      <c r="O557" s="37" t="s">
        <v>31</v>
      </c>
      <c r="P557" s="31">
        <f>_xll.qlCalendarAdvance(Calendar,P556,O556,"f",,Trigger)</f>
        <v>44586</v>
      </c>
      <c r="Q557" s="31">
        <f>_xll.qlInterestRateIndexValueDate(Index,P557,Trigger)</f>
        <v>44588</v>
      </c>
      <c r="R557" s="31">
        <f>_xll.qlInterestRateIndexMaturity(Index,Q557,Trigger)</f>
        <v>44678</v>
      </c>
      <c r="S557" s="32">
        <f>_xll.qlDayCounterYearFraction(DayCounter,Q557,R557,,,Trigger)</f>
        <v>0.25</v>
      </c>
      <c r="T557" s="33">
        <f>_xll.qlIndexFixing(Index,P557,,AllTriggers)</f>
        <v>1.2643784450614426E-2</v>
      </c>
      <c r="U557" s="34">
        <f>_xll.qlYieldTSDiscount(OisCurve,Q557,,AllTriggers)</f>
        <v>0.97580384855392199</v>
      </c>
      <c r="V557" s="34">
        <f>_xll.qlYieldTSDiscount(OisCurve,R557,,AllTriggers)</f>
        <v>0.97307332596302054</v>
      </c>
      <c r="W557" s="33">
        <f t="shared" si="44"/>
        <v>1.1224324079377013E-2</v>
      </c>
      <c r="X557" s="35">
        <f t="shared" si="45"/>
        <v>3.5380950106492898E-4</v>
      </c>
      <c r="Y557" s="33">
        <f t="shared" si="46"/>
        <v>1.4194603712374132E-3</v>
      </c>
      <c r="Z557" s="54"/>
    </row>
    <row r="558" spans="15:26" x14ac:dyDescent="0.25">
      <c r="O558" s="37" t="s">
        <v>31</v>
      </c>
      <c r="P558" s="31">
        <f>_xll.qlCalendarAdvance(Calendar,P557,O557,"f",,Trigger)</f>
        <v>44593</v>
      </c>
      <c r="Q558" s="31">
        <f>_xll.qlInterestRateIndexValueDate(Index,P558,Trigger)</f>
        <v>44595</v>
      </c>
      <c r="R558" s="31">
        <f>_xll.qlInterestRateIndexMaturity(Index,Q558,Trigger)</f>
        <v>44684</v>
      </c>
      <c r="S558" s="32">
        <f>_xll.qlDayCounterYearFraction(DayCounter,Q558,R558,,,Trigger)</f>
        <v>0.24722222222222223</v>
      </c>
      <c r="T558" s="33">
        <f>_xll.qlIndexFixing(Index,P558,,AllTriggers)</f>
        <v>1.267157051192048E-2</v>
      </c>
      <c r="U558" s="34">
        <f>_xll.qlYieldTSDiscount(OisCurve,Q558,,AllTriggers)</f>
        <v>0.97559465807022783</v>
      </c>
      <c r="V558" s="34">
        <f>_xll.qlYieldTSDiscount(OisCurve,R558,,AllTriggers)</f>
        <v>0.97288838451853887</v>
      </c>
      <c r="W558" s="33">
        <f t="shared" si="44"/>
        <v>1.1251778367319299E-2</v>
      </c>
      <c r="X558" s="35">
        <f t="shared" si="45"/>
        <v>3.4996924650074657E-4</v>
      </c>
      <c r="Y558" s="33">
        <f t="shared" si="46"/>
        <v>1.4197921446011813E-3</v>
      </c>
      <c r="Z558" s="54"/>
    </row>
    <row r="559" spans="15:26" x14ac:dyDescent="0.25">
      <c r="O559" s="37" t="s">
        <v>31</v>
      </c>
      <c r="P559" s="31">
        <f>_xll.qlCalendarAdvance(Calendar,P558,O558,"f",,Trigger)</f>
        <v>44600</v>
      </c>
      <c r="Q559" s="31">
        <f>_xll.qlInterestRateIndexValueDate(Index,P559,Trigger)</f>
        <v>44602</v>
      </c>
      <c r="R559" s="31">
        <f>_xll.qlInterestRateIndexMaturity(Index,Q559,Trigger)</f>
        <v>44691</v>
      </c>
      <c r="S559" s="32">
        <f>_xll.qlDayCounterYearFraction(DayCounter,Q559,R559,,,Trigger)</f>
        <v>0.24722222222222223</v>
      </c>
      <c r="T559" s="33">
        <f>_xll.qlIndexFixing(Index,P559,,AllTriggers)</f>
        <v>1.2701280549933178E-2</v>
      </c>
      <c r="U559" s="34">
        <f>_xll.qlYieldTSDiscount(OisCurve,Q559,,AllTriggers)</f>
        <v>0.97538489428289998</v>
      </c>
      <c r="V559" s="34">
        <f>_xll.qlYieldTSDiscount(OisCurve,R559,,AllTriggers)</f>
        <v>0.97267220578973979</v>
      </c>
      <c r="W559" s="33">
        <f t="shared" si="44"/>
        <v>1.128095620630378E-2</v>
      </c>
      <c r="X559" s="35">
        <f t="shared" si="45"/>
        <v>3.500978890793188E-4</v>
      </c>
      <c r="Y559" s="33">
        <f t="shared" si="46"/>
        <v>1.4203243436293981E-3</v>
      </c>
      <c r="Z559" s="54"/>
    </row>
    <row r="560" spans="15:26" x14ac:dyDescent="0.25">
      <c r="O560" s="37" t="s">
        <v>31</v>
      </c>
      <c r="P560" s="31">
        <f>_xll.qlCalendarAdvance(Calendar,P559,O559,"f",,Trigger)</f>
        <v>44607</v>
      </c>
      <c r="Q560" s="31">
        <f>_xll.qlInterestRateIndexValueDate(Index,P560,Trigger)</f>
        <v>44609</v>
      </c>
      <c r="R560" s="31">
        <f>_xll.qlInterestRateIndexMaturity(Index,Q560,Trigger)</f>
        <v>44698</v>
      </c>
      <c r="S560" s="32">
        <f>_xll.qlDayCounterYearFraction(DayCounter,Q560,R560,,,Trigger)</f>
        <v>0.24722222222222223</v>
      </c>
      <c r="T560" s="33">
        <f>_xll.qlIndexFixing(Index,P560,,AllTriggers)</f>
        <v>1.2730594641578047E-2</v>
      </c>
      <c r="U560" s="34">
        <f>_xll.qlYieldTSDiscount(OisCurve,Q560,,AllTriggers)</f>
        <v>0.97517456724844087</v>
      </c>
      <c r="V560" s="34">
        <f>_xll.qlYieldTSDiscount(OisCurve,R560,,AllTriggers)</f>
        <v>0.97245558914302144</v>
      </c>
      <c r="W560" s="33">
        <f t="shared" si="44"/>
        <v>1.1309630802302099E-2</v>
      </c>
      <c r="X560" s="35">
        <f t="shared" si="45"/>
        <v>3.5025301611943366E-4</v>
      </c>
      <c r="Y560" s="33">
        <f t="shared" si="46"/>
        <v>1.4209638392759481E-3</v>
      </c>
      <c r="Z560" s="54"/>
    </row>
    <row r="561" spans="15:26" x14ac:dyDescent="0.25">
      <c r="O561" s="37" t="s">
        <v>31</v>
      </c>
      <c r="P561" s="31">
        <f>_xll.qlCalendarAdvance(Calendar,P560,O560,"f",,Trigger)</f>
        <v>44614</v>
      </c>
      <c r="Q561" s="31">
        <f>_xll.qlInterestRateIndexValueDate(Index,P561,Trigger)</f>
        <v>44616</v>
      </c>
      <c r="R561" s="31">
        <f>_xll.qlInterestRateIndexMaturity(Index,Q561,Trigger)</f>
        <v>44705</v>
      </c>
      <c r="S561" s="32">
        <f>_xll.qlDayCounterYearFraction(DayCounter,Q561,R561,,,Trigger)</f>
        <v>0.24722222222222223</v>
      </c>
      <c r="T561" s="33">
        <f>_xll.qlIndexFixing(Index,P561,,AllTriggers)</f>
        <v>1.2759530539396101E-2</v>
      </c>
      <c r="U561" s="34">
        <f>_xll.qlYieldTSDiscount(OisCurve,Q561,,AllTriggers)</f>
        <v>0.97496368701599501</v>
      </c>
      <c r="V561" s="34">
        <f>_xll.qlYieldTSDiscount(OisCurve,R561,,AllTriggers)</f>
        <v>0.97223853776990932</v>
      </c>
      <c r="W561" s="33">
        <f t="shared" si="44"/>
        <v>1.1337830351211112E-2</v>
      </c>
      <c r="X561" s="35">
        <f t="shared" si="45"/>
        <v>3.5043205095880827E-4</v>
      </c>
      <c r="Y561" s="33">
        <f t="shared" si="46"/>
        <v>1.4217001881849881E-3</v>
      </c>
      <c r="Z561" s="54"/>
    </row>
    <row r="562" spans="15:26" x14ac:dyDescent="0.25">
      <c r="O562" s="37" t="s">
        <v>31</v>
      </c>
      <c r="P562" s="31">
        <f>_xll.qlCalendarAdvance(Calendar,P561,O561,"f",,Trigger)</f>
        <v>44621</v>
      </c>
      <c r="Q562" s="31">
        <f>_xll.qlInterestRateIndexValueDate(Index,P562,Trigger)</f>
        <v>44623</v>
      </c>
      <c r="R562" s="31">
        <f>_xll.qlInterestRateIndexMaturity(Index,Q562,Trigger)</f>
        <v>44715</v>
      </c>
      <c r="S562" s="32">
        <f>_xll.qlDayCounterYearFraction(DayCounter,Q562,R562,,,Trigger)</f>
        <v>0.25555555555555554</v>
      </c>
      <c r="T562" s="33">
        <f>_xll.qlIndexFixing(Index,P562,,AllTriggers)</f>
        <v>1.2794703870647113E-2</v>
      </c>
      <c r="U562" s="34">
        <f>_xll.qlYieldTSDiscount(OisCurve,Q562,,AllTriggers)</f>
        <v>0.97475226362729306</v>
      </c>
      <c r="V562" s="34">
        <f>_xll.qlYieldTSDiscount(OisCurve,R562,,AllTriggers)</f>
        <v>0.97192771501417752</v>
      </c>
      <c r="W562" s="33">
        <f t="shared" si="44"/>
        <v>1.1371814342614521E-2</v>
      </c>
      <c r="X562" s="35">
        <f t="shared" si="45"/>
        <v>3.6250792364701865E-4</v>
      </c>
      <c r="Y562" s="33">
        <f t="shared" si="46"/>
        <v>1.4228895280325917E-3</v>
      </c>
      <c r="Z562" s="54"/>
    </row>
    <row r="563" spans="15:26" x14ac:dyDescent="0.25">
      <c r="O563" s="37" t="s">
        <v>31</v>
      </c>
      <c r="P563" s="31">
        <f>_xll.qlCalendarAdvance(Calendar,P562,O562,"f",,Trigger)</f>
        <v>44628</v>
      </c>
      <c r="Q563" s="31">
        <f>_xll.qlInterestRateIndexValueDate(Index,P563,Trigger)</f>
        <v>44630</v>
      </c>
      <c r="R563" s="31">
        <f>_xll.qlInterestRateIndexMaturity(Index,Q563,Trigger)</f>
        <v>44722</v>
      </c>
      <c r="S563" s="32">
        <f>_xll.qlDayCounterYearFraction(DayCounter,Q563,R563,,,Trigger)</f>
        <v>0.25555555555555554</v>
      </c>
      <c r="T563" s="33">
        <f>_xll.qlIndexFixing(Index,P563,,AllTriggers)</f>
        <v>1.2822887399017328E-2</v>
      </c>
      <c r="U563" s="34">
        <f>_xll.qlYieldTSDiscount(OisCurve,Q563,,AllTriggers)</f>
        <v>0.97454030711659645</v>
      </c>
      <c r="V563" s="34">
        <f>_xll.qlYieldTSDiscount(OisCurve,R563,,AllTriggers)</f>
        <v>0.97170961785342702</v>
      </c>
      <c r="W563" s="33">
        <f t="shared" si="44"/>
        <v>1.1399094911396767E-2</v>
      </c>
      <c r="X563" s="35">
        <f t="shared" si="45"/>
        <v>3.6273540680405332E-4</v>
      </c>
      <c r="Y563" s="33">
        <f t="shared" si="46"/>
        <v>1.4237924876205604E-3</v>
      </c>
      <c r="Z563" s="54"/>
    </row>
    <row r="564" spans="15:26" x14ac:dyDescent="0.25">
      <c r="O564" s="37" t="s">
        <v>31</v>
      </c>
      <c r="P564" s="31">
        <f>_xll.qlCalendarAdvance(Calendar,P563,O563,"f",,Trigger)</f>
        <v>44635</v>
      </c>
      <c r="Q564" s="31">
        <f>_xll.qlInterestRateIndexValueDate(Index,P564,Trigger)</f>
        <v>44637</v>
      </c>
      <c r="R564" s="31">
        <f>_xll.qlInterestRateIndexMaturity(Index,Q564,Trigger)</f>
        <v>44729</v>
      </c>
      <c r="S564" s="32">
        <f>_xll.qlDayCounterYearFraction(DayCounter,Q564,R564,,,Trigger)</f>
        <v>0.25555555555555554</v>
      </c>
      <c r="T564" s="33">
        <f>_xll.qlIndexFixing(Index,P564,,AllTriggers)</f>
        <v>1.2850757761633344E-2</v>
      </c>
      <c r="U564" s="34">
        <f>_xll.qlYieldTSDiscount(OisCurve,Q564,,AllTriggers)</f>
        <v>0.97432782751064262</v>
      </c>
      <c r="V564" s="34">
        <f>_xll.qlYieldTSDiscount(OisCurve,R564,,AllTriggers)</f>
        <v>0.97149109417890511</v>
      </c>
      <c r="W564" s="33">
        <f t="shared" si="44"/>
        <v>1.1426003727499068E-2</v>
      </c>
      <c r="X564" s="35">
        <f t="shared" si="45"/>
        <v>3.6297784432792632E-4</v>
      </c>
      <c r="Y564" s="33">
        <f t="shared" si="46"/>
        <v>1.4247540341342756E-3</v>
      </c>
      <c r="Z564" s="54"/>
    </row>
    <row r="565" spans="15:26" x14ac:dyDescent="0.25">
      <c r="O565" s="37" t="s">
        <v>31</v>
      </c>
      <c r="P565" s="31">
        <f>_xll.qlCalendarAdvance(Calendar,P564,O564,"f",,Trigger)</f>
        <v>44642</v>
      </c>
      <c r="Q565" s="31">
        <f>_xll.qlInterestRateIndexValueDate(Index,P565,Trigger)</f>
        <v>44644</v>
      </c>
      <c r="R565" s="31">
        <f>_xll.qlInterestRateIndexMaturity(Index,Q565,Trigger)</f>
        <v>44736</v>
      </c>
      <c r="S565" s="32">
        <f>_xll.qlDayCounterYearFraction(DayCounter,Q565,R565,,,Trigger)</f>
        <v>0.25555555555555554</v>
      </c>
      <c r="T565" s="33">
        <f>_xll.qlIndexFixing(Index,P565,,AllTriggers)</f>
        <v>1.2878334151217356E-2</v>
      </c>
      <c r="U565" s="34">
        <f>_xll.qlYieldTSDiscount(OisCurve,Q565,,AllTriggers)</f>
        <v>0.97411483482859174</v>
      </c>
      <c r="V565" s="34">
        <f>_xll.qlYieldTSDiscount(OisCurve,R565,,AllTriggers)</f>
        <v>0.97127214638306403</v>
      </c>
      <c r="W565" s="33">
        <f t="shared" si="44"/>
        <v>1.1452571273584775E-2</v>
      </c>
      <c r="X565" s="35">
        <f t="shared" si="45"/>
        <v>3.6323235740593553E-4</v>
      </c>
      <c r="Y565" s="33">
        <f t="shared" si="46"/>
        <v>1.4257628776325817E-3</v>
      </c>
      <c r="Z565" s="54"/>
    </row>
    <row r="566" spans="15:26" x14ac:dyDescent="0.25">
      <c r="O566" s="37" t="s">
        <v>31</v>
      </c>
      <c r="P566" s="31">
        <f>_xll.qlCalendarAdvance(Calendar,P565,O565,"f",,Trigger)</f>
        <v>44649</v>
      </c>
      <c r="Q566" s="31">
        <f>_xll.qlInterestRateIndexValueDate(Index,P566,Trigger)</f>
        <v>44651</v>
      </c>
      <c r="R566" s="31">
        <f>_xll.qlInterestRateIndexMaturity(Index,Q566,Trigger)</f>
        <v>44742</v>
      </c>
      <c r="S566" s="32">
        <f>_xll.qlDayCounterYearFraction(DayCounter,Q566,R566,,,Trigger)</f>
        <v>0.25277777777777777</v>
      </c>
      <c r="T566" s="33">
        <f>_xll.qlIndexFixing(Index,P566,,AllTriggers)</f>
        <v>1.2903501980467115E-2</v>
      </c>
      <c r="U566" s="34">
        <f>_xll.qlYieldTSDiscount(OisCurve,Q566,,AllTriggers)</f>
        <v>0.9739013390819744</v>
      </c>
      <c r="V566" s="34">
        <f>_xll.qlYieldTSDiscount(OisCurve,R566,,AllTriggers)</f>
        <v>0.97108414109037566</v>
      </c>
      <c r="W566" s="33">
        <f t="shared" si="44"/>
        <v>1.1476821231092491E-2</v>
      </c>
      <c r="X566" s="35">
        <f t="shared" si="45"/>
        <v>3.5952535118748455E-4</v>
      </c>
      <c r="Y566" s="33">
        <f t="shared" si="46"/>
        <v>1.4266807493746245E-3</v>
      </c>
      <c r="Z566" s="54"/>
    </row>
    <row r="567" spans="15:26" x14ac:dyDescent="0.25">
      <c r="O567" s="37" t="s">
        <v>31</v>
      </c>
      <c r="P567" s="31">
        <f>_xll.qlCalendarAdvance(Calendar,P566,O566,"f",,Trigger)</f>
        <v>44656</v>
      </c>
      <c r="Q567" s="31">
        <f>_xll.qlInterestRateIndexValueDate(Index,P567,Trigger)</f>
        <v>44658</v>
      </c>
      <c r="R567" s="31">
        <f>_xll.qlInterestRateIndexMaturity(Index,Q567,Trigger)</f>
        <v>44749</v>
      </c>
      <c r="S567" s="32">
        <f>_xll.qlDayCounterYearFraction(DayCounter,Q567,R567,,,Trigger)</f>
        <v>0.25277777777777777</v>
      </c>
      <c r="T567" s="33">
        <f>_xll.qlIndexFixing(Index,P567,,AllTriggers)</f>
        <v>1.2930560373154897E-2</v>
      </c>
      <c r="U567" s="34">
        <f>_xll.qlYieldTSDiscount(OisCurve,Q567,,AllTriggers)</f>
        <v>0.97368735027464026</v>
      </c>
      <c r="V567" s="34">
        <f>_xll.qlYieldTSDiscount(OisCurve,R567,,AllTriggers)</f>
        <v>0.97086441198344975</v>
      </c>
      <c r="W567" s="33">
        <f t="shared" si="44"/>
        <v>1.150280907128351E-2</v>
      </c>
      <c r="X567" s="35">
        <f t="shared" si="45"/>
        <v>3.5979272697109281E-4</v>
      </c>
      <c r="Y567" s="33">
        <f t="shared" si="46"/>
        <v>1.4277513018713869E-3</v>
      </c>
      <c r="Z567" s="54"/>
    </row>
    <row r="568" spans="15:26" x14ac:dyDescent="0.25">
      <c r="O568" s="37" t="s">
        <v>31</v>
      </c>
      <c r="P568" s="31">
        <f>_xll.qlCalendarAdvance(Calendar,P567,O567,"f",,Trigger)</f>
        <v>44663</v>
      </c>
      <c r="Q568" s="31">
        <f>_xll.qlInterestRateIndexValueDate(Index,P568,Trigger)</f>
        <v>44665</v>
      </c>
      <c r="R568" s="31">
        <f>_xll.qlInterestRateIndexMaturity(Index,Q568,Trigger)</f>
        <v>44756</v>
      </c>
      <c r="S568" s="32">
        <f>_xll.qlDayCounterYearFraction(DayCounter,Q568,R568,,,Trigger)</f>
        <v>0.25277777777777777</v>
      </c>
      <c r="T568" s="33">
        <f>_xll.qlIndexFixing(Index,P568,,AllTriggers)</f>
        <v>1.2957381416864403E-2</v>
      </c>
      <c r="U568" s="34">
        <f>_xll.qlYieldTSDiscount(OisCurve,Q568,,AllTriggers)</f>
        <v>0.9734728784027078</v>
      </c>
      <c r="V568" s="34">
        <f>_xll.qlYieldTSDiscount(OisCurve,R568,,AllTriggers)</f>
        <v>0.97064426558344519</v>
      </c>
      <c r="W568" s="33">
        <f t="shared" si="44"/>
        <v>1.1528545569582176E-2</v>
      </c>
      <c r="X568" s="35">
        <f t="shared" si="45"/>
        <v>3.6006364753622715E-4</v>
      </c>
      <c r="Y568" s="33">
        <f t="shared" si="46"/>
        <v>1.4288358472822268E-3</v>
      </c>
      <c r="Z568" s="54"/>
    </row>
    <row r="569" spans="15:26" x14ac:dyDescent="0.25">
      <c r="O569" s="37" t="s">
        <v>31</v>
      </c>
      <c r="P569" s="31">
        <f>_xll.qlCalendarAdvance(Calendar,P568,O568,"f",,Trigger)</f>
        <v>44670</v>
      </c>
      <c r="Q569" s="31">
        <f>_xll.qlInterestRateIndexValueDate(Index,P569,Trigger)</f>
        <v>44672</v>
      </c>
      <c r="R569" s="31">
        <f>_xll.qlInterestRateIndexMaturity(Index,Q569,Trigger)</f>
        <v>44763</v>
      </c>
      <c r="S569" s="32">
        <f>_xll.qlDayCounterYearFraction(DayCounter,Q569,R569,,,Trigger)</f>
        <v>0.25277777777777777</v>
      </c>
      <c r="T569" s="33">
        <f>_xll.qlIndexFixing(Index,P569,,AllTriggers)</f>
        <v>1.2983984516983703E-2</v>
      </c>
      <c r="U569" s="34">
        <f>_xll.qlYieldTSDiscount(OisCurve,Q569,,AllTriggers)</f>
        <v>0.97325793345451472</v>
      </c>
      <c r="V569" s="34">
        <f>_xll.qlYieldTSDiscount(OisCurve,R569,,AllTriggers)</f>
        <v>0.97042370427764735</v>
      </c>
      <c r="W569" s="33">
        <f t="shared" si="44"/>
        <v>1.1554061546276348E-2</v>
      </c>
      <c r="X569" s="35">
        <f t="shared" si="45"/>
        <v>3.6033523407028468E-4</v>
      </c>
      <c r="Y569" s="33">
        <f t="shared" si="46"/>
        <v>1.4299229707073549E-3</v>
      </c>
      <c r="Z569" s="54"/>
    </row>
    <row r="570" spans="15:26" x14ac:dyDescent="0.25">
      <c r="O570" s="37" t="s">
        <v>31</v>
      </c>
      <c r="P570" s="31">
        <f>_xll.qlCalendarAdvance(Calendar,P569,O569,"f",,Trigger)</f>
        <v>44677</v>
      </c>
      <c r="Q570" s="31">
        <f>_xll.qlInterestRateIndexValueDate(Index,P570,Trigger)</f>
        <v>44679</v>
      </c>
      <c r="R570" s="31">
        <f>_xll.qlInterestRateIndexMaturity(Index,Q570,Trigger)</f>
        <v>44770</v>
      </c>
      <c r="S570" s="32">
        <f>_xll.qlDayCounterYearFraction(DayCounter,Q570,R570,,,Trigger)</f>
        <v>0.25277777777777777</v>
      </c>
      <c r="T570" s="33">
        <f>_xll.qlIndexFixing(Index,P570,,AllTriggers)</f>
        <v>1.3010389079458654E-2</v>
      </c>
      <c r="U570" s="34">
        <f>_xll.qlYieldTSDiscount(OisCurve,Q570,,AllTriggers)</f>
        <v>0.97304252541057012</v>
      </c>
      <c r="V570" s="34">
        <f>_xll.qlYieldTSDiscount(OisCurve,R570,,AllTriggers)</f>
        <v>0.9702027304519788</v>
      </c>
      <c r="W570" s="33">
        <f t="shared" si="44"/>
        <v>1.1579387822486627E-2</v>
      </c>
      <c r="X570" s="35">
        <f t="shared" si="45"/>
        <v>3.6060460776022484E-4</v>
      </c>
      <c r="Y570" s="33">
        <f t="shared" si="46"/>
        <v>1.4310012569720264E-3</v>
      </c>
      <c r="Z570" s="54"/>
    </row>
    <row r="571" spans="15:26" x14ac:dyDescent="0.25">
      <c r="O571" s="37" t="s">
        <v>31</v>
      </c>
      <c r="P571" s="31">
        <f>_xll.qlCalendarAdvance(Calendar,P570,O570,"f",,Trigger)</f>
        <v>44684</v>
      </c>
      <c r="Q571" s="31">
        <f>_xll.qlInterestRateIndexValueDate(Index,P571,Trigger)</f>
        <v>44686</v>
      </c>
      <c r="R571" s="31">
        <f>_xll.qlInterestRateIndexMaturity(Index,Q571,Trigger)</f>
        <v>44778</v>
      </c>
      <c r="S571" s="32">
        <f>_xll.qlDayCounterYearFraction(DayCounter,Q571,R571,,,Trigger)</f>
        <v>0.25555555555555554</v>
      </c>
      <c r="T571" s="33">
        <f>_xll.qlIndexFixing(Index,P571,,AllTriggers)</f>
        <v>1.3038693922520024E-2</v>
      </c>
      <c r="U571" s="34">
        <f>_xll.qlYieldTSDiscount(OisCurve,Q571,,AllTriggers)</f>
        <v>0.97282666424350661</v>
      </c>
      <c r="V571" s="34">
        <f>_xll.qlYieldTSDiscount(OisCurve,R571,,AllTriggers)</f>
        <v>0.96994968686939109</v>
      </c>
      <c r="W571" s="33">
        <f t="shared" si="44"/>
        <v>1.1606517021746136E-2</v>
      </c>
      <c r="X571" s="35">
        <f t="shared" si="45"/>
        <v>3.6485180900611201E-4</v>
      </c>
      <c r="Y571" s="33">
        <f t="shared" si="46"/>
        <v>1.4321769007738881E-3</v>
      </c>
      <c r="Z571" s="54"/>
    </row>
    <row r="572" spans="15:26" x14ac:dyDescent="0.25">
      <c r="O572" s="37" t="s">
        <v>31</v>
      </c>
      <c r="P572" s="31">
        <f>_xll.qlCalendarAdvance(Calendar,P571,O571,"f",,Trigger)</f>
        <v>44691</v>
      </c>
      <c r="Q572" s="31">
        <f>_xll.qlInterestRateIndexValueDate(Index,P572,Trigger)</f>
        <v>44693</v>
      </c>
      <c r="R572" s="31">
        <f>_xll.qlInterestRateIndexMaturity(Index,Q572,Trigger)</f>
        <v>44785</v>
      </c>
      <c r="S572" s="32">
        <f>_xll.qlDayCounterYearFraction(DayCounter,Q572,R572,,,Trigger)</f>
        <v>0.25555555555555554</v>
      </c>
      <c r="T572" s="33">
        <f>_xll.qlIndexFixing(Index,P572,,AllTriggers)</f>
        <v>1.3064749694697264E-2</v>
      </c>
      <c r="U572" s="34">
        <f>_xll.qlYieldTSDiscount(OisCurve,Q572,,AllTriggers)</f>
        <v>0.97261035981889798</v>
      </c>
      <c r="V572" s="34">
        <f>_xll.qlYieldTSDiscount(OisCurve,R572,,AllTriggers)</f>
        <v>0.96972783710040378</v>
      </c>
      <c r="W572" s="33">
        <f t="shared" si="44"/>
        <v>1.1631548866607397E-2</v>
      </c>
      <c r="X572" s="35">
        <f t="shared" si="45"/>
        <v>3.6511028197937332E-4</v>
      </c>
      <c r="Y572" s="33">
        <f t="shared" si="46"/>
        <v>1.4332008280898666E-3</v>
      </c>
      <c r="Z572" s="54"/>
    </row>
    <row r="573" spans="15:26" x14ac:dyDescent="0.25">
      <c r="O573" s="37" t="s">
        <v>31</v>
      </c>
      <c r="P573" s="31">
        <f>_xll.qlCalendarAdvance(Calendar,P572,O572,"f",,Trigger)</f>
        <v>44698</v>
      </c>
      <c r="Q573" s="31">
        <f>_xll.qlInterestRateIndexValueDate(Index,P573,Trigger)</f>
        <v>44700</v>
      </c>
      <c r="R573" s="31">
        <f>_xll.qlInterestRateIndexMaturity(Index,Q573,Trigger)</f>
        <v>44792</v>
      </c>
      <c r="S573" s="32">
        <f>_xll.qlDayCounterYearFraction(DayCounter,Q573,R573,,,Trigger)</f>
        <v>0.25555555555555554</v>
      </c>
      <c r="T573" s="33">
        <f>_xll.qlIndexFixing(Index,P573,,AllTriggers)</f>
        <v>1.3090656230622449E-2</v>
      </c>
      <c r="U573" s="34">
        <f>_xll.qlYieldTSDiscount(OisCurve,Q573,,AllTriggers)</f>
        <v>0.97239361871997976</v>
      </c>
      <c r="V573" s="34">
        <f>_xll.qlYieldTSDiscount(OisCurve,R573,,AllTriggers)</f>
        <v>0.96950558230117867</v>
      </c>
      <c r="W573" s="33">
        <f t="shared" si="44"/>
        <v>1.1656469317841291E-2</v>
      </c>
      <c r="X573" s="35">
        <f t="shared" si="45"/>
        <v>3.6535912330900173E-4</v>
      </c>
      <c r="Y573" s="33">
        <f t="shared" si="46"/>
        <v>1.4341869127811584E-3</v>
      </c>
      <c r="Z573" s="54"/>
    </row>
    <row r="574" spans="15:26" x14ac:dyDescent="0.25">
      <c r="O574" s="37" t="s">
        <v>31</v>
      </c>
      <c r="P574" s="31">
        <f>_xll.qlCalendarAdvance(Calendar,P573,O573,"f",,Trigger)</f>
        <v>44705</v>
      </c>
      <c r="Q574" s="31">
        <f>_xll.qlInterestRateIndexValueDate(Index,P574,Trigger)</f>
        <v>44707</v>
      </c>
      <c r="R574" s="31">
        <f>_xll.qlInterestRateIndexMaturity(Index,Q574,Trigger)</f>
        <v>44799</v>
      </c>
      <c r="S574" s="32">
        <f>_xll.qlDayCounterYearFraction(DayCounter,Q574,R574,,,Trigger)</f>
        <v>0.25555555555555554</v>
      </c>
      <c r="T574" s="33">
        <f>_xll.qlIndexFixing(Index,P574,,AllTriggers)</f>
        <v>1.3116414124440317E-2</v>
      </c>
      <c r="U574" s="34">
        <f>_xll.qlYieldTSDiscount(OisCurve,Q574,,AllTriggers)</f>
        <v>0.97217644357963395</v>
      </c>
      <c r="V574" s="34">
        <f>_xll.qlYieldTSDiscount(OisCurve,R574,,AllTriggers)</f>
        <v>0.96928292485188972</v>
      </c>
      <c r="W574" s="33">
        <f t="shared" si="44"/>
        <v>1.1681279321571867E-2</v>
      </c>
      <c r="X574" s="35">
        <f t="shared" si="45"/>
        <v>3.6559824346923839E-4</v>
      </c>
      <c r="Y574" s="33">
        <f t="shared" si="46"/>
        <v>1.4351348028684499E-3</v>
      </c>
      <c r="Z574" s="54"/>
    </row>
    <row r="575" spans="15:26" x14ac:dyDescent="0.25">
      <c r="O575" s="37" t="s">
        <v>31</v>
      </c>
      <c r="P575" s="31">
        <f>_xll.qlCalendarAdvance(Calendar,P574,O574,"f",,Trigger)</f>
        <v>44712</v>
      </c>
      <c r="Q575" s="31">
        <f>_xll.qlInterestRateIndexValueDate(Index,P575,Trigger)</f>
        <v>44714</v>
      </c>
      <c r="R575" s="31">
        <f>_xll.qlInterestRateIndexMaturity(Index,Q575,Trigger)</f>
        <v>44806</v>
      </c>
      <c r="S575" s="32">
        <f>_xll.qlDayCounterYearFraction(DayCounter,Q575,R575,,,Trigger)</f>
        <v>0.25555555555555554</v>
      </c>
      <c r="T575" s="33">
        <f>_xll.qlIndexFixing(Index,P575,,AllTriggers)</f>
        <v>1.3142023373222775E-2</v>
      </c>
      <c r="U575" s="34">
        <f>_xll.qlYieldTSDiscount(OisCurve,Q575,,AllTriggers)</f>
        <v>0.97195883679441486</v>
      </c>
      <c r="V575" s="34">
        <f>_xll.qlYieldTSDiscount(OisCurve,R575,,AllTriggers)</f>
        <v>0.96905986713129932</v>
      </c>
      <c r="W575" s="33">
        <f t="shared" si="44"/>
        <v>1.1705978875702544E-2</v>
      </c>
      <c r="X575" s="35">
        <f t="shared" si="45"/>
        <v>3.65827642459732E-4</v>
      </c>
      <c r="Y575" s="33">
        <f t="shared" si="46"/>
        <v>1.4360444975202308E-3</v>
      </c>
      <c r="Z575" s="54"/>
    </row>
    <row r="576" spans="15:26" x14ac:dyDescent="0.25">
      <c r="O576" s="37" t="s">
        <v>31</v>
      </c>
      <c r="P576" s="31">
        <f>_xll.qlCalendarAdvance(Calendar,P575,O575,"f",,Trigger)</f>
        <v>44719</v>
      </c>
      <c r="Q576" s="31">
        <f>_xll.qlInterestRateIndexValueDate(Index,P576,Trigger)</f>
        <v>44721</v>
      </c>
      <c r="R576" s="31">
        <f>_xll.qlInterestRateIndexMaturity(Index,Q576,Trigger)</f>
        <v>44813</v>
      </c>
      <c r="S576" s="32">
        <f>_xll.qlDayCounterYearFraction(DayCounter,Q576,R576,,,Trigger)</f>
        <v>0.25555555555555554</v>
      </c>
      <c r="T576" s="33">
        <f>_xll.qlIndexFixing(Index,P576,,AllTriggers)</f>
        <v>1.3167483974059107E-2</v>
      </c>
      <c r="U576" s="34">
        <f>_xll.qlYieldTSDiscount(OisCurve,Q576,,AllTriggers)</f>
        <v>0.97174080075958236</v>
      </c>
      <c r="V576" s="34">
        <f>_xll.qlYieldTSDiscount(OisCurve,R576,,AllTriggers)</f>
        <v>0.96883641151674871</v>
      </c>
      <c r="W576" s="33">
        <f t="shared" si="44"/>
        <v>1.1730567978147161E-2</v>
      </c>
      <c r="X576" s="35">
        <f t="shared" si="45"/>
        <v>3.660473202802918E-4</v>
      </c>
      <c r="Y576" s="33">
        <f t="shared" si="46"/>
        <v>1.4369159959119453E-3</v>
      </c>
      <c r="Z576" s="54"/>
    </row>
    <row r="577" spans="15:26" x14ac:dyDescent="0.25">
      <c r="O577" s="37" t="s">
        <v>31</v>
      </c>
      <c r="P577" s="31">
        <f>_xll.qlCalendarAdvance(Calendar,P576,O576,"f",,Trigger)</f>
        <v>44726</v>
      </c>
      <c r="Q577" s="31">
        <f>_xll.qlInterestRateIndexValueDate(Index,P577,Trigger)</f>
        <v>44728</v>
      </c>
      <c r="R577" s="31">
        <f>_xll.qlInterestRateIndexMaturity(Index,Q577,Trigger)</f>
        <v>44820</v>
      </c>
      <c r="S577" s="32">
        <f>_xll.qlDayCounterYearFraction(DayCounter,Q577,R577,,,Trigger)</f>
        <v>0.25555555555555554</v>
      </c>
      <c r="T577" s="33">
        <f>_xll.qlIndexFixing(Index,P577,,AllTriggers)</f>
        <v>1.3192795924055105E-2</v>
      </c>
      <c r="U577" s="34">
        <f>_xll.qlYieldTSDiscount(OisCurve,Q577,,AllTriggers)</f>
        <v>0.9715223378690917</v>
      </c>
      <c r="V577" s="34">
        <f>_xll.qlYieldTSDiscount(OisCurve,R577,,AllTriggers)</f>
        <v>0.96861256038414922</v>
      </c>
      <c r="W577" s="33">
        <f t="shared" si="44"/>
        <v>1.1755046626825647E-2</v>
      </c>
      <c r="X577" s="35">
        <f t="shared" si="45"/>
        <v>3.6625727693155331E-4</v>
      </c>
      <c r="Y577" s="33">
        <f t="shared" si="46"/>
        <v>1.4377492972294584E-3</v>
      </c>
      <c r="Z577" s="54"/>
    </row>
    <row r="578" spans="15:26" x14ac:dyDescent="0.25">
      <c r="O578" s="37" t="s">
        <v>31</v>
      </c>
      <c r="P578" s="31">
        <f>_xll.qlCalendarAdvance(Calendar,P577,O577,"f",,Trigger)</f>
        <v>44733</v>
      </c>
      <c r="Q578" s="31">
        <f>_xll.qlInterestRateIndexValueDate(Index,P578,Trigger)</f>
        <v>44735</v>
      </c>
      <c r="R578" s="31">
        <f>_xll.qlInterestRateIndexMaturity(Index,Q578,Trigger)</f>
        <v>44827</v>
      </c>
      <c r="S578" s="32">
        <f>_xll.qlDayCounterYearFraction(DayCounter,Q578,R578,,,Trigger)</f>
        <v>0.25555555555555554</v>
      </c>
      <c r="T578" s="33">
        <f>_xll.qlIndexFixing(Index,P578,,AllTriggers)</f>
        <v>1.3217959220334811E-2</v>
      </c>
      <c r="U578" s="34">
        <f>_xll.qlYieldTSDiscount(OisCurve,Q578,,AllTriggers)</f>
        <v>0.97130345051558398</v>
      </c>
      <c r="V578" s="34">
        <f>_xll.qlYieldTSDiscount(OisCurve,R578,,AllTriggers)</f>
        <v>0.96838831610797227</v>
      </c>
      <c r="W578" s="33">
        <f t="shared" si="44"/>
        <v>1.1779414819670955E-2</v>
      </c>
      <c r="X578" s="35">
        <f t="shared" si="45"/>
        <v>3.6645751241342462E-4</v>
      </c>
      <c r="Y578" s="33">
        <f t="shared" si="46"/>
        <v>1.4385444006638562E-3</v>
      </c>
      <c r="Z578" s="54"/>
    </row>
    <row r="579" spans="15:26" x14ac:dyDescent="0.25">
      <c r="O579" s="37" t="s">
        <v>31</v>
      </c>
      <c r="P579" s="31">
        <f>_xll.qlCalendarAdvance(Calendar,P578,O578,"f",,Trigger)</f>
        <v>44740</v>
      </c>
      <c r="Q579" s="31">
        <f>_xll.qlInterestRateIndexValueDate(Index,P579,Trigger)</f>
        <v>44742</v>
      </c>
      <c r="R579" s="31">
        <f>_xll.qlInterestRateIndexMaturity(Index,Q579,Trigger)</f>
        <v>44834</v>
      </c>
      <c r="S579" s="32">
        <f>_xll.qlDayCounterYearFraction(DayCounter,Q579,R579,,,Trigger)</f>
        <v>0.25555555555555554</v>
      </c>
      <c r="T579" s="33">
        <f>_xll.qlIndexFixing(Index,P579,,AllTriggers)</f>
        <v>1.3242973860035296E-2</v>
      </c>
      <c r="U579" s="34">
        <f>_xll.qlYieldTSDiscount(OisCurve,Q579,,AllTriggers)</f>
        <v>0.97108414109037566</v>
      </c>
      <c r="V579" s="34">
        <f>_xll.qlYieldTSDiscount(OisCurve,R579,,AllTriggers)</f>
        <v>0.9681636810612414</v>
      </c>
      <c r="W579" s="33">
        <f t="shared" si="44"/>
        <v>1.1803672554622998E-2</v>
      </c>
      <c r="X579" s="35">
        <f t="shared" si="45"/>
        <v>3.6664802672508641E-4</v>
      </c>
      <c r="Y579" s="33">
        <f t="shared" si="46"/>
        <v>1.4393013054122984E-3</v>
      </c>
      <c r="Z579" s="54"/>
    </row>
    <row r="580" spans="15:26" x14ac:dyDescent="0.25">
      <c r="O580" s="37" t="s">
        <v>31</v>
      </c>
      <c r="P580" s="31">
        <f>_xll.qlCalendarAdvance(Calendar,P579,O579,"f",,Trigger)</f>
        <v>44747</v>
      </c>
      <c r="Q580" s="31">
        <f>_xll.qlInterestRateIndexValueDate(Index,P580,Trigger)</f>
        <v>44749</v>
      </c>
      <c r="R580" s="31">
        <f>_xll.qlInterestRateIndexMaturity(Index,Q580,Trigger)</f>
        <v>44841</v>
      </c>
      <c r="S580" s="32">
        <f>_xll.qlDayCounterYearFraction(DayCounter,Q580,R580,,,Trigger)</f>
        <v>0.25555555555555554</v>
      </c>
      <c r="T580" s="33">
        <f>_xll.qlIndexFixing(Index,P580,,AllTriggers)</f>
        <v>1.3267839840316225E-2</v>
      </c>
      <c r="U580" s="34">
        <f>_xll.qlYieldTSDiscount(OisCurve,Q580,,AllTriggers)</f>
        <v>0.97086441198344975</v>
      </c>
      <c r="V580" s="34">
        <f>_xll.qlYieldTSDiscount(OisCurve,R580,,AllTriggers)</f>
        <v>0.96793865761552211</v>
      </c>
      <c r="W580" s="33">
        <f t="shared" ref="W580:W643" si="47">(U580/V580-1)/S580</f>
        <v>1.1827819829632108E-2</v>
      </c>
      <c r="X580" s="35">
        <f t="shared" ref="X580:X643" si="48">LN((1+T580*S580)/(1+W580*S580))</f>
        <v>3.6682881986765546E-4</v>
      </c>
      <c r="Y580" s="33">
        <f t="shared" ref="Y580:Y643" si="49">T580-W580</f>
        <v>1.440020010684117E-3</v>
      </c>
      <c r="Z580" s="54"/>
    </row>
    <row r="581" spans="15:26" x14ac:dyDescent="0.25">
      <c r="O581" s="37" t="s">
        <v>31</v>
      </c>
      <c r="P581" s="31">
        <f>_xll.qlCalendarAdvance(Calendar,P580,O580,"f",,Trigger)</f>
        <v>44754</v>
      </c>
      <c r="Q581" s="31">
        <f>_xll.qlInterestRateIndexValueDate(Index,P581,Trigger)</f>
        <v>44756</v>
      </c>
      <c r="R581" s="31">
        <f>_xll.qlInterestRateIndexMaturity(Index,Q581,Trigger)</f>
        <v>44848</v>
      </c>
      <c r="S581" s="32">
        <f>_xll.qlDayCounterYearFraction(DayCounter,Q581,R581,,,Trigger)</f>
        <v>0.25555555555555554</v>
      </c>
      <c r="T581" s="33">
        <f>_xll.qlIndexFixing(Index,P581,,AllTriggers)</f>
        <v>1.3292557158348555E-2</v>
      </c>
      <c r="U581" s="34">
        <f>_xll.qlYieldTSDiscount(OisCurve,Q581,,AllTriggers)</f>
        <v>0.97064426558344519</v>
      </c>
      <c r="V581" s="34">
        <f>_xll.qlYieldTSDiscount(OisCurve,R581,,AllTriggers)</f>
        <v>0.96771324814091364</v>
      </c>
      <c r="W581" s="33">
        <f t="shared" si="47"/>
        <v>1.1851856642658179E-2</v>
      </c>
      <c r="X581" s="35">
        <f t="shared" si="48"/>
        <v>3.6699989184041127E-4</v>
      </c>
      <c r="Y581" s="33">
        <f t="shared" si="49"/>
        <v>1.4407005156903754E-3</v>
      </c>
      <c r="Z581" s="54"/>
    </row>
    <row r="582" spans="15:26" x14ac:dyDescent="0.25">
      <c r="O582" s="37" t="s">
        <v>31</v>
      </c>
      <c r="P582" s="31">
        <f>_xll.qlCalendarAdvance(Calendar,P581,O581,"f",,Trigger)</f>
        <v>44761</v>
      </c>
      <c r="Q582" s="31">
        <f>_xll.qlInterestRateIndexValueDate(Index,P582,Trigger)</f>
        <v>44763</v>
      </c>
      <c r="R582" s="31">
        <f>_xll.qlInterestRateIndexMaturity(Index,Q582,Trigger)</f>
        <v>44855</v>
      </c>
      <c r="S582" s="32">
        <f>_xll.qlDayCounterYearFraction(DayCounter,Q582,R582,,,Trigger)</f>
        <v>0.25555555555555554</v>
      </c>
      <c r="T582" s="33">
        <f>_xll.qlIndexFixing(Index,P582,,AllTriggers)</f>
        <v>1.3317125811324097E-2</v>
      </c>
      <c r="U582" s="34">
        <f>_xll.qlYieldTSDiscount(OisCurve,Q582,,AllTriggers)</f>
        <v>0.97042370427764735</v>
      </c>
      <c r="V582" s="34">
        <f>_xll.qlYieldTSDiscount(OisCurve,R582,,AllTriggers)</f>
        <v>0.96748745500603928</v>
      </c>
      <c r="W582" s="33">
        <f t="shared" si="47"/>
        <v>1.1875782991668925E-2</v>
      </c>
      <c r="X582" s="35">
        <f t="shared" si="48"/>
        <v>3.6716124264345981E-4</v>
      </c>
      <c r="Y582" s="33">
        <f t="shared" si="49"/>
        <v>1.4413428196551718E-3</v>
      </c>
      <c r="Z582" s="54"/>
    </row>
    <row r="583" spans="15:26" x14ac:dyDescent="0.25">
      <c r="O583" s="37" t="s">
        <v>31</v>
      </c>
      <c r="P583" s="31">
        <f>_xll.qlCalendarAdvance(Calendar,P582,O582,"f",,Trigger)</f>
        <v>44768</v>
      </c>
      <c r="Q583" s="31">
        <f>_xll.qlInterestRateIndexValueDate(Index,P583,Trigger)</f>
        <v>44770</v>
      </c>
      <c r="R583" s="31">
        <f>_xll.qlInterestRateIndexMaturity(Index,Q583,Trigger)</f>
        <v>44862</v>
      </c>
      <c r="S583" s="32">
        <f>_xll.qlDayCounterYearFraction(DayCounter,Q583,R583,,,Trigger)</f>
        <v>0.25555555555555554</v>
      </c>
      <c r="T583" s="33">
        <f>_xll.qlIndexFixing(Index,P583,,AllTriggers)</f>
        <v>1.3341545796450307E-2</v>
      </c>
      <c r="U583" s="34">
        <f>_xll.qlYieldTSDiscount(OisCurve,Q583,,AllTriggers)</f>
        <v>0.9702027304519788</v>
      </c>
      <c r="V583" s="34">
        <f>_xll.qlYieldTSDiscount(OisCurve,R583,,AllTriggers)</f>
        <v>0.96726128057803873</v>
      </c>
      <c r="W583" s="33">
        <f t="shared" si="47"/>
        <v>1.1899598874643353E-2</v>
      </c>
      <c r="X583" s="35">
        <f t="shared" si="48"/>
        <v>3.6731287227706726E-4</v>
      </c>
      <c r="Y583" s="33">
        <f t="shared" si="49"/>
        <v>1.4419469218069532E-3</v>
      </c>
      <c r="Z583" s="54"/>
    </row>
    <row r="584" spans="15:26" x14ac:dyDescent="0.25">
      <c r="O584" s="37" t="s">
        <v>31</v>
      </c>
      <c r="P584" s="31">
        <f>_xll.qlCalendarAdvance(Calendar,P583,O583,"f",,Trigger)</f>
        <v>44775</v>
      </c>
      <c r="Q584" s="31">
        <f>_xll.qlInterestRateIndexValueDate(Index,P584,Trigger)</f>
        <v>44777</v>
      </c>
      <c r="R584" s="31">
        <f>_xll.qlInterestRateIndexMaturity(Index,Q584,Trigger)</f>
        <v>44869</v>
      </c>
      <c r="S584" s="32">
        <f>_xll.qlDayCounterYearFraction(DayCounter,Q584,R584,,,Trigger)</f>
        <v>0.25555555555555554</v>
      </c>
      <c r="T584" s="33">
        <f>_xll.qlIndexFixing(Index,P584,,AllTriggers)</f>
        <v>1.3365817110951137E-2</v>
      </c>
      <c r="U584" s="34">
        <f>_xll.qlYieldTSDiscount(OisCurve,Q584,,AllTriggers)</f>
        <v>0.96998134649098922</v>
      </c>
      <c r="V584" s="34">
        <f>_xll.qlYieldTSDiscount(OisCurve,R584,,AllTriggers)</f>
        <v>0.96703472722255746</v>
      </c>
      <c r="W584" s="33">
        <f t="shared" si="47"/>
        <v>1.1923304289569159E-2</v>
      </c>
      <c r="X584" s="35">
        <f t="shared" si="48"/>
        <v>3.6745478074077257E-4</v>
      </c>
      <c r="Y584" s="33">
        <f t="shared" si="49"/>
        <v>1.442512821381978E-3</v>
      </c>
      <c r="Z584" s="54"/>
    </row>
    <row r="585" spans="15:26" x14ac:dyDescent="0.25">
      <c r="O585" s="37" t="s">
        <v>31</v>
      </c>
      <c r="P585" s="31">
        <f>_xll.qlCalendarAdvance(Calendar,P584,O584,"f",,Trigger)</f>
        <v>44782</v>
      </c>
      <c r="Q585" s="31">
        <f>_xll.qlInterestRateIndexValueDate(Index,P585,Trigger)</f>
        <v>44784</v>
      </c>
      <c r="R585" s="31">
        <f>_xll.qlInterestRateIndexMaturity(Index,Q585,Trigger)</f>
        <v>44876</v>
      </c>
      <c r="S585" s="32">
        <f>_xll.qlDayCounterYearFraction(DayCounter,Q585,R585,,,Trigger)</f>
        <v>0.25555555555555554</v>
      </c>
      <c r="T585" s="33">
        <f>_xll.qlIndexFixing(Index,P585,,AllTriggers)</f>
        <v>1.3389939752067063E-2</v>
      </c>
      <c r="U585" s="34">
        <f>_xll.qlYieldTSDiscount(OisCurve,Q585,,AllTriggers)</f>
        <v>0.96975955477784626</v>
      </c>
      <c r="V585" s="34">
        <f>_xll.qlYieldTSDiscount(OisCurve,R585,,AllTriggers)</f>
        <v>0.96680779730374</v>
      </c>
      <c r="W585" s="33">
        <f t="shared" si="47"/>
        <v>1.194689923444099E-2</v>
      </c>
      <c r="X585" s="35">
        <f t="shared" si="48"/>
        <v>3.6758696803516281E-4</v>
      </c>
      <c r="Y585" s="33">
        <f t="shared" si="49"/>
        <v>1.4430405176260735E-3</v>
      </c>
      <c r="Z585" s="54"/>
    </row>
    <row r="586" spans="15:26" x14ac:dyDescent="0.25">
      <c r="O586" s="37" t="s">
        <v>31</v>
      </c>
      <c r="P586" s="31">
        <f>_xll.qlCalendarAdvance(Calendar,P585,O585,"f",,Trigger)</f>
        <v>44789</v>
      </c>
      <c r="Q586" s="31">
        <f>_xll.qlInterestRateIndexValueDate(Index,P586,Trigger)</f>
        <v>44791</v>
      </c>
      <c r="R586" s="31">
        <f>_xll.qlInterestRateIndexMaturity(Index,Q586,Trigger)</f>
        <v>44883</v>
      </c>
      <c r="S586" s="32">
        <f>_xll.qlDayCounterYearFraction(DayCounter,Q586,R586,,,Trigger)</f>
        <v>0.25555555555555554</v>
      </c>
      <c r="T586" s="33">
        <f>_xll.qlIndexFixing(Index,P586,,AllTriggers)</f>
        <v>1.3413913717056794E-2</v>
      </c>
      <c r="U586" s="34">
        <f>_xll.qlYieldTSDiscount(OisCurve,Q586,,AllTriggers)</f>
        <v>0.96953735769432592</v>
      </c>
      <c r="V586" s="34">
        <f>_xll.qlYieldTSDiscount(OisCurve,R586,,AllTriggers)</f>
        <v>0.96658049318421935</v>
      </c>
      <c r="W586" s="33">
        <f t="shared" si="47"/>
        <v>1.197038370726566E-2</v>
      </c>
      <c r="X586" s="35">
        <f t="shared" si="48"/>
        <v>3.6770943416009776E-4</v>
      </c>
      <c r="Y586" s="33">
        <f t="shared" si="49"/>
        <v>1.4435300097911333E-3</v>
      </c>
      <c r="Z586" s="54"/>
    </row>
    <row r="587" spans="15:26" x14ac:dyDescent="0.25">
      <c r="O587" s="37" t="s">
        <v>31</v>
      </c>
      <c r="P587" s="31">
        <f>_xll.qlCalendarAdvance(Calendar,P586,O586,"f",,Trigger)</f>
        <v>44796</v>
      </c>
      <c r="Q587" s="31">
        <f>_xll.qlInterestRateIndexValueDate(Index,P587,Trigger)</f>
        <v>44798</v>
      </c>
      <c r="R587" s="31">
        <f>_xll.qlInterestRateIndexMaturity(Index,Q587,Trigger)</f>
        <v>44890</v>
      </c>
      <c r="S587" s="32">
        <f>_xll.qlDayCounterYearFraction(DayCounter,Q587,R587,,,Trigger)</f>
        <v>0.25555555555555554</v>
      </c>
      <c r="T587" s="33">
        <f>_xll.qlIndexFixing(Index,P587,,AllTriggers)</f>
        <v>1.3437739003194686E-2</v>
      </c>
      <c r="U587" s="34">
        <f>_xll.qlYieldTSDiscount(OisCurve,Q587,,AllTriggers)</f>
        <v>0.96931475762080321</v>
      </c>
      <c r="V587" s="34">
        <f>_xll.qlYieldTSDiscount(OisCurve,R587,,AllTriggers)</f>
        <v>0.96635281722510946</v>
      </c>
      <c r="W587" s="33">
        <f t="shared" si="47"/>
        <v>1.1993757706060405E-2</v>
      </c>
      <c r="X587" s="35">
        <f t="shared" si="48"/>
        <v>3.6782217911493156E-4</v>
      </c>
      <c r="Y587" s="33">
        <f t="shared" si="49"/>
        <v>1.4439812971342812E-3</v>
      </c>
      <c r="Z587" s="54"/>
    </row>
    <row r="588" spans="15:26" x14ac:dyDescent="0.25">
      <c r="O588" s="37" t="s">
        <v>31</v>
      </c>
      <c r="P588" s="31">
        <f>_xll.qlCalendarAdvance(Calendar,P587,O587,"f",,Trigger)</f>
        <v>44803</v>
      </c>
      <c r="Q588" s="31">
        <f>_xll.qlInterestRateIndexValueDate(Index,P588,Trigger)</f>
        <v>44805</v>
      </c>
      <c r="R588" s="31">
        <f>_xll.qlInterestRateIndexMaturity(Index,Q588,Trigger)</f>
        <v>44896</v>
      </c>
      <c r="S588" s="32">
        <f>_xll.qlDayCounterYearFraction(DayCounter,Q588,R588,,,Trigger)</f>
        <v>0.25277777777777777</v>
      </c>
      <c r="T588" s="33">
        <f>_xll.qlIndexFixing(Index,P588,,AllTriggers)</f>
        <v>1.3459501184874078E-2</v>
      </c>
      <c r="U588" s="34">
        <f>_xll.qlYieldTSDiscount(OisCurve,Q588,,AllTriggers)</f>
        <v>0.9690917569362425</v>
      </c>
      <c r="V588" s="34">
        <f>_xll.qlYieldTSDiscount(OisCurve,R588,,AllTriggers)</f>
        <v>0.96615737223770548</v>
      </c>
      <c r="W588" s="33">
        <f t="shared" si="47"/>
        <v>1.2015180119640858E-2</v>
      </c>
      <c r="X588" s="35">
        <f t="shared" si="48"/>
        <v>3.6392055222995317E-4</v>
      </c>
      <c r="Y588" s="33">
        <f t="shared" si="49"/>
        <v>1.44432106523322E-3</v>
      </c>
      <c r="Z588" s="54"/>
    </row>
    <row r="589" spans="15:26" x14ac:dyDescent="0.25">
      <c r="O589" s="37" t="s">
        <v>31</v>
      </c>
      <c r="P589" s="31">
        <f>_xll.qlCalendarAdvance(Calendar,P588,O588,"f",,Trigger)</f>
        <v>44810</v>
      </c>
      <c r="Q589" s="31">
        <f>_xll.qlInterestRateIndexValueDate(Index,P589,Trigger)</f>
        <v>44812</v>
      </c>
      <c r="R589" s="31">
        <f>_xll.qlInterestRateIndexMaturity(Index,Q589,Trigger)</f>
        <v>44903</v>
      </c>
      <c r="S589" s="32">
        <f>_xll.qlDayCounterYearFraction(DayCounter,Q589,R589,,,Trigger)</f>
        <v>0.25277777777777777</v>
      </c>
      <c r="T589" s="33">
        <f>_xll.qlIndexFixing(Index,P589,,AllTriggers)</f>
        <v>1.3483038846427535E-2</v>
      </c>
      <c r="U589" s="34">
        <f>_xll.qlYieldTSDiscount(OisCurve,Q589,,AllTriggers)</f>
        <v>0.96886835801818882</v>
      </c>
      <c r="V589" s="34">
        <f>_xll.qlYieldTSDiscount(OisCurve,R589,,AllTriggers)</f>
        <v>0.96592901197831993</v>
      </c>
      <c r="W589" s="33">
        <f t="shared" si="47"/>
        <v>1.2038340283339799E-2</v>
      </c>
      <c r="X589" s="35">
        <f t="shared" si="48"/>
        <v>3.640135275084815E-4</v>
      </c>
      <c r="Y589" s="33">
        <f t="shared" si="49"/>
        <v>1.4446985630877356E-3</v>
      </c>
      <c r="Z589" s="54"/>
    </row>
    <row r="590" spans="15:26" x14ac:dyDescent="0.25">
      <c r="O590" s="37" t="s">
        <v>31</v>
      </c>
      <c r="P590" s="31">
        <f>_xll.qlCalendarAdvance(Calendar,P589,O589,"f",,Trigger)</f>
        <v>44817</v>
      </c>
      <c r="Q590" s="31">
        <f>_xll.qlInterestRateIndexValueDate(Index,P590,Trigger)</f>
        <v>44819</v>
      </c>
      <c r="R590" s="31">
        <f>_xll.qlInterestRateIndexMaturity(Index,Q590,Trigger)</f>
        <v>44910</v>
      </c>
      <c r="S590" s="32">
        <f>_xll.qlDayCounterYearFraction(DayCounter,Q590,R590,,,Trigger)</f>
        <v>0.25277777777777777</v>
      </c>
      <c r="T590" s="33">
        <f>_xll.qlIndexFixing(Index,P590,,AllTriggers)</f>
        <v>1.3506427825280554E-2</v>
      </c>
      <c r="U590" s="34">
        <f>_xll.qlYieldTSDiscount(OisCurve,Q590,,AllTriggers)</f>
        <v>0.96864456324275827</v>
      </c>
      <c r="V590" s="34">
        <f>_xll.qlYieldTSDiscount(OisCurve,R590,,AllTriggers)</f>
        <v>0.96570028661693619</v>
      </c>
      <c r="W590" s="33">
        <f t="shared" si="47"/>
        <v>1.206138996945913E-2</v>
      </c>
      <c r="X590" s="35">
        <f t="shared" si="48"/>
        <v>3.6409688728242283E-4</v>
      </c>
      <c r="Y590" s="33">
        <f t="shared" si="49"/>
        <v>1.4450378558214239E-3</v>
      </c>
      <c r="Z590" s="54"/>
    </row>
    <row r="591" spans="15:26" x14ac:dyDescent="0.25">
      <c r="O591" s="37" t="s">
        <v>31</v>
      </c>
      <c r="P591" s="31">
        <f>_xll.qlCalendarAdvance(Calendar,P590,O590,"f",,Trigger)</f>
        <v>44824</v>
      </c>
      <c r="Q591" s="31">
        <f>_xll.qlInterestRateIndexValueDate(Index,P591,Trigger)</f>
        <v>44826</v>
      </c>
      <c r="R591" s="31">
        <f>_xll.qlInterestRateIndexMaturity(Index,Q591,Trigger)</f>
        <v>44917</v>
      </c>
      <c r="S591" s="32">
        <f>_xll.qlDayCounterYearFraction(DayCounter,Q591,R591,,,Trigger)</f>
        <v>0.25277777777777777</v>
      </c>
      <c r="T591" s="33">
        <f>_xll.qlIndexFixing(Index,P591,,AllTriggers)</f>
        <v>1.3529668118802273E-2</v>
      </c>
      <c r="U591" s="34">
        <f>_xll.qlYieldTSDiscount(OisCurve,Q591,,AllTriggers)</f>
        <v>0.96842037498462852</v>
      </c>
      <c r="V591" s="34">
        <f>_xll.qlYieldTSDiscount(OisCurve,R591,,AllTriggers)</f>
        <v>0.96547119850872765</v>
      </c>
      <c r="W591" s="33">
        <f t="shared" si="47"/>
        <v>1.208432917607072E-2</v>
      </c>
      <c r="X591" s="35">
        <f t="shared" si="48"/>
        <v>3.6417063155174014E-4</v>
      </c>
      <c r="Y591" s="33">
        <f t="shared" si="49"/>
        <v>1.4453389427315534E-3</v>
      </c>
      <c r="Z591" s="54"/>
    </row>
    <row r="592" spans="15:26" x14ac:dyDescent="0.25">
      <c r="O592" s="37" t="s">
        <v>31</v>
      </c>
      <c r="P592" s="31">
        <f>_xll.qlCalendarAdvance(Calendar,P591,O591,"f",,Trigger)</f>
        <v>44831</v>
      </c>
      <c r="Q592" s="31">
        <f>_xll.qlInterestRateIndexValueDate(Index,P592,Trigger)</f>
        <v>44833</v>
      </c>
      <c r="R592" s="31">
        <f>_xll.qlInterestRateIndexMaturity(Index,Q592,Trigger)</f>
        <v>44924</v>
      </c>
      <c r="S592" s="32">
        <f>_xll.qlDayCounterYearFraction(DayCounter,Q592,R592,,,Trigger)</f>
        <v>0.25277777777777777</v>
      </c>
      <c r="T592" s="33">
        <f>_xll.qlIndexFixing(Index,P592,,AllTriggers)</f>
        <v>1.3552759724380277E-2</v>
      </c>
      <c r="U592" s="34">
        <f>_xll.qlYieldTSDiscount(OisCurve,Q592,,AllTriggers)</f>
        <v>0.96819579561703051</v>
      </c>
      <c r="V592" s="34">
        <f>_xll.qlYieldTSDiscount(OisCurve,R592,,AllTriggers)</f>
        <v>0.96524175000730694</v>
      </c>
      <c r="W592" s="33">
        <f t="shared" si="47"/>
        <v>1.2107157901257862E-2</v>
      </c>
      <c r="X592" s="35">
        <f t="shared" si="48"/>
        <v>3.6423476031656303E-4</v>
      </c>
      <c r="Y592" s="33">
        <f t="shared" si="49"/>
        <v>1.4456018231224152E-3</v>
      </c>
      <c r="Z592" s="54"/>
    </row>
    <row r="593" spans="15:26" x14ac:dyDescent="0.25">
      <c r="O593" s="37" t="s">
        <v>31</v>
      </c>
      <c r="P593" s="31">
        <f>_xll.qlCalendarAdvance(Calendar,P592,O592,"f",,Trigger)</f>
        <v>44838</v>
      </c>
      <c r="Q593" s="31">
        <f>_xll.qlInterestRateIndexValueDate(Index,P593,Trigger)</f>
        <v>44840</v>
      </c>
      <c r="R593" s="31">
        <f>_xll.qlInterestRateIndexMaturity(Index,Q593,Trigger)</f>
        <v>44932</v>
      </c>
      <c r="S593" s="32">
        <f>_xll.qlDayCounterYearFraction(DayCounter,Q593,R593,,,Trigger)</f>
        <v>0.25555555555555554</v>
      </c>
      <c r="T593" s="33">
        <f>_xll.qlIndexFixing(Index,P593,,AllTriggers)</f>
        <v>1.3577568313654668E-2</v>
      </c>
      <c r="U593" s="34">
        <f>_xll.qlYieldTSDiscount(OisCurve,Q593,,AllTriggers)</f>
        <v>0.96797082751173857</v>
      </c>
      <c r="V593" s="34">
        <f>_xll.qlYieldTSDiscount(OisCurve,R593,,AllTriggers)</f>
        <v>0.96497908486785633</v>
      </c>
      <c r="W593" s="33">
        <f t="shared" si="47"/>
        <v>1.2131681634199769E-2</v>
      </c>
      <c r="X593" s="35">
        <f t="shared" si="48"/>
        <v>3.6829450428338607E-4</v>
      </c>
      <c r="Y593" s="33">
        <f t="shared" si="49"/>
        <v>1.445886679454899E-3</v>
      </c>
      <c r="Z593" s="54"/>
    </row>
    <row r="594" spans="15:26" x14ac:dyDescent="0.25">
      <c r="O594" s="37" t="s">
        <v>31</v>
      </c>
      <c r="P594" s="31">
        <f>_xll.qlCalendarAdvance(Calendar,P593,O593,"f",,Trigger)</f>
        <v>44845</v>
      </c>
      <c r="Q594" s="31">
        <f>_xll.qlInterestRateIndexValueDate(Index,P594,Trigger)</f>
        <v>44847</v>
      </c>
      <c r="R594" s="31">
        <f>_xll.qlInterestRateIndexMaturity(Index,Q594,Trigger)</f>
        <v>44939</v>
      </c>
      <c r="S594" s="32">
        <f>_xll.qlDayCounterYearFraction(DayCounter,Q594,R594,,,Trigger)</f>
        <v>0.25555555555555554</v>
      </c>
      <c r="T594" s="33">
        <f>_xll.qlIndexFixing(Index,P594,,AllTriggers)</f>
        <v>1.3600352772945242E-2</v>
      </c>
      <c r="U594" s="34">
        <f>_xll.qlYieldTSDiscount(OisCurve,Q594,,AllTriggers)</f>
        <v>0.96774547303906189</v>
      </c>
      <c r="V594" s="34">
        <f>_xll.qlYieldTSDiscount(OisCurve,R594,,AllTriggers)</f>
        <v>0.96474887201338999</v>
      </c>
      <c r="W594" s="33">
        <f t="shared" si="47"/>
        <v>1.215428225998714E-2</v>
      </c>
      <c r="X594" s="35">
        <f t="shared" si="48"/>
        <v>3.6833920105134118E-4</v>
      </c>
      <c r="Y594" s="33">
        <f t="shared" si="49"/>
        <v>1.446070512958102E-3</v>
      </c>
      <c r="Z594" s="54"/>
    </row>
    <row r="595" spans="15:26" x14ac:dyDescent="0.25">
      <c r="O595" s="37" t="s">
        <v>31</v>
      </c>
      <c r="P595" s="31">
        <f>_xll.qlCalendarAdvance(Calendar,P594,O594,"f",,Trigger)</f>
        <v>44852</v>
      </c>
      <c r="Q595" s="31">
        <f>_xll.qlInterestRateIndexValueDate(Index,P595,Trigger)</f>
        <v>44854</v>
      </c>
      <c r="R595" s="31">
        <f>_xll.qlInterestRateIndexMaturity(Index,Q595,Trigger)</f>
        <v>44946</v>
      </c>
      <c r="S595" s="32">
        <f>_xll.qlDayCounterYearFraction(DayCounter,Q595,R595,,,Trigger)</f>
        <v>0.25555555555555554</v>
      </c>
      <c r="T595" s="33">
        <f>_xll.qlIndexFixing(Index,P595,,AllTriggers)</f>
        <v>1.3622988532191365E-2</v>
      </c>
      <c r="U595" s="34">
        <f>_xll.qlYieldTSDiscount(OisCurve,Q595,,AllTriggers)</f>
        <v>0.96751973456783547</v>
      </c>
      <c r="V595" s="34">
        <f>_xll.qlYieldTSDiscount(OisCurve,R595,,AllTriggers)</f>
        <v>0.96451830615252698</v>
      </c>
      <c r="W595" s="33">
        <f t="shared" si="47"/>
        <v>1.2176772396202238E-2</v>
      </c>
      <c r="X595" s="35">
        <f t="shared" si="48"/>
        <v>3.6837417664958247E-4</v>
      </c>
      <c r="Y595" s="33">
        <f t="shared" si="49"/>
        <v>1.4462161359891264E-3</v>
      </c>
      <c r="Z595" s="54"/>
    </row>
    <row r="596" spans="15:26" x14ac:dyDescent="0.25">
      <c r="O596" s="37" t="s">
        <v>31</v>
      </c>
      <c r="P596" s="31">
        <f>_xll.qlCalendarAdvance(Calendar,P595,O595,"f",,Trigger)</f>
        <v>44859</v>
      </c>
      <c r="Q596" s="31">
        <f>_xll.qlInterestRateIndexValueDate(Index,P596,Trigger)</f>
        <v>44861</v>
      </c>
      <c r="R596" s="31">
        <f>_xll.qlInterestRateIndexMaturity(Index,Q596,Trigger)</f>
        <v>44953</v>
      </c>
      <c r="S596" s="32">
        <f>_xll.qlDayCounterYearFraction(DayCounter,Q596,R596,,,Trigger)</f>
        <v>0.25555555555555554</v>
      </c>
      <c r="T596" s="33">
        <f>_xll.qlIndexFixing(Index,P596,,AllTriggers)</f>
        <v>1.3645475588818573E-2</v>
      </c>
      <c r="U596" s="34">
        <f>_xll.qlYieldTSDiscount(OisCurve,Q596,,AllTriggers)</f>
        <v>0.96729361446541096</v>
      </c>
      <c r="V596" s="34">
        <f>_xll.qlYieldTSDiscount(OisCurve,R596,,AllTriggers)</f>
        <v>0.96428738963232608</v>
      </c>
      <c r="W596" s="33">
        <f t="shared" si="47"/>
        <v>1.2199152040943106E-2</v>
      </c>
      <c r="X596" s="35">
        <f t="shared" si="48"/>
        <v>3.6839943107824205E-4</v>
      </c>
      <c r="Y596" s="33">
        <f t="shared" si="49"/>
        <v>1.4463235478754666E-3</v>
      </c>
      <c r="Z596" s="54"/>
    </row>
    <row r="597" spans="15:26" x14ac:dyDescent="0.25">
      <c r="O597" s="37" t="s">
        <v>31</v>
      </c>
      <c r="P597" s="31">
        <f>_xll.qlCalendarAdvance(Calendar,P596,O596,"f",,Trigger)</f>
        <v>44866</v>
      </c>
      <c r="Q597" s="31">
        <f>_xll.qlInterestRateIndexValueDate(Index,P597,Trigger)</f>
        <v>44868</v>
      </c>
      <c r="R597" s="31">
        <f>_xll.qlInterestRateIndexMaturity(Index,Q597,Trigger)</f>
        <v>44960</v>
      </c>
      <c r="S597" s="32">
        <f>_xll.qlDayCounterYearFraction(DayCounter,Q597,R597,,,Trigger)</f>
        <v>0.25555555555555554</v>
      </c>
      <c r="T597" s="33">
        <f>_xll.qlIndexFixing(Index,P597,,AllTriggers)</f>
        <v>1.3667813940271521E-2</v>
      </c>
      <c r="U597" s="34">
        <f>_xll.qlYieldTSDiscount(OisCurve,Q597,,AllTriggers)</f>
        <v>0.96706711509764842</v>
      </c>
      <c r="V597" s="34">
        <f>_xll.qlYieldTSDiscount(OisCurve,R597,,AllTriggers)</f>
        <v>0.96405612479824332</v>
      </c>
      <c r="W597" s="33">
        <f t="shared" si="47"/>
        <v>1.222142119231908E-2</v>
      </c>
      <c r="X597" s="35">
        <f t="shared" si="48"/>
        <v>3.6841496433716851E-4</v>
      </c>
      <c r="Y597" s="33">
        <f t="shared" si="49"/>
        <v>1.4463927479524408E-3</v>
      </c>
      <c r="Z597" s="54"/>
    </row>
    <row r="598" spans="15:26" x14ac:dyDescent="0.25">
      <c r="O598" s="37" t="s">
        <v>31</v>
      </c>
      <c r="P598" s="31">
        <f>_xll.qlCalendarAdvance(Calendar,P597,O597,"f",,Trigger)</f>
        <v>44873</v>
      </c>
      <c r="Q598" s="31">
        <f>_xll.qlInterestRateIndexValueDate(Index,P598,Trigger)</f>
        <v>44875</v>
      </c>
      <c r="R598" s="31">
        <f>_xll.qlInterestRateIndexMaturity(Index,Q598,Trigger)</f>
        <v>44967</v>
      </c>
      <c r="S598" s="32">
        <f>_xll.qlDayCounterYearFraction(DayCounter,Q598,R598,,,Trigger)</f>
        <v>0.25555555555555554</v>
      </c>
      <c r="T598" s="33">
        <f>_xll.qlIndexFixing(Index,P598,,AllTriggers)</f>
        <v>1.3690003584011368E-2</v>
      </c>
      <c r="U598" s="34">
        <f>_xll.qlYieldTSDiscount(OisCurve,Q598,,AllTriggers)</f>
        <v>0.96684023882890702</v>
      </c>
      <c r="V598" s="34">
        <f>_xll.qlYieldTSDiscount(OisCurve,R598,,AllTriggers)</f>
        <v>0.9638245139941235</v>
      </c>
      <c r="W598" s="33">
        <f t="shared" si="47"/>
        <v>1.2243579848448189E-2</v>
      </c>
      <c r="X598" s="35">
        <f t="shared" si="48"/>
        <v>3.6842077642659299E-4</v>
      </c>
      <c r="Y598" s="33">
        <f t="shared" si="49"/>
        <v>1.4464237355631786E-3</v>
      </c>
      <c r="Z598" s="54"/>
    </row>
    <row r="599" spans="15:26" x14ac:dyDescent="0.25">
      <c r="O599" s="37" t="s">
        <v>31</v>
      </c>
      <c r="P599" s="31">
        <f>_xll.qlCalendarAdvance(Calendar,P598,O598,"f",,Trigger)</f>
        <v>44880</v>
      </c>
      <c r="Q599" s="31">
        <f>_xll.qlInterestRateIndexValueDate(Index,P599,Trigger)</f>
        <v>44882</v>
      </c>
      <c r="R599" s="31">
        <f>_xll.qlInterestRateIndexMaturity(Index,Q599,Trigger)</f>
        <v>44974</v>
      </c>
      <c r="S599" s="32">
        <f>_xll.qlDayCounterYearFraction(DayCounter,Q599,R599,,,Trigger)</f>
        <v>0.25555555555555554</v>
      </c>
      <c r="T599" s="33">
        <f>_xll.qlIndexFixing(Index,P599,,AllTriggers)</f>
        <v>1.3712044517514047E-2</v>
      </c>
      <c r="U599" s="34">
        <f>_xll.qlYieldTSDiscount(OisCurve,Q599,,AllTriggers)</f>
        <v>0.96661298802203599</v>
      </c>
      <c r="V599" s="34">
        <f>_xll.qlYieldTSDiscount(OisCurve,R599,,AllTriggers)</f>
        <v>0.96359255956219259</v>
      </c>
      <c r="W599" s="33">
        <f t="shared" si="47"/>
        <v>1.2265628007457148E-2</v>
      </c>
      <c r="X599" s="35">
        <f t="shared" si="48"/>
        <v>3.6841686734624104E-4</v>
      </c>
      <c r="Y599" s="33">
        <f t="shared" si="49"/>
        <v>1.4464165100568985E-3</v>
      </c>
      <c r="Z599" s="54"/>
    </row>
    <row r="600" spans="15:26" x14ac:dyDescent="0.25">
      <c r="O600" s="37" t="s">
        <v>31</v>
      </c>
      <c r="P600" s="31">
        <f>_xll.qlCalendarAdvance(Calendar,P599,O599,"f",,Trigger)</f>
        <v>44887</v>
      </c>
      <c r="Q600" s="31">
        <f>_xll.qlInterestRateIndexValueDate(Index,P600,Trigger)</f>
        <v>44889</v>
      </c>
      <c r="R600" s="31">
        <f>_xll.qlInterestRateIndexMaturity(Index,Q600,Trigger)</f>
        <v>44981</v>
      </c>
      <c r="S600" s="32">
        <f>_xll.qlDayCounterYearFraction(DayCounter,Q600,R600,,,Trigger)</f>
        <v>0.25555555555555554</v>
      </c>
      <c r="T600" s="33">
        <f>_xll.qlIndexFixing(Index,P600,,AllTriggers)</f>
        <v>1.3733936738276345E-2</v>
      </c>
      <c r="U600" s="34">
        <f>_xll.qlYieldTSDiscount(OisCurve,Q600,,AllTriggers)</f>
        <v>0.96638536503836736</v>
      </c>
      <c r="V600" s="34">
        <f>_xll.qlYieldTSDiscount(OisCurve,R600,,AllTriggers)</f>
        <v>0.96336026384304974</v>
      </c>
      <c r="W600" s="33">
        <f t="shared" si="47"/>
        <v>1.2287565667484839E-2</v>
      </c>
      <c r="X600" s="35">
        <f t="shared" si="48"/>
        <v>3.6840323709622059E-4</v>
      </c>
      <c r="Y600" s="33">
        <f t="shared" si="49"/>
        <v>1.4463710707915065E-3</v>
      </c>
      <c r="Z600" s="54"/>
    </row>
    <row r="601" spans="15:26" x14ac:dyDescent="0.25">
      <c r="O601" s="37" t="s">
        <v>31</v>
      </c>
      <c r="P601" s="31">
        <f>_xll.qlCalendarAdvance(Calendar,P600,O600,"f",,Trigger)</f>
        <v>44894</v>
      </c>
      <c r="Q601" s="31">
        <f>_xll.qlInterestRateIndexValueDate(Index,P601,Trigger)</f>
        <v>44896</v>
      </c>
      <c r="R601" s="31">
        <f>_xll.qlInterestRateIndexMaturity(Index,Q601,Trigger)</f>
        <v>44986</v>
      </c>
      <c r="S601" s="32">
        <f>_xll.qlDayCounterYearFraction(DayCounter,Q601,R601,,,Trigger)</f>
        <v>0.25</v>
      </c>
      <c r="T601" s="33">
        <f>_xll.qlIndexFixing(Index,P601,,AllTriggers)</f>
        <v>1.3752104455765135E-2</v>
      </c>
      <c r="U601" s="34">
        <f>_xll.qlYieldTSDiscount(OisCurve,Q601,,AllTriggers)</f>
        <v>0.96615737223770548</v>
      </c>
      <c r="V601" s="34">
        <f>_xll.qlYieldTSDiscount(OisCurve,R601,,AllTriggers)</f>
        <v>0.96319413067372317</v>
      </c>
      <c r="W601" s="33">
        <f t="shared" si="47"/>
        <v>1.2305895435262393E-2</v>
      </c>
      <c r="X601" s="35">
        <f t="shared" si="48"/>
        <v>3.6037841644653043E-4</v>
      </c>
      <c r="Y601" s="33">
        <f t="shared" si="49"/>
        <v>1.4462090205027422E-3</v>
      </c>
      <c r="Z601" s="54"/>
    </row>
    <row r="602" spans="15:26" x14ac:dyDescent="0.25">
      <c r="O602" s="37" t="s">
        <v>31</v>
      </c>
      <c r="P602" s="31">
        <f>_xll.qlCalendarAdvance(Calendar,P601,O601,"f",,Trigger)</f>
        <v>44901</v>
      </c>
      <c r="Q602" s="31">
        <f>_xll.qlInterestRateIndexValueDate(Index,P602,Trigger)</f>
        <v>44903</v>
      </c>
      <c r="R602" s="31">
        <f>_xll.qlInterestRateIndexMaturity(Index,Q602,Trigger)</f>
        <v>44993</v>
      </c>
      <c r="S602" s="32">
        <f>_xll.qlDayCounterYearFraction(DayCounter,Q602,R602,,,Trigger)</f>
        <v>0.25</v>
      </c>
      <c r="T602" s="33">
        <f>_xll.qlIndexFixing(Index,P602,,AllTriggers)</f>
        <v>1.3773718839510174E-2</v>
      </c>
      <c r="U602" s="34">
        <f>_xll.qlYieldTSDiscount(OisCurve,Q602,,AllTriggers)</f>
        <v>0.96592901197831993</v>
      </c>
      <c r="V602" s="34">
        <f>_xll.qlYieldTSDiscount(OisCurve,R602,,AllTriggers)</f>
        <v>0.96296125533155053</v>
      </c>
      <c r="W602" s="33">
        <f t="shared" si="47"/>
        <v>1.2327626393432212E-2</v>
      </c>
      <c r="X602" s="35">
        <f t="shared" si="48"/>
        <v>3.6034742137533307E-4</v>
      </c>
      <c r="Y602" s="33">
        <f t="shared" si="49"/>
        <v>1.4460924460779623E-3</v>
      </c>
      <c r="Z602" s="54"/>
    </row>
    <row r="603" spans="15:26" x14ac:dyDescent="0.25">
      <c r="O603" s="37" t="s">
        <v>31</v>
      </c>
      <c r="P603" s="31">
        <f>_xll.qlCalendarAdvance(Calendar,P602,O602,"f",,Trigger)</f>
        <v>44908</v>
      </c>
      <c r="Q603" s="31">
        <f>_xll.qlInterestRateIndexValueDate(Index,P603,Trigger)</f>
        <v>44910</v>
      </c>
      <c r="R603" s="31">
        <f>_xll.qlInterestRateIndexMaturity(Index,Q603,Trigger)</f>
        <v>45000</v>
      </c>
      <c r="S603" s="32">
        <f>_xll.qlDayCounterYearFraction(DayCounter,Q603,R603,,,Trigger)</f>
        <v>0.25</v>
      </c>
      <c r="T603" s="33">
        <f>_xll.qlIndexFixing(Index,P603,,AllTriggers)</f>
        <v>1.3795184512236602E-2</v>
      </c>
      <c r="U603" s="34">
        <f>_xll.qlYieldTSDiscount(OisCurve,Q603,,AllTriggers)</f>
        <v>0.96570028661693619</v>
      </c>
      <c r="V603" s="34">
        <f>_xll.qlYieldTSDiscount(OisCurve,R603,,AllTriggers)</f>
        <v>0.96272804504695741</v>
      </c>
      <c r="W603" s="33">
        <f t="shared" si="47"/>
        <v>1.2349246852298101E-2</v>
      </c>
      <c r="X603" s="35">
        <f t="shared" si="48"/>
        <v>3.6030691646434551E-4</v>
      </c>
      <c r="Y603" s="33">
        <f t="shared" si="49"/>
        <v>1.445937659938501E-3</v>
      </c>
      <c r="Z603" s="54"/>
    </row>
    <row r="604" spans="15:26" x14ac:dyDescent="0.25">
      <c r="O604" s="37" t="s">
        <v>31</v>
      </c>
      <c r="P604" s="31">
        <f>_xll.qlCalendarAdvance(Calendar,P603,O603,"f",,Trigger)</f>
        <v>44915</v>
      </c>
      <c r="Q604" s="31">
        <f>_xll.qlInterestRateIndexValueDate(Index,P604,Trigger)</f>
        <v>44917</v>
      </c>
      <c r="R604" s="31">
        <f>_xll.qlInterestRateIndexMaturity(Index,Q604,Trigger)</f>
        <v>45007</v>
      </c>
      <c r="S604" s="32">
        <f>_xll.qlDayCounterYearFraction(DayCounter,Q604,R604,,,Trigger)</f>
        <v>0.25</v>
      </c>
      <c r="T604" s="33">
        <f>_xll.qlIndexFixing(Index,P604,,AllTriggers)</f>
        <v>1.3816501471558773E-2</v>
      </c>
      <c r="U604" s="34">
        <f>_xll.qlYieldTSDiscount(OisCurve,Q604,,AllTriggers)</f>
        <v>0.96547119850872765</v>
      </c>
      <c r="V604" s="34">
        <f>_xll.qlYieldTSDiscount(OisCurve,R604,,AllTriggers)</f>
        <v>0.96249450215443122</v>
      </c>
      <c r="W604" s="33">
        <f t="shared" si="47"/>
        <v>1.2370756810073935E-2</v>
      </c>
      <c r="X604" s="35">
        <f t="shared" si="48"/>
        <v>3.6025690171374397E-4</v>
      </c>
      <c r="Y604" s="33">
        <f t="shared" si="49"/>
        <v>1.4457446614848379E-3</v>
      </c>
      <c r="Z604" s="54"/>
    </row>
    <row r="605" spans="15:26" x14ac:dyDescent="0.25">
      <c r="O605" s="37" t="s">
        <v>31</v>
      </c>
      <c r="P605" s="31">
        <f>_xll.qlCalendarAdvance(Calendar,P604,O604,"f",,Trigger)</f>
        <v>44922</v>
      </c>
      <c r="Q605" s="31">
        <f>_xll.qlInterestRateIndexValueDate(Index,P605,Trigger)</f>
        <v>44924</v>
      </c>
      <c r="R605" s="31">
        <f>_xll.qlInterestRateIndexMaturity(Index,Q605,Trigger)</f>
        <v>45014</v>
      </c>
      <c r="S605" s="32">
        <f>_xll.qlDayCounterYearFraction(DayCounter,Q605,R605,,,Trigger)</f>
        <v>0.25</v>
      </c>
      <c r="T605" s="33">
        <f>_xll.qlIndexFixing(Index,P605,,AllTriggers)</f>
        <v>1.3837669715104362E-2</v>
      </c>
      <c r="U605" s="34">
        <f>_xll.qlYieldTSDiscount(OisCurve,Q605,,AllTriggers)</f>
        <v>0.96524175000730694</v>
      </c>
      <c r="V605" s="34">
        <f>_xll.qlYieldTSDiscount(OisCurve,R605,,AllTriggers)</f>
        <v>0.96226062898679587</v>
      </c>
      <c r="W605" s="33">
        <f t="shared" si="47"/>
        <v>1.2392156264982468E-2</v>
      </c>
      <c r="X605" s="35">
        <f t="shared" si="48"/>
        <v>3.6019737712254552E-4</v>
      </c>
      <c r="Y605" s="33">
        <f t="shared" si="49"/>
        <v>1.4455134501218936E-3</v>
      </c>
      <c r="Z605" s="54"/>
    </row>
    <row r="606" spans="15:26" x14ac:dyDescent="0.25">
      <c r="O606" s="37" t="s">
        <v>31</v>
      </c>
      <c r="P606" s="31">
        <f>_xll.qlCalendarAdvance(Calendar,P605,O605,"f",,Trigger)</f>
        <v>44929</v>
      </c>
      <c r="Q606" s="31">
        <f>_xll.qlInterestRateIndexValueDate(Index,P606,Trigger)</f>
        <v>44931</v>
      </c>
      <c r="R606" s="31">
        <f>_xll.qlInterestRateIndexMaturity(Index,Q606,Trigger)</f>
        <v>45021</v>
      </c>
      <c r="S606" s="32">
        <f>_xll.qlDayCounterYearFraction(DayCounter,Q606,R606,,,Trigger)</f>
        <v>0.25</v>
      </c>
      <c r="T606" s="33">
        <f>_xll.qlIndexFixing(Index,P606,,AllTriggers)</f>
        <v>1.3858689240521471E-2</v>
      </c>
      <c r="U606" s="34">
        <f>_xll.qlYieldTSDiscount(OisCurve,Q606,,AllTriggers)</f>
        <v>0.96501194346471775</v>
      </c>
      <c r="V606" s="34">
        <f>_xll.qlYieldTSDiscount(OisCurve,R606,,AllTriggers)</f>
        <v>0.96202642787520443</v>
      </c>
      <c r="W606" s="33">
        <f t="shared" si="47"/>
        <v>1.2413445215251784E-2</v>
      </c>
      <c r="X606" s="35">
        <f t="shared" si="48"/>
        <v>3.6012834269238145E-4</v>
      </c>
      <c r="Y606" s="33">
        <f t="shared" si="49"/>
        <v>1.4452440252696874E-3</v>
      </c>
      <c r="Z606" s="54"/>
    </row>
    <row r="607" spans="15:26" x14ac:dyDescent="0.25">
      <c r="O607" s="37" t="s">
        <v>31</v>
      </c>
      <c r="P607" s="31">
        <f>_xll.qlCalendarAdvance(Calendar,P606,O606,"f",,Trigger)</f>
        <v>44936</v>
      </c>
      <c r="Q607" s="31">
        <f>_xll.qlInterestRateIndexValueDate(Index,P607,Trigger)</f>
        <v>44938</v>
      </c>
      <c r="R607" s="31">
        <f>_xll.qlInterestRateIndexMaturity(Index,Q607,Trigger)</f>
        <v>45028</v>
      </c>
      <c r="S607" s="32">
        <f>_xll.qlDayCounterYearFraction(DayCounter,Q607,R607,,,Trigger)</f>
        <v>0.25</v>
      </c>
      <c r="T607" s="33">
        <f>_xll.qlIndexFixing(Index,P607,,AllTriggers)</f>
        <v>1.3879560045471528E-2</v>
      </c>
      <c r="U607" s="34">
        <f>_xll.qlYieldTSDiscount(OisCurve,Q607,,AllTriggers)</f>
        <v>0.96478178123142644</v>
      </c>
      <c r="V607" s="34">
        <f>_xll.qlYieldTSDiscount(OisCurve,R607,,AllTriggers)</f>
        <v>0.9617919011491306</v>
      </c>
      <c r="W607" s="33">
        <f t="shared" si="47"/>
        <v>1.2434623659124178E-2</v>
      </c>
      <c r="X607" s="35">
        <f t="shared" si="48"/>
        <v>3.60049798421948E-4</v>
      </c>
      <c r="Y607" s="33">
        <f t="shared" si="49"/>
        <v>1.4449363863473508E-3</v>
      </c>
      <c r="Z607" s="54"/>
    </row>
    <row r="608" spans="15:26" x14ac:dyDescent="0.25">
      <c r="O608" s="37" t="s">
        <v>31</v>
      </c>
      <c r="P608" s="31">
        <f>_xll.qlCalendarAdvance(Calendar,P607,O607,"f",,Trigger)</f>
        <v>44943</v>
      </c>
      <c r="Q608" s="31">
        <f>_xll.qlInterestRateIndexValueDate(Index,P608,Trigger)</f>
        <v>44945</v>
      </c>
      <c r="R608" s="31">
        <f>_xll.qlInterestRateIndexMaturity(Index,Q608,Trigger)</f>
        <v>45035</v>
      </c>
      <c r="S608" s="32">
        <f>_xll.qlDayCounterYearFraction(DayCounter,Q608,R608,,,Trigger)</f>
        <v>0.25</v>
      </c>
      <c r="T608" s="33">
        <f>_xll.qlIndexFixing(Index,P608,,AllTriggers)</f>
        <v>1.3900282127632835E-2</v>
      </c>
      <c r="U608" s="34">
        <f>_xll.qlYieldTSDiscount(OisCurve,Q608,,AllTriggers)</f>
        <v>0.96455126565631399</v>
      </c>
      <c r="V608" s="34">
        <f>_xll.qlYieldTSDiscount(OisCurve,R608,,AllTriggers)</f>
        <v>0.96155705113636258</v>
      </c>
      <c r="W608" s="33">
        <f t="shared" si="47"/>
        <v>1.2455691594847274E-2</v>
      </c>
      <c r="X608" s="35">
        <f t="shared" si="48"/>
        <v>3.5996174431166802E-4</v>
      </c>
      <c r="Y608" s="33">
        <f t="shared" si="49"/>
        <v>1.4445905327855613E-3</v>
      </c>
      <c r="Z608" s="54"/>
    </row>
    <row r="609" spans="15:26" x14ac:dyDescent="0.25">
      <c r="O609" s="37" t="s">
        <v>31</v>
      </c>
      <c r="P609" s="31">
        <f>_xll.qlCalendarAdvance(Calendar,P608,O608,"f",,Trigger)</f>
        <v>44950</v>
      </c>
      <c r="Q609" s="31">
        <f>_xll.qlInterestRateIndexValueDate(Index,P609,Trigger)</f>
        <v>44952</v>
      </c>
      <c r="R609" s="31">
        <f>_xll.qlInterestRateIndexMaturity(Index,Q609,Trigger)</f>
        <v>45042</v>
      </c>
      <c r="S609" s="32">
        <f>_xll.qlDayCounterYearFraction(DayCounter,Q609,R609,,,Trigger)</f>
        <v>0.25</v>
      </c>
      <c r="T609" s="33">
        <f>_xll.qlIndexFixing(Index,P609,,AllTriggers)</f>
        <v>1.3920855484702344E-2</v>
      </c>
      <c r="U609" s="34">
        <f>_xll.qlYieldTSDiscount(OisCurve,Q609,,AllTriggers)</f>
        <v>0.96432039908666733</v>
      </c>
      <c r="V609" s="34">
        <f>_xll.qlYieldTSDiscount(OisCurve,R609,,AllTriggers)</f>
        <v>0.9613218801629938</v>
      </c>
      <c r="W609" s="33">
        <f t="shared" si="47"/>
        <v>1.2476649020680242E-2</v>
      </c>
      <c r="X609" s="35">
        <f t="shared" si="48"/>
        <v>3.5986418036169297E-4</v>
      </c>
      <c r="Y609" s="33">
        <f t="shared" si="49"/>
        <v>1.444206464022102E-3</v>
      </c>
      <c r="Z609" s="54"/>
    </row>
    <row r="610" spans="15:26" x14ac:dyDescent="0.25">
      <c r="O610" s="37" t="s">
        <v>31</v>
      </c>
      <c r="P610" s="31">
        <f>_xll.qlCalendarAdvance(Calendar,P609,O609,"f",,Trigger)</f>
        <v>44957</v>
      </c>
      <c r="Q610" s="31">
        <f>_xll.qlInterestRateIndexValueDate(Index,P610,Trigger)</f>
        <v>44959</v>
      </c>
      <c r="R610" s="31">
        <f>_xll.qlInterestRateIndexMaturity(Index,Q610,Trigger)</f>
        <v>45048</v>
      </c>
      <c r="S610" s="32">
        <f>_xll.qlDayCounterYearFraction(DayCounter,Q610,R610,,,Trigger)</f>
        <v>0.24722222222222223</v>
      </c>
      <c r="T610" s="33">
        <f>_xll.qlIndexFixing(Index,P610,,AllTriggers)</f>
        <v>1.3939579226983372E-2</v>
      </c>
      <c r="U610" s="34">
        <f>_xll.qlYieldTSDiscount(OisCurve,Q610,,AllTriggers)</f>
        <v>0.96408918386817222</v>
      </c>
      <c r="V610" s="34">
        <f>_xll.qlYieldTSDiscount(OisCurve,R610,,AllTriggers)</f>
        <v>0.96112005134650302</v>
      </c>
      <c r="W610" s="33">
        <f t="shared" si="47"/>
        <v>1.2495810724298537E-2</v>
      </c>
      <c r="X610" s="35">
        <f t="shared" si="48"/>
        <v>3.5576911182694514E-4</v>
      </c>
      <c r="Y610" s="33">
        <f t="shared" si="49"/>
        <v>1.4437685026848345E-3</v>
      </c>
      <c r="Z610" s="54"/>
    </row>
    <row r="611" spans="15:26" x14ac:dyDescent="0.25">
      <c r="O611" s="37" t="s">
        <v>31</v>
      </c>
      <c r="P611" s="31">
        <f>_xll.qlCalendarAdvance(Calendar,P610,O610,"f",,Trigger)</f>
        <v>44964</v>
      </c>
      <c r="Q611" s="31">
        <f>_xll.qlInterestRateIndexValueDate(Index,P611,Trigger)</f>
        <v>44966</v>
      </c>
      <c r="R611" s="31">
        <f>_xll.qlInterestRateIndexMaturity(Index,Q611,Trigger)</f>
        <v>45055</v>
      </c>
      <c r="S611" s="32">
        <f>_xll.qlDayCounterYearFraction(DayCounter,Q611,R611,,,Trigger)</f>
        <v>0.24722222222222223</v>
      </c>
      <c r="T611" s="33">
        <f>_xll.qlIndexFixing(Index,P611,,AllTriggers)</f>
        <v>1.395986496690718E-2</v>
      </c>
      <c r="U611" s="34">
        <f>_xll.qlYieldTSDiscount(OisCurve,Q611,,AllTriggers)</f>
        <v>0.96385762234490391</v>
      </c>
      <c r="V611" s="34">
        <f>_xll.qlYieldTSDiscount(OisCurve,R611,,AllTriggers)</f>
        <v>0.96088429046918</v>
      </c>
      <c r="W611" s="33">
        <f t="shared" si="47"/>
        <v>1.2516554298451301E-2</v>
      </c>
      <c r="X611" s="35">
        <f t="shared" si="48"/>
        <v>3.5565449579420463E-4</v>
      </c>
      <c r="Y611" s="33">
        <f t="shared" si="49"/>
        <v>1.4433106684558789E-3</v>
      </c>
      <c r="Z611" s="54"/>
    </row>
    <row r="612" spans="15:26" x14ac:dyDescent="0.25">
      <c r="O612" s="37" t="s">
        <v>31</v>
      </c>
      <c r="P612" s="31">
        <f>_xll.qlCalendarAdvance(Calendar,P611,O611,"f",,Trigger)</f>
        <v>44971</v>
      </c>
      <c r="Q612" s="31">
        <f>_xll.qlInterestRateIndexValueDate(Index,P612,Trigger)</f>
        <v>44973</v>
      </c>
      <c r="R612" s="31">
        <f>_xll.qlInterestRateIndexMaturity(Index,Q612,Trigger)</f>
        <v>45062</v>
      </c>
      <c r="S612" s="32">
        <f>_xll.qlDayCounterYearFraction(DayCounter,Q612,R612,,,Trigger)</f>
        <v>0.24722222222222223</v>
      </c>
      <c r="T612" s="33">
        <f>_xll.qlIndexFixing(Index,P612,,AllTriggers)</f>
        <v>1.3980002423786718E-2</v>
      </c>
      <c r="U612" s="34">
        <f>_xll.qlYieldTSDiscount(OisCurve,Q612,,AllTriggers)</f>
        <v>0.9636257168593203</v>
      </c>
      <c r="V612" s="34">
        <f>_xll.qlYieldTSDiscount(OisCurve,R612,,AllTriggers)</f>
        <v>0.96064821540588996</v>
      </c>
      <c r="W612" s="33">
        <f t="shared" si="47"/>
        <v>1.2537186777237452E-2</v>
      </c>
      <c r="X612" s="35">
        <f t="shared" si="48"/>
        <v>3.5553072869800158E-4</v>
      </c>
      <c r="Y612" s="33">
        <f t="shared" si="49"/>
        <v>1.4428156465492656E-3</v>
      </c>
      <c r="Z612" s="54"/>
    </row>
    <row r="613" spans="15:26" x14ac:dyDescent="0.25">
      <c r="O613" s="37" t="s">
        <v>31</v>
      </c>
      <c r="P613" s="31">
        <f>_xll.qlCalendarAdvance(Calendar,P612,O612,"f",,Trigger)</f>
        <v>44978</v>
      </c>
      <c r="Q613" s="31">
        <f>_xll.qlInterestRateIndexValueDate(Index,P613,Trigger)</f>
        <v>44980</v>
      </c>
      <c r="R613" s="31">
        <f>_xll.qlInterestRateIndexMaturity(Index,Q613,Trigger)</f>
        <v>45069</v>
      </c>
      <c r="S613" s="32">
        <f>_xll.qlDayCounterYearFraction(DayCounter,Q613,R613,,,Trigger)</f>
        <v>0.24722222222222223</v>
      </c>
      <c r="T613" s="33">
        <f>_xll.qlIndexFixing(Index,P613,,AllTriggers)</f>
        <v>1.3999993199325923E-2</v>
      </c>
      <c r="U613" s="34">
        <f>_xll.qlYieldTSDiscount(OisCurve,Q613,,AllTriggers)</f>
        <v>0.96339346975225337</v>
      </c>
      <c r="V613" s="34">
        <f>_xll.qlYieldTSDiscount(OisCurve,R613,,AllTriggers)</f>
        <v>0.96041182897450206</v>
      </c>
      <c r="W613" s="33">
        <f t="shared" si="47"/>
        <v>1.2557706053009897E-2</v>
      </c>
      <c r="X613" s="35">
        <f t="shared" si="48"/>
        <v>3.553987247206698E-4</v>
      </c>
      <c r="Y613" s="33">
        <f t="shared" si="49"/>
        <v>1.4422871463160257E-3</v>
      </c>
      <c r="Z613" s="54"/>
    </row>
    <row r="614" spans="15:26" x14ac:dyDescent="0.25">
      <c r="O614" s="37" t="s">
        <v>31</v>
      </c>
      <c r="P614" s="31">
        <f>_xll.qlCalendarAdvance(Calendar,P613,O613,"f",,Trigger)</f>
        <v>44985</v>
      </c>
      <c r="Q614" s="31">
        <f>_xll.qlInterestRateIndexValueDate(Index,P614,Trigger)</f>
        <v>44987</v>
      </c>
      <c r="R614" s="31">
        <f>_xll.qlInterestRateIndexMaturity(Index,Q614,Trigger)</f>
        <v>45079</v>
      </c>
      <c r="S614" s="32">
        <f>_xll.qlDayCounterYearFraction(DayCounter,Q614,R614,,,Trigger)</f>
        <v>0.25555555555555554</v>
      </c>
      <c r="T614" s="33">
        <f>_xll.qlIndexFixing(Index,P614,,AllTriggers)</f>
        <v>1.4024824791509891E-2</v>
      </c>
      <c r="U614" s="34">
        <f>_xll.qlYieldTSDiscount(OisCurve,Q614,,AllTriggers)</f>
        <v>0.96316088336290129</v>
      </c>
      <c r="V614" s="34">
        <f>_xll.qlYieldTSDiscount(OisCurve,R614,,AllTriggers)</f>
        <v>0.96007359964160133</v>
      </c>
      <c r="W614" s="33">
        <f t="shared" si="47"/>
        <v>1.2583072209967688E-2</v>
      </c>
      <c r="X614" s="35">
        <f t="shared" si="48"/>
        <v>3.6719944544770717E-4</v>
      </c>
      <c r="Y614" s="33">
        <f t="shared" si="49"/>
        <v>1.4417525815422026E-3</v>
      </c>
      <c r="Z614" s="54"/>
    </row>
    <row r="615" spans="15:26" x14ac:dyDescent="0.25">
      <c r="O615" s="37" t="s">
        <v>31</v>
      </c>
      <c r="P615" s="31">
        <f>_xll.qlCalendarAdvance(Calendar,P614,O614,"f",,Trigger)</f>
        <v>44992</v>
      </c>
      <c r="Q615" s="31">
        <f>_xll.qlInterestRateIndexValueDate(Index,P615,Trigger)</f>
        <v>44994</v>
      </c>
      <c r="R615" s="31">
        <f>_xll.qlInterestRateIndexMaturity(Index,Q615,Trigger)</f>
        <v>45086</v>
      </c>
      <c r="S615" s="32">
        <f>_xll.qlDayCounterYearFraction(DayCounter,Q615,R615,,,Trigger)</f>
        <v>0.25555555555555554</v>
      </c>
      <c r="T615" s="33">
        <f>_xll.qlIndexFixing(Index,P615,,AllTriggers)</f>
        <v>1.4044500474286858E-2</v>
      </c>
      <c r="U615" s="34">
        <f>_xll.qlYieldTSDiscount(OisCurve,Q615,,AllTriggers)</f>
        <v>0.96292796002882097</v>
      </c>
      <c r="V615" s="34">
        <f>_xll.qlYieldTSDiscount(OisCurve,R615,,AllTriggers)</f>
        <v>0.95983646899160147</v>
      </c>
      <c r="W615" s="33">
        <f t="shared" si="47"/>
        <v>1.260333320529352E-2</v>
      </c>
      <c r="X615" s="35">
        <f t="shared" si="48"/>
        <v>3.6704850569290034E-4</v>
      </c>
      <c r="Y615" s="33">
        <f t="shared" si="49"/>
        <v>1.4411672689933382E-3</v>
      </c>
      <c r="Z615" s="54"/>
    </row>
    <row r="616" spans="15:26" x14ac:dyDescent="0.25">
      <c r="O616" s="37" t="s">
        <v>31</v>
      </c>
      <c r="P616" s="31">
        <f>_xll.qlCalendarAdvance(Calendar,P615,O615,"f",,Trigger)</f>
        <v>44999</v>
      </c>
      <c r="Q616" s="31">
        <f>_xll.qlInterestRateIndexValueDate(Index,P616,Trigger)</f>
        <v>45001</v>
      </c>
      <c r="R616" s="31">
        <f>_xll.qlInterestRateIndexMaturity(Index,Q616,Trigger)</f>
        <v>45093</v>
      </c>
      <c r="S616" s="32">
        <f>_xll.qlDayCounterYearFraction(DayCounter,Q616,R616,,,Trigger)</f>
        <v>0.25555555555555554</v>
      </c>
      <c r="T616" s="33">
        <f>_xll.qlIndexFixing(Index,P616,,AllTriggers)</f>
        <v>1.4064035332553512E-2</v>
      </c>
      <c r="U616" s="34">
        <f>_xll.qlYieldTSDiscount(OisCurve,Q616,,AllTriggers)</f>
        <v>0.96269470208591967</v>
      </c>
      <c r="V616" s="34">
        <f>_xll.qlYieldTSDiscount(OisCurve,R616,,AllTriggers)</f>
        <v>0.95959903681797942</v>
      </c>
      <c r="W616" s="33">
        <f t="shared" si="47"/>
        <v>1.2623473266251612E-2</v>
      </c>
      <c r="X616" s="35">
        <f t="shared" si="48"/>
        <v>3.6689251394139423E-4</v>
      </c>
      <c r="Y616" s="33">
        <f t="shared" si="49"/>
        <v>1.4405620663018991E-3</v>
      </c>
      <c r="Z616" s="54"/>
    </row>
    <row r="617" spans="15:26" x14ac:dyDescent="0.25">
      <c r="O617" s="37" t="s">
        <v>31</v>
      </c>
      <c r="P617" s="31">
        <f>_xll.qlCalendarAdvance(Calendar,P616,O616,"f",,Trigger)</f>
        <v>45006</v>
      </c>
      <c r="Q617" s="31">
        <f>_xll.qlInterestRateIndexValueDate(Index,P617,Trigger)</f>
        <v>45008</v>
      </c>
      <c r="R617" s="31">
        <f>_xll.qlInterestRateIndexMaturity(Index,Q617,Trigger)</f>
        <v>45100</v>
      </c>
      <c r="S617" s="32">
        <f>_xll.qlDayCounterYearFraction(DayCounter,Q617,R617,,,Trigger)</f>
        <v>0.25555555555555554</v>
      </c>
      <c r="T617" s="33">
        <f>_xll.qlIndexFixing(Index,P617,,AllTriggers)</f>
        <v>1.4083431098005507E-2</v>
      </c>
      <c r="U617" s="34">
        <f>_xll.qlYieldTSDiscount(OisCurve,Q617,,AllTriggers)</f>
        <v>0.96246111186844785</v>
      </c>
      <c r="V617" s="34">
        <f>_xll.qlYieldTSDiscount(OisCurve,R617,,AllTriggers)</f>
        <v>0.95936130598694402</v>
      </c>
      <c r="W617" s="33">
        <f t="shared" si="47"/>
        <v>1.2643490114514006E-2</v>
      </c>
      <c r="X617" s="35">
        <f t="shared" si="48"/>
        <v>3.6673249157552539E-4</v>
      </c>
      <c r="Y617" s="33">
        <f t="shared" si="49"/>
        <v>1.4399409834915007E-3</v>
      </c>
      <c r="Z617" s="54"/>
    </row>
    <row r="618" spans="15:26" x14ac:dyDescent="0.25">
      <c r="O618" s="37" t="s">
        <v>31</v>
      </c>
      <c r="P618" s="31">
        <f>_xll.qlCalendarAdvance(Calendar,P617,O617,"f",,Trigger)</f>
        <v>45013</v>
      </c>
      <c r="Q618" s="31">
        <f>_xll.qlInterestRateIndexValueDate(Index,P618,Trigger)</f>
        <v>45015</v>
      </c>
      <c r="R618" s="31">
        <f>_xll.qlInterestRateIndexMaturity(Index,Q618,Trigger)</f>
        <v>45107</v>
      </c>
      <c r="S618" s="32">
        <f>_xll.qlDayCounterYearFraction(DayCounter,Q618,R618,,,Trigger)</f>
        <v>0.25555555555555554</v>
      </c>
      <c r="T618" s="33">
        <f>_xll.qlIndexFixing(Index,P618,,AllTriggers)</f>
        <v>1.4102689502381076E-2</v>
      </c>
      <c r="U618" s="34">
        <f>_xll.qlYieldTSDiscount(OisCurve,Q618,,AllTriggers)</f>
        <v>0.9622271917089914</v>
      </c>
      <c r="V618" s="34">
        <f>_xll.qlYieldTSDiscount(OisCurve,R618,,AllTriggers)</f>
        <v>0.95912327936238762</v>
      </c>
      <c r="W618" s="33">
        <f t="shared" si="47"/>
        <v>1.2663381471717987E-2</v>
      </c>
      <c r="X618" s="35">
        <f t="shared" si="48"/>
        <v>3.6656945997600631E-4</v>
      </c>
      <c r="Y618" s="33">
        <f t="shared" si="49"/>
        <v>1.4393080306630886E-3</v>
      </c>
      <c r="Z618" s="54"/>
    </row>
    <row r="619" spans="15:26" x14ac:dyDescent="0.25">
      <c r="O619" s="37" t="s">
        <v>31</v>
      </c>
      <c r="P619" s="31">
        <f>_xll.qlCalendarAdvance(Calendar,P618,O618,"f",,Trigger)</f>
        <v>45020</v>
      </c>
      <c r="Q619" s="31">
        <f>_xll.qlInterestRateIndexValueDate(Index,P619,Trigger)</f>
        <v>45022</v>
      </c>
      <c r="R619" s="31">
        <f>_xll.qlInterestRateIndexMaturity(Index,Q619,Trigger)</f>
        <v>45113</v>
      </c>
      <c r="S619" s="32">
        <f>_xll.qlDayCounterYearFraction(DayCounter,Q619,R619,,,Trigger)</f>
        <v>0.25277777777777777</v>
      </c>
      <c r="T619" s="33">
        <f>_xll.qlIndexFixing(Index,P619,,AllTriggers)</f>
        <v>1.4120194862769003E-2</v>
      </c>
      <c r="U619" s="34">
        <f>_xll.qlYieldTSDiscount(OisCurve,Q619,,AllTriggers)</f>
        <v>0.96199294393846368</v>
      </c>
      <c r="V619" s="34">
        <f>_xll.qlYieldTSDiscount(OisCurve,R619,,AllTriggers)</f>
        <v>0.95891902328302314</v>
      </c>
      <c r="W619" s="33">
        <f t="shared" si="47"/>
        <v>1.2681535077571315E-2</v>
      </c>
      <c r="X619" s="35">
        <f t="shared" si="48"/>
        <v>3.6243350539347837E-4</v>
      </c>
      <c r="Y619" s="33">
        <f t="shared" si="49"/>
        <v>1.4386597851976882E-3</v>
      </c>
      <c r="Z619" s="54"/>
    </row>
    <row r="620" spans="15:26" x14ac:dyDescent="0.25">
      <c r="O620" s="37" t="s">
        <v>31</v>
      </c>
      <c r="P620" s="31">
        <f>_xll.qlCalendarAdvance(Calendar,P619,O619,"f",,Trigger)</f>
        <v>45027</v>
      </c>
      <c r="Q620" s="31">
        <f>_xll.qlInterestRateIndexValueDate(Index,P620,Trigger)</f>
        <v>45029</v>
      </c>
      <c r="R620" s="31">
        <f>_xll.qlInterestRateIndexMaturity(Index,Q620,Trigger)</f>
        <v>45120</v>
      </c>
      <c r="S620" s="32">
        <f>_xll.qlDayCounterYearFraction(DayCounter,Q620,R620,,,Trigger)</f>
        <v>0.25277777777777777</v>
      </c>
      <c r="T620" s="33">
        <f>_xll.qlIndexFixing(Index,P620,,AllTriggers)</f>
        <v>1.4139192152930195E-2</v>
      </c>
      <c r="U620" s="34">
        <f>_xll.qlYieldTSDiscount(OisCurve,Q620,,AllTriggers)</f>
        <v>0.96175837088609828</v>
      </c>
      <c r="V620" s="34">
        <f>_xll.qlYieldTSDiscount(OisCurve,R620,,AllTriggers)</f>
        <v>0.95868045491778286</v>
      </c>
      <c r="W620" s="33">
        <f t="shared" si="47"/>
        <v>1.2701177750316803E-2</v>
      </c>
      <c r="X620" s="35">
        <f t="shared" si="48"/>
        <v>3.6226915454129293E-4</v>
      </c>
      <c r="Y620" s="33">
        <f t="shared" si="49"/>
        <v>1.4380144026133919E-3</v>
      </c>
      <c r="Z620" s="54"/>
    </row>
    <row r="621" spans="15:26" x14ac:dyDescent="0.25">
      <c r="O621" s="37" t="s">
        <v>31</v>
      </c>
      <c r="P621" s="31">
        <f>_xll.qlCalendarAdvance(Calendar,P620,O620,"f",,Trigger)</f>
        <v>45034</v>
      </c>
      <c r="Q621" s="31">
        <f>_xll.qlInterestRateIndexValueDate(Index,P621,Trigger)</f>
        <v>45036</v>
      </c>
      <c r="R621" s="31">
        <f>_xll.qlInterestRateIndexMaturity(Index,Q621,Trigger)</f>
        <v>45127</v>
      </c>
      <c r="S621" s="32">
        <f>_xll.qlDayCounterYearFraction(DayCounter,Q621,R621,,,Trigger)</f>
        <v>0.25277777777777777</v>
      </c>
      <c r="T621" s="33">
        <f>_xll.qlIndexFixing(Index,P621,,AllTriggers)</f>
        <v>1.4158057213808039E-2</v>
      </c>
      <c r="U621" s="34">
        <f>_xll.qlYieldTSDiscount(OisCurve,Q621,,AllTriggers)</f>
        <v>0.96152347487944145</v>
      </c>
      <c r="V621" s="34">
        <f>_xll.qlYieldTSDiscount(OisCurve,R621,,AllTriggers)</f>
        <v>0.95844159892872594</v>
      </c>
      <c r="W621" s="33">
        <f t="shared" si="47"/>
        <v>1.272068818979971E-2</v>
      </c>
      <c r="X621" s="35">
        <f t="shared" si="48"/>
        <v>3.6210481835390772E-4</v>
      </c>
      <c r="Y621" s="33">
        <f t="shared" si="49"/>
        <v>1.4373690240083292E-3</v>
      </c>
      <c r="Z621" s="54"/>
    </row>
    <row r="622" spans="15:26" x14ac:dyDescent="0.25">
      <c r="O622" s="37" t="s">
        <v>31</v>
      </c>
      <c r="P622" s="31">
        <f>_xll.qlCalendarAdvance(Calendar,P621,O621,"f",,Trigger)</f>
        <v>45041</v>
      </c>
      <c r="Q622" s="31">
        <f>_xll.qlInterestRateIndexValueDate(Index,P622,Trigger)</f>
        <v>45043</v>
      </c>
      <c r="R622" s="31">
        <f>_xll.qlInterestRateIndexMaturity(Index,Q622,Trigger)</f>
        <v>45134</v>
      </c>
      <c r="S622" s="32">
        <f>_xll.qlDayCounterYearFraction(DayCounter,Q622,R622,,,Trigger)</f>
        <v>0.25277777777777777</v>
      </c>
      <c r="T622" s="33">
        <f>_xll.qlIndexFixing(Index,P622,,AllTriggers)</f>
        <v>1.4176791796336E-2</v>
      </c>
      <c r="U622" s="34">
        <f>_xll.qlYieldTSDiscount(OisCurve,Q622,,AllTriggers)</f>
        <v>0.9612882582443445</v>
      </c>
      <c r="V622" s="34">
        <f>_xll.qlYieldTSDiscount(OisCurve,R622,,AllTriggers)</f>
        <v>0.95820245817072736</v>
      </c>
      <c r="W622" s="33">
        <f t="shared" si="47"/>
        <v>1.2740064092611582E-2</v>
      </c>
      <c r="X622" s="35">
        <f t="shared" si="48"/>
        <v>3.6194151821248953E-4</v>
      </c>
      <c r="Y622" s="33">
        <f t="shared" si="49"/>
        <v>1.4367277037244178E-3</v>
      </c>
      <c r="Z622" s="54"/>
    </row>
    <row r="623" spans="15:26" x14ac:dyDescent="0.25">
      <c r="O623" s="37" t="s">
        <v>31</v>
      </c>
      <c r="P623" s="31">
        <f>_xll.qlCalendarAdvance(Calendar,P622,O622,"f",,Trigger)</f>
        <v>45048</v>
      </c>
      <c r="Q623" s="31">
        <f>_xll.qlInterestRateIndexValueDate(Index,P623,Trigger)</f>
        <v>45050</v>
      </c>
      <c r="R623" s="31">
        <f>_xll.qlInterestRateIndexMaturity(Index,Q623,Trigger)</f>
        <v>45142</v>
      </c>
      <c r="S623" s="32">
        <f>_xll.qlDayCounterYearFraction(DayCounter,Q623,R623,,,Trigger)</f>
        <v>0.25555555555555554</v>
      </c>
      <c r="T623" s="33">
        <f>_xll.qlIndexFixing(Index,P623,,AllTriggers)</f>
        <v>1.4196981722439999E-2</v>
      </c>
      <c r="U623" s="34">
        <f>_xll.qlYieldTSDiscount(OisCurve,Q623,,AllTriggers)</f>
        <v>0.96105272330495672</v>
      </c>
      <c r="V623" s="34">
        <f>_xll.qlYieldTSDiscount(OisCurve,R623,,AllTriggers)</f>
        <v>0.95792880940973468</v>
      </c>
      <c r="W623" s="33">
        <f t="shared" si="47"/>
        <v>1.2760876146818931E-2</v>
      </c>
      <c r="X623" s="35">
        <f t="shared" si="48"/>
        <v>3.6574491183307946E-4</v>
      </c>
      <c r="Y623" s="33">
        <f t="shared" si="49"/>
        <v>1.4361055756210682E-3</v>
      </c>
      <c r="Z623" s="54"/>
    </row>
    <row r="624" spans="15:26" x14ac:dyDescent="0.25">
      <c r="O624" s="37" t="s">
        <v>31</v>
      </c>
      <c r="P624" s="31">
        <f>_xll.qlCalendarAdvance(Calendar,P623,O623,"f",,Trigger)</f>
        <v>45055</v>
      </c>
      <c r="Q624" s="31">
        <f>_xll.qlInterestRateIndexValueDate(Index,P624,Trigger)</f>
        <v>45057</v>
      </c>
      <c r="R624" s="31">
        <f>_xll.qlInterestRateIndexMaturity(Index,Q624,Trigger)</f>
        <v>45149</v>
      </c>
      <c r="S624" s="32">
        <f>_xll.qlDayCounterYearFraction(DayCounter,Q624,R624,,,Trigger)</f>
        <v>0.25555555555555554</v>
      </c>
      <c r="T624" s="33">
        <f>_xll.qlIndexFixing(Index,P624,,AllTriggers)</f>
        <v>1.4215452306862816E-2</v>
      </c>
      <c r="U624" s="34">
        <f>_xll.qlYieldTSDiscount(OisCurve,Q624,,AllTriggers)</f>
        <v>0.96081687239102764</v>
      </c>
      <c r="V624" s="34">
        <f>_xll.qlYieldTSDiscount(OisCurve,R624,,AllTriggers)</f>
        <v>0.95768906803495513</v>
      </c>
      <c r="W624" s="33">
        <f t="shared" si="47"/>
        <v>1.2779966740059948E-2</v>
      </c>
      <c r="X624" s="35">
        <f t="shared" si="48"/>
        <v>3.6558526044662149E-4</v>
      </c>
      <c r="Y624" s="33">
        <f t="shared" si="49"/>
        <v>1.4354855668028688E-3</v>
      </c>
      <c r="Z624" s="54"/>
    </row>
    <row r="625" spans="15:26" x14ac:dyDescent="0.25">
      <c r="O625" s="37" t="s">
        <v>31</v>
      </c>
      <c r="P625" s="31">
        <f>_xll.qlCalendarAdvance(Calendar,P624,O624,"f",,Trigger)</f>
        <v>45062</v>
      </c>
      <c r="Q625" s="31">
        <f>_xll.qlInterestRateIndexValueDate(Index,P625,Trigger)</f>
        <v>45064</v>
      </c>
      <c r="R625" s="31">
        <f>_xll.qlInterestRateIndexMaturity(Index,Q625,Trigger)</f>
        <v>45156</v>
      </c>
      <c r="S625" s="32">
        <f>_xll.qlDayCounterYearFraction(DayCounter,Q625,R625,,,Trigger)</f>
        <v>0.25555555555555554</v>
      </c>
      <c r="T625" s="33">
        <f>_xll.qlIndexFixing(Index,P625,,AllTriggers)</f>
        <v>1.4233796856721978E-2</v>
      </c>
      <c r="U625" s="34">
        <f>_xll.qlYieldTSDiscount(OisCurve,Q625,,AllTriggers)</f>
        <v>0.96058070807201656</v>
      </c>
      <c r="V625" s="34">
        <f>_xll.qlYieldTSDiscount(OisCurve,R625,,AllTriggers)</f>
        <v>0.95744905084831067</v>
      </c>
      <c r="W625" s="33">
        <f t="shared" si="47"/>
        <v>1.2798916939249796E-2</v>
      </c>
      <c r="X625" s="35">
        <f t="shared" si="48"/>
        <v>3.6542928000030535E-4</v>
      </c>
      <c r="Y625" s="33">
        <f t="shared" si="49"/>
        <v>1.4348799174721816E-3</v>
      </c>
      <c r="Z625" s="54"/>
    </row>
    <row r="626" spans="15:26" x14ac:dyDescent="0.25">
      <c r="O626" s="37" t="s">
        <v>31</v>
      </c>
      <c r="P626" s="31">
        <f>_xll.qlCalendarAdvance(Calendar,P625,O625,"f",,Trigger)</f>
        <v>45069</v>
      </c>
      <c r="Q626" s="31">
        <f>_xll.qlInterestRateIndexValueDate(Index,P626,Trigger)</f>
        <v>45071</v>
      </c>
      <c r="R626" s="31">
        <f>_xll.qlInterestRateIndexMaturity(Index,Q626,Trigger)</f>
        <v>45163</v>
      </c>
      <c r="S626" s="32">
        <f>_xll.qlDayCounterYearFraction(DayCounter,Q626,R626,,,Trigger)</f>
        <v>0.25555555555555554</v>
      </c>
      <c r="T626" s="33">
        <f>_xll.qlIndexFixing(Index,P626,,AllTriggers)</f>
        <v>1.4252015424172287E-2</v>
      </c>
      <c r="U626" s="34">
        <f>_xll.qlYieldTSDiscount(OisCurve,Q626,,AllTriggers)</f>
        <v>0.96034423320630868</v>
      </c>
      <c r="V626" s="34">
        <f>_xll.qlYieldTSDiscount(OisCurve,R626,,AllTriggers)</f>
        <v>0.95720876069485572</v>
      </c>
      <c r="W626" s="33">
        <f t="shared" si="47"/>
        <v>1.281772667155804E-2</v>
      </c>
      <c r="X626" s="35">
        <f t="shared" si="48"/>
        <v>3.6527700225682966E-4</v>
      </c>
      <c r="Y626" s="33">
        <f t="shared" si="49"/>
        <v>1.4342887526142475E-3</v>
      </c>
      <c r="Z626" s="54"/>
    </row>
    <row r="627" spans="15:26" x14ac:dyDescent="0.25">
      <c r="O627" s="37" t="s">
        <v>31</v>
      </c>
      <c r="P627" s="31">
        <f>_xll.qlCalendarAdvance(Calendar,P626,O626,"f",,Trigger)</f>
        <v>45076</v>
      </c>
      <c r="Q627" s="31">
        <f>_xll.qlInterestRateIndexValueDate(Index,P627,Trigger)</f>
        <v>45078</v>
      </c>
      <c r="R627" s="31">
        <f>_xll.qlInterestRateIndexMaturity(Index,Q627,Trigger)</f>
        <v>45170</v>
      </c>
      <c r="S627" s="32">
        <f>_xll.qlDayCounterYearFraction(DayCounter,Q627,R627,,,Trigger)</f>
        <v>0.25555555555555554</v>
      </c>
      <c r="T627" s="33">
        <f>_xll.qlIndexFixing(Index,P627,,AllTriggers)</f>
        <v>1.4270108007458626E-2</v>
      </c>
      <c r="U627" s="34">
        <f>_xll.qlYieldTSDiscount(OisCurve,Q627,,AllTriggers)</f>
        <v>0.96010745066733916</v>
      </c>
      <c r="V627" s="34">
        <f>_xll.qlYieldTSDiscount(OisCurve,R627,,AllTriggers)</f>
        <v>0.95696820041725328</v>
      </c>
      <c r="W627" s="33">
        <f t="shared" si="47"/>
        <v>1.2836395934965425E-2</v>
      </c>
      <c r="X627" s="35">
        <f t="shared" si="48"/>
        <v>3.651284272161103E-4</v>
      </c>
      <c r="Y627" s="33">
        <f t="shared" si="49"/>
        <v>1.4337120724932009E-3</v>
      </c>
      <c r="Z627" s="54"/>
    </row>
    <row r="628" spans="15:26" x14ac:dyDescent="0.25">
      <c r="O628" s="37" t="s">
        <v>31</v>
      </c>
      <c r="P628" s="31">
        <f>_xll.qlCalendarAdvance(Calendar,P627,O627,"f",,Trigger)</f>
        <v>45083</v>
      </c>
      <c r="Q628" s="31">
        <f>_xll.qlInterestRateIndexValueDate(Index,P628,Trigger)</f>
        <v>45085</v>
      </c>
      <c r="R628" s="31">
        <f>_xll.qlInterestRateIndexMaturity(Index,Q628,Trigger)</f>
        <v>45177</v>
      </c>
      <c r="S628" s="32">
        <f>_xll.qlDayCounterYearFraction(DayCounter,Q628,R628,,,Trigger)</f>
        <v>0.25555555555555554</v>
      </c>
      <c r="T628" s="33">
        <f>_xll.qlIndexFixing(Index,P628,,AllTriggers)</f>
        <v>1.4288074604838908E-2</v>
      </c>
      <c r="U628" s="34">
        <f>_xll.qlYieldTSDiscount(OisCurve,Q628,,AllTriggers)</f>
        <v>0.95987036332625353</v>
      </c>
      <c r="V628" s="34">
        <f>_xll.qlYieldTSDiscount(OisCurve,R628,,AllTriggers)</f>
        <v>0.95672737285576837</v>
      </c>
      <c r="W628" s="33">
        <f t="shared" si="47"/>
        <v>1.2854924727466599E-2</v>
      </c>
      <c r="X628" s="35">
        <f t="shared" si="48"/>
        <v>3.6498355487824387E-4</v>
      </c>
      <c r="Y628" s="33">
        <f t="shared" si="49"/>
        <v>1.4331498773723084E-3</v>
      </c>
      <c r="Z628" s="54"/>
    </row>
    <row r="629" spans="15:26" x14ac:dyDescent="0.25">
      <c r="O629" s="37" t="s">
        <v>31</v>
      </c>
      <c r="P629" s="31">
        <f>_xll.qlCalendarAdvance(Calendar,P628,O628,"f",,Trigger)</f>
        <v>45090</v>
      </c>
      <c r="Q629" s="31">
        <f>_xll.qlInterestRateIndexValueDate(Index,P629,Trigger)</f>
        <v>45092</v>
      </c>
      <c r="R629" s="31">
        <f>_xll.qlInterestRateIndexMaturity(Index,Q629,Trigger)</f>
        <v>45184</v>
      </c>
      <c r="S629" s="32">
        <f>_xll.qlDayCounterYearFraction(DayCounter,Q629,R629,,,Trigger)</f>
        <v>0.25555555555555554</v>
      </c>
      <c r="T629" s="33">
        <f>_xll.qlIndexFixing(Index,P629,,AllTriggers)</f>
        <v>1.4305915214584953E-2</v>
      </c>
      <c r="U629" s="34">
        <f>_xll.qlYieldTSDiscount(OisCurve,Q629,,AllTriggers)</f>
        <v>0.9596329740518984</v>
      </c>
      <c r="V629" s="34">
        <f>_xll.qlYieldTSDiscount(OisCurve,R629,,AllTriggers)</f>
        <v>0.95648628084825882</v>
      </c>
      <c r="W629" s="33">
        <f t="shared" si="47"/>
        <v>1.2873313047072718E-2</v>
      </c>
      <c r="X629" s="35">
        <f t="shared" si="48"/>
        <v>3.6484238524328588E-4</v>
      </c>
      <c r="Y629" s="33">
        <f t="shared" si="49"/>
        <v>1.4326021675122348E-3</v>
      </c>
      <c r="Z629" s="54"/>
    </row>
    <row r="630" spans="15:26" x14ac:dyDescent="0.25">
      <c r="O630" s="37" t="s">
        <v>31</v>
      </c>
      <c r="P630" s="31">
        <f>_xll.qlCalendarAdvance(Calendar,P629,O629,"f",,Trigger)</f>
        <v>45097</v>
      </c>
      <c r="Q630" s="31">
        <f>_xll.qlInterestRateIndexValueDate(Index,P630,Trigger)</f>
        <v>45099</v>
      </c>
      <c r="R630" s="31">
        <f>_xll.qlInterestRateIndexMaturity(Index,Q630,Trigger)</f>
        <v>45191</v>
      </c>
      <c r="S630" s="32">
        <f>_xll.qlDayCounterYearFraction(DayCounter,Q630,R630,,,Trigger)</f>
        <v>0.25555555555555554</v>
      </c>
      <c r="T630" s="33">
        <f>_xll.qlIndexFixing(Index,P630,,AllTriggers)</f>
        <v>1.4323629834976396E-2</v>
      </c>
      <c r="U630" s="34">
        <f>_xll.qlYieldTSDiscount(OisCurve,Q630,,AllTriggers)</f>
        <v>0.95939528571081334</v>
      </c>
      <c r="V630" s="34">
        <f>_xll.qlYieldTSDiscount(OisCurve,R630,,AllTriggers)</f>
        <v>0.95624492723016896</v>
      </c>
      <c r="W630" s="33">
        <f t="shared" si="47"/>
        <v>1.2891560891807102E-2</v>
      </c>
      <c r="X630" s="35">
        <f t="shared" si="48"/>
        <v>3.6470491831125076E-4</v>
      </c>
      <c r="Y630" s="33">
        <f t="shared" si="49"/>
        <v>1.4320689431692943E-3</v>
      </c>
      <c r="Z630" s="54"/>
    </row>
    <row r="631" spans="15:26" x14ac:dyDescent="0.25">
      <c r="O631" s="37" t="s">
        <v>31</v>
      </c>
      <c r="P631" s="31">
        <f>_xll.qlCalendarAdvance(Calendar,P630,O630,"f",,Trigger)</f>
        <v>45104</v>
      </c>
      <c r="Q631" s="31">
        <f>_xll.qlInterestRateIndexValueDate(Index,P631,Trigger)</f>
        <v>45106</v>
      </c>
      <c r="R631" s="31">
        <f>_xll.qlInterestRateIndexMaturity(Index,Q631,Trigger)</f>
        <v>45198</v>
      </c>
      <c r="S631" s="32">
        <f>_xll.qlDayCounterYearFraction(DayCounter,Q631,R631,,,Trigger)</f>
        <v>0.25555555555555554</v>
      </c>
      <c r="T631" s="33">
        <f>_xll.qlIndexFixing(Index,P631,,AllTriggers)</f>
        <v>1.4341218464310251E-2</v>
      </c>
      <c r="U631" s="34">
        <f>_xll.qlYieldTSDiscount(OisCurve,Q631,,AllTriggers)</f>
        <v>0.95915730116722198</v>
      </c>
      <c r="V631" s="34">
        <f>_xll.qlYieldTSDiscount(OisCurve,R631,,AllTriggers)</f>
        <v>0.95600331483452106</v>
      </c>
      <c r="W631" s="33">
        <f t="shared" si="47"/>
        <v>1.2909668259712187E-2</v>
      </c>
      <c r="X631" s="35">
        <f t="shared" si="48"/>
        <v>3.6457115408188977E-4</v>
      </c>
      <c r="Y631" s="33">
        <f t="shared" si="49"/>
        <v>1.4315502045980644E-3</v>
      </c>
      <c r="Z631" s="54"/>
    </row>
    <row r="632" spans="15:26" x14ac:dyDescent="0.25">
      <c r="O632" s="37" t="s">
        <v>31</v>
      </c>
      <c r="P632" s="31">
        <f>_xll.qlCalendarAdvance(Calendar,P631,O631,"f",,Trigger)</f>
        <v>45111</v>
      </c>
      <c r="Q632" s="31">
        <f>_xll.qlInterestRateIndexValueDate(Index,P632,Trigger)</f>
        <v>45113</v>
      </c>
      <c r="R632" s="31">
        <f>_xll.qlInterestRateIndexMaturity(Index,Q632,Trigger)</f>
        <v>45205</v>
      </c>
      <c r="S632" s="32">
        <f>_xll.qlDayCounterYearFraction(DayCounter,Q632,R632,,,Trigger)</f>
        <v>0.25555555555555554</v>
      </c>
      <c r="T632" s="33">
        <f>_xll.qlIndexFixing(Index,P632,,AllTriggers)</f>
        <v>1.4358681100891356E-2</v>
      </c>
      <c r="U632" s="34">
        <f>_xll.qlYieldTSDiscount(OisCurve,Q632,,AllTriggers)</f>
        <v>0.95891902328302314</v>
      </c>
      <c r="V632" s="34">
        <f>_xll.qlYieldTSDiscount(OisCurve,R632,,AllTriggers)</f>
        <v>0.95576144649190886</v>
      </c>
      <c r="W632" s="33">
        <f t="shared" si="47"/>
        <v>1.2927635148842572E-2</v>
      </c>
      <c r="X632" s="35">
        <f t="shared" si="48"/>
        <v>3.6444109255557894E-4</v>
      </c>
      <c r="Y632" s="33">
        <f t="shared" si="49"/>
        <v>1.4310459520487841E-3</v>
      </c>
      <c r="Z632" s="54"/>
    </row>
    <row r="633" spans="15:26" x14ac:dyDescent="0.25">
      <c r="O633" s="37" t="s">
        <v>31</v>
      </c>
      <c r="P633" s="31">
        <f>_xll.qlCalendarAdvance(Calendar,P632,O632,"f",,Trigger)</f>
        <v>45118</v>
      </c>
      <c r="Q633" s="31">
        <f>_xll.qlInterestRateIndexValueDate(Index,P633,Trigger)</f>
        <v>45120</v>
      </c>
      <c r="R633" s="31">
        <f>_xll.qlInterestRateIndexMaturity(Index,Q633,Trigger)</f>
        <v>45212</v>
      </c>
      <c r="S633" s="32">
        <f>_xll.qlDayCounterYearFraction(DayCounter,Q633,R633,,,Trigger)</f>
        <v>0.25555555555555554</v>
      </c>
      <c r="T633" s="33">
        <f>_xll.qlIndexFixing(Index,P633,,AllTriggers)</f>
        <v>1.4376017743039312E-2</v>
      </c>
      <c r="U633" s="34">
        <f>_xll.qlYieldTSDiscount(OisCurve,Q633,,AllTriggers)</f>
        <v>0.95868045491778286</v>
      </c>
      <c r="V633" s="34">
        <f>_xll.qlYieldTSDiscount(OisCurve,R633,,AllTriggers)</f>
        <v>0.95551932503048931</v>
      </c>
      <c r="W633" s="33">
        <f t="shared" si="47"/>
        <v>1.2945461557268497E-2</v>
      </c>
      <c r="X633" s="35">
        <f t="shared" si="48"/>
        <v>3.6431473373220934E-4</v>
      </c>
      <c r="Y633" s="33">
        <f t="shared" si="49"/>
        <v>1.4305561857708149E-3</v>
      </c>
      <c r="Z633" s="54"/>
    </row>
    <row r="634" spans="15:26" x14ac:dyDescent="0.25">
      <c r="O634" s="37" t="s">
        <v>31</v>
      </c>
      <c r="P634" s="31">
        <f>_xll.qlCalendarAdvance(Calendar,P633,O633,"f",,Trigger)</f>
        <v>45125</v>
      </c>
      <c r="Q634" s="31">
        <f>_xll.qlInterestRateIndexValueDate(Index,P634,Trigger)</f>
        <v>45127</v>
      </c>
      <c r="R634" s="31">
        <f>_xll.qlInterestRateIndexMaturity(Index,Q634,Trigger)</f>
        <v>45219</v>
      </c>
      <c r="S634" s="32">
        <f>_xll.qlDayCounterYearFraction(DayCounter,Q634,R634,,,Trigger)</f>
        <v>0.25555555555555554</v>
      </c>
      <c r="T634" s="33">
        <f>_xll.qlIndexFixing(Index,P634,,AllTriggers)</f>
        <v>1.4393228389084151E-2</v>
      </c>
      <c r="U634" s="34">
        <f>_xll.qlYieldTSDiscount(OisCurve,Q634,,AllTriggers)</f>
        <v>0.95844159892872594</v>
      </c>
      <c r="V634" s="34">
        <f>_xll.qlYieldTSDiscount(OisCurve,R634,,AllTriggers)</f>
        <v>0.95527695327597584</v>
      </c>
      <c r="W634" s="33">
        <f t="shared" si="47"/>
        <v>1.2963147483076708E-2</v>
      </c>
      <c r="X634" s="35">
        <f t="shared" si="48"/>
        <v>3.6419207761140883E-4</v>
      </c>
      <c r="Y634" s="33">
        <f t="shared" si="49"/>
        <v>1.4300809060074429E-3</v>
      </c>
      <c r="Z634" s="54"/>
    </row>
    <row r="635" spans="15:26" x14ac:dyDescent="0.25">
      <c r="O635" s="37" t="s">
        <v>31</v>
      </c>
      <c r="P635" s="31">
        <f>_xll.qlCalendarAdvance(Calendar,P634,O634,"f",,Trigger)</f>
        <v>45132</v>
      </c>
      <c r="Q635" s="31">
        <f>_xll.qlInterestRateIndexValueDate(Index,P635,Trigger)</f>
        <v>45134</v>
      </c>
      <c r="R635" s="31">
        <f>_xll.qlInterestRateIndexMaturity(Index,Q635,Trigger)</f>
        <v>45226</v>
      </c>
      <c r="S635" s="32">
        <f>_xll.qlDayCounterYearFraction(DayCounter,Q635,R635,,,Trigger)</f>
        <v>0.25555555555555554</v>
      </c>
      <c r="T635" s="33">
        <f>_xll.qlIndexFixing(Index,P635,,AllTriggers)</f>
        <v>1.441031303736981E-2</v>
      </c>
      <c r="U635" s="34">
        <f>_xll.qlYieldTSDiscount(OisCurve,Q635,,AllTriggers)</f>
        <v>0.95820245817072736</v>
      </c>
      <c r="V635" s="34">
        <f>_xll.qlYieldTSDiscount(OisCurve,R635,,AllTriggers)</f>
        <v>0.95503433405163107</v>
      </c>
      <c r="W635" s="33">
        <f t="shared" si="47"/>
        <v>1.298069292436612E-2</v>
      </c>
      <c r="X635" s="35">
        <f t="shared" si="48"/>
        <v>3.6407312419387396E-4</v>
      </c>
      <c r="Y635" s="33">
        <f t="shared" si="49"/>
        <v>1.4296201130036892E-3</v>
      </c>
      <c r="Z635" s="54"/>
    </row>
    <row r="636" spans="15:26" x14ac:dyDescent="0.25">
      <c r="O636" s="37" t="s">
        <v>31</v>
      </c>
      <c r="P636" s="31">
        <f>_xll.qlCalendarAdvance(Calendar,P635,O635,"f",,Trigger)</f>
        <v>45139</v>
      </c>
      <c r="Q636" s="31">
        <f>_xll.qlInterestRateIndexValueDate(Index,P636,Trigger)</f>
        <v>45141</v>
      </c>
      <c r="R636" s="31">
        <f>_xll.qlInterestRateIndexMaturity(Index,Q636,Trigger)</f>
        <v>45233</v>
      </c>
      <c r="S636" s="32">
        <f>_xll.qlDayCounterYearFraction(DayCounter,Q636,R636,,,Trigger)</f>
        <v>0.25555555555555554</v>
      </c>
      <c r="T636" s="33">
        <f>_xll.qlIndexFixing(Index,P636,,AllTriggers)</f>
        <v>1.4427271686250645E-2</v>
      </c>
      <c r="U636" s="34">
        <f>_xll.qlYieldTSDiscount(OisCurve,Q636,,AllTriggers)</f>
        <v>0.95796303549630435</v>
      </c>
      <c r="V636" s="34">
        <f>_xll.qlYieldTSDiscount(OisCurve,R636,,AllTriggers)</f>
        <v>0.95479147017825949</v>
      </c>
      <c r="W636" s="33">
        <f t="shared" si="47"/>
        <v>1.2998097879253889E-2</v>
      </c>
      <c r="X636" s="35">
        <f t="shared" si="48"/>
        <v>3.6395787347937237E-4</v>
      </c>
      <c r="Y636" s="33">
        <f t="shared" si="49"/>
        <v>1.4291738069967565E-3</v>
      </c>
      <c r="Z636" s="54"/>
    </row>
    <row r="637" spans="15:26" x14ac:dyDescent="0.25">
      <c r="O637" s="37" t="s">
        <v>31</v>
      </c>
      <c r="P637" s="31">
        <f>_xll.qlCalendarAdvance(Calendar,P636,O636,"f",,Trigger)</f>
        <v>45146</v>
      </c>
      <c r="Q637" s="31">
        <f>_xll.qlInterestRateIndexValueDate(Index,P637,Trigger)</f>
        <v>45148</v>
      </c>
      <c r="R637" s="31">
        <f>_xll.qlInterestRateIndexMaturity(Index,Q637,Trigger)</f>
        <v>45240</v>
      </c>
      <c r="S637" s="32">
        <f>_xll.qlDayCounterYearFraction(DayCounter,Q637,R637,,,Trigger)</f>
        <v>0.25555555555555554</v>
      </c>
      <c r="T637" s="33">
        <f>_xll.qlIndexFixing(Index,P637,,AllTriggers)</f>
        <v>1.4444104334093181E-2</v>
      </c>
      <c r="U637" s="34">
        <f>_xll.qlYieldTSDiscount(OisCurve,Q637,,AllTriggers)</f>
        <v>0.95772333375560825</v>
      </c>
      <c r="V637" s="34">
        <f>_xll.qlYieldTSDiscount(OisCurve,R637,,AllTriggers)</f>
        <v>0.95454836447420077</v>
      </c>
      <c r="W637" s="33">
        <f t="shared" si="47"/>
        <v>1.3015362345871076E-2</v>
      </c>
      <c r="X637" s="35">
        <f t="shared" si="48"/>
        <v>3.6384632546718659E-4</v>
      </c>
      <c r="Y637" s="33">
        <f t="shared" si="49"/>
        <v>1.4287419882221056E-3</v>
      </c>
      <c r="Z637" s="54"/>
    </row>
    <row r="638" spans="15:26" x14ac:dyDescent="0.25">
      <c r="O638" s="37" t="s">
        <v>31</v>
      </c>
      <c r="P638" s="31">
        <f>_xll.qlCalendarAdvance(Calendar,P637,O637,"f",,Trigger)</f>
        <v>45153</v>
      </c>
      <c r="Q638" s="31">
        <f>_xll.qlInterestRateIndexValueDate(Index,P638,Trigger)</f>
        <v>45155</v>
      </c>
      <c r="R638" s="31">
        <f>_xll.qlInterestRateIndexMaturity(Index,Q638,Trigger)</f>
        <v>45247</v>
      </c>
      <c r="S638" s="32">
        <f>_xll.qlDayCounterYearFraction(DayCounter,Q638,R638,,,Trigger)</f>
        <v>0.25555555555555554</v>
      </c>
      <c r="T638" s="33">
        <f>_xll.qlIndexFixing(Index,P638,,AllTriggers)</f>
        <v>1.4460810979277844E-2</v>
      </c>
      <c r="U638" s="34">
        <f>_xll.qlYieldTSDiscount(OisCurve,Q638,,AllTriggers)</f>
        <v>0.95748335579641619</v>
      </c>
      <c r="V638" s="34">
        <f>_xll.qlYieldTSDiscount(OisCurve,R638,,AllTriggers)</f>
        <v>0.95430501975532234</v>
      </c>
      <c r="W638" s="33">
        <f t="shared" si="47"/>
        <v>1.3032486322363512E-2</v>
      </c>
      <c r="X638" s="35">
        <f t="shared" si="48"/>
        <v>3.6373848015788985E-4</v>
      </c>
      <c r="Y638" s="33">
        <f t="shared" si="49"/>
        <v>1.4283246569143319E-3</v>
      </c>
      <c r="Z638" s="54"/>
    </row>
    <row r="639" spans="15:26" x14ac:dyDescent="0.25">
      <c r="O639" s="37" t="s">
        <v>31</v>
      </c>
      <c r="P639" s="31">
        <f>_xll.qlCalendarAdvance(Calendar,P638,O638,"f",,Trigger)</f>
        <v>45160</v>
      </c>
      <c r="Q639" s="31">
        <f>_xll.qlInterestRateIndexValueDate(Index,P639,Trigger)</f>
        <v>45162</v>
      </c>
      <c r="R639" s="31">
        <f>_xll.qlInterestRateIndexMaturity(Index,Q639,Trigger)</f>
        <v>45254</v>
      </c>
      <c r="S639" s="32">
        <f>_xll.qlDayCounterYearFraction(DayCounter,Q639,R639,,,Trigger)</f>
        <v>0.25555555555555554</v>
      </c>
      <c r="T639" s="33">
        <f>_xll.qlIndexFixing(Index,P639,,AllTriggers)</f>
        <v>1.4477391620196355E-2</v>
      </c>
      <c r="U639" s="34">
        <f>_xll.qlYieldTSDiscount(OisCurve,Q639,,AllTriggers)</f>
        <v>0.9572431044641232</v>
      </c>
      <c r="V639" s="34">
        <f>_xll.qlYieldTSDiscount(OisCurve,R639,,AllTriggers)</f>
        <v>0.95406143883501315</v>
      </c>
      <c r="W639" s="33">
        <f t="shared" si="47"/>
        <v>1.3049469806890059E-2</v>
      </c>
      <c r="X639" s="35">
        <f t="shared" si="48"/>
        <v>3.6363433755223616E-4</v>
      </c>
      <c r="Y639" s="33">
        <f t="shared" si="49"/>
        <v>1.427921813306296E-3</v>
      </c>
      <c r="Z639" s="54"/>
    </row>
    <row r="640" spans="15:26" x14ac:dyDescent="0.25">
      <c r="O640" s="37" t="s">
        <v>31</v>
      </c>
      <c r="P640" s="31">
        <f>_xll.qlCalendarAdvance(Calendar,P639,O639,"f",,Trigger)</f>
        <v>45167</v>
      </c>
      <c r="Q640" s="31">
        <f>_xll.qlInterestRateIndexValueDate(Index,P640,Trigger)</f>
        <v>45169</v>
      </c>
      <c r="R640" s="31">
        <f>_xll.qlInterestRateIndexMaturity(Index,Q640,Trigger)</f>
        <v>45260</v>
      </c>
      <c r="S640" s="32">
        <f>_xll.qlDayCounterYearFraction(DayCounter,Q640,R640,,,Trigger)</f>
        <v>0.25277777777777777</v>
      </c>
      <c r="T640" s="33">
        <f>_xll.qlIndexFixing(Index,P640,,AllTriggers)</f>
        <v>1.449240336557839E-2</v>
      </c>
      <c r="U640" s="34">
        <f>_xll.qlYieldTSDiscount(OisCurve,Q640,,AllTriggers)</f>
        <v>0.9570025826017351</v>
      </c>
      <c r="V640" s="34">
        <f>_xll.qlYieldTSDiscount(OisCurve,R640,,AllTriggers)</f>
        <v>0.9538524693227578</v>
      </c>
      <c r="W640" s="33">
        <f t="shared" si="47"/>
        <v>1.3064899446138027E-2</v>
      </c>
      <c r="X640" s="35">
        <f t="shared" si="48"/>
        <v>3.5958884715494975E-4</v>
      </c>
      <c r="Y640" s="33">
        <f t="shared" si="49"/>
        <v>1.4275039194403625E-3</v>
      </c>
      <c r="Z640" s="54"/>
    </row>
    <row r="641" spans="15:26" x14ac:dyDescent="0.25">
      <c r="O641" s="37" t="s">
        <v>31</v>
      </c>
      <c r="P641" s="31">
        <f>_xll.qlCalendarAdvance(Calendar,P640,O640,"f",,Trigger)</f>
        <v>45174</v>
      </c>
      <c r="Q641" s="31">
        <f>_xll.qlInterestRateIndexValueDate(Index,P641,Trigger)</f>
        <v>45176</v>
      </c>
      <c r="R641" s="31">
        <f>_xll.qlInterestRateIndexMaturity(Index,Q641,Trigger)</f>
        <v>45267</v>
      </c>
      <c r="S641" s="32">
        <f>_xll.qlDayCounterYearFraction(DayCounter,Q641,R641,,,Trigger)</f>
        <v>0.25277777777777777</v>
      </c>
      <c r="T641" s="33">
        <f>_xll.qlIndexFixing(Index,P641,,AllTriggers)</f>
        <v>1.4508740336998019E-2</v>
      </c>
      <c r="U641" s="34">
        <f>_xll.qlYieldTSDiscount(OisCurve,Q641,,AllTriggers)</f>
        <v>0.95676179304985931</v>
      </c>
      <c r="V641" s="34">
        <f>_xll.qlYieldTSDiscount(OisCurve,R641,,AllTriggers)</f>
        <v>0.9536084571982576</v>
      </c>
      <c r="W641" s="33">
        <f t="shared" si="47"/>
        <v>1.3081611370935893E-2</v>
      </c>
      <c r="X641" s="35">
        <f t="shared" si="48"/>
        <v>3.5949289984186009E-4</v>
      </c>
      <c r="Y641" s="33">
        <f t="shared" si="49"/>
        <v>1.4271289660621259E-3</v>
      </c>
      <c r="Z641" s="54"/>
    </row>
    <row r="642" spans="15:26" x14ac:dyDescent="0.25">
      <c r="O642" s="37" t="s">
        <v>31</v>
      </c>
      <c r="P642" s="31">
        <f>_xll.qlCalendarAdvance(Calendar,P641,O641,"f",,Trigger)</f>
        <v>45181</v>
      </c>
      <c r="Q642" s="31">
        <f>_xll.qlInterestRateIndexValueDate(Index,P642,Trigger)</f>
        <v>45183</v>
      </c>
      <c r="R642" s="31">
        <f>_xll.qlInterestRateIndexMaturity(Index,Q642,Trigger)</f>
        <v>45274</v>
      </c>
      <c r="S642" s="32">
        <f>_xll.qlDayCounterYearFraction(DayCounter,Q642,R642,,,Trigger)</f>
        <v>0.25277777777777777</v>
      </c>
      <c r="T642" s="33">
        <f>_xll.qlIndexFixing(Index,P642,,AllTriggers)</f>
        <v>1.4524951303845597E-2</v>
      </c>
      <c r="U642" s="34">
        <f>_xll.qlYieldTSDiscount(OisCurve,Q642,,AllTriggers)</f>
        <v>0.95652073864669829</v>
      </c>
      <c r="V642" s="34">
        <f>_xll.qlYieldTSDiscount(OisCurve,R642,,AllTriggers)</f>
        <v>0.95336421689686113</v>
      </c>
      <c r="W642" s="33">
        <f t="shared" si="47"/>
        <v>1.3098182802801304E-2</v>
      </c>
      <c r="X642" s="35">
        <f t="shared" si="48"/>
        <v>3.5940061498476489E-4</v>
      </c>
      <c r="Y642" s="33">
        <f t="shared" si="49"/>
        <v>1.426768501044293E-3</v>
      </c>
      <c r="Z642" s="54"/>
    </row>
    <row r="643" spans="15:26" x14ac:dyDescent="0.25">
      <c r="O643" s="37" t="s">
        <v>31</v>
      </c>
      <c r="P643" s="31">
        <f>_xll.qlCalendarAdvance(Calendar,P642,O642,"f",,Trigger)</f>
        <v>45188</v>
      </c>
      <c r="Q643" s="31">
        <f>_xll.qlInterestRateIndexValueDate(Index,P643,Trigger)</f>
        <v>45190</v>
      </c>
      <c r="R643" s="31">
        <f>_xll.qlInterestRateIndexMaturity(Index,Q643,Trigger)</f>
        <v>45281</v>
      </c>
      <c r="S643" s="32">
        <f>_xll.qlDayCounterYearFraction(DayCounter,Q643,R643,,,Trigger)</f>
        <v>0.25277777777777777</v>
      </c>
      <c r="T643" s="33">
        <f>_xll.qlIndexFixing(Index,P643,,AllTriggers)</f>
        <v>1.4541036264576864E-2</v>
      </c>
      <c r="U643" s="34">
        <f>_xll.qlYieldTSDiscount(OisCurve,Q643,,AllTriggers)</f>
        <v>0.95627942222804141</v>
      </c>
      <c r="V643" s="34">
        <f>_xll.qlYieldTSDiscount(OisCurve,R643,,AllTriggers)</f>
        <v>0.95311975122233317</v>
      </c>
      <c r="W643" s="33">
        <f t="shared" si="47"/>
        <v>1.3114613739972157E-2</v>
      </c>
      <c r="X643" s="35">
        <f t="shared" si="48"/>
        <v>3.5931199258423422E-4</v>
      </c>
      <c r="Y643" s="33">
        <f t="shared" si="49"/>
        <v>1.426422524604707E-3</v>
      </c>
      <c r="Z643" s="54"/>
    </row>
    <row r="644" spans="15:26" x14ac:dyDescent="0.25">
      <c r="O644" s="37" t="s">
        <v>31</v>
      </c>
      <c r="P644" s="31">
        <f>_xll.qlCalendarAdvance(Calendar,P643,O643,"f",,Trigger)</f>
        <v>45195</v>
      </c>
      <c r="Q644" s="31">
        <f>_xll.qlInterestRateIndexValueDate(Index,P644,Trigger)</f>
        <v>45197</v>
      </c>
      <c r="R644" s="31">
        <f>_xll.qlInterestRateIndexMaturity(Index,Q644,Trigger)</f>
        <v>45288</v>
      </c>
      <c r="S644" s="32">
        <f>_xll.qlDayCounterYearFraction(DayCounter,Q644,R644,,,Trigger)</f>
        <v>0.25277777777777777</v>
      </c>
      <c r="T644" s="33">
        <f>_xll.qlIndexFixing(Index,P644,,AllTriggers)</f>
        <v>1.4556995217658981E-2</v>
      </c>
      <c r="U644" s="34">
        <f>_xll.qlYieldTSDiscount(OisCurve,Q644,,AllTriggers)</f>
        <v>0.95603784662725788</v>
      </c>
      <c r="V644" s="34">
        <f>_xll.qlYieldTSDiscount(OisCurve,R644,,AllTriggers)</f>
        <v>0.95287506297592761</v>
      </c>
      <c r="W644" s="33">
        <f t="shared" ref="W644:W707" si="50">(U644/V644-1)/S644</f>
        <v>1.313090418070479E-2</v>
      </c>
      <c r="X644" s="35">
        <f t="shared" ref="X644:X707" si="51">LN((1+T644*S644)/(1+W644*S644))</f>
        <v>3.5922703263902212E-4</v>
      </c>
      <c r="Y644" s="33">
        <f t="shared" ref="Y644:Y707" si="52">T644-W644</f>
        <v>1.4260910369541906E-3</v>
      </c>
      <c r="Z644" s="54"/>
    </row>
    <row r="645" spans="15:26" x14ac:dyDescent="0.25">
      <c r="O645" s="37" t="s">
        <v>31</v>
      </c>
      <c r="P645" s="31">
        <f>_xll.qlCalendarAdvance(Calendar,P644,O644,"f",,Trigger)</f>
        <v>45202</v>
      </c>
      <c r="Q645" s="31">
        <f>_xll.qlInterestRateIndexValueDate(Index,P645,Trigger)</f>
        <v>45204</v>
      </c>
      <c r="R645" s="31">
        <f>_xll.qlInterestRateIndexMaturity(Index,Q645,Trigger)</f>
        <v>45296</v>
      </c>
      <c r="S645" s="32">
        <f>_xll.qlDayCounterYearFraction(DayCounter,Q645,R645,,,Trigger)</f>
        <v>0.25555555555555554</v>
      </c>
      <c r="T645" s="33">
        <f>_xll.qlIndexFixing(Index,P645,,AllTriggers)</f>
        <v>1.4574229287547355E-2</v>
      </c>
      <c r="U645" s="34">
        <f>_xll.qlYieldTSDiscount(OisCurve,Q645,,AllTriggers)</f>
        <v>0.9557960146752883</v>
      </c>
      <c r="V645" s="34">
        <f>_xll.qlYieldTSDiscount(OisCurve,R645,,AllTriggers)</f>
        <v>0.95259515031885689</v>
      </c>
      <c r="W645" s="33">
        <f t="shared" si="50"/>
        <v>1.314842028173176E-2</v>
      </c>
      <c r="X645" s="35">
        <f t="shared" si="51"/>
        <v>3.6308723867548248E-4</v>
      </c>
      <c r="Y645" s="33">
        <f t="shared" si="52"/>
        <v>1.4258090058155946E-3</v>
      </c>
      <c r="Z645" s="54"/>
    </row>
    <row r="646" spans="15:26" x14ac:dyDescent="0.25">
      <c r="O646" s="37" t="s">
        <v>31</v>
      </c>
      <c r="P646" s="31">
        <f>_xll.qlCalendarAdvance(Calendar,P645,O645,"f",,Trigger)</f>
        <v>45209</v>
      </c>
      <c r="Q646" s="31">
        <f>_xll.qlInterestRateIndexValueDate(Index,P646,Trigger)</f>
        <v>45211</v>
      </c>
      <c r="R646" s="31">
        <f>_xll.qlInterestRateIndexMaturity(Index,Q646,Trigger)</f>
        <v>45303</v>
      </c>
      <c r="S646" s="32">
        <f>_xll.qlDayCounterYearFraction(DayCounter,Q646,R646,,,Trigger)</f>
        <v>0.25555555555555554</v>
      </c>
      <c r="T646" s="33">
        <f>_xll.qlIndexFixing(Index,P646,,AllTriggers)</f>
        <v>1.4589927854576286E-2</v>
      </c>
      <c r="U646" s="34">
        <f>_xll.qlYieldTSDiscount(OisCurve,Q646,,AllTriggers)</f>
        <v>0.95555392920063842</v>
      </c>
      <c r="V646" s="34">
        <f>_xll.qlYieldTSDiscount(OisCurve,R646,,AllTriggers)</f>
        <v>0.95234999455379188</v>
      </c>
      <c r="W646" s="33">
        <f t="shared" si="50"/>
        <v>1.3164420272287699E-2</v>
      </c>
      <c r="X646" s="35">
        <f t="shared" si="51"/>
        <v>3.6300901498968188E-4</v>
      </c>
      <c r="Y646" s="33">
        <f t="shared" si="52"/>
        <v>1.4255075822885866E-3</v>
      </c>
      <c r="Z646" s="54"/>
    </row>
    <row r="647" spans="15:26" x14ac:dyDescent="0.25">
      <c r="O647" s="37" t="s">
        <v>31</v>
      </c>
      <c r="P647" s="31">
        <f>_xll.qlCalendarAdvance(Calendar,P646,O646,"f",,Trigger)</f>
        <v>45216</v>
      </c>
      <c r="Q647" s="31">
        <f>_xll.qlInterestRateIndexValueDate(Index,P647,Trigger)</f>
        <v>45218</v>
      </c>
      <c r="R647" s="31">
        <f>_xll.qlInterestRateIndexMaturity(Index,Q647,Trigger)</f>
        <v>45310</v>
      </c>
      <c r="S647" s="32">
        <f>_xll.qlDayCounterYearFraction(DayCounter,Q647,R647,,,Trigger)</f>
        <v>0.25555555555555554</v>
      </c>
      <c r="T647" s="33">
        <f>_xll.qlIndexFixing(Index,P647,,AllTriggers)</f>
        <v>1.4605500404905531E-2</v>
      </c>
      <c r="U647" s="34">
        <f>_xll.qlYieldTSDiscount(OisCurve,Q647,,AllTriggers)</f>
        <v>0.95531159302937119</v>
      </c>
      <c r="V647" s="34">
        <f>_xll.qlYieldTSDiscount(OisCurve,R647,,AllTriggers)</f>
        <v>0.95210462500437154</v>
      </c>
      <c r="W647" s="33">
        <f t="shared" si="50"/>
        <v>1.318027975671082E-2</v>
      </c>
      <c r="X647" s="35">
        <f t="shared" si="51"/>
        <v>3.6293449400630475E-4</v>
      </c>
      <c r="Y647" s="33">
        <f t="shared" si="52"/>
        <v>1.4252206481947111E-3</v>
      </c>
      <c r="Z647" s="54"/>
    </row>
    <row r="648" spans="15:26" x14ac:dyDescent="0.25">
      <c r="O648" s="37" t="s">
        <v>31</v>
      </c>
      <c r="P648" s="31">
        <f>_xll.qlCalendarAdvance(Calendar,P647,O647,"f",,Trigger)</f>
        <v>45223</v>
      </c>
      <c r="Q648" s="31">
        <f>_xll.qlInterestRateIndexValueDate(Index,P648,Trigger)</f>
        <v>45225</v>
      </c>
      <c r="R648" s="31">
        <f>_xll.qlInterestRateIndexMaturity(Index,Q648,Trigger)</f>
        <v>45317</v>
      </c>
      <c r="S648" s="32">
        <f>_xll.qlDayCounterYearFraction(DayCounter,Q648,R648,,,Trigger)</f>
        <v>0.25555555555555554</v>
      </c>
      <c r="T648" s="33">
        <f>_xll.qlIndexFixing(Index,P648,,AllTriggers)</f>
        <v>1.462094693703803E-2</v>
      </c>
      <c r="U648" s="34">
        <f>_xll.qlYieldTSDiscount(OisCurve,Q648,,AllTriggers)</f>
        <v>0.95506900898509972</v>
      </c>
      <c r="V648" s="34">
        <f>_xll.qlYieldTSDiscount(OisCurve,R648,,AllTriggers)</f>
        <v>0.95185904446137981</v>
      </c>
      <c r="W648" s="33">
        <f t="shared" si="50"/>
        <v>1.3195998733298141E-2</v>
      </c>
      <c r="X648" s="35">
        <f t="shared" si="51"/>
        <v>3.62863675726179E-4</v>
      </c>
      <c r="Y648" s="33">
        <f t="shared" si="52"/>
        <v>1.4249482037398883E-3</v>
      </c>
      <c r="Z648" s="54"/>
    </row>
    <row r="649" spans="15:26" x14ac:dyDescent="0.25">
      <c r="O649" s="37" t="s">
        <v>31</v>
      </c>
      <c r="P649" s="31">
        <f>_xll.qlCalendarAdvance(Calendar,P648,O648,"f",,Trigger)</f>
        <v>45230</v>
      </c>
      <c r="Q649" s="31">
        <f>_xll.qlInterestRateIndexValueDate(Index,P649,Trigger)</f>
        <v>45232</v>
      </c>
      <c r="R649" s="31">
        <f>_xll.qlInterestRateIndexMaturity(Index,Q649,Trigger)</f>
        <v>45324</v>
      </c>
      <c r="S649" s="32">
        <f>_xll.qlDayCounterYearFraction(DayCounter,Q649,R649,,,Trigger)</f>
        <v>0.25555555555555554</v>
      </c>
      <c r="T649" s="33">
        <f>_xll.qlIndexFixing(Index,P649,,AllTriggers)</f>
        <v>1.4636267449484538E-2</v>
      </c>
      <c r="U649" s="34">
        <f>_xll.qlYieldTSDiscount(OisCurve,Q649,,AllTriggers)</f>
        <v>0.95482617988898011</v>
      </c>
      <c r="V649" s="34">
        <f>_xll.qlYieldTSDiscount(OisCurve,R649,,AllTriggers)</f>
        <v>0.95161325571305755</v>
      </c>
      <c r="W649" s="33">
        <f t="shared" si="50"/>
        <v>1.3211577200361447E-2</v>
      </c>
      <c r="X649" s="35">
        <f t="shared" si="51"/>
        <v>3.6279656014898143E-4</v>
      </c>
      <c r="Y649" s="33">
        <f t="shared" si="52"/>
        <v>1.4246902491230912E-3</v>
      </c>
      <c r="Z649" s="54"/>
    </row>
    <row r="650" spans="15:26" x14ac:dyDescent="0.25">
      <c r="O650" s="37" t="s">
        <v>31</v>
      </c>
      <c r="P650" s="31">
        <f>_xll.qlCalendarAdvance(Calendar,P649,O649,"f",,Trigger)</f>
        <v>45237</v>
      </c>
      <c r="Q650" s="31">
        <f>_xll.qlInterestRateIndexValueDate(Index,P650,Trigger)</f>
        <v>45239</v>
      </c>
      <c r="R650" s="31">
        <f>_xll.qlInterestRateIndexMaturity(Index,Q650,Trigger)</f>
        <v>45331</v>
      </c>
      <c r="S650" s="32">
        <f>_xll.qlDayCounterYearFraction(DayCounter,Q650,R650,,,Trigger)</f>
        <v>0.25555555555555554</v>
      </c>
      <c r="T650" s="33">
        <f>_xll.qlIndexFixing(Index,P650,,AllTriggers)</f>
        <v>1.4651461940769713E-2</v>
      </c>
      <c r="U650" s="34">
        <f>_xll.qlYieldTSDiscount(OisCurve,Q650,,AllTriggers)</f>
        <v>0.95458310855970463</v>
      </c>
      <c r="V650" s="34">
        <f>_xll.qlYieldTSDiscount(OisCurve,R650,,AllTriggers)</f>
        <v>0.95136726154509677</v>
      </c>
      <c r="W650" s="33">
        <f t="shared" si="50"/>
        <v>1.3227015156228161E-2</v>
      </c>
      <c r="X650" s="35">
        <f t="shared" si="51"/>
        <v>3.6273314727434773E-4</v>
      </c>
      <c r="Y650" s="33">
        <f t="shared" si="52"/>
        <v>1.4244467845415526E-3</v>
      </c>
      <c r="Z650" s="54"/>
    </row>
    <row r="651" spans="15:26" x14ac:dyDescent="0.25">
      <c r="O651" s="37" t="s">
        <v>31</v>
      </c>
      <c r="P651" s="31">
        <f>_xll.qlCalendarAdvance(Calendar,P650,O650,"f",,Trigger)</f>
        <v>45244</v>
      </c>
      <c r="Q651" s="31">
        <f>_xll.qlInterestRateIndexValueDate(Index,P651,Trigger)</f>
        <v>45246</v>
      </c>
      <c r="R651" s="31">
        <f>_xll.qlInterestRateIndexMaturity(Index,Q651,Trigger)</f>
        <v>45338</v>
      </c>
      <c r="S651" s="32">
        <f>_xll.qlDayCounterYearFraction(DayCounter,Q651,R651,,,Trigger)</f>
        <v>0.25555555555555554</v>
      </c>
      <c r="T651" s="33">
        <f>_xll.qlIndexFixing(Index,P651,,AllTriggers)</f>
        <v>1.4666530409431248E-2</v>
      </c>
      <c r="U651" s="34">
        <f>_xll.qlYieldTSDiscount(OisCurve,Q651,,AllTriggers)</f>
        <v>0.95433979781349421</v>
      </c>
      <c r="V651" s="34">
        <f>_xll.qlYieldTSDiscount(OisCurve,R651,,AllTriggers)</f>
        <v>0.9511210647406344</v>
      </c>
      <c r="W651" s="33">
        <f t="shared" si="50"/>
        <v>1.3242312599238741E-2</v>
      </c>
      <c r="X651" s="35">
        <f t="shared" si="51"/>
        <v>3.6267343710276033E-4</v>
      </c>
      <c r="Y651" s="33">
        <f t="shared" si="52"/>
        <v>1.424217810192507E-3</v>
      </c>
      <c r="Z651" s="54"/>
    </row>
    <row r="652" spans="15:26" x14ac:dyDescent="0.25">
      <c r="O652" s="37" t="s">
        <v>31</v>
      </c>
      <c r="P652" s="31">
        <f>_xll.qlCalendarAdvance(Calendar,P651,O651,"f",,Trigger)</f>
        <v>45251</v>
      </c>
      <c r="Q652" s="31">
        <f>_xll.qlInterestRateIndexValueDate(Index,P652,Trigger)</f>
        <v>45253</v>
      </c>
      <c r="R652" s="31">
        <f>_xll.qlInterestRateIndexMaturity(Index,Q652,Trigger)</f>
        <v>45345</v>
      </c>
      <c r="S652" s="32">
        <f>_xll.qlDayCounterYearFraction(DayCounter,Q652,R652,,,Trigger)</f>
        <v>0.25555555555555554</v>
      </c>
      <c r="T652" s="33">
        <f>_xll.qlIndexFixing(Index,P652,,AllTriggers)</f>
        <v>1.4681472854018997E-2</v>
      </c>
      <c r="U652" s="34">
        <f>_xll.qlYieldTSDiscount(OisCurve,Q652,,AllTriggers)</f>
        <v>0.95409625046409252</v>
      </c>
      <c r="V652" s="34">
        <f>_xll.qlYieldTSDiscount(OisCurve,R652,,AllTriggers)</f>
        <v>0.95087466808024723</v>
      </c>
      <c r="W652" s="33">
        <f t="shared" si="50"/>
        <v>1.3257469527752763E-2</v>
      </c>
      <c r="X652" s="35">
        <f t="shared" si="51"/>
        <v>3.6261742963399464E-4</v>
      </c>
      <c r="Y652" s="33">
        <f t="shared" si="52"/>
        <v>1.4240033262662346E-3</v>
      </c>
      <c r="Z652" s="54"/>
    </row>
    <row r="653" spans="15:26" x14ac:dyDescent="0.25">
      <c r="O653" s="37" t="s">
        <v>31</v>
      </c>
      <c r="P653" s="31">
        <f>_xll.qlCalendarAdvance(Calendar,P652,O652,"f",,Trigger)</f>
        <v>45258</v>
      </c>
      <c r="Q653" s="31">
        <f>_xll.qlInterestRateIndexValueDate(Index,P653,Trigger)</f>
        <v>45260</v>
      </c>
      <c r="R653" s="31">
        <f>_xll.qlInterestRateIndexMaturity(Index,Q653,Trigger)</f>
        <v>45351</v>
      </c>
      <c r="S653" s="32">
        <f>_xll.qlDayCounterYearFraction(DayCounter,Q653,R653,,,Trigger)</f>
        <v>0.25277777777777777</v>
      </c>
      <c r="T653" s="33">
        <f>_xll.qlIndexFixing(Index,P653,,AllTriggers)</f>
        <v>1.4694955204404345E-2</v>
      </c>
      <c r="U653" s="34">
        <f>_xll.qlYieldTSDiscount(OisCurve,Q653,,AllTriggers)</f>
        <v>0.9538524693227578</v>
      </c>
      <c r="V653" s="34">
        <f>_xll.qlYieldTSDiscount(OisCurve,R653,,AllTriggers)</f>
        <v>0.95066331397962067</v>
      </c>
      <c r="W653" s="33">
        <f t="shared" si="50"/>
        <v>1.3271195526930128E-2</v>
      </c>
      <c r="X653" s="35">
        <f t="shared" si="51"/>
        <v>3.5862720366120106E-4</v>
      </c>
      <c r="Y653" s="33">
        <f t="shared" si="52"/>
        <v>1.4237596774742175E-3</v>
      </c>
      <c r="Z653" s="54"/>
    </row>
    <row r="654" spans="15:26" x14ac:dyDescent="0.25">
      <c r="O654" s="37" t="s">
        <v>31</v>
      </c>
      <c r="P654" s="31">
        <f>_xll.qlCalendarAdvance(Calendar,P653,O653,"f",,Trigger)</f>
        <v>45265</v>
      </c>
      <c r="Q654" s="31">
        <f>_xll.qlInterestRateIndexValueDate(Index,P654,Trigger)</f>
        <v>45267</v>
      </c>
      <c r="R654" s="31">
        <f>_xll.qlInterestRateIndexMaturity(Index,Q654,Trigger)</f>
        <v>45358</v>
      </c>
      <c r="S654" s="32">
        <f>_xll.qlDayCounterYearFraction(DayCounter,Q654,R654,,,Trigger)</f>
        <v>0.25277777777777777</v>
      </c>
      <c r="T654" s="33">
        <f>_xll.qlIndexFixing(Index,P654,,AllTriggers)</f>
        <v>1.4709653999388152E-2</v>
      </c>
      <c r="U654" s="34">
        <f>_xll.qlYieldTSDiscount(OisCurve,Q654,,AllTriggers)</f>
        <v>0.9536084571982576</v>
      </c>
      <c r="V654" s="34">
        <f>_xll.qlYieldTSDiscount(OisCurve,R654,,AllTriggers)</f>
        <v>0.95041655352651133</v>
      </c>
      <c r="W654" s="33">
        <f t="shared" si="50"/>
        <v>1.3286080910557373E-2</v>
      </c>
      <c r="X654" s="35">
        <f t="shared" si="51"/>
        <v>3.5857886827747457E-4</v>
      </c>
      <c r="Y654" s="33">
        <f t="shared" si="52"/>
        <v>1.4235730888307787E-3</v>
      </c>
      <c r="Z654" s="54"/>
    </row>
    <row r="655" spans="15:26" x14ac:dyDescent="0.25">
      <c r="O655" s="37" t="s">
        <v>31</v>
      </c>
      <c r="P655" s="31">
        <f>_xll.qlCalendarAdvance(Calendar,P654,O654,"f",,Trigger)</f>
        <v>45272</v>
      </c>
      <c r="Q655" s="31">
        <f>_xll.qlInterestRateIndexValueDate(Index,P655,Trigger)</f>
        <v>45274</v>
      </c>
      <c r="R655" s="31">
        <f>_xll.qlInterestRateIndexMaturity(Index,Q655,Trigger)</f>
        <v>45365</v>
      </c>
      <c r="S655" s="32">
        <f>_xll.qlDayCounterYearFraction(DayCounter,Q655,R655,,,Trigger)</f>
        <v>0.25277777777777777</v>
      </c>
      <c r="T655" s="33">
        <f>_xll.qlIndexFixing(Index,P655,,AllTriggers)</f>
        <v>1.4724226770665325E-2</v>
      </c>
      <c r="U655" s="34">
        <f>_xll.qlYieldTSDiscount(OisCurve,Q655,,AllTriggers)</f>
        <v>0.95336421689686113</v>
      </c>
      <c r="V655" s="34">
        <f>_xll.qlYieldTSDiscount(OisCurve,R655,,AllTriggers)</f>
        <v>0.95016960114782079</v>
      </c>
      <c r="W655" s="33">
        <f t="shared" si="50"/>
        <v>1.3300825779531516E-2</v>
      </c>
      <c r="X655" s="35">
        <f t="shared" si="51"/>
        <v>3.5853419534979692E-4</v>
      </c>
      <c r="Y655" s="33">
        <f t="shared" si="52"/>
        <v>1.4234009911338087E-3</v>
      </c>
      <c r="Z655" s="54"/>
    </row>
    <row r="656" spans="15:26" x14ac:dyDescent="0.25">
      <c r="O656" s="37" t="s">
        <v>31</v>
      </c>
      <c r="P656" s="31">
        <f>_xll.qlCalendarAdvance(Calendar,P655,O655,"f",,Trigger)</f>
        <v>45279</v>
      </c>
      <c r="Q656" s="31">
        <f>_xll.qlInterestRateIndexValueDate(Index,P656,Trigger)</f>
        <v>45281</v>
      </c>
      <c r="R656" s="31">
        <f>_xll.qlInterestRateIndexMaturity(Index,Q656,Trigger)</f>
        <v>45372</v>
      </c>
      <c r="S656" s="32">
        <f>_xll.qlDayCounterYearFraction(DayCounter,Q656,R656,,,Trigger)</f>
        <v>0.25277777777777777</v>
      </c>
      <c r="T656" s="33">
        <f>_xll.qlIndexFixing(Index,P656,,AllTriggers)</f>
        <v>1.4738673516847082E-2</v>
      </c>
      <c r="U656" s="34">
        <f>_xll.qlYieldTSDiscount(OisCurve,Q656,,AllTriggers)</f>
        <v>0.95311975122233317</v>
      </c>
      <c r="V656" s="34">
        <f>_xll.qlYieldTSDiscount(OisCurve,R656,,AllTriggers)</f>
        <v>0.94992245961419608</v>
      </c>
      <c r="W656" s="33">
        <f t="shared" si="50"/>
        <v>1.3315430132284584E-2</v>
      </c>
      <c r="X656" s="35">
        <f t="shared" si="51"/>
        <v>3.5849318487865892E-4</v>
      </c>
      <c r="Y656" s="33">
        <f t="shared" si="52"/>
        <v>1.4232433845624975E-3</v>
      </c>
      <c r="Z656" s="54"/>
    </row>
    <row r="657" spans="15:26" x14ac:dyDescent="0.25">
      <c r="O657" s="37" t="s">
        <v>31</v>
      </c>
      <c r="P657" s="31">
        <f>_xll.qlCalendarAdvance(Calendar,P656,O656,"f",,Trigger)</f>
        <v>45287</v>
      </c>
      <c r="Q657" s="31">
        <f>_xll.qlInterestRateIndexValueDate(Index,P657,Trigger)</f>
        <v>45289</v>
      </c>
      <c r="R657" s="31">
        <f>_xll.qlInterestRateIndexMaturity(Index,Q657,Trigger)</f>
        <v>45379</v>
      </c>
      <c r="S657" s="32">
        <f>_xll.qlDayCounterYearFraction(DayCounter,Q657,R657,,,Trigger)</f>
        <v>0.25</v>
      </c>
      <c r="T657" s="33">
        <f>_xll.qlIndexFixing(Index,P657,,AllTriggers)</f>
        <v>1.4753729771577184E-2</v>
      </c>
      <c r="U657" s="34">
        <f>_xll.qlYieldTSDiscount(OisCurve,Q657,,AllTriggers)</f>
        <v>0.95284008950624566</v>
      </c>
      <c r="V657" s="34">
        <f>_xll.qlYieldTSDiscount(OisCurve,R657,,AllTriggers)</f>
        <v>0.949675131693696</v>
      </c>
      <c r="W657" s="33">
        <f t="shared" si="50"/>
        <v>1.3330696811677534E-2</v>
      </c>
      <c r="X657" s="35">
        <f t="shared" si="51"/>
        <v>3.5451370443770927E-4</v>
      </c>
      <c r="Y657" s="33">
        <f t="shared" si="52"/>
        <v>1.4230329598996505E-3</v>
      </c>
      <c r="Z657" s="54"/>
    </row>
    <row r="658" spans="15:26" x14ac:dyDescent="0.25">
      <c r="O658" s="37" t="s">
        <v>31</v>
      </c>
      <c r="P658" s="31">
        <f>_xll.qlCalendarAdvance(Calendar,P657,O657,"f",,Trigger)</f>
        <v>45294</v>
      </c>
      <c r="Q658" s="31">
        <f>_xll.qlInterestRateIndexValueDate(Index,P658,Trigger)</f>
        <v>45296</v>
      </c>
      <c r="R658" s="31">
        <f>_xll.qlInterestRateIndexMaturity(Index,Q658,Trigger)</f>
        <v>45387</v>
      </c>
      <c r="S658" s="32">
        <f>_xll.qlDayCounterYearFraction(DayCounter,Q658,R658,,,Trigger)</f>
        <v>0.25277777777777777</v>
      </c>
      <c r="T658" s="33">
        <f>_xll.qlIndexFixing(Index,P658,,AllTriggers)</f>
        <v>1.4769206453492027E-2</v>
      </c>
      <c r="U658" s="34">
        <f>_xll.qlYieldTSDiscount(OisCurve,Q658,,AllTriggers)</f>
        <v>0.95259515031885689</v>
      </c>
      <c r="V658" s="34">
        <f>_xll.qlYieldTSDiscount(OisCurve,R658,,AllTriggers)</f>
        <v>0.94939224653171561</v>
      </c>
      <c r="W658" s="33">
        <f t="shared" si="50"/>
        <v>1.3346251999843888E-2</v>
      </c>
      <c r="X658" s="35">
        <f t="shared" si="51"/>
        <v>3.5841763805721382E-4</v>
      </c>
      <c r="Y658" s="33">
        <f t="shared" si="52"/>
        <v>1.4229544536481387E-3</v>
      </c>
      <c r="Z658" s="54"/>
    </row>
    <row r="659" spans="15:26" x14ac:dyDescent="0.25">
      <c r="O659" s="37" t="s">
        <v>31</v>
      </c>
      <c r="P659" s="31">
        <f>_xll.qlCalendarAdvance(Calendar,P658,O658,"f",,Trigger)</f>
        <v>45301</v>
      </c>
      <c r="Q659" s="31">
        <f>_xll.qlInterestRateIndexValueDate(Index,P659,Trigger)</f>
        <v>45303</v>
      </c>
      <c r="R659" s="31">
        <f>_xll.qlInterestRateIndexMaturity(Index,Q659,Trigger)</f>
        <v>45394</v>
      </c>
      <c r="S659" s="32">
        <f>_xll.qlDayCounterYearFraction(DayCounter,Q659,R659,,,Trigger)</f>
        <v>0.25277777777777777</v>
      </c>
      <c r="T659" s="33">
        <f>_xll.qlIndexFixing(Index,P659,,AllTriggers)</f>
        <v>1.4783257111900216E-2</v>
      </c>
      <c r="U659" s="34">
        <f>_xll.qlYieldTSDiscount(OisCurve,Q659,,AllTriggers)</f>
        <v>0.95234999455379188</v>
      </c>
      <c r="V659" s="34">
        <f>_xll.qlYieldTSDiscount(OisCurve,R659,,AllTriggers)</f>
        <v>0.94914452851971953</v>
      </c>
      <c r="W659" s="33">
        <f t="shared" si="50"/>
        <v>1.3360414720161719E-2</v>
      </c>
      <c r="X659" s="35">
        <f t="shared" si="51"/>
        <v>3.5838813816188879E-4</v>
      </c>
      <c r="Y659" s="33">
        <f t="shared" si="52"/>
        <v>1.4228423917384964E-3</v>
      </c>
      <c r="Z659" s="54"/>
    </row>
    <row r="660" spans="15:26" x14ac:dyDescent="0.25">
      <c r="O660" s="37" t="s">
        <v>31</v>
      </c>
      <c r="P660" s="31">
        <f>_xll.qlCalendarAdvance(Calendar,P659,O659,"f",,Trigger)</f>
        <v>45308</v>
      </c>
      <c r="Q660" s="31">
        <f>_xll.qlInterestRateIndexValueDate(Index,P660,Trigger)</f>
        <v>45310</v>
      </c>
      <c r="R660" s="31">
        <f>_xll.qlInterestRateIndexMaturity(Index,Q660,Trigger)</f>
        <v>45401</v>
      </c>
      <c r="S660" s="32">
        <f>_xll.qlDayCounterYearFraction(DayCounter,Q660,R660,,,Trigger)</f>
        <v>0.25277777777777777</v>
      </c>
      <c r="T660" s="33">
        <f>_xll.qlIndexFixing(Index,P660,,AllTriggers)</f>
        <v>1.4797181739591114E-2</v>
      </c>
      <c r="U660" s="34">
        <f>_xll.qlYieldTSDiscount(OisCurve,Q660,,AllTriggers)</f>
        <v>0.95210462500437154</v>
      </c>
      <c r="V660" s="34">
        <f>_xll.qlYieldTSDiscount(OisCurve,R660,,AllTriggers)</f>
        <v>0.94889663280355718</v>
      </c>
      <c r="W660" s="33">
        <f t="shared" si="50"/>
        <v>1.3374436917930348E-2</v>
      </c>
      <c r="X660" s="35">
        <f t="shared" si="51"/>
        <v>3.5836230072271055E-4</v>
      </c>
      <c r="Y660" s="33">
        <f t="shared" si="52"/>
        <v>1.4227448216607656E-3</v>
      </c>
      <c r="Z660" s="54"/>
    </row>
    <row r="661" spans="15:26" x14ac:dyDescent="0.25">
      <c r="O661" s="37" t="s">
        <v>31</v>
      </c>
      <c r="P661" s="31">
        <f>_xll.qlCalendarAdvance(Calendar,P660,O660,"f",,Trigger)</f>
        <v>45315</v>
      </c>
      <c r="Q661" s="31">
        <f>_xll.qlInterestRateIndexValueDate(Index,P661,Trigger)</f>
        <v>45317</v>
      </c>
      <c r="R661" s="31">
        <f>_xll.qlInterestRateIndexMaturity(Index,Q661,Trigger)</f>
        <v>45408</v>
      </c>
      <c r="S661" s="32">
        <f>_xll.qlDayCounterYearFraction(DayCounter,Q661,R661,,,Trigger)</f>
        <v>0.25277777777777777</v>
      </c>
      <c r="T661" s="33">
        <f>_xll.qlIndexFixing(Index,P661,,AllTriggers)</f>
        <v>1.4810980335238309E-2</v>
      </c>
      <c r="U661" s="34">
        <f>_xll.qlYieldTSDiscount(OisCurve,Q661,,AllTriggers)</f>
        <v>0.95185904446137981</v>
      </c>
      <c r="V661" s="34">
        <f>_xll.qlYieldTSDiscount(OisCurve,R661,,AllTriggers)</f>
        <v>0.94864856214051152</v>
      </c>
      <c r="W661" s="33">
        <f t="shared" si="50"/>
        <v>1.3388318591659979E-2</v>
      </c>
      <c r="X661" s="35">
        <f t="shared" si="51"/>
        <v>3.5834012573951902E-4</v>
      </c>
      <c r="Y661" s="33">
        <f t="shared" si="52"/>
        <v>1.4226617435783295E-3</v>
      </c>
      <c r="Z661" s="54"/>
    </row>
    <row r="662" spans="15:26" x14ac:dyDescent="0.25">
      <c r="O662" s="37" t="s">
        <v>31</v>
      </c>
      <c r="P662" s="31">
        <f>_xll.qlCalendarAdvance(Calendar,P661,O661,"f",,Trigger)</f>
        <v>45322</v>
      </c>
      <c r="Q662" s="31">
        <f>_xll.qlInterestRateIndexValueDate(Index,P662,Trigger)</f>
        <v>45324</v>
      </c>
      <c r="R662" s="31">
        <f>_xll.qlInterestRateIndexMaturity(Index,Q662,Trigger)</f>
        <v>45414</v>
      </c>
      <c r="S662" s="32">
        <f>_xll.qlDayCounterYearFraction(DayCounter,Q662,R662,,,Trigger)</f>
        <v>0.25</v>
      </c>
      <c r="T662" s="33">
        <f>_xll.qlIndexFixing(Index,P662,,AllTriggers)</f>
        <v>1.4823395058344069E-2</v>
      </c>
      <c r="U662" s="34">
        <f>_xll.qlYieldTSDiscount(OisCurve,Q662,,AllTriggers)</f>
        <v>0.95161325571305755</v>
      </c>
      <c r="V662" s="34">
        <f>_xll.qlYieldTSDiscount(OisCurve,R662,,AllTriggers)</f>
        <v>0.94843579298833558</v>
      </c>
      <c r="W662" s="33">
        <f t="shared" si="50"/>
        <v>1.3400855379826382E-2</v>
      </c>
      <c r="X662" s="35">
        <f t="shared" si="51"/>
        <v>3.5438464323610497E-4</v>
      </c>
      <c r="Y662" s="33">
        <f t="shared" si="52"/>
        <v>1.4225396785176869E-3</v>
      </c>
      <c r="Z662" s="54"/>
    </row>
    <row r="663" spans="15:26" x14ac:dyDescent="0.25">
      <c r="O663" s="37" t="s">
        <v>31</v>
      </c>
      <c r="P663" s="31">
        <f>_xll.qlCalendarAdvance(Calendar,P662,O662,"f",,Trigger)</f>
        <v>45329</v>
      </c>
      <c r="Q663" s="31">
        <f>_xll.qlInterestRateIndexValueDate(Index,P663,Trigger)</f>
        <v>45331</v>
      </c>
      <c r="R663" s="31">
        <f>_xll.qlInterestRateIndexMaturity(Index,Q663,Trigger)</f>
        <v>45421</v>
      </c>
      <c r="S663" s="32">
        <f>_xll.qlDayCounterYearFraction(DayCounter,Q663,R663,,,Trigger)</f>
        <v>0.25</v>
      </c>
      <c r="T663" s="33">
        <f>_xll.qlIndexFixing(Index,P663,,AllTriggers)</f>
        <v>1.483695003301122E-2</v>
      </c>
      <c r="U663" s="34">
        <f>_xll.qlYieldTSDiscount(OisCurve,Q663,,AllTriggers)</f>
        <v>0.95136726154509677</v>
      </c>
      <c r="V663" s="34">
        <f>_xll.qlYieldTSDiscount(OisCurve,R663,,AllTriggers)</f>
        <v>0.94818740473037266</v>
      </c>
      <c r="W663" s="33">
        <f t="shared" si="50"/>
        <v>1.3414465532278541E-2</v>
      </c>
      <c r="X663" s="35">
        <f t="shared" si="51"/>
        <v>3.5436969820380282E-4</v>
      </c>
      <c r="Y663" s="33">
        <f t="shared" si="52"/>
        <v>1.4224845007326792E-3</v>
      </c>
      <c r="Z663" s="54"/>
    </row>
    <row r="664" spans="15:26" x14ac:dyDescent="0.25">
      <c r="O664" s="37" t="s">
        <v>31</v>
      </c>
      <c r="P664" s="31">
        <f>_xll.qlCalendarAdvance(Calendar,P663,O663,"f",,Trigger)</f>
        <v>45336</v>
      </c>
      <c r="Q664" s="31">
        <f>_xll.qlInterestRateIndexValueDate(Index,P664,Trigger)</f>
        <v>45338</v>
      </c>
      <c r="R664" s="31">
        <f>_xll.qlInterestRateIndexMaturity(Index,Q664,Trigger)</f>
        <v>45428</v>
      </c>
      <c r="S664" s="32">
        <f>_xll.qlDayCounterYearFraction(DayCounter,Q664,R664,,,Trigger)</f>
        <v>0.25</v>
      </c>
      <c r="T664" s="33">
        <f>_xll.qlIndexFixing(Index,P664,,AllTriggers)</f>
        <v>1.4850379908518896E-2</v>
      </c>
      <c r="U664" s="34">
        <f>_xll.qlYieldTSDiscount(OisCurve,Q664,,AllTriggers)</f>
        <v>0.9511210647406344</v>
      </c>
      <c r="V664" s="34">
        <f>_xll.qlYieldTSDiscount(OisCurve,R664,,AllTriggers)</f>
        <v>0.94793884944945594</v>
      </c>
      <c r="W664" s="33">
        <f t="shared" si="50"/>
        <v>1.342793490540739E-2</v>
      </c>
      <c r="X664" s="35">
        <f t="shared" si="51"/>
        <v>3.5435867124117249E-4</v>
      </c>
      <c r="Y664" s="33">
        <f t="shared" si="52"/>
        <v>1.4224450031115055E-3</v>
      </c>
      <c r="Z664" s="54"/>
    </row>
    <row r="665" spans="15:26" x14ac:dyDescent="0.25">
      <c r="O665" s="37" t="s">
        <v>31</v>
      </c>
      <c r="P665" s="31">
        <f>_xll.qlCalendarAdvance(Calendar,P664,O664,"f",,Trigger)</f>
        <v>45343</v>
      </c>
      <c r="Q665" s="31">
        <f>_xll.qlInterestRateIndexValueDate(Index,P665,Trigger)</f>
        <v>45345</v>
      </c>
      <c r="R665" s="31">
        <f>_xll.qlInterestRateIndexMaturity(Index,Q665,Trigger)</f>
        <v>45435</v>
      </c>
      <c r="S665" s="32">
        <f>_xll.qlDayCounterYearFraction(DayCounter,Q665,R665,,,Trigger)</f>
        <v>0.25</v>
      </c>
      <c r="T665" s="33">
        <f>_xll.qlIndexFixing(Index,P665,,AllTriggers)</f>
        <v>1.4863688049855384E-2</v>
      </c>
      <c r="U665" s="34">
        <f>_xll.qlYieldTSDiscount(OisCurve,Q665,,AllTriggers)</f>
        <v>0.95087466808024723</v>
      </c>
      <c r="V665" s="34">
        <f>_xll.qlYieldTSDiscount(OisCurve,R665,,AllTriggers)</f>
        <v>0.94769013011080383</v>
      </c>
      <c r="W665" s="33">
        <f t="shared" si="50"/>
        <v>1.3441262574175106E-2</v>
      </c>
      <c r="X665" s="35">
        <f t="shared" si="51"/>
        <v>3.543526309258806E-4</v>
      </c>
      <c r="Y665" s="33">
        <f t="shared" si="52"/>
        <v>1.4224254756802779E-3</v>
      </c>
      <c r="Z665" s="54"/>
    </row>
    <row r="666" spans="15:26" x14ac:dyDescent="0.25">
      <c r="O666" s="37" t="s">
        <v>31</v>
      </c>
      <c r="P666" s="31">
        <f>_xll.qlCalendarAdvance(Calendar,P665,O665,"f",,Trigger)</f>
        <v>45350</v>
      </c>
      <c r="Q666" s="31">
        <f>_xll.qlInterestRateIndexValueDate(Index,P666,Trigger)</f>
        <v>45352</v>
      </c>
      <c r="R666" s="31">
        <f>_xll.qlInterestRateIndexMaturity(Index,Q666,Trigger)</f>
        <v>45446</v>
      </c>
      <c r="S666" s="32">
        <f>_xll.qlDayCounterYearFraction(DayCounter,Q666,R666,,,Trigger)</f>
        <v>0.26111111111111113</v>
      </c>
      <c r="T666" s="33">
        <f>_xll.qlIndexFixing(Index,P666,,AllTriggers)</f>
        <v>1.4881780993694508E-2</v>
      </c>
      <c r="U666" s="34">
        <f>_xll.qlYieldTSDiscount(OisCurve,Q666,,AllTriggers)</f>
        <v>0.95062807434194496</v>
      </c>
      <c r="V666" s="34">
        <f>_xll.qlYieldTSDiscount(OisCurve,R666,,AllTriggers)</f>
        <v>0.9472989611578968</v>
      </c>
      <c r="W666" s="33">
        <f t="shared" si="50"/>
        <v>1.3459103932053428E-2</v>
      </c>
      <c r="X666" s="35">
        <f t="shared" si="51"/>
        <v>3.7010737307965164E-4</v>
      </c>
      <c r="Y666" s="33">
        <f t="shared" si="52"/>
        <v>1.4226770616410801E-3</v>
      </c>
      <c r="Z666" s="54"/>
    </row>
    <row r="667" spans="15:26" x14ac:dyDescent="0.25">
      <c r="O667" s="37" t="s">
        <v>31</v>
      </c>
      <c r="P667" s="31">
        <f>_xll.qlCalendarAdvance(Calendar,P666,O666,"f",,Trigger)</f>
        <v>45357</v>
      </c>
      <c r="Q667" s="31">
        <f>_xll.qlInterestRateIndexValueDate(Index,P667,Trigger)</f>
        <v>45359</v>
      </c>
      <c r="R667" s="31">
        <f>_xll.qlInterestRateIndexMaturity(Index,Q667,Trigger)</f>
        <v>45453</v>
      </c>
      <c r="S667" s="32">
        <f>_xll.qlDayCounterYearFraction(DayCounter,Q667,R667,,,Trigger)</f>
        <v>0.26111111111111113</v>
      </c>
      <c r="T667" s="33">
        <f>_xll.qlIndexFixing(Index,P667,,AllTriggers)</f>
        <v>1.4894830105211802E-2</v>
      </c>
      <c r="U667" s="34">
        <f>_xll.qlYieldTSDiscount(OisCurve,Q667,,AllTriggers)</f>
        <v>0.95038128630116614</v>
      </c>
      <c r="V667" s="34">
        <f>_xll.qlYieldTSDiscount(OisCurve,R667,,AllTriggers)</f>
        <v>0.9470498336695975</v>
      </c>
      <c r="W667" s="33">
        <f t="shared" si="50"/>
        <v>1.3472104957520688E-2</v>
      </c>
      <c r="X667" s="35">
        <f t="shared" si="51"/>
        <v>3.7011862846662738E-4</v>
      </c>
      <c r="Y667" s="33">
        <f t="shared" si="52"/>
        <v>1.4227251476911142E-3</v>
      </c>
      <c r="Z667" s="54"/>
    </row>
    <row r="668" spans="15:26" x14ac:dyDescent="0.25">
      <c r="O668" s="37" t="s">
        <v>31</v>
      </c>
      <c r="P668" s="31">
        <f>_xll.qlCalendarAdvance(Calendar,P667,O667,"f",,Trigger)</f>
        <v>45364</v>
      </c>
      <c r="Q668" s="31">
        <f>_xll.qlInterestRateIndexValueDate(Index,P668,Trigger)</f>
        <v>45366</v>
      </c>
      <c r="R668" s="31">
        <f>_xll.qlInterestRateIndexMaturity(Index,Q668,Trigger)</f>
        <v>45460</v>
      </c>
      <c r="S668" s="32">
        <f>_xll.qlDayCounterYearFraction(DayCounter,Q668,R668,,,Trigger)</f>
        <v>0.26111111111111113</v>
      </c>
      <c r="T668" s="33">
        <f>_xll.qlIndexFixing(Index,P668,,AllTriggers)</f>
        <v>1.4907770140320766E-2</v>
      </c>
      <c r="U668" s="34">
        <f>_xll.qlYieldTSDiscount(OisCurve,Q668,,AllTriggers)</f>
        <v>0.95013430673077104</v>
      </c>
      <c r="V668" s="34">
        <f>_xll.qlYieldTSDiscount(OisCurve,R668,,AllTriggers)</f>
        <v>0.94680055278142294</v>
      </c>
      <c r="W668" s="33">
        <f t="shared" si="50"/>
        <v>1.3484960775683045E-2</v>
      </c>
      <c r="X668" s="35">
        <f t="shared" si="51"/>
        <v>3.7013929535676505E-4</v>
      </c>
      <c r="Y668" s="33">
        <f t="shared" si="52"/>
        <v>1.4228093646377216E-3</v>
      </c>
      <c r="Z668" s="54"/>
    </row>
    <row r="669" spans="15:26" x14ac:dyDescent="0.25">
      <c r="O669" s="37" t="s">
        <v>31</v>
      </c>
      <c r="P669" s="31">
        <f>_xll.qlCalendarAdvance(Calendar,P668,O668,"f",,Trigger)</f>
        <v>45371</v>
      </c>
      <c r="Q669" s="31">
        <f>_xll.qlInterestRateIndexValueDate(Index,P669,Trigger)</f>
        <v>45373</v>
      </c>
      <c r="R669" s="31">
        <f>_xll.qlInterestRateIndexMaturity(Index,Q669,Trigger)</f>
        <v>45467</v>
      </c>
      <c r="S669" s="32">
        <f>_xll.qlDayCounterYearFraction(DayCounter,Q669,R669,,,Trigger)</f>
        <v>0.26111111111111113</v>
      </c>
      <c r="T669" s="33">
        <f>_xll.qlIndexFixing(Index,P669,,AllTriggers)</f>
        <v>1.4920604699508117E-2</v>
      </c>
      <c r="U669" s="34">
        <f>_xll.qlYieldTSDiscount(OisCurve,Q669,,AllTriggers)</f>
        <v>0.94988713840103722</v>
      </c>
      <c r="V669" s="34">
        <f>_xll.qlYieldTSDiscount(OisCurve,R669,,AllTriggers)</f>
        <v>0.94655112147094023</v>
      </c>
      <c r="W669" s="33">
        <f t="shared" si="50"/>
        <v>1.3497670396904889E-2</v>
      </c>
      <c r="X669" s="35">
        <f t="shared" si="51"/>
        <v>3.701705676332089E-4</v>
      </c>
      <c r="Y669" s="33">
        <f t="shared" si="52"/>
        <v>1.4229343026032279E-3</v>
      </c>
      <c r="Z669" s="54"/>
    </row>
    <row r="670" spans="15:26" x14ac:dyDescent="0.25">
      <c r="O670" s="37" t="s">
        <v>31</v>
      </c>
      <c r="P670" s="31">
        <f>_xll.qlCalendarAdvance(Calendar,P669,O669,"f",,Trigger)</f>
        <v>45378</v>
      </c>
      <c r="Q670" s="31">
        <f>_xll.qlInterestRateIndexValueDate(Index,P670,Trigger)</f>
        <v>45384</v>
      </c>
      <c r="R670" s="31">
        <f>_xll.qlInterestRateIndexMaturity(Index,Q670,Trigger)</f>
        <v>45475</v>
      </c>
      <c r="S670" s="32">
        <f>_xll.qlDayCounterYearFraction(DayCounter,Q670,R670,,,Trigger)</f>
        <v>0.25277777777777777</v>
      </c>
      <c r="T670" s="33">
        <f>_xll.qlIndexFixing(Index,P670,,AllTriggers)</f>
        <v>1.4936976889898691E-2</v>
      </c>
      <c r="U670" s="34">
        <f>_xll.qlYieldTSDiscount(OisCurve,Q670,,AllTriggers)</f>
        <v>0.94949835631091917</v>
      </c>
      <c r="V670" s="34">
        <f>_xll.qlYieldTSDiscount(OisCurve,R670,,AllTriggers)</f>
        <v>0.94626587674127371</v>
      </c>
      <c r="W670" s="33">
        <f t="shared" si="50"/>
        <v>1.3513993877249234E-2</v>
      </c>
      <c r="X670" s="35">
        <f t="shared" si="51"/>
        <v>3.5840968701882656E-4</v>
      </c>
      <c r="Y670" s="33">
        <f t="shared" si="52"/>
        <v>1.4229830126494571E-3</v>
      </c>
      <c r="Z670" s="54"/>
    </row>
    <row r="671" spans="15:26" x14ac:dyDescent="0.25">
      <c r="O671" s="37" t="s">
        <v>31</v>
      </c>
      <c r="P671" s="31">
        <f>_xll.qlCalendarAdvance(Calendar,P670,O670,"f",,Trigger)</f>
        <v>45385</v>
      </c>
      <c r="Q671" s="31">
        <f>_xll.qlInterestRateIndexValueDate(Index,P671,Trigger)</f>
        <v>45387</v>
      </c>
      <c r="R671" s="31">
        <f>_xll.qlInterestRateIndexMaturity(Index,Q671,Trigger)</f>
        <v>45478</v>
      </c>
      <c r="S671" s="32">
        <f>_xll.qlDayCounterYearFraction(DayCounter,Q671,R671,,,Trigger)</f>
        <v>0.25277777777777777</v>
      </c>
      <c r="T671" s="33">
        <f>_xll.qlIndexFixing(Index,P671,,AllTriggers)</f>
        <v>1.4942386915338193E-2</v>
      </c>
      <c r="U671" s="34">
        <f>_xll.qlYieldTSDiscount(OisCurve,Q671,,AllTriggers)</f>
        <v>0.94939224653171561</v>
      </c>
      <c r="V671" s="34">
        <f>_xll.qlYieldTSDiscount(OisCurve,R671,,AllTriggers)</f>
        <v>0.94615886122236359</v>
      </c>
      <c r="W671" s="33">
        <f t="shared" si="50"/>
        <v>1.3519309425583916E-2</v>
      </c>
      <c r="X671" s="35">
        <f t="shared" si="51"/>
        <v>3.5843299901545998E-4</v>
      </c>
      <c r="Y671" s="33">
        <f t="shared" si="52"/>
        <v>1.4230774897542771E-3</v>
      </c>
      <c r="Z671" s="54"/>
    </row>
    <row r="672" spans="15:26" x14ac:dyDescent="0.25">
      <c r="O672" s="37" t="s">
        <v>31</v>
      </c>
      <c r="P672" s="31">
        <f>_xll.qlCalendarAdvance(Calendar,P671,O671,"f",,Trigger)</f>
        <v>45392</v>
      </c>
      <c r="Q672" s="31">
        <f>_xll.qlInterestRateIndexValueDate(Index,P672,Trigger)</f>
        <v>45394</v>
      </c>
      <c r="R672" s="31">
        <f>_xll.qlInterestRateIndexMaturity(Index,Q672,Trigger)</f>
        <v>45485</v>
      </c>
      <c r="S672" s="32">
        <f>_xll.qlDayCounterYearFraction(DayCounter,Q672,R672,,,Trigger)</f>
        <v>0.25277777777777777</v>
      </c>
      <c r="T672" s="33">
        <f>_xll.qlIndexFixing(Index,P672,,AllTriggers)</f>
        <v>1.4954942797457701E-2</v>
      </c>
      <c r="U672" s="34">
        <f>_xll.qlYieldTSDiscount(OisCurve,Q672,,AllTriggers)</f>
        <v>0.94914452851971953</v>
      </c>
      <c r="V672" s="34">
        <f>_xll.qlYieldTSDiscount(OisCurve,R672,,AllTriggers)</f>
        <v>0.94590905676378167</v>
      </c>
      <c r="W672" s="33">
        <f t="shared" si="50"/>
        <v>1.3531605806609405E-2</v>
      </c>
      <c r="X672" s="35">
        <f t="shared" si="51"/>
        <v>3.5849723798651E-4</v>
      </c>
      <c r="Y672" s="33">
        <f t="shared" si="52"/>
        <v>1.4233369908482965E-3</v>
      </c>
      <c r="Z672" s="54"/>
    </row>
    <row r="673" spans="15:26" x14ac:dyDescent="0.25">
      <c r="O673" s="37" t="s">
        <v>31</v>
      </c>
      <c r="P673" s="31">
        <f>_xll.qlCalendarAdvance(Calendar,P672,O672,"f",,Trigger)</f>
        <v>45399</v>
      </c>
      <c r="Q673" s="31">
        <f>_xll.qlInterestRateIndexValueDate(Index,P673,Trigger)</f>
        <v>45401</v>
      </c>
      <c r="R673" s="31">
        <f>_xll.qlInterestRateIndexMaturity(Index,Q673,Trigger)</f>
        <v>45492</v>
      </c>
      <c r="S673" s="32">
        <f>_xll.qlDayCounterYearFraction(DayCounter,Q673,R673,,,Trigger)</f>
        <v>0.25277777777777777</v>
      </c>
      <c r="T673" s="33">
        <f>_xll.qlIndexFixing(Index,P673,,AllTriggers)</f>
        <v>1.4967407175399787E-2</v>
      </c>
      <c r="U673" s="34">
        <f>_xll.qlYieldTSDiscount(OisCurve,Q673,,AllTriggers)</f>
        <v>0.94889663280355718</v>
      </c>
      <c r="V673" s="34">
        <f>_xll.qlYieldTSDiscount(OisCurve,R673,,AllTriggers)</f>
        <v>0.94565911249326529</v>
      </c>
      <c r="W673" s="33">
        <f t="shared" si="50"/>
        <v>1.3543752169142319E-2</v>
      </c>
      <c r="X673" s="35">
        <f t="shared" si="51"/>
        <v>3.5857622547230081E-4</v>
      </c>
      <c r="Y673" s="33">
        <f t="shared" si="52"/>
        <v>1.4236550062574679E-3</v>
      </c>
      <c r="Z673" s="54"/>
    </row>
    <row r="674" spans="15:26" x14ac:dyDescent="0.25">
      <c r="O674" s="37" t="s">
        <v>31</v>
      </c>
      <c r="P674" s="31">
        <f>_xll.qlCalendarAdvance(Calendar,P673,O673,"f",,Trigger)</f>
        <v>45406</v>
      </c>
      <c r="Q674" s="31">
        <f>_xll.qlInterestRateIndexValueDate(Index,P674,Trigger)</f>
        <v>45408</v>
      </c>
      <c r="R674" s="31">
        <f>_xll.qlInterestRateIndexMaturity(Index,Q674,Trigger)</f>
        <v>45499</v>
      </c>
      <c r="S674" s="32">
        <f>_xll.qlDayCounterYearFraction(DayCounter,Q674,R674,,,Trigger)</f>
        <v>0.25277777777777777</v>
      </c>
      <c r="T674" s="33">
        <f>_xll.qlIndexFixing(Index,P674,,AllTriggers)</f>
        <v>1.4979783768220284E-2</v>
      </c>
      <c r="U674" s="34">
        <f>_xll.qlYieldTSDiscount(OisCurve,Q674,,AllTriggers)</f>
        <v>0.94864856214051152</v>
      </c>
      <c r="V674" s="34">
        <f>_xll.qlYieldTSDiscount(OisCurve,R674,,AllTriggers)</f>
        <v>0.94540903137503718</v>
      </c>
      <c r="W674" s="33">
        <f t="shared" si="50"/>
        <v>1.3555747491150971E-2</v>
      </c>
      <c r="X674" s="35">
        <f t="shared" si="51"/>
        <v>3.5867115535591804E-4</v>
      </c>
      <c r="Y674" s="33">
        <f t="shared" si="52"/>
        <v>1.4240362770693137E-3</v>
      </c>
      <c r="Z674" s="54"/>
    </row>
    <row r="675" spans="15:26" x14ac:dyDescent="0.25">
      <c r="O675" s="37" t="s">
        <v>31</v>
      </c>
      <c r="P675" s="31">
        <f>_xll.qlCalendarAdvance(Calendar,P674,O674,"f",,Trigger)</f>
        <v>45414</v>
      </c>
      <c r="Q675" s="31">
        <f>_xll.qlInterestRateIndexValueDate(Index,P675,Trigger)</f>
        <v>45418</v>
      </c>
      <c r="R675" s="31">
        <f>_xll.qlInterestRateIndexMaturity(Index,Q675,Trigger)</f>
        <v>45510</v>
      </c>
      <c r="S675" s="32">
        <f>_xll.qlDayCounterYearFraction(DayCounter,Q675,R675,,,Trigger)</f>
        <v>0.25555555555555554</v>
      </c>
      <c r="T675" s="33">
        <f>_xll.qlIndexFixing(Index,P675,,AllTriggers)</f>
        <v>1.499849212674687E-2</v>
      </c>
      <c r="U675" s="34">
        <f>_xll.qlYieldTSDiscount(OisCurve,Q675,,AllTriggers)</f>
        <v>0.94829387746032479</v>
      </c>
      <c r="V675" s="34">
        <f>_xll.qlYieldTSDiscount(OisCurve,R675,,AllTriggers)</f>
        <v>0.94501577739407705</v>
      </c>
      <c r="W675" s="33">
        <f t="shared" si="50"/>
        <v>1.3573686696204595E-2</v>
      </c>
      <c r="X675" s="35">
        <f t="shared" si="51"/>
        <v>3.6279243226687693E-4</v>
      </c>
      <c r="Y675" s="33">
        <f t="shared" si="52"/>
        <v>1.4248054305422749E-3</v>
      </c>
      <c r="Z675" s="54"/>
    </row>
    <row r="676" spans="15:26" x14ac:dyDescent="0.25">
      <c r="O676" s="37" t="s">
        <v>31</v>
      </c>
      <c r="P676" s="31">
        <f>_xll.qlCalendarAdvance(Calendar,P675,O675,"f",,Trigger)</f>
        <v>45421</v>
      </c>
      <c r="Q676" s="31">
        <f>_xll.qlInterestRateIndexValueDate(Index,P676,Trigger)</f>
        <v>45425</v>
      </c>
      <c r="R676" s="31">
        <f>_xll.qlInterestRateIndexMaturity(Index,Q676,Trigger)</f>
        <v>45517</v>
      </c>
      <c r="S676" s="32">
        <f>_xll.qlDayCounterYearFraction(DayCounter,Q676,R676,,,Trigger)</f>
        <v>0.25555555555555554</v>
      </c>
      <c r="T676" s="33">
        <f>_xll.qlIndexFixing(Index,P676,,AllTriggers)</f>
        <v>1.501066574180375E-2</v>
      </c>
      <c r="U676" s="34">
        <f>_xll.qlYieldTSDiscount(OisCurve,Q676,,AllTriggers)</f>
        <v>0.94804539340430505</v>
      </c>
      <c r="V676" s="34">
        <f>_xll.qlYieldTSDiscount(OisCurve,R676,,AllTriggers)</f>
        <v>0.94476535797243943</v>
      </c>
      <c r="W676" s="33">
        <f t="shared" si="50"/>
        <v>1.3585300463038911E-2</v>
      </c>
      <c r="X676" s="35">
        <f t="shared" si="51"/>
        <v>3.6293388502978201E-4</v>
      </c>
      <c r="Y676" s="33">
        <f t="shared" si="52"/>
        <v>1.425365278764839E-3</v>
      </c>
      <c r="Z676" s="54"/>
    </row>
    <row r="677" spans="15:26" x14ac:dyDescent="0.25">
      <c r="O677" s="37" t="s">
        <v>31</v>
      </c>
      <c r="P677" s="31">
        <f>_xll.qlCalendarAdvance(Calendar,P676,O676,"f",,Trigger)</f>
        <v>45428</v>
      </c>
      <c r="Q677" s="31">
        <f>_xll.qlInterestRateIndexValueDate(Index,P677,Trigger)</f>
        <v>45432</v>
      </c>
      <c r="R677" s="31">
        <f>_xll.qlInterestRateIndexMaturity(Index,Q677,Trigger)</f>
        <v>45524</v>
      </c>
      <c r="S677" s="32">
        <f>_xll.qlDayCounterYearFraction(DayCounter,Q677,R677,,,Trigger)</f>
        <v>0.25555555555555554</v>
      </c>
      <c r="T677" s="33">
        <f>_xll.qlIndexFixing(Index,P677,,AllTriggers)</f>
        <v>1.5022761648877104E-2</v>
      </c>
      <c r="U677" s="34">
        <f>_xll.qlYieldTSDiscount(OisCurve,Q677,,AllTriggers)</f>
        <v>0.94779674401007408</v>
      </c>
      <c r="V677" s="34">
        <f>_xll.qlYieldTSDiscount(OisCurve,R677,,AllTriggers)</f>
        <v>0.94451481226564338</v>
      </c>
      <c r="W677" s="33">
        <f t="shared" si="50"/>
        <v>1.3596760412721167E-2</v>
      </c>
      <c r="X677" s="35">
        <f t="shared" si="51"/>
        <v>3.630947268904028E-4</v>
      </c>
      <c r="Y677" s="33">
        <f t="shared" si="52"/>
        <v>1.4260012361559365E-3</v>
      </c>
      <c r="Z677" s="54"/>
    </row>
    <row r="678" spans="15:26" x14ac:dyDescent="0.25">
      <c r="O678" s="37" t="s">
        <v>31</v>
      </c>
      <c r="P678" s="31">
        <f>_xll.qlCalendarAdvance(Calendar,P677,O677,"f",,Trigger)</f>
        <v>45435</v>
      </c>
      <c r="Q678" s="31">
        <f>_xll.qlInterestRateIndexValueDate(Index,P678,Trigger)</f>
        <v>45439</v>
      </c>
      <c r="R678" s="31">
        <f>_xll.qlInterestRateIndexMaturity(Index,Q678,Trigger)</f>
        <v>45531</v>
      </c>
      <c r="S678" s="32">
        <f>_xll.qlDayCounterYearFraction(DayCounter,Q678,R678,,,Trigger)</f>
        <v>0.25555555555555554</v>
      </c>
      <c r="T678" s="33">
        <f>_xll.qlIndexFixing(Index,P678,,AllTriggers)</f>
        <v>1.5034779861555192E-2</v>
      </c>
      <c r="U678" s="34">
        <f>_xll.qlYieldTSDiscount(OisCurve,Q678,,AllTriggers)</f>
        <v>0.94754793226584744</v>
      </c>
      <c r="V678" s="34">
        <f>_xll.qlYieldTSDiscount(OisCurve,R678,,AllTriggers)</f>
        <v>0.94426414322447816</v>
      </c>
      <c r="W678" s="33">
        <f t="shared" si="50"/>
        <v>1.3608066539978193E-2</v>
      </c>
      <c r="X678" s="35">
        <f t="shared" si="51"/>
        <v>3.6327496249108224E-4</v>
      </c>
      <c r="Y678" s="33">
        <f t="shared" si="52"/>
        <v>1.426713321576999E-3</v>
      </c>
      <c r="Z678" s="54"/>
    </row>
    <row r="679" spans="15:26" x14ac:dyDescent="0.25">
      <c r="O679" s="37" t="s">
        <v>31</v>
      </c>
      <c r="P679" s="31">
        <f>_xll.qlCalendarAdvance(Calendar,P678,O678,"f",,Trigger)</f>
        <v>45442</v>
      </c>
      <c r="Q679" s="31">
        <f>_xll.qlInterestRateIndexValueDate(Index,P679,Trigger)</f>
        <v>45446</v>
      </c>
      <c r="R679" s="31">
        <f>_xll.qlInterestRateIndexMaturity(Index,Q679,Trigger)</f>
        <v>45538</v>
      </c>
      <c r="S679" s="32">
        <f>_xll.qlDayCounterYearFraction(DayCounter,Q679,R679,,,Trigger)</f>
        <v>0.25555555555555554</v>
      </c>
      <c r="T679" s="33">
        <f>_xll.qlIndexFixing(Index,P679,,AllTriggers)</f>
        <v>1.5046720379124672E-2</v>
      </c>
      <c r="U679" s="34">
        <f>_xll.qlYieldTSDiscount(OisCurve,Q679,,AllTriggers)</f>
        <v>0.9472989611578968</v>
      </c>
      <c r="V679" s="34">
        <f>_xll.qlYieldTSDiscount(OisCurve,R679,,AllTriggers)</f>
        <v>0.94401335379678408</v>
      </c>
      <c r="W679" s="33">
        <f t="shared" si="50"/>
        <v>1.3619218843482351E-2</v>
      </c>
      <c r="X679" s="35">
        <f t="shared" si="51"/>
        <v>3.6347459183132231E-4</v>
      </c>
      <c r="Y679" s="33">
        <f t="shared" si="52"/>
        <v>1.4275015356423216E-3</v>
      </c>
      <c r="Z679" s="54"/>
    </row>
    <row r="680" spans="15:26" x14ac:dyDescent="0.25">
      <c r="O680" s="37" t="s">
        <v>31</v>
      </c>
      <c r="P680" s="31">
        <f>_xll.qlCalendarAdvance(Calendar,P679,O679,"f",,Trigger)</f>
        <v>45449</v>
      </c>
      <c r="Q680" s="31">
        <f>_xll.qlInterestRateIndexValueDate(Index,P680,Trigger)</f>
        <v>45453</v>
      </c>
      <c r="R680" s="31">
        <f>_xll.qlInterestRateIndexMaturity(Index,Q680,Trigger)</f>
        <v>45545</v>
      </c>
      <c r="S680" s="32">
        <f>_xll.qlDayCounterYearFraction(DayCounter,Q680,R680,,,Trigger)</f>
        <v>0.25555555555555554</v>
      </c>
      <c r="T680" s="33">
        <f>_xll.qlIndexFixing(Index,P680,,AllTriggers)</f>
        <v>1.5058583200873939E-2</v>
      </c>
      <c r="U680" s="34">
        <f>_xll.qlYieldTSDiscount(OisCurve,Q680,,AllTriggers)</f>
        <v>0.9470498336695975</v>
      </c>
      <c r="V680" s="34">
        <f>_xll.qlYieldTSDiscount(OisCurve,R680,,AllTriggers)</f>
        <v>0.94376244692744748</v>
      </c>
      <c r="W680" s="33">
        <f t="shared" si="50"/>
        <v>1.3630217321923387E-2</v>
      </c>
      <c r="X680" s="35">
        <f t="shared" si="51"/>
        <v>3.6369361491038455E-4</v>
      </c>
      <c r="Y680" s="33">
        <f t="shared" si="52"/>
        <v>1.4283658789505521E-3</v>
      </c>
      <c r="Z680" s="54"/>
    </row>
    <row r="681" spans="15:26" x14ac:dyDescent="0.25">
      <c r="O681" s="37" t="s">
        <v>31</v>
      </c>
      <c r="P681" s="31">
        <f>_xll.qlCalendarAdvance(Calendar,P680,O680,"f",,Trigger)</f>
        <v>45456</v>
      </c>
      <c r="Q681" s="31">
        <f>_xll.qlInterestRateIndexValueDate(Index,P681,Trigger)</f>
        <v>45460</v>
      </c>
      <c r="R681" s="31">
        <f>_xll.qlInterestRateIndexMaturity(Index,Q681,Trigger)</f>
        <v>45552</v>
      </c>
      <c r="S681" s="32">
        <f>_xll.qlDayCounterYearFraction(DayCounter,Q681,R681,,,Trigger)</f>
        <v>0.25555555555555554</v>
      </c>
      <c r="T681" s="33">
        <f>_xll.qlIndexFixing(Index,P681,,AllTriggers)</f>
        <v>1.5070368326102685E-2</v>
      </c>
      <c r="U681" s="34">
        <f>_xll.qlYieldTSDiscount(OisCurve,Q681,,AllTriggers)</f>
        <v>0.94680055278142294</v>
      </c>
      <c r="V681" s="34">
        <f>_xll.qlYieldTSDiscount(OisCurve,R681,,AllTriggers)</f>
        <v>0.94351142555839829</v>
      </c>
      <c r="W681" s="33">
        <f t="shared" si="50"/>
        <v>1.3641061974008424E-2</v>
      </c>
      <c r="X681" s="35">
        <f t="shared" si="51"/>
        <v>3.6393203172928779E-4</v>
      </c>
      <c r="Y681" s="33">
        <f t="shared" si="52"/>
        <v>1.4293063520942617E-3</v>
      </c>
      <c r="Z681" s="54"/>
    </row>
    <row r="682" spans="15:26" x14ac:dyDescent="0.25">
      <c r="O682" s="37" t="s">
        <v>31</v>
      </c>
      <c r="P682" s="31">
        <f>_xll.qlCalendarAdvance(Calendar,P681,O681,"f",,Trigger)</f>
        <v>45463</v>
      </c>
      <c r="Q682" s="31">
        <f>_xll.qlInterestRateIndexValueDate(Index,P682,Trigger)</f>
        <v>45467</v>
      </c>
      <c r="R682" s="31">
        <f>_xll.qlInterestRateIndexMaturity(Index,Q682,Trigger)</f>
        <v>45559</v>
      </c>
      <c r="S682" s="32">
        <f>_xll.qlDayCounterYearFraction(DayCounter,Q682,R682,,,Trigger)</f>
        <v>0.25555555555555554</v>
      </c>
      <c r="T682" s="33">
        <f>_xll.qlIndexFixing(Index,P682,,AllTriggers)</f>
        <v>1.5082075754109732E-2</v>
      </c>
      <c r="U682" s="34">
        <f>_xll.qlYieldTSDiscount(OisCurve,Q682,,AllTriggers)</f>
        <v>0.94655112147094023</v>
      </c>
      <c r="V682" s="34">
        <f>_xll.qlYieldTSDiscount(OisCurve,R682,,AllTriggers)</f>
        <v>0.94326029262860578</v>
      </c>
      <c r="W682" s="33">
        <f t="shared" si="50"/>
        <v>1.3651752798461089E-2</v>
      </c>
      <c r="X682" s="35">
        <f t="shared" si="51"/>
        <v>3.6418984228792225E-4</v>
      </c>
      <c r="Y682" s="33">
        <f t="shared" si="52"/>
        <v>1.430322955648643E-3</v>
      </c>
      <c r="Z682" s="54"/>
    </row>
    <row r="683" spans="15:26" x14ac:dyDescent="0.25">
      <c r="O683" s="37" t="s">
        <v>31</v>
      </c>
      <c r="P683" s="31">
        <f>_xll.qlCalendarAdvance(Calendar,P682,O682,"f",,Trigger)</f>
        <v>45470</v>
      </c>
      <c r="Q683" s="31">
        <f>_xll.qlInterestRateIndexValueDate(Index,P683,Trigger)</f>
        <v>45474</v>
      </c>
      <c r="R683" s="31">
        <f>_xll.qlInterestRateIndexMaturity(Index,Q683,Trigger)</f>
        <v>45566</v>
      </c>
      <c r="S683" s="32">
        <f>_xll.qlDayCounterYearFraction(DayCounter,Q683,R683,,,Trigger)</f>
        <v>0.25555555555555554</v>
      </c>
      <c r="T683" s="33">
        <f>_xll.qlIndexFixing(Index,P683,,AllTriggers)</f>
        <v>1.5093705484199112E-2</v>
      </c>
      <c r="U683" s="34">
        <f>_xll.qlYieldTSDiscount(OisCurve,Q683,,AllTriggers)</f>
        <v>0.94630154271280587</v>
      </c>
      <c r="V683" s="34">
        <f>_xll.qlYieldTSDiscount(OisCurve,R683,,AllTriggers)</f>
        <v>0.94300905107407518</v>
      </c>
      <c r="W683" s="33">
        <f t="shared" si="50"/>
        <v>1.3662289794025865E-2</v>
      </c>
      <c r="X683" s="35">
        <f t="shared" si="51"/>
        <v>3.6446704658571591E-4</v>
      </c>
      <c r="Y683" s="33">
        <f t="shared" si="52"/>
        <v>1.4314156901732468E-3</v>
      </c>
      <c r="Z683" s="54"/>
    </row>
    <row r="684" spans="15:26" x14ac:dyDescent="0.25">
      <c r="O684" s="37" t="s">
        <v>31</v>
      </c>
      <c r="P684" s="31">
        <f>_xll.qlCalendarAdvance(Calendar,P683,O683,"f",,Trigger)</f>
        <v>45477</v>
      </c>
      <c r="Q684" s="31">
        <f>_xll.qlInterestRateIndexValueDate(Index,P684,Trigger)</f>
        <v>45481</v>
      </c>
      <c r="R684" s="31">
        <f>_xll.qlInterestRateIndexMaturity(Index,Q684,Trigger)</f>
        <v>45573</v>
      </c>
      <c r="S684" s="32">
        <f>_xll.qlDayCounterYearFraction(DayCounter,Q684,R684,,,Trigger)</f>
        <v>0.25555555555555554</v>
      </c>
      <c r="T684" s="33">
        <f>_xll.qlIndexFixing(Index,P684,,AllTriggers)</f>
        <v>1.5105257515680946E-2</v>
      </c>
      <c r="U684" s="34">
        <f>_xll.qlYieldTSDiscount(OisCurve,Q684,,AllTriggers)</f>
        <v>0.94605181947876016</v>
      </c>
      <c r="V684" s="34">
        <f>_xll.qlYieldTSDiscount(OisCurve,R684,,AllTriggers)</f>
        <v>0.94275770382784407</v>
      </c>
      <c r="W684" s="33">
        <f t="shared" si="50"/>
        <v>1.3672672959464612E-2</v>
      </c>
      <c r="X684" s="35">
        <f t="shared" si="51"/>
        <v>3.6476364462274401E-4</v>
      </c>
      <c r="Y684" s="33">
        <f t="shared" si="52"/>
        <v>1.432584556216334E-3</v>
      </c>
      <c r="Z684" s="54"/>
    </row>
    <row r="685" spans="15:26" x14ac:dyDescent="0.25">
      <c r="O685" s="37" t="s">
        <v>31</v>
      </c>
      <c r="P685" s="31">
        <f>_xll.qlCalendarAdvance(Calendar,P684,O684,"f",,Trigger)</f>
        <v>45484</v>
      </c>
      <c r="Q685" s="31">
        <f>_xll.qlInterestRateIndexValueDate(Index,P685,Trigger)</f>
        <v>45488</v>
      </c>
      <c r="R685" s="31">
        <f>_xll.qlInterestRateIndexMaturity(Index,Q685,Trigger)</f>
        <v>45580</v>
      </c>
      <c r="S685" s="32">
        <f>_xll.qlDayCounterYearFraction(DayCounter,Q685,R685,,,Trigger)</f>
        <v>0.25555555555555554</v>
      </c>
      <c r="T685" s="33">
        <f>_xll.qlIndexFixing(Index,P685,,AllTriggers)</f>
        <v>1.5116731847871431E-2</v>
      </c>
      <c r="U685" s="34">
        <f>_xll.qlYieldTSDiscount(OisCurve,Q685,,AllTriggers)</f>
        <v>0.94580195473762385</v>
      </c>
      <c r="V685" s="34">
        <f>_xll.qlYieldTSDiscount(OisCurve,R685,,AllTriggers)</f>
        <v>0.94250625381997988</v>
      </c>
      <c r="W685" s="33">
        <f t="shared" si="50"/>
        <v>1.3682902293556568E-2</v>
      </c>
      <c r="X685" s="35">
        <f t="shared" si="51"/>
        <v>3.6507963639972917E-4</v>
      </c>
      <c r="Y685" s="33">
        <f t="shared" si="52"/>
        <v>1.4338295543148624E-3</v>
      </c>
      <c r="Z685" s="54"/>
    </row>
    <row r="686" spans="15:26" x14ac:dyDescent="0.25">
      <c r="O686" s="37" t="s">
        <v>31</v>
      </c>
      <c r="P686" s="31">
        <f>_xll.qlCalendarAdvance(Calendar,P685,O685,"f",,Trigger)</f>
        <v>45491</v>
      </c>
      <c r="Q686" s="31">
        <f>_xll.qlInterestRateIndexValueDate(Index,P686,Trigger)</f>
        <v>45495</v>
      </c>
      <c r="R686" s="31">
        <f>_xll.qlInterestRateIndexMaturity(Index,Q686,Trigger)</f>
        <v>45587</v>
      </c>
      <c r="S686" s="32">
        <f>_xll.qlDayCounterYearFraction(DayCounter,Q686,R686,,,Trigger)</f>
        <v>0.25555555555555554</v>
      </c>
      <c r="T686" s="33">
        <f>_xll.qlIndexFixing(Index,P686,,AllTriggers)</f>
        <v>1.5128128480086765E-2</v>
      </c>
      <c r="U686" s="34">
        <f>_xll.qlYieldTSDiscount(OisCurve,Q686,,AllTriggers)</f>
        <v>0.94555195145529292</v>
      </c>
      <c r="V686" s="34">
        <f>_xll.qlYieldTSDiscount(OisCurve,R686,,AllTriggers)</f>
        <v>0.9422547039775756</v>
      </c>
      <c r="W686" s="33">
        <f t="shared" si="50"/>
        <v>1.3692977795100085E-2</v>
      </c>
      <c r="X686" s="35">
        <f t="shared" si="51"/>
        <v>3.6541502191559966E-4</v>
      </c>
      <c r="Y686" s="33">
        <f t="shared" si="52"/>
        <v>1.4351506849866798E-3</v>
      </c>
      <c r="Z686" s="54"/>
    </row>
    <row r="687" spans="15:26" x14ac:dyDescent="0.25">
      <c r="O687" s="37" t="s">
        <v>31</v>
      </c>
      <c r="P687" s="31">
        <f>_xll.qlCalendarAdvance(Calendar,P686,O686,"f",,Trigger)</f>
        <v>45498</v>
      </c>
      <c r="Q687" s="31">
        <f>_xll.qlInterestRateIndexValueDate(Index,P687,Trigger)</f>
        <v>45502</v>
      </c>
      <c r="R687" s="31">
        <f>_xll.qlInterestRateIndexMaturity(Index,Q687,Trigger)</f>
        <v>45594</v>
      </c>
      <c r="S687" s="32">
        <f>_xll.qlDayCounterYearFraction(DayCounter,Q687,R687,,,Trigger)</f>
        <v>0.25555555555555554</v>
      </c>
      <c r="T687" s="33">
        <f>_xll.qlIndexFixing(Index,P687,,AllTriggers)</f>
        <v>1.5139447411652707E-2</v>
      </c>
      <c r="U687" s="34">
        <f>_xll.qlYieldTSDiscount(OisCurve,Q687,,AllTriggers)</f>
        <v>0.94530181259473445</v>
      </c>
      <c r="V687" s="34">
        <f>_xll.qlYieldTSDiscount(OisCurve,R687,,AllTriggers)</f>
        <v>0.94200305722474786</v>
      </c>
      <c r="W687" s="33">
        <f t="shared" si="50"/>
        <v>1.3702899462909156E-2</v>
      </c>
      <c r="X687" s="35">
        <f t="shared" si="51"/>
        <v>3.65769801171485E-4</v>
      </c>
      <c r="Y687" s="33">
        <f t="shared" si="52"/>
        <v>1.4365479487435506E-3</v>
      </c>
      <c r="Z687" s="54"/>
    </row>
    <row r="688" spans="15:26" x14ac:dyDescent="0.25">
      <c r="O688" s="37" t="s">
        <v>31</v>
      </c>
      <c r="P688" s="31">
        <f>_xll.qlCalendarAdvance(Calendar,P687,O687,"f",,Trigger)</f>
        <v>45505</v>
      </c>
      <c r="Q688" s="31">
        <f>_xll.qlInterestRateIndexValueDate(Index,P688,Trigger)</f>
        <v>45509</v>
      </c>
      <c r="R688" s="31">
        <f>_xll.qlInterestRateIndexMaturity(Index,Q688,Trigger)</f>
        <v>45601</v>
      </c>
      <c r="S688" s="32">
        <f>_xll.qlDayCounterYearFraction(DayCounter,Q688,R688,,,Trigger)</f>
        <v>0.25555555555555554</v>
      </c>
      <c r="T688" s="33">
        <f>_xll.qlIndexFixing(Index,P688,,AllTriggers)</f>
        <v>1.5150688641895883E-2</v>
      </c>
      <c r="U688" s="34">
        <f>_xll.qlYieldTSDiscount(OisCurve,Q688,,AllTriggers)</f>
        <v>0.94505154111598277</v>
      </c>
      <c r="V688" s="34">
        <f>_xll.qlYieldTSDiscount(OisCurve,R688,,AllTriggers)</f>
        <v>0.94175131648263266</v>
      </c>
      <c r="W688" s="33">
        <f t="shared" si="50"/>
        <v>1.3712667295819495E-2</v>
      </c>
      <c r="X688" s="35">
        <f t="shared" si="51"/>
        <v>3.6614397416627633E-4</v>
      </c>
      <c r="Y688" s="33">
        <f t="shared" si="52"/>
        <v>1.4380213460763874E-3</v>
      </c>
      <c r="Z688" s="54"/>
    </row>
    <row r="689" spans="15:26" x14ac:dyDescent="0.25">
      <c r="O689" s="37" t="s">
        <v>31</v>
      </c>
      <c r="P689" s="31">
        <f>_xll.qlCalendarAdvance(Calendar,P688,O688,"f",,Trigger)</f>
        <v>45512</v>
      </c>
      <c r="Q689" s="31">
        <f>_xll.qlInterestRateIndexValueDate(Index,P689,Trigger)</f>
        <v>45516</v>
      </c>
      <c r="R689" s="31">
        <f>_xll.qlInterestRateIndexMaturity(Index,Q689,Trigger)</f>
        <v>45608</v>
      </c>
      <c r="S689" s="32">
        <f>_xll.qlDayCounterYearFraction(DayCounter,Q689,R689,,,Trigger)</f>
        <v>0.25555555555555554</v>
      </c>
      <c r="T689" s="33">
        <f>_xll.qlIndexFixing(Index,P689,,AllTriggers)</f>
        <v>1.5161852170149866E-2</v>
      </c>
      <c r="U689" s="34">
        <f>_xll.qlYieldTSDiscount(OisCurve,Q689,,AllTriggers)</f>
        <v>0.9448011399761348</v>
      </c>
      <c r="V689" s="34">
        <f>_xll.qlYieldTSDiscount(OisCurve,R689,,AllTriggers)</f>
        <v>0.94149948466938349</v>
      </c>
      <c r="W689" s="33">
        <f t="shared" si="50"/>
        <v>1.3722281292682454E-2</v>
      </c>
      <c r="X689" s="35">
        <f t="shared" si="51"/>
        <v>3.6653754090062215E-4</v>
      </c>
      <c r="Y689" s="33">
        <f t="shared" si="52"/>
        <v>1.4395708774674124E-3</v>
      </c>
      <c r="Z689" s="54"/>
    </row>
    <row r="690" spans="15:26" x14ac:dyDescent="0.25">
      <c r="O690" s="37" t="s">
        <v>31</v>
      </c>
      <c r="P690" s="31">
        <f>_xll.qlCalendarAdvance(Calendar,P689,O689,"f",,Trigger)</f>
        <v>45519</v>
      </c>
      <c r="Q690" s="31">
        <f>_xll.qlInterestRateIndexValueDate(Index,P690,Trigger)</f>
        <v>45523</v>
      </c>
      <c r="R690" s="31">
        <f>_xll.qlInterestRateIndexMaturity(Index,Q690,Trigger)</f>
        <v>45615</v>
      </c>
      <c r="S690" s="32">
        <f>_xll.qlDayCounterYearFraction(DayCounter,Q690,R690,,,Trigger)</f>
        <v>0.25555555555555554</v>
      </c>
      <c r="T690" s="33">
        <f>_xll.qlIndexFixing(Index,P690,,AllTriggers)</f>
        <v>1.5172937995751711E-2</v>
      </c>
      <c r="U690" s="34">
        <f>_xll.qlYieldTSDiscount(OisCurve,Q690,,AllTriggers)</f>
        <v>0.94455061212934632</v>
      </c>
      <c r="V690" s="34">
        <f>_xll.qlYieldTSDiscount(OisCurve,R690,,AllTriggers)</f>
        <v>0.94124756470016813</v>
      </c>
      <c r="W690" s="33">
        <f t="shared" si="50"/>
        <v>1.3731741452365897E-2</v>
      </c>
      <c r="X690" s="35">
        <f t="shared" si="51"/>
        <v>3.6695050137493029E-4</v>
      </c>
      <c r="Y690" s="33">
        <f t="shared" si="52"/>
        <v>1.4411965433858143E-3</v>
      </c>
      <c r="Z690" s="54"/>
    </row>
    <row r="691" spans="15:26" x14ac:dyDescent="0.25">
      <c r="O691" s="37" t="s">
        <v>31</v>
      </c>
      <c r="P691" s="31">
        <f>_xll.qlCalendarAdvance(Calendar,P690,O690,"f",,Trigger)</f>
        <v>45526</v>
      </c>
      <c r="Q691" s="31">
        <f>_xll.qlInterestRateIndexValueDate(Index,P691,Trigger)</f>
        <v>45530</v>
      </c>
      <c r="R691" s="31">
        <f>_xll.qlInterestRateIndexMaturity(Index,Q691,Trigger)</f>
        <v>45622</v>
      </c>
      <c r="S691" s="32">
        <f>_xll.qlDayCounterYearFraction(DayCounter,Q691,R691,,,Trigger)</f>
        <v>0.25555555555555554</v>
      </c>
      <c r="T691" s="33">
        <f>_xll.qlIndexFixing(Index,P691,,AllTriggers)</f>
        <v>1.5183946118043684E-2</v>
      </c>
      <c r="U691" s="34">
        <f>_xll.qlYieldTSDiscount(OisCurve,Q691,,AllTriggers)</f>
        <v>0.94429996052682796</v>
      </c>
      <c r="V691" s="34">
        <f>_xll.qlYieldTSDiscount(OisCurve,R691,,AllTriggers)</f>
        <v>0.9409955594871654</v>
      </c>
      <c r="W691" s="33">
        <f t="shared" si="50"/>
        <v>1.3741047773761145E-2</v>
      </c>
      <c r="X691" s="35">
        <f t="shared" si="51"/>
        <v>3.6738285558825836E-4</v>
      </c>
      <c r="Y691" s="33">
        <f t="shared" si="52"/>
        <v>1.4428983442825397E-3</v>
      </c>
      <c r="Z691" s="54"/>
    </row>
    <row r="692" spans="15:26" x14ac:dyDescent="0.25">
      <c r="O692" s="37" t="s">
        <v>31</v>
      </c>
      <c r="P692" s="31">
        <f>_xll.qlCalendarAdvance(Calendar,P691,O691,"f",,Trigger)</f>
        <v>45533</v>
      </c>
      <c r="Q692" s="31">
        <f>_xll.qlInterestRateIndexValueDate(Index,P692,Trigger)</f>
        <v>45537</v>
      </c>
      <c r="R692" s="31">
        <f>_xll.qlInterestRateIndexMaturity(Index,Q692,Trigger)</f>
        <v>45628</v>
      </c>
      <c r="S692" s="32">
        <f>_xll.qlDayCounterYearFraction(DayCounter,Q692,R692,,,Trigger)</f>
        <v>0.25277777777777777</v>
      </c>
      <c r="T692" s="33">
        <f>_xll.qlIndexFixing(Index,P692,,AllTriggers)</f>
        <v>1.5193790244057457E-2</v>
      </c>
      <c r="U692" s="34">
        <f>_xll.qlYieldTSDiscount(OisCurve,Q692,,AllTriggers)</f>
        <v>0.94404918811684124</v>
      </c>
      <c r="V692" s="34">
        <f>_xll.qlYieldTSDiscount(OisCurve,R692,,AllTriggers)</f>
        <v>0.94077948937707756</v>
      </c>
      <c r="W692" s="33">
        <f t="shared" si="50"/>
        <v>1.3749313291355149E-2</v>
      </c>
      <c r="X692" s="35">
        <f t="shared" si="51"/>
        <v>3.6380086308496874E-4</v>
      </c>
      <c r="Y692" s="33">
        <f t="shared" si="52"/>
        <v>1.4444769527023078E-3</v>
      </c>
      <c r="Z692" s="54"/>
    </row>
    <row r="693" spans="15:26" x14ac:dyDescent="0.25">
      <c r="O693" s="37" t="s">
        <v>31</v>
      </c>
      <c r="P693" s="31">
        <f>_xll.qlCalendarAdvance(Calendar,P692,O692,"f",,Trigger)</f>
        <v>45540</v>
      </c>
      <c r="Q693" s="31">
        <f>_xll.qlInterestRateIndexValueDate(Index,P693,Trigger)</f>
        <v>45544</v>
      </c>
      <c r="R693" s="31">
        <f>_xll.qlInterestRateIndexMaturity(Index,Q693,Trigger)</f>
        <v>45635</v>
      </c>
      <c r="S693" s="32">
        <f>_xll.qlDayCounterYearFraction(DayCounter,Q693,R693,,,Trigger)</f>
        <v>0.25277777777777777</v>
      </c>
      <c r="T693" s="33">
        <f>_xll.qlIndexFixing(Index,P693,,AllTriggers)</f>
        <v>1.5204648050609336E-2</v>
      </c>
      <c r="U693" s="34">
        <f>_xll.qlYieldTSDiscount(OisCurve,Q693,,AllTriggers)</f>
        <v>0.94379829784469504</v>
      </c>
      <c r="V693" s="34">
        <f>_xll.qlYieldTSDiscount(OisCurve,R693,,AllTriggers)</f>
        <v>0.94052733357016838</v>
      </c>
      <c r="W693" s="33">
        <f t="shared" si="50"/>
        <v>1.3758322577991427E-2</v>
      </c>
      <c r="X693" s="35">
        <f t="shared" si="51"/>
        <v>3.6426551346197548E-4</v>
      </c>
      <c r="Y693" s="33">
        <f t="shared" si="52"/>
        <v>1.4463254726179084E-3</v>
      </c>
      <c r="Z693" s="54"/>
    </row>
    <row r="694" spans="15:26" x14ac:dyDescent="0.25">
      <c r="O694" s="37" t="s">
        <v>31</v>
      </c>
      <c r="P694" s="31">
        <f>_xll.qlCalendarAdvance(Calendar,P693,O693,"f",,Trigger)</f>
        <v>45547</v>
      </c>
      <c r="Q694" s="31">
        <f>_xll.qlInterestRateIndexValueDate(Index,P694,Trigger)</f>
        <v>45551</v>
      </c>
      <c r="R694" s="31">
        <f>_xll.qlInterestRateIndexMaturity(Index,Q694,Trigger)</f>
        <v>45642</v>
      </c>
      <c r="S694" s="32">
        <f>_xll.qlDayCounterYearFraction(DayCounter,Q694,R694,,,Trigger)</f>
        <v>0.25277777777777777</v>
      </c>
      <c r="T694" s="33">
        <f>_xll.qlIndexFixing(Index,P694,,AllTriggers)</f>
        <v>1.5215428154901641E-2</v>
      </c>
      <c r="U694" s="34">
        <f>_xll.qlYieldTSDiscount(OisCurve,Q694,,AllTriggers)</f>
        <v>0.94354729265274173</v>
      </c>
      <c r="V694" s="34">
        <f>_xll.qlYieldTSDiscount(OisCurve,R694,,AllTriggers)</f>
        <v>0.94027510082349297</v>
      </c>
      <c r="W694" s="33">
        <f t="shared" si="50"/>
        <v>1.3767178028832617E-2</v>
      </c>
      <c r="X694" s="35">
        <f t="shared" si="51"/>
        <v>3.6474934677708138E-4</v>
      </c>
      <c r="Y694" s="33">
        <f t="shared" si="52"/>
        <v>1.4482501260690249E-3</v>
      </c>
      <c r="Z694" s="54"/>
    </row>
    <row r="695" spans="15:26" x14ac:dyDescent="0.25">
      <c r="O695" s="37" t="s">
        <v>31</v>
      </c>
      <c r="P695" s="31">
        <f>_xll.qlCalendarAdvance(Calendar,P694,O694,"f",,Trigger)</f>
        <v>45554</v>
      </c>
      <c r="Q695" s="31">
        <f>_xll.qlInterestRateIndexValueDate(Index,P695,Trigger)</f>
        <v>45558</v>
      </c>
      <c r="R695" s="31">
        <f>_xll.qlInterestRateIndexMaturity(Index,Q695,Trigger)</f>
        <v>45649</v>
      </c>
      <c r="S695" s="32">
        <f>_xll.qlDayCounterYearFraction(DayCounter,Q695,R695,,,Trigger)</f>
        <v>0.25277777777777777</v>
      </c>
      <c r="T695" s="33">
        <f>_xll.qlIndexFixing(Index,P695,,AllTriggers)</f>
        <v>1.5226130556301036E-2</v>
      </c>
      <c r="U695" s="34">
        <f>_xll.qlYieldTSDiscount(OisCurve,Q695,,AllTriggers)</f>
        <v>0.94329617548037359</v>
      </c>
      <c r="V695" s="34">
        <f>_xll.qlYieldTSDiscount(OisCurve,R695,,AllTriggers)</f>
        <v>0.94002279403767908</v>
      </c>
      <c r="W695" s="33">
        <f t="shared" si="50"/>
        <v>1.3775879642849206E-2</v>
      </c>
      <c r="X695" s="35">
        <f t="shared" si="51"/>
        <v>3.6525236303018761E-4</v>
      </c>
      <c r="Y695" s="33">
        <f t="shared" si="52"/>
        <v>1.45025091345183E-3</v>
      </c>
      <c r="Z695" s="54"/>
    </row>
    <row r="696" spans="15:26" x14ac:dyDescent="0.25">
      <c r="O696" s="37" t="s">
        <v>31</v>
      </c>
      <c r="P696" s="31">
        <f>_xll.qlCalendarAdvance(Calendar,P695,O695,"f",,Trigger)</f>
        <v>45561</v>
      </c>
      <c r="Q696" s="31">
        <f>_xll.qlInterestRateIndexValueDate(Index,P696,Trigger)</f>
        <v>45565</v>
      </c>
      <c r="R696" s="31">
        <f>_xll.qlInterestRateIndexMaturity(Index,Q696,Trigger)</f>
        <v>45657</v>
      </c>
      <c r="S696" s="32">
        <f>_xll.qlDayCounterYearFraction(DayCounter,Q696,R696,,,Trigger)</f>
        <v>0.25555555555555554</v>
      </c>
      <c r="T696" s="33">
        <f>_xll.qlIndexFixing(Index,P696,,AllTriggers)</f>
        <v>1.5237821157141437E-2</v>
      </c>
      <c r="U696" s="34">
        <f>_xll.qlYieldTSDiscount(OisCurve,Q696,,AllTriggers)</f>
        <v>0.94304494926401972</v>
      </c>
      <c r="V696" s="34">
        <f>_xll.qlYieldTSDiscount(OisCurve,R696,,AllTriggers)</f>
        <v>0.93973435648208592</v>
      </c>
      <c r="W696" s="33">
        <f t="shared" si="50"/>
        <v>1.3785271768735898E-2</v>
      </c>
      <c r="X696" s="35">
        <f t="shared" si="51"/>
        <v>3.6983553274697576E-4</v>
      </c>
      <c r="Y696" s="33">
        <f t="shared" si="52"/>
        <v>1.4525493884055395E-3</v>
      </c>
      <c r="Z696" s="54"/>
    </row>
    <row r="697" spans="15:26" x14ac:dyDescent="0.25">
      <c r="O697" s="37" t="s">
        <v>31</v>
      </c>
      <c r="P697" s="31">
        <f>_xll.qlCalendarAdvance(Calendar,P696,O696,"f",,Trigger)</f>
        <v>45568</v>
      </c>
      <c r="Q697" s="31">
        <f>_xll.qlInterestRateIndexValueDate(Index,P697,Trigger)</f>
        <v>45572</v>
      </c>
      <c r="R697" s="31">
        <f>_xll.qlInterestRateIndexMaturity(Index,Q697,Trigger)</f>
        <v>45664</v>
      </c>
      <c r="S697" s="32">
        <f>_xll.qlDayCounterYearFraction(DayCounter,Q697,R697,,,Trigger)</f>
        <v>0.25555555555555554</v>
      </c>
      <c r="T697" s="33">
        <f>_xll.qlIndexFixing(Index,P697,,AllTriggers)</f>
        <v>1.5248363046011975E-2</v>
      </c>
      <c r="U697" s="34">
        <f>_xll.qlYieldTSDiscount(OisCurve,Q697,,AllTriggers)</f>
        <v>0.9427936169371417</v>
      </c>
      <c r="V697" s="34">
        <f>_xll.qlYieldTSDiscount(OisCurve,R697,,AllTriggers)</f>
        <v>0.93948190079443927</v>
      </c>
      <c r="W697" s="33">
        <f t="shared" si="50"/>
        <v>1.3793655038052894E-2</v>
      </c>
      <c r="X697" s="35">
        <f t="shared" si="51"/>
        <v>3.7038424939734264E-4</v>
      </c>
      <c r="Y697" s="33">
        <f t="shared" si="52"/>
        <v>1.4547080079590803E-3</v>
      </c>
      <c r="Z697" s="54"/>
    </row>
    <row r="698" spans="15:26" x14ac:dyDescent="0.25">
      <c r="O698" s="37" t="s">
        <v>31</v>
      </c>
      <c r="P698" s="31">
        <f>_xll.qlCalendarAdvance(Calendar,P697,O697,"f",,Trigger)</f>
        <v>45575</v>
      </c>
      <c r="Q698" s="31">
        <f>_xll.qlInterestRateIndexValueDate(Index,P698,Trigger)</f>
        <v>45579</v>
      </c>
      <c r="R698" s="31">
        <f>_xll.qlInterestRateIndexMaturity(Index,Q698,Trigger)</f>
        <v>45671</v>
      </c>
      <c r="S698" s="32">
        <f>_xll.qlDayCounterYearFraction(DayCounter,Q698,R698,,,Trigger)</f>
        <v>0.25555555555555554</v>
      </c>
      <c r="T698" s="33">
        <f>_xll.qlIndexFixing(Index,P698,,AllTriggers)</f>
        <v>1.525882722709535E-2</v>
      </c>
      <c r="U698" s="34">
        <f>_xll.qlYieldTSDiscount(OisCurve,Q698,,AllTriggers)</f>
        <v>0.94254218143023161</v>
      </c>
      <c r="V698" s="34">
        <f>_xll.qlYieldTSDiscount(OisCurve,R698,,AllTriggers)</f>
        <v>0.93922938016436852</v>
      </c>
      <c r="W698" s="33">
        <f t="shared" si="50"/>
        <v>1.3801884461803171E-2</v>
      </c>
      <c r="X698" s="35">
        <f t="shared" si="51"/>
        <v>3.7095235978693741E-4</v>
      </c>
      <c r="Y698" s="33">
        <f t="shared" si="52"/>
        <v>1.4569427652921796E-3</v>
      </c>
      <c r="Z698" s="54"/>
    </row>
    <row r="699" spans="15:26" x14ac:dyDescent="0.25">
      <c r="O699" s="37" t="s">
        <v>31</v>
      </c>
      <c r="P699" s="31">
        <f>_xll.qlCalendarAdvance(Calendar,P698,O698,"f",,Trigger)</f>
        <v>45582</v>
      </c>
      <c r="Q699" s="31">
        <f>_xll.qlInterestRateIndexValueDate(Index,P699,Trigger)</f>
        <v>45586</v>
      </c>
      <c r="R699" s="31">
        <f>_xll.qlInterestRateIndexMaturity(Index,Q699,Trigger)</f>
        <v>45678</v>
      </c>
      <c r="S699" s="32">
        <f>_xll.qlDayCounterYearFraction(DayCounter,Q699,R699,,,Trigger)</f>
        <v>0.25555555555555554</v>
      </c>
      <c r="T699" s="33">
        <f>_xll.qlIndexFixing(Index,P699,,AllTriggers)</f>
        <v>1.5269213699769453E-2</v>
      </c>
      <c r="U699" s="34">
        <f>_xll.qlYieldTSDiscount(OisCurve,Q699,,AllTriggers)</f>
        <v>0.94229064567080756</v>
      </c>
      <c r="V699" s="34">
        <f>_xll.qlYieldTSDiscount(OisCurve,R699,,AllTriggers)</f>
        <v>0.93897679748005625</v>
      </c>
      <c r="W699" s="33">
        <f t="shared" si="50"/>
        <v>1.3809960039019673E-2</v>
      </c>
      <c r="X699" s="35">
        <f t="shared" si="51"/>
        <v>3.7153986391577892E-4</v>
      </c>
      <c r="Y699" s="33">
        <f t="shared" si="52"/>
        <v>1.4592536607497802E-3</v>
      </c>
      <c r="Z699" s="54"/>
    </row>
    <row r="700" spans="15:26" x14ac:dyDescent="0.25">
      <c r="O700" s="37" t="s">
        <v>31</v>
      </c>
      <c r="P700" s="31">
        <f>_xll.qlCalendarAdvance(Calendar,P699,O699,"f",,Trigger)</f>
        <v>45589</v>
      </c>
      <c r="Q700" s="31">
        <f>_xll.qlInterestRateIndexValueDate(Index,P700,Trigger)</f>
        <v>45593</v>
      </c>
      <c r="R700" s="31">
        <f>_xll.qlInterestRateIndexMaturity(Index,Q700,Trigger)</f>
        <v>45685</v>
      </c>
      <c r="S700" s="32">
        <f>_xll.qlDayCounterYearFraction(DayCounter,Q700,R700,,,Trigger)</f>
        <v>0.25555555555555554</v>
      </c>
      <c r="T700" s="33">
        <f>_xll.qlIndexFixing(Index,P700,,AllTriggers)</f>
        <v>1.5279522463419992E-2</v>
      </c>
      <c r="U700" s="34">
        <f>_xll.qlYieldTSDiscount(OisCurve,Q700,,AllTriggers)</f>
        <v>0.94203901258341138</v>
      </c>
      <c r="V700" s="34">
        <f>_xll.qlYieldTSDiscount(OisCurve,R700,,AllTriggers)</f>
        <v>0.93872415562667622</v>
      </c>
      <c r="W700" s="33">
        <f t="shared" si="50"/>
        <v>1.3817881768750989E-2</v>
      </c>
      <c r="X700" s="35">
        <f t="shared" si="51"/>
        <v>3.721467617845332E-4</v>
      </c>
      <c r="Y700" s="33">
        <f t="shared" si="52"/>
        <v>1.461640694669003E-3</v>
      </c>
      <c r="Z700" s="54"/>
    </row>
    <row r="701" spans="15:26" x14ac:dyDescent="0.25">
      <c r="O701" s="37" t="s">
        <v>31</v>
      </c>
      <c r="P701" s="31">
        <f>_xll.qlCalendarAdvance(Calendar,P700,O700,"f",,Trigger)</f>
        <v>45596</v>
      </c>
      <c r="Q701" s="31">
        <f>_xll.qlInterestRateIndexValueDate(Index,P701,Trigger)</f>
        <v>45600</v>
      </c>
      <c r="R701" s="31">
        <f>_xll.qlInterestRateIndexMaturity(Index,Q701,Trigger)</f>
        <v>45692</v>
      </c>
      <c r="S701" s="32">
        <f>_xll.qlDayCounterYearFraction(DayCounter,Q701,R701,,,Trigger)</f>
        <v>0.25555555555555554</v>
      </c>
      <c r="T701" s="33">
        <f>_xll.qlIndexFixing(Index,P701,,AllTriggers)</f>
        <v>1.5289753517432675E-2</v>
      </c>
      <c r="U701" s="34">
        <f>_xll.qlYieldTSDiscount(OisCurve,Q701,,AllTriggers)</f>
        <v>0.94178728508960519</v>
      </c>
      <c r="V701" s="34">
        <f>_xll.qlYieldTSDiscount(OisCurve,R701,,AllTriggers)</f>
        <v>0.9384714574863906</v>
      </c>
      <c r="W701" s="33">
        <f t="shared" si="50"/>
        <v>1.3825649650068298E-2</v>
      </c>
      <c r="X701" s="35">
        <f t="shared" si="51"/>
        <v>3.7277305339251623E-4</v>
      </c>
      <c r="Y701" s="33">
        <f t="shared" si="52"/>
        <v>1.4641038673643761E-3</v>
      </c>
      <c r="Z701" s="54"/>
    </row>
    <row r="702" spans="15:26" x14ac:dyDescent="0.25">
      <c r="O702" s="37" t="s">
        <v>31</v>
      </c>
      <c r="P702" s="31">
        <f>_xll.qlCalendarAdvance(Calendar,P701,O701,"f",,Trigger)</f>
        <v>45603</v>
      </c>
      <c r="Q702" s="31">
        <f>_xll.qlInterestRateIndexValueDate(Index,P702,Trigger)</f>
        <v>45607</v>
      </c>
      <c r="R702" s="31">
        <f>_xll.qlInterestRateIndexMaturity(Index,Q702,Trigger)</f>
        <v>45699</v>
      </c>
      <c r="S702" s="32">
        <f>_xll.qlDayCounterYearFraction(DayCounter,Q702,R702,,,Trigger)</f>
        <v>0.25555555555555554</v>
      </c>
      <c r="T702" s="33">
        <f>_xll.qlIndexFixing(Index,P702,,AllTriggers)</f>
        <v>1.5299906861201033E-2</v>
      </c>
      <c r="U702" s="34">
        <f>_xll.qlYieldTSDiscount(OisCurve,Q702,,AllTriggers)</f>
        <v>0.9415354661079689</v>
      </c>
      <c r="V702" s="34">
        <f>_xll.qlYieldTSDiscount(OisCurve,R702,,AllTriggers)</f>
        <v>0.93821870593834955</v>
      </c>
      <c r="W702" s="33">
        <f t="shared" si="50"/>
        <v>1.3833263682058415E-2</v>
      </c>
      <c r="X702" s="35">
        <f t="shared" si="51"/>
        <v>3.7341873873969098E-4</v>
      </c>
      <c r="Y702" s="33">
        <f t="shared" si="52"/>
        <v>1.4666431791426175E-3</v>
      </c>
      <c r="Z702" s="54"/>
    </row>
    <row r="703" spans="15:26" x14ac:dyDescent="0.25">
      <c r="O703" s="37" t="s">
        <v>31</v>
      </c>
      <c r="P703" s="31">
        <f>_xll.qlCalendarAdvance(Calendar,P702,O702,"f",,Trigger)</f>
        <v>45610</v>
      </c>
      <c r="Q703" s="31">
        <f>_xll.qlInterestRateIndexValueDate(Index,P703,Trigger)</f>
        <v>45614</v>
      </c>
      <c r="R703" s="31">
        <f>_xll.qlInterestRateIndexMaturity(Index,Q703,Trigger)</f>
        <v>45706</v>
      </c>
      <c r="S703" s="32">
        <f>_xll.qlDayCounterYearFraction(DayCounter,Q703,R703,,,Trigger)</f>
        <v>0.25555555555555554</v>
      </c>
      <c r="T703" s="33">
        <f>_xll.qlIndexFixing(Index,P703,,AllTriggers)</f>
        <v>1.5309982494122937E-2</v>
      </c>
      <c r="U703" s="34">
        <f>_xll.qlYieldTSDiscount(OisCurve,Q703,,AllTriggers)</f>
        <v>0.9412835585540964</v>
      </c>
      <c r="V703" s="34">
        <f>_xll.qlYieldTSDiscount(OisCurve,R703,,AllTriggers)</f>
        <v>0.93796590385868772</v>
      </c>
      <c r="W703" s="33">
        <f t="shared" si="50"/>
        <v>1.3840723863824667E-2</v>
      </c>
      <c r="X703" s="35">
        <f t="shared" si="51"/>
        <v>3.7408381782644593E-4</v>
      </c>
      <c r="Y703" s="33">
        <f t="shared" si="52"/>
        <v>1.4692586302982695E-3</v>
      </c>
      <c r="Z703" s="54"/>
    </row>
    <row r="704" spans="15:26" x14ac:dyDescent="0.25">
      <c r="O704" s="37" t="s">
        <v>31</v>
      </c>
      <c r="P704" s="31">
        <f>_xll.qlCalendarAdvance(Calendar,P703,O703,"f",,Trigger)</f>
        <v>45617</v>
      </c>
      <c r="Q704" s="31">
        <f>_xll.qlInterestRateIndexValueDate(Index,P704,Trigger)</f>
        <v>45621</v>
      </c>
      <c r="R704" s="31">
        <f>_xll.qlInterestRateIndexMaturity(Index,Q704,Trigger)</f>
        <v>45713</v>
      </c>
      <c r="S704" s="32">
        <f>_xll.qlDayCounterYearFraction(DayCounter,Q704,R704,,,Trigger)</f>
        <v>0.25555555555555554</v>
      </c>
      <c r="T704" s="33">
        <f>_xll.qlIndexFixing(Index,P704,,AllTriggers)</f>
        <v>1.5319980415599736E-2</v>
      </c>
      <c r="U704" s="34">
        <f>_xll.qlYieldTSDiscount(OisCurve,Q704,,AllTriggers)</f>
        <v>0.94103156534059418</v>
      </c>
      <c r="V704" s="34">
        <f>_xll.qlYieldTSDiscount(OisCurve,R704,,AllTriggers)</f>
        <v>0.93771305412052464</v>
      </c>
      <c r="W704" s="33">
        <f t="shared" si="50"/>
        <v>1.3848030194490364E-2</v>
      </c>
      <c r="X704" s="35">
        <f t="shared" si="51"/>
        <v>3.7476829065292896E-4</v>
      </c>
      <c r="Y704" s="33">
        <f t="shared" si="52"/>
        <v>1.4719502211093718E-3</v>
      </c>
      <c r="Z704" s="54"/>
    </row>
    <row r="705" spans="15:26" x14ac:dyDescent="0.25">
      <c r="O705" s="37" t="s">
        <v>31</v>
      </c>
      <c r="P705" s="31">
        <f>_xll.qlCalendarAdvance(Calendar,P704,O704,"f",,Trigger)</f>
        <v>45624</v>
      </c>
      <c r="Q705" s="31">
        <f>_xll.qlInterestRateIndexValueDate(Index,P705,Trigger)</f>
        <v>45628</v>
      </c>
      <c r="R705" s="31">
        <f>_xll.qlInterestRateIndexMaturity(Index,Q705,Trigger)</f>
        <v>45719</v>
      </c>
      <c r="S705" s="32">
        <f>_xll.qlDayCounterYearFraction(DayCounter,Q705,R705,,,Trigger)</f>
        <v>0.25277777777777777</v>
      </c>
      <c r="T705" s="33">
        <f>_xll.qlIndexFixing(Index,P705,,AllTriggers)</f>
        <v>1.5328880775243504E-2</v>
      </c>
      <c r="U705" s="34">
        <f>_xll.qlYieldTSDiscount(OisCurve,Q705,,AllTriggers)</f>
        <v>0.94077948937707756</v>
      </c>
      <c r="V705" s="34">
        <f>_xll.qlYieldTSDiscount(OisCurve,R705,,AllTriggers)</f>
        <v>0.93749629001691959</v>
      </c>
      <c r="W705" s="33">
        <f t="shared" si="50"/>
        <v>1.385443454395538E-2</v>
      </c>
      <c r="X705" s="35">
        <f t="shared" si="51"/>
        <v>3.7133758714660354E-4</v>
      </c>
      <c r="Y705" s="33">
        <f t="shared" si="52"/>
        <v>1.4744462312881249E-3</v>
      </c>
      <c r="Z705" s="54"/>
    </row>
    <row r="706" spans="15:26" x14ac:dyDescent="0.25">
      <c r="O706" s="37" t="s">
        <v>31</v>
      </c>
      <c r="P706" s="31">
        <f>_xll.qlCalendarAdvance(Calendar,P705,O705,"f",,Trigger)</f>
        <v>45631</v>
      </c>
      <c r="Q706" s="31">
        <f>_xll.qlInterestRateIndexValueDate(Index,P706,Trigger)</f>
        <v>45635</v>
      </c>
      <c r="R706" s="31">
        <f>_xll.qlInterestRateIndexMaturity(Index,Q706,Trigger)</f>
        <v>45726</v>
      </c>
      <c r="S706" s="32">
        <f>_xll.qlDayCounterYearFraction(DayCounter,Q706,R706,,,Trigger)</f>
        <v>0.25277777777777777</v>
      </c>
      <c r="T706" s="33">
        <f>_xll.qlIndexFixing(Index,P706,,AllTriggers)</f>
        <v>1.53387284043583E-2</v>
      </c>
      <c r="U706" s="34">
        <f>_xll.qlYieldTSDiscount(OisCurve,Q706,,AllTriggers)</f>
        <v>0.94052733357016838</v>
      </c>
      <c r="V706" s="34">
        <f>_xll.qlYieldTSDiscount(OisCurve,R706,,AllTriggers)</f>
        <v>0.93724335938237724</v>
      </c>
      <c r="W706" s="33">
        <f t="shared" si="50"/>
        <v>1.3861443890065505E-2</v>
      </c>
      <c r="X706" s="35">
        <f t="shared" si="51"/>
        <v>3.7205161571686294E-4</v>
      </c>
      <c r="Y706" s="33">
        <f t="shared" si="52"/>
        <v>1.4772845142927947E-3</v>
      </c>
      <c r="Z706" s="54"/>
    </row>
    <row r="707" spans="15:26" x14ac:dyDescent="0.25">
      <c r="O707" s="37" t="s">
        <v>31</v>
      </c>
      <c r="P707" s="31">
        <f>_xll.qlCalendarAdvance(Calendar,P706,O706,"f",,Trigger)</f>
        <v>45638</v>
      </c>
      <c r="Q707" s="31">
        <f>_xll.qlInterestRateIndexValueDate(Index,P707,Trigger)</f>
        <v>45642</v>
      </c>
      <c r="R707" s="31">
        <f>_xll.qlInterestRateIndexMaturity(Index,Q707,Trigger)</f>
        <v>45733</v>
      </c>
      <c r="S707" s="32">
        <f>_xll.qlDayCounterYearFraction(DayCounter,Q707,R707,,,Trigger)</f>
        <v>0.25277777777777777</v>
      </c>
      <c r="T707" s="33">
        <f>_xll.qlIndexFixing(Index,P707,,AllTriggers)</f>
        <v>1.5348498323342894E-2</v>
      </c>
      <c r="U707" s="34">
        <f>_xll.qlYieldTSDiscount(OisCurve,Q707,,AllTriggers)</f>
        <v>0.94027510082349297</v>
      </c>
      <c r="V707" s="34">
        <f>_xll.qlYieldTSDiscount(OisCurve,R707,,AllTriggers)</f>
        <v>0.9369903892816126</v>
      </c>
      <c r="W707" s="33">
        <f t="shared" si="50"/>
        <v>1.3868299388391887E-2</v>
      </c>
      <c r="X707" s="35">
        <f t="shared" si="51"/>
        <v>3.727848272252806E-4</v>
      </c>
      <c r="Y707" s="33">
        <f t="shared" si="52"/>
        <v>1.4801989349510075E-3</v>
      </c>
      <c r="Z707" s="54"/>
    </row>
    <row r="708" spans="15:26" x14ac:dyDescent="0.25">
      <c r="O708" s="37" t="s">
        <v>31</v>
      </c>
      <c r="P708" s="31">
        <f>_xll.qlCalendarAdvance(Calendar,P707,O707,"f",,Trigger)</f>
        <v>45645</v>
      </c>
      <c r="Q708" s="31">
        <f>_xll.qlInterestRateIndexValueDate(Index,P708,Trigger)</f>
        <v>45649</v>
      </c>
      <c r="R708" s="31">
        <f>_xll.qlInterestRateIndexMaturity(Index,Q708,Trigger)</f>
        <v>45740</v>
      </c>
      <c r="S708" s="32">
        <f>_xll.qlDayCounterYearFraction(DayCounter,Q708,R708,,,Trigger)</f>
        <v>0.25277777777777777</v>
      </c>
      <c r="T708" s="33">
        <f>_xll.qlIndexFixing(Index,P708,,AllTriggers)</f>
        <v>1.5358190531621926E-2</v>
      </c>
      <c r="U708" s="34">
        <f>_xll.qlYieldTSDiscount(OisCurve,Q708,,AllTriggers)</f>
        <v>0.94002279403767908</v>
      </c>
      <c r="V708" s="34">
        <f>_xll.qlYieldTSDiscount(OisCurve,R708,,AllTriggers)</f>
        <v>0.93673738257609795</v>
      </c>
      <c r="W708" s="33">
        <f t="shared" ref="W708:W771" si="53">(U708/V708-1)/S708</f>
        <v>1.38750010381378E-2</v>
      </c>
      <c r="X708" s="35">
        <f t="shared" ref="X708:X771" si="54">LN((1+T708*S708)/(1+W708*S708))</f>
        <v>3.7353722167138948E-4</v>
      </c>
      <c r="Y708" s="33">
        <f t="shared" ref="Y708:Y771" si="55">T708-W708</f>
        <v>1.4831894934841262E-3</v>
      </c>
      <c r="Z708" s="54"/>
    </row>
    <row r="709" spans="15:26" x14ac:dyDescent="0.25">
      <c r="O709" s="37" t="s">
        <v>31</v>
      </c>
      <c r="P709" s="31">
        <f>_xll.qlCalendarAdvance(Calendar,P708,O708,"f",,Trigger)</f>
        <v>45653</v>
      </c>
      <c r="Q709" s="31">
        <f>_xll.qlInterestRateIndexValueDate(Index,P709,Trigger)</f>
        <v>45657</v>
      </c>
      <c r="R709" s="31">
        <f>_xll.qlInterestRateIndexMaturity(Index,Q709,Trigger)</f>
        <v>45747</v>
      </c>
      <c r="S709" s="32">
        <f>_xll.qlDayCounterYearFraction(DayCounter,Q709,R709,,,Trigger)</f>
        <v>0.25</v>
      </c>
      <c r="T709" s="33">
        <f>_xll.qlIndexFixing(Index,P709,,AllTriggers)</f>
        <v>1.5368173154884701E-2</v>
      </c>
      <c r="U709" s="34">
        <f>_xll.qlYieldTSDiscount(OisCurve,Q709,,AllTriggers)</f>
        <v>0.93973435648208592</v>
      </c>
      <c r="V709" s="34">
        <f>_xll.qlYieldTSDiscount(OisCurve,R709,,AllTriggers)</f>
        <v>0.93648434212428278</v>
      </c>
      <c r="W709" s="33">
        <f t="shared" si="53"/>
        <v>1.3881766994335187E-2</v>
      </c>
      <c r="X709" s="35">
        <f t="shared" si="54"/>
        <v>3.7024782852934949E-4</v>
      </c>
      <c r="Y709" s="33">
        <f t="shared" si="55"/>
        <v>1.4864061605495138E-3</v>
      </c>
      <c r="Z709" s="54"/>
    </row>
    <row r="710" spans="15:26" x14ac:dyDescent="0.25">
      <c r="O710" s="37" t="s">
        <v>31</v>
      </c>
      <c r="P710" s="31">
        <f>_xll.qlCalendarAdvance(Calendar,P709,O709,"f",,Trigger)</f>
        <v>45660</v>
      </c>
      <c r="Q710" s="31">
        <f>_xll.qlInterestRateIndexValueDate(Index,P710,Trigger)</f>
        <v>45664</v>
      </c>
      <c r="R710" s="31">
        <f>_xll.qlInterestRateIndexMaturity(Index,Q710,Trigger)</f>
        <v>45754</v>
      </c>
      <c r="S710" s="32">
        <f>_xll.qlDayCounterYearFraction(DayCounter,Q710,R710,,,Trigger)</f>
        <v>0.25</v>
      </c>
      <c r="T710" s="33">
        <f>_xll.qlIndexFixing(Index,P710,,AllTriggers)</f>
        <v>1.5377703982991875E-2</v>
      </c>
      <c r="U710" s="34">
        <f>_xll.qlYieldTSDiscount(OisCurve,Q710,,AllTriggers)</f>
        <v>0.93948190079443927</v>
      </c>
      <c r="V710" s="34">
        <f>_xll.qlYieldTSDiscount(OisCurve,R710,,AllTriggers)</f>
        <v>0.93623127078159341</v>
      </c>
      <c r="W710" s="33">
        <f t="shared" si="53"/>
        <v>1.3888149709557318E-2</v>
      </c>
      <c r="X710" s="35">
        <f t="shared" si="54"/>
        <v>3.7103125433020378E-4</v>
      </c>
      <c r="Y710" s="33">
        <f t="shared" si="55"/>
        <v>1.4895542734345568E-3</v>
      </c>
      <c r="Z710" s="54"/>
    </row>
    <row r="711" spans="15:26" x14ac:dyDescent="0.25">
      <c r="O711" s="37" t="s">
        <v>31</v>
      </c>
      <c r="P711" s="31">
        <f>_xll.qlCalendarAdvance(Calendar,P710,O710,"f",,Trigger)</f>
        <v>45667</v>
      </c>
      <c r="Q711" s="31">
        <f>_xll.qlInterestRateIndexValueDate(Index,P711,Trigger)</f>
        <v>45671</v>
      </c>
      <c r="R711" s="31">
        <f>_xll.qlInterestRateIndexMaturity(Index,Q711,Trigger)</f>
        <v>45761</v>
      </c>
      <c r="S711" s="32">
        <f>_xll.qlDayCounterYearFraction(DayCounter,Q711,R711,,,Trigger)</f>
        <v>0.25</v>
      </c>
      <c r="T711" s="33">
        <f>_xll.qlIndexFixing(Index,P711,,AllTriggers)</f>
        <v>1.5387157101724114E-2</v>
      </c>
      <c r="U711" s="34">
        <f>_xll.qlYieldTSDiscount(OisCurve,Q711,,AllTriggers)</f>
        <v>0.93922938016436852</v>
      </c>
      <c r="V711" s="34">
        <f>_xll.qlYieldTSDiscount(OisCurve,R711,,AllTriggers)</f>
        <v>0.93597817140043105</v>
      </c>
      <c r="W711" s="33">
        <f t="shared" si="53"/>
        <v>1.3894378579675681E-2</v>
      </c>
      <c r="X711" s="35">
        <f t="shared" si="54"/>
        <v>3.71833652267413E-4</v>
      </c>
      <c r="Y711" s="33">
        <f t="shared" si="55"/>
        <v>1.4927785220484324E-3</v>
      </c>
      <c r="Z711" s="54"/>
    </row>
    <row r="712" spans="15:26" x14ac:dyDescent="0.25">
      <c r="O712" s="37" t="s">
        <v>31</v>
      </c>
      <c r="P712" s="31">
        <f>_xll.qlCalendarAdvance(Calendar,P711,O711,"f",,Trigger)</f>
        <v>45674</v>
      </c>
      <c r="Q712" s="31">
        <f>_xll.qlInterestRateIndexValueDate(Index,P712,Trigger)</f>
        <v>45678</v>
      </c>
      <c r="R712" s="31">
        <f>_xll.qlInterestRateIndexMaturity(Index,Q712,Trigger)</f>
        <v>45769</v>
      </c>
      <c r="S712" s="32">
        <f>_xll.qlDayCounterYearFraction(DayCounter,Q712,R712,,,Trigger)</f>
        <v>0.25277777777777777</v>
      </c>
      <c r="T712" s="33">
        <f>_xll.qlIndexFixing(Index,P712,,AllTriggers)</f>
        <v>1.5397516096682117E-2</v>
      </c>
      <c r="U712" s="34">
        <f>_xll.qlYieldTSDiscount(OisCurve,Q712,,AllTriggers)</f>
        <v>0.93897679748005625</v>
      </c>
      <c r="V712" s="34">
        <f>_xll.qlYieldTSDiscount(OisCurve,R712,,AllTriggers)</f>
        <v>0.93568888428703012</v>
      </c>
      <c r="W712" s="33">
        <f t="shared" si="53"/>
        <v>1.3901126040605959E-2</v>
      </c>
      <c r="X712" s="35">
        <f t="shared" si="54"/>
        <v>3.7685864138932554E-4</v>
      </c>
      <c r="Y712" s="33">
        <f t="shared" si="55"/>
        <v>1.4963900560761578E-3</v>
      </c>
      <c r="Z712" s="54"/>
    </row>
    <row r="713" spans="15:26" x14ac:dyDescent="0.25">
      <c r="O713" s="37" t="s">
        <v>31</v>
      </c>
      <c r="P713" s="31">
        <f>_xll.qlCalendarAdvance(Calendar,P712,O712,"f",,Trigger)</f>
        <v>45681</v>
      </c>
      <c r="Q713" s="31">
        <f>_xll.qlInterestRateIndexValueDate(Index,P713,Trigger)</f>
        <v>45685</v>
      </c>
      <c r="R713" s="31">
        <f>_xll.qlInterestRateIndexMaturity(Index,Q713,Trigger)</f>
        <v>45775</v>
      </c>
      <c r="S713" s="32">
        <f>_xll.qlDayCounterYearFraction(DayCounter,Q713,R713,,,Trigger)</f>
        <v>0.25</v>
      </c>
      <c r="T713" s="33">
        <f>_xll.qlIndexFixing(Index,P713,,AllTriggers)</f>
        <v>1.5405830208870874E-2</v>
      </c>
      <c r="U713" s="34">
        <f>_xll.qlYieldTSDiscount(OisCurve,Q713,,AllTriggers)</f>
        <v>0.93872415562667622</v>
      </c>
      <c r="V713" s="34">
        <f>_xll.qlYieldTSDiscount(OisCurve,R713,,AllTriggers)</f>
        <v>0.9354718999171644</v>
      </c>
      <c r="W713" s="33">
        <f t="shared" si="53"/>
        <v>1.3906374781753605E-2</v>
      </c>
      <c r="X713" s="35">
        <f t="shared" si="54"/>
        <v>3.7349536455092054E-4</v>
      </c>
      <c r="Y713" s="33">
        <f t="shared" si="55"/>
        <v>1.4994554271172689E-3</v>
      </c>
      <c r="Z713" s="54"/>
    </row>
    <row r="714" spans="15:26" x14ac:dyDescent="0.25">
      <c r="O714" s="37" t="s">
        <v>31</v>
      </c>
      <c r="P714" s="31">
        <f>_xll.qlCalendarAdvance(Calendar,P713,O713,"f",,Trigger)</f>
        <v>45688</v>
      </c>
      <c r="Q714" s="31">
        <f>_xll.qlInterestRateIndexValueDate(Index,P714,Trigger)</f>
        <v>45692</v>
      </c>
      <c r="R714" s="31">
        <f>_xll.qlInterestRateIndexMaturity(Index,Q714,Trigger)</f>
        <v>45782</v>
      </c>
      <c r="S714" s="32">
        <f>_xll.qlDayCounterYearFraction(DayCounter,Q714,R714,,,Trigger)</f>
        <v>0.25</v>
      </c>
      <c r="T714" s="33">
        <f>_xll.qlIndexFixing(Index,P714,,AllTriggers)</f>
        <v>1.5415050196201818E-2</v>
      </c>
      <c r="U714" s="34">
        <f>_xll.qlYieldTSDiscount(OisCurve,Q714,,AllTriggers)</f>
        <v>0.9384714574863906</v>
      </c>
      <c r="V714" s="34">
        <f>_xll.qlYieldTSDiscount(OisCurve,R714,,AllTriggers)</f>
        <v>0.93521873350473195</v>
      </c>
      <c r="W714" s="33">
        <f t="shared" si="53"/>
        <v>1.3912142112333825E-2</v>
      </c>
      <c r="X714" s="35">
        <f t="shared" si="54"/>
        <v>3.7435467889741672E-4</v>
      </c>
      <c r="Y714" s="33">
        <f t="shared" si="55"/>
        <v>1.5029080838679931E-3</v>
      </c>
      <c r="Z714" s="54"/>
    </row>
    <row r="715" spans="15:26" x14ac:dyDescent="0.25">
      <c r="O715" s="37" t="s">
        <v>31</v>
      </c>
      <c r="P715" s="31">
        <f>_xll.qlCalendarAdvance(Calendar,P714,O714,"f",,Trigger)</f>
        <v>45695</v>
      </c>
      <c r="Q715" s="31">
        <f>_xll.qlInterestRateIndexValueDate(Index,P715,Trigger)</f>
        <v>45699</v>
      </c>
      <c r="R715" s="31">
        <f>_xll.qlInterestRateIndexMaturity(Index,Q715,Trigger)</f>
        <v>45789</v>
      </c>
      <c r="S715" s="32">
        <f>_xll.qlDayCounterYearFraction(DayCounter,Q715,R715,,,Trigger)</f>
        <v>0.25</v>
      </c>
      <c r="T715" s="33">
        <f>_xll.qlIndexFixing(Index,P715,,AllTriggers)</f>
        <v>1.5424192568492145E-2</v>
      </c>
      <c r="U715" s="34">
        <f>_xll.qlYieldTSDiscount(OisCurve,Q715,,AllTriggers)</f>
        <v>0.93821870593834955</v>
      </c>
      <c r="V715" s="34">
        <f>_xll.qlYieldTSDiscount(OisCurve,R715,,AllTriggers)</f>
        <v>0.93496555027026429</v>
      </c>
      <c r="W715" s="33">
        <f t="shared" si="53"/>
        <v>1.3917756294421046E-2</v>
      </c>
      <c r="X715" s="35">
        <f t="shared" si="54"/>
        <v>3.7523281517723087E-4</v>
      </c>
      <c r="Y715" s="33">
        <f t="shared" si="55"/>
        <v>1.506436274071099E-3</v>
      </c>
      <c r="Z715" s="54"/>
    </row>
    <row r="716" spans="15:26" x14ac:dyDescent="0.25">
      <c r="O716" s="37" t="s">
        <v>31</v>
      </c>
      <c r="P716" s="31">
        <f>_xll.qlCalendarAdvance(Calendar,P715,O715,"f",,Trigger)</f>
        <v>45702</v>
      </c>
      <c r="Q716" s="31">
        <f>_xll.qlInterestRateIndexValueDate(Index,P716,Trigger)</f>
        <v>45706</v>
      </c>
      <c r="R716" s="31">
        <f>_xll.qlInterestRateIndexMaturity(Index,Q716,Trigger)</f>
        <v>45796</v>
      </c>
      <c r="S716" s="32">
        <f>_xll.qlDayCounterYearFraction(DayCounter,Q716,R716,,,Trigger)</f>
        <v>0.25</v>
      </c>
      <c r="T716" s="33">
        <f>_xll.qlIndexFixing(Index,P716,,AllTriggers)</f>
        <v>1.5433259042675118E-2</v>
      </c>
      <c r="U716" s="34">
        <f>_xll.qlYieldTSDiscount(OisCurve,Q716,,AllTriggers)</f>
        <v>0.93796590385868772</v>
      </c>
      <c r="V716" s="34">
        <f>_xll.qlYieldTSDiscount(OisCurve,R716,,AllTriggers)</f>
        <v>0.93471235015274645</v>
      </c>
      <c r="W716" s="33">
        <f t="shared" si="53"/>
        <v>1.3923229773991963E-2</v>
      </c>
      <c r="X716" s="35">
        <f t="shared" si="54"/>
        <v>3.7612710024478732E-4</v>
      </c>
      <c r="Y716" s="33">
        <f t="shared" si="55"/>
        <v>1.5100292686831551E-3</v>
      </c>
      <c r="Z716" s="54"/>
    </row>
    <row r="717" spans="15:26" x14ac:dyDescent="0.25">
      <c r="O717" s="37" t="s">
        <v>31</v>
      </c>
      <c r="P717" s="31">
        <f>_xll.qlCalendarAdvance(Calendar,P716,O716,"f",,Trigger)</f>
        <v>45709</v>
      </c>
      <c r="Q717" s="31">
        <f>_xll.qlInterestRateIndexValueDate(Index,P717,Trigger)</f>
        <v>45713</v>
      </c>
      <c r="R717" s="31">
        <f>_xll.qlInterestRateIndexMaturity(Index,Q717,Trigger)</f>
        <v>45803</v>
      </c>
      <c r="S717" s="32">
        <f>_xll.qlDayCounterYearFraction(DayCounter,Q717,R717,,,Trigger)</f>
        <v>0.25</v>
      </c>
      <c r="T717" s="33">
        <f>_xll.qlIndexFixing(Index,P717,,AllTriggers)</f>
        <v>1.5442252680724522E-2</v>
      </c>
      <c r="U717" s="34">
        <f>_xll.qlYieldTSDiscount(OisCurve,Q717,,AllTriggers)</f>
        <v>0.93771305412052464</v>
      </c>
      <c r="V717" s="34">
        <f>_xll.qlYieldTSDiscount(OisCurve,R717,,AllTriggers)</f>
        <v>0.9344591308220187</v>
      </c>
      <c r="W717" s="33">
        <f t="shared" si="53"/>
        <v>1.3928584744604677E-2</v>
      </c>
      <c r="X717" s="35">
        <f t="shared" si="54"/>
        <v>3.770327674978833E-4</v>
      </c>
      <c r="Y717" s="33">
        <f t="shared" si="55"/>
        <v>1.5136679361198446E-3</v>
      </c>
      <c r="Z717" s="54"/>
    </row>
    <row r="718" spans="15:26" x14ac:dyDescent="0.25">
      <c r="O718" s="37" t="s">
        <v>31</v>
      </c>
      <c r="P718" s="31">
        <f>_xll.qlCalendarAdvance(Calendar,P717,O717,"f",,Trigger)</f>
        <v>45716</v>
      </c>
      <c r="Q718" s="31">
        <f>_xll.qlInterestRateIndexValueDate(Index,P718,Trigger)</f>
        <v>45720</v>
      </c>
      <c r="R718" s="31">
        <f>_xll.qlInterestRateIndexMaturity(Index,Q718,Trigger)</f>
        <v>45812</v>
      </c>
      <c r="S718" s="32">
        <f>_xll.qlDayCounterYearFraction(DayCounter,Q718,R718,,,Trigger)</f>
        <v>0.25555555555555554</v>
      </c>
      <c r="T718" s="33">
        <f>_xll.qlIndexFixing(Index,P718,,AllTriggers)</f>
        <v>1.5453086825952667E-2</v>
      </c>
      <c r="U718" s="34">
        <f>_xll.qlYieldTSDiscount(OisCurve,Q718,,AllTriggers)</f>
        <v>0.93746015959396123</v>
      </c>
      <c r="V718" s="34">
        <f>_xll.qlYieldTSDiscount(OisCurve,R718,,AllTriggers)</f>
        <v>0.93413353102336349</v>
      </c>
      <c r="W718" s="33">
        <f t="shared" si="53"/>
        <v>1.3935097928144523E-2</v>
      </c>
      <c r="X718" s="35">
        <f t="shared" si="54"/>
        <v>3.8647921084406162E-4</v>
      </c>
      <c r="Y718" s="33">
        <f t="shared" si="55"/>
        <v>1.5179888978081434E-3</v>
      </c>
      <c r="Z718" s="54"/>
    </row>
    <row r="719" spans="15:26" x14ac:dyDescent="0.25">
      <c r="O719" s="37" t="s">
        <v>31</v>
      </c>
      <c r="P719" s="31">
        <f>_xll.qlCalendarAdvance(Calendar,P718,O718,"f",,Trigger)</f>
        <v>45723</v>
      </c>
      <c r="Q719" s="31">
        <f>_xll.qlInterestRateIndexValueDate(Index,P719,Trigger)</f>
        <v>45727</v>
      </c>
      <c r="R719" s="31">
        <f>_xll.qlInterestRateIndexMaturity(Index,Q719,Trigger)</f>
        <v>45819</v>
      </c>
      <c r="S719" s="32">
        <f>_xll.qlDayCounterYearFraction(DayCounter,Q719,R719,,,Trigger)</f>
        <v>0.25555555555555554</v>
      </c>
      <c r="T719" s="33">
        <f>_xll.qlIndexFixing(Index,P719,,AllTriggers)</f>
        <v>1.5461936849715193E-2</v>
      </c>
      <c r="U719" s="34">
        <f>_xll.qlYieldTSDiscount(OisCurve,Q719,,AllTriggers)</f>
        <v>0.9372072231460804</v>
      </c>
      <c r="V719" s="34">
        <f>_xll.qlYieldTSDiscount(OisCurve,R719,,AllTriggers)</f>
        <v>0.93388025878279413</v>
      </c>
      <c r="W719" s="33">
        <f t="shared" si="53"/>
        <v>1.3940284187109417E-2</v>
      </c>
      <c r="X719" s="35">
        <f t="shared" si="54"/>
        <v>3.8741131131199311E-4</v>
      </c>
      <c r="Y719" s="33">
        <f t="shared" si="55"/>
        <v>1.5216526626057759E-3</v>
      </c>
      <c r="Z719" s="54"/>
    </row>
    <row r="720" spans="15:26" x14ac:dyDescent="0.25">
      <c r="O720" s="37" t="s">
        <v>31</v>
      </c>
      <c r="P720" s="31">
        <f>_xll.qlCalendarAdvance(Calendar,P719,O719,"f",,Trigger)</f>
        <v>45730</v>
      </c>
      <c r="Q720" s="31">
        <f>_xll.qlInterestRateIndexValueDate(Index,P720,Trigger)</f>
        <v>45734</v>
      </c>
      <c r="R720" s="31">
        <f>_xll.qlInterestRateIndexMaturity(Index,Q720,Trigger)</f>
        <v>45826</v>
      </c>
      <c r="S720" s="32">
        <f>_xll.qlDayCounterYearFraction(DayCounter,Q720,R720,,,Trigger)</f>
        <v>0.25555555555555554</v>
      </c>
      <c r="T720" s="33">
        <f>_xll.qlIndexFixing(Index,P720,,AllTriggers)</f>
        <v>1.5470723899537743E-2</v>
      </c>
      <c r="U720" s="34">
        <f>_xll.qlYieldTSDiscount(OisCurve,Q720,,AllTriggers)</f>
        <v>0.93695424764094415</v>
      </c>
      <c r="V720" s="34">
        <f>_xll.qlYieldTSDiscount(OisCurve,R720,,AllTriggers)</f>
        <v>0.93362695946553609</v>
      </c>
      <c r="W720" s="33">
        <f t="shared" si="53"/>
        <v>1.3945423451062949E-2</v>
      </c>
      <c r="X720" s="35">
        <f t="shared" si="54"/>
        <v>3.883393456725717E-4</v>
      </c>
      <c r="Y720" s="33">
        <f t="shared" si="55"/>
        <v>1.525300448474794E-3</v>
      </c>
      <c r="Z720" s="54"/>
    </row>
    <row r="721" spans="15:26" x14ac:dyDescent="0.25">
      <c r="O721" s="37" t="s">
        <v>31</v>
      </c>
      <c r="P721" s="31">
        <f>_xll.qlCalendarAdvance(Calendar,P720,O720,"f",,Trigger)</f>
        <v>45737</v>
      </c>
      <c r="Q721" s="31">
        <f>_xll.qlInterestRateIndexValueDate(Index,P721,Trigger)</f>
        <v>45741</v>
      </c>
      <c r="R721" s="31">
        <f>_xll.qlInterestRateIndexMaturity(Index,Q721,Trigger)</f>
        <v>45833</v>
      </c>
      <c r="S721" s="32">
        <f>_xll.qlDayCounterYearFraction(DayCounter,Q721,R721,,,Trigger)</f>
        <v>0.25555555555555554</v>
      </c>
      <c r="T721" s="33">
        <f>_xll.qlIndexFixing(Index,P721,,AllTriggers)</f>
        <v>1.5479451011025129E-2</v>
      </c>
      <c r="U721" s="34">
        <f>_xll.qlYieldTSDiscount(OisCurve,Q721,,AllTriggers)</f>
        <v>0.93670123593959276</v>
      </c>
      <c r="V721" s="34">
        <f>_xll.qlYieldTSDiscount(OisCurve,R721,,AllTriggers)</f>
        <v>0.93337363068403045</v>
      </c>
      <c r="W721" s="33">
        <f t="shared" si="53"/>
        <v>1.3950537721921931E-2</v>
      </c>
      <c r="X721" s="35">
        <f t="shared" si="54"/>
        <v>3.892584839580258E-4</v>
      </c>
      <c r="Y721" s="33">
        <f t="shared" si="55"/>
        <v>1.5289132891031978E-3</v>
      </c>
      <c r="Z721" s="54"/>
    </row>
    <row r="722" spans="15:26" x14ac:dyDescent="0.25">
      <c r="O722" s="37" t="s">
        <v>31</v>
      </c>
      <c r="P722" s="31">
        <f>_xll.qlCalendarAdvance(Calendar,P721,O721,"f",,Trigger)</f>
        <v>45744</v>
      </c>
      <c r="Q722" s="31">
        <f>_xll.qlInterestRateIndexValueDate(Index,P722,Trigger)</f>
        <v>45748</v>
      </c>
      <c r="R722" s="31">
        <f>_xll.qlInterestRateIndexMaturity(Index,Q722,Trigger)</f>
        <v>45839</v>
      </c>
      <c r="S722" s="32">
        <f>_xll.qlDayCounterYearFraction(DayCounter,Q722,R722,,,Trigger)</f>
        <v>0.25277777777777777</v>
      </c>
      <c r="T722" s="33">
        <f>_xll.qlIndexFixing(Index,P722,,AllTriggers)</f>
        <v>1.548717917935759E-2</v>
      </c>
      <c r="U722" s="34">
        <f>_xll.qlYieldTSDiscount(OisCurve,Q722,,AllTriggers)</f>
        <v>0.93644819090004405</v>
      </c>
      <c r="V722" s="34">
        <f>_xll.qlYieldTSDiscount(OisCurve,R722,,AllTriggers)</f>
        <v>0.93315646646944317</v>
      </c>
      <c r="W722" s="33">
        <f t="shared" si="53"/>
        <v>1.3955008625627466E-2</v>
      </c>
      <c r="X722" s="35">
        <f t="shared" si="54"/>
        <v>3.8586281320311211E-4</v>
      </c>
      <c r="Y722" s="33">
        <f t="shared" si="55"/>
        <v>1.5321705537301236E-3</v>
      </c>
      <c r="Z722" s="54"/>
    </row>
    <row r="723" spans="15:26" x14ac:dyDescent="0.25">
      <c r="O723" s="37" t="s">
        <v>31</v>
      </c>
      <c r="P723" s="31">
        <f>_xll.qlCalendarAdvance(Calendar,P722,O722,"f",,Trigger)</f>
        <v>45751</v>
      </c>
      <c r="Q723" s="31">
        <f>_xll.qlInterestRateIndexValueDate(Index,P723,Trigger)</f>
        <v>45755</v>
      </c>
      <c r="R723" s="31">
        <f>_xll.qlInterestRateIndexMaturity(Index,Q723,Trigger)</f>
        <v>45846</v>
      </c>
      <c r="S723" s="32">
        <f>_xll.qlDayCounterYearFraction(DayCounter,Q723,R723,,,Trigger)</f>
        <v>0.25277777777777777</v>
      </c>
      <c r="T723" s="33">
        <f>_xll.qlIndexFixing(Index,P723,,AllTriggers)</f>
        <v>1.5495798235797581E-2</v>
      </c>
      <c r="U723" s="34">
        <f>_xll.qlYieldTSDiscount(OisCurve,Q723,,AllTriggers)</f>
        <v>0.93619511537729228</v>
      </c>
      <c r="V723" s="34">
        <f>_xll.qlYieldTSDiscount(OisCurve,R723,,AllTriggers)</f>
        <v>0.93290307664331695</v>
      </c>
      <c r="W723" s="33">
        <f t="shared" si="53"/>
        <v>1.3960131832200288E-2</v>
      </c>
      <c r="X723" s="35">
        <f t="shared" si="54"/>
        <v>3.8674254106267554E-4</v>
      </c>
      <c r="Y723" s="33">
        <f t="shared" si="55"/>
        <v>1.5356664035972925E-3</v>
      </c>
      <c r="Z723" s="54"/>
    </row>
    <row r="724" spans="15:26" x14ac:dyDescent="0.25">
      <c r="O724" s="37" t="s">
        <v>31</v>
      </c>
      <c r="P724" s="31">
        <f>_xll.qlCalendarAdvance(Calendar,P723,O723,"f",,Trigger)</f>
        <v>45758</v>
      </c>
      <c r="Q724" s="31">
        <f>_xll.qlInterestRateIndexValueDate(Index,P724,Trigger)</f>
        <v>45762</v>
      </c>
      <c r="R724" s="31">
        <f>_xll.qlInterestRateIndexMaturity(Index,Q724,Trigger)</f>
        <v>45853</v>
      </c>
      <c r="S724" s="32">
        <f>_xll.qlDayCounterYearFraction(DayCounter,Q724,R724,,,Trigger)</f>
        <v>0.25277777777777777</v>
      </c>
      <c r="T724" s="33">
        <f>_xll.qlIndexFixing(Index,P724,,AllTriggers)</f>
        <v>1.5504366319919338E-2</v>
      </c>
      <c r="U724" s="34">
        <f>_xll.qlYieldTSDiscount(OisCurve,Q724,,AllTriggers)</f>
        <v>0.93594201222330642</v>
      </c>
      <c r="V724" s="34">
        <f>_xll.qlYieldTSDiscount(OisCurve,R724,,AllTriggers)</f>
        <v>0.93264965054594506</v>
      </c>
      <c r="W724" s="33">
        <f t="shared" si="53"/>
        <v>1.3965295014276459E-2</v>
      </c>
      <c r="X724" s="35">
        <f t="shared" si="54"/>
        <v>3.8759936213578558E-4</v>
      </c>
      <c r="Y724" s="33">
        <f t="shared" si="55"/>
        <v>1.5390713056428786E-3</v>
      </c>
      <c r="Z724" s="54"/>
    </row>
    <row r="725" spans="15:26" x14ac:dyDescent="0.25">
      <c r="O725" s="37" t="s">
        <v>31</v>
      </c>
      <c r="P725" s="31">
        <f>_xll.qlCalendarAdvance(Calendar,P724,O724,"f",,Trigger)</f>
        <v>45769</v>
      </c>
      <c r="Q725" s="31">
        <f>_xll.qlInterestRateIndexValueDate(Index,P725,Trigger)</f>
        <v>45771</v>
      </c>
      <c r="R725" s="31">
        <f>_xll.qlInterestRateIndexMaturity(Index,Q725,Trigger)</f>
        <v>45862</v>
      </c>
      <c r="S725" s="32">
        <f>_xll.qlDayCounterYearFraction(DayCounter,Q725,R725,,,Trigger)</f>
        <v>0.25277777777777777</v>
      </c>
      <c r="T725" s="33">
        <f>_xll.qlIndexFixing(Index,P725,,AllTriggers)</f>
        <v>1.5515312468941259E-2</v>
      </c>
      <c r="U725" s="34">
        <f>_xll.qlYieldTSDiscount(OisCurve,Q725,,AllTriggers)</f>
        <v>0.9356165578660115</v>
      </c>
      <c r="V725" s="34">
        <f>_xll.qlYieldTSDiscount(OisCurve,R725,,AllTriggers)</f>
        <v>0.93232375987004346</v>
      </c>
      <c r="W725" s="33">
        <f t="shared" si="53"/>
        <v>1.3972027927550403E-2</v>
      </c>
      <c r="X725" s="35">
        <f t="shared" si="54"/>
        <v>3.8865955726719498E-4</v>
      </c>
      <c r="Y725" s="33">
        <f t="shared" si="55"/>
        <v>1.5432845413908564E-3</v>
      </c>
      <c r="Z725" s="54"/>
    </row>
    <row r="726" spans="15:26" x14ac:dyDescent="0.25">
      <c r="O726" s="37" t="s">
        <v>31</v>
      </c>
      <c r="P726" s="31">
        <f>_xll.qlCalendarAdvance(Calendar,P725,O725,"f",,Trigger)</f>
        <v>45776</v>
      </c>
      <c r="Q726" s="31">
        <f>_xll.qlInterestRateIndexValueDate(Index,P726,Trigger)</f>
        <v>45779</v>
      </c>
      <c r="R726" s="31">
        <f>_xll.qlInterestRateIndexMaturity(Index,Q726,Trigger)</f>
        <v>45873</v>
      </c>
      <c r="S726" s="32">
        <f>_xll.qlDayCounterYearFraction(DayCounter,Q726,R726,,,Trigger)</f>
        <v>0.26111111111111113</v>
      </c>
      <c r="T726" s="33">
        <f>_xll.qlIndexFixing(Index,P726,,AllTriggers)</f>
        <v>1.5527773237680223E-2</v>
      </c>
      <c r="U726" s="34">
        <f>_xll.qlYieldTSDiscount(OisCurve,Q726,,AllTriggers)</f>
        <v>0.93532723560121356</v>
      </c>
      <c r="V726" s="34">
        <f>_xll.qlYieldTSDiscount(OisCurve,R726,,AllTriggers)</f>
        <v>0.93192535492215001</v>
      </c>
      <c r="W726" s="33">
        <f t="shared" si="53"/>
        <v>1.3980174621927894E-2</v>
      </c>
      <c r="X726" s="35">
        <f t="shared" si="54"/>
        <v>4.0254442674232199E-4</v>
      </c>
      <c r="Y726" s="33">
        <f t="shared" si="55"/>
        <v>1.5475986157523283E-3</v>
      </c>
      <c r="Z726" s="54"/>
    </row>
    <row r="727" spans="15:26" x14ac:dyDescent="0.25">
      <c r="O727" s="37" t="s">
        <v>31</v>
      </c>
      <c r="P727" s="31">
        <f>_xll.qlCalendarAdvance(Calendar,P726,O726,"f",,Trigger)</f>
        <v>45783</v>
      </c>
      <c r="Q727" s="31">
        <f>_xll.qlInterestRateIndexValueDate(Index,P727,Trigger)</f>
        <v>45785</v>
      </c>
      <c r="R727" s="31">
        <f>_xll.qlInterestRateIndexMaturity(Index,Q727,Trigger)</f>
        <v>45877</v>
      </c>
      <c r="S727" s="32">
        <f>_xll.qlDayCounterYearFraction(DayCounter,Q727,R727,,,Trigger)</f>
        <v>0.25555555555555554</v>
      </c>
      <c r="T727" s="33">
        <f>_xll.qlIndexFixing(Index,P727,,AllTriggers)</f>
        <v>1.553312665688444E-2</v>
      </c>
      <c r="U727" s="34">
        <f>_xll.qlYieldTSDiscount(OisCurve,Q727,,AllTriggers)</f>
        <v>0.93511022834844815</v>
      </c>
      <c r="V727" s="34">
        <f>_xll.qlYieldTSDiscount(OisCurve,R727,,AllTriggers)</f>
        <v>0.93178045306706292</v>
      </c>
      <c r="W727" s="33">
        <f t="shared" si="53"/>
        <v>1.3983503738472406E-2</v>
      </c>
      <c r="X727" s="35">
        <f t="shared" si="54"/>
        <v>3.9452676585993046E-4</v>
      </c>
      <c r="Y727" s="33">
        <f t="shared" si="55"/>
        <v>1.5496229184120344E-3</v>
      </c>
      <c r="Z727" s="54"/>
    </row>
    <row r="728" spans="15:26" x14ac:dyDescent="0.25">
      <c r="O728" s="37" t="s">
        <v>19</v>
      </c>
      <c r="P728" s="31">
        <f>_xll.qlCalendarAdvance(Calendar,P727,O727,"f",,Trigger)</f>
        <v>45790</v>
      </c>
      <c r="Q728" s="31">
        <f>_xll.qlInterestRateIndexValueDate(Index,P728,Trigger)</f>
        <v>45792</v>
      </c>
      <c r="R728" s="31">
        <f>_xll.qlInterestRateIndexMaturity(Index,Q728,Trigger)</f>
        <v>45884</v>
      </c>
      <c r="S728" s="32">
        <f>_xll.qlDayCounterYearFraction(DayCounter,Q728,R728,,,Trigger)</f>
        <v>0.25555555555555554</v>
      </c>
      <c r="T728" s="33">
        <f>_xll.qlIndexFixing(Index,P728,,AllTriggers)</f>
        <v>1.5541508197240985E-2</v>
      </c>
      <c r="U728" s="34">
        <f>_xll.qlYieldTSDiscount(OisCurve,Q728,,AllTriggers)</f>
        <v>0.93485703813301813</v>
      </c>
      <c r="V728" s="34">
        <f>_xll.qlYieldTSDiscount(OisCurve,R728,,AllTriggers)</f>
        <v>0.93152683779977175</v>
      </c>
      <c r="W728" s="33">
        <f t="shared" si="53"/>
        <v>1.398909635936141E-2</v>
      </c>
      <c r="X728" s="35">
        <f t="shared" si="54"/>
        <v>3.9523610868734047E-4</v>
      </c>
      <c r="Y728" s="33">
        <f t="shared" si="55"/>
        <v>1.5524118378795748E-3</v>
      </c>
      <c r="Z728" s="54"/>
    </row>
    <row r="729" spans="15:26" x14ac:dyDescent="0.25">
      <c r="O729" s="37" t="s">
        <v>19</v>
      </c>
      <c r="P729" s="31">
        <f>_xll.qlCalendarAdvance(Calendar,P728,O728,"f",,Trigger)</f>
        <v>45821</v>
      </c>
      <c r="Q729" s="31">
        <f>_xll.qlInterestRateIndexValueDate(Index,P729,Trigger)</f>
        <v>45825</v>
      </c>
      <c r="R729" s="31">
        <f>_xll.qlInterestRateIndexMaturity(Index,Q729,Trigger)</f>
        <v>45917</v>
      </c>
      <c r="S729" s="32">
        <f>_xll.qlDayCounterYearFraction(DayCounter,Q729,R729,,,Trigger)</f>
        <v>0.25555555555555554</v>
      </c>
      <c r="T729" s="33">
        <f>_xll.qlIndexFixing(Index,P729,,AllTriggers)</f>
        <v>1.5580511741500543E-2</v>
      </c>
      <c r="U729" s="34">
        <f>_xll.qlYieldTSDiscount(OisCurve,Q729,,AllTriggers)</f>
        <v>0.93366314683056295</v>
      </c>
      <c r="V729" s="34">
        <f>_xll.qlYieldTSDiscount(OisCurve,R729,,AllTriggers)</f>
        <v>0.93033052164164942</v>
      </c>
      <c r="W729" s="33">
        <f t="shared" si="53"/>
        <v>1.4017284134625765E-2</v>
      </c>
      <c r="X729" s="35">
        <f t="shared" si="54"/>
        <v>3.9798634410102406E-4</v>
      </c>
      <c r="Y729" s="33">
        <f t="shared" si="55"/>
        <v>1.5632276068747782E-3</v>
      </c>
      <c r="Z729" s="54"/>
    </row>
    <row r="730" spans="15:26" x14ac:dyDescent="0.25">
      <c r="O730" s="37" t="s">
        <v>19</v>
      </c>
      <c r="P730" s="31">
        <f>_xll.qlCalendarAdvance(Calendar,P729,O729,"f",,Trigger)</f>
        <v>45852</v>
      </c>
      <c r="Q730" s="31">
        <f>_xll.qlInterestRateIndexValueDate(Index,P730,Trigger)</f>
        <v>45854</v>
      </c>
      <c r="R730" s="31">
        <f>_xll.qlInterestRateIndexMaturity(Index,Q730,Trigger)</f>
        <v>45946</v>
      </c>
      <c r="S730" s="32">
        <f>_xll.qlDayCounterYearFraction(DayCounter,Q730,R730,,,Trigger)</f>
        <v>0.25555555555555554</v>
      </c>
      <c r="T730" s="33">
        <f>_xll.qlIndexFixing(Index,P730,,AllTriggers)</f>
        <v>1.5614093661331568E-2</v>
      </c>
      <c r="U730" s="34">
        <f>_xll.qlYieldTSDiscount(OisCurve,Q730,,AllTriggers)</f>
        <v>0.93261344371817767</v>
      </c>
      <c r="V730" s="34">
        <f>_xll.qlYieldTSDiscount(OisCurve,R730,,AllTriggers)</f>
        <v>0.9292781161909055</v>
      </c>
      <c r="W730" s="33">
        <f t="shared" si="53"/>
        <v>1.4044537798816412E-2</v>
      </c>
      <c r="X730" s="35">
        <f t="shared" si="54"/>
        <v>3.9959437734381523E-4</v>
      </c>
      <c r="Y730" s="33">
        <f t="shared" si="55"/>
        <v>1.5695558625151568E-3</v>
      </c>
      <c r="Z730" s="54"/>
    </row>
    <row r="731" spans="15:26" x14ac:dyDescent="0.25">
      <c r="O731" s="37" t="s">
        <v>19</v>
      </c>
      <c r="P731" s="31">
        <f>_xll.qlCalendarAdvance(Calendar,P730,O730,"f",,Trigger)</f>
        <v>45883</v>
      </c>
      <c r="Q731" s="31">
        <f>_xll.qlInterestRateIndexValueDate(Index,P731,Trigger)</f>
        <v>45887</v>
      </c>
      <c r="R731" s="31">
        <f>_xll.qlInterestRateIndexMaturity(Index,Q731,Trigger)</f>
        <v>45979</v>
      </c>
      <c r="S731" s="32">
        <f>_xll.qlDayCounterYearFraction(DayCounter,Q731,R731,,,Trigger)</f>
        <v>0.25555555555555554</v>
      </c>
      <c r="T731" s="33">
        <f>_xll.qlIndexFixing(Index,P731,,AllTriggers)</f>
        <v>1.5651517912500041E-2</v>
      </c>
      <c r="U731" s="34">
        <f>_xll.qlYieldTSDiscount(OisCurve,Q731,,AllTriggers)</f>
        <v>0.93141813063584666</v>
      </c>
      <c r="V731" s="34">
        <f>_xll.qlYieldTSDiscount(OisCurve,R731,,AllTriggers)</f>
        <v>0.92807908111430448</v>
      </c>
      <c r="W731" s="33">
        <f t="shared" si="53"/>
        <v>1.4078375668346264E-2</v>
      </c>
      <c r="X731" s="35">
        <f t="shared" si="54"/>
        <v>4.0050380379265464E-4</v>
      </c>
      <c r="Y731" s="33">
        <f t="shared" si="55"/>
        <v>1.5731422441537767E-3</v>
      </c>
      <c r="Z731" s="54"/>
    </row>
    <row r="732" spans="15:26" x14ac:dyDescent="0.25">
      <c r="O732" s="37" t="s">
        <v>19</v>
      </c>
      <c r="P732" s="31">
        <f>_xll.qlCalendarAdvance(Calendar,P731,O731,"f",,Trigger)</f>
        <v>45915</v>
      </c>
      <c r="Q732" s="31">
        <f>_xll.qlInterestRateIndexValueDate(Index,P732,Trigger)</f>
        <v>45917</v>
      </c>
      <c r="R732" s="31">
        <f>_xll.qlInterestRateIndexMaturity(Index,Q732,Trigger)</f>
        <v>46008</v>
      </c>
      <c r="S732" s="32">
        <f>_xll.qlDayCounterYearFraction(DayCounter,Q732,R732,,,Trigger)</f>
        <v>0.25277777777777777</v>
      </c>
      <c r="T732" s="33">
        <f>_xll.qlIndexFixing(Index,P732,,AllTriggers)</f>
        <v>1.5683925994772131E-2</v>
      </c>
      <c r="U732" s="34">
        <f>_xll.qlYieldTSDiscount(OisCurve,Q732,,AllTriggers)</f>
        <v>0.93033052164164942</v>
      </c>
      <c r="V732" s="34">
        <f>_xll.qlYieldTSDiscount(OisCurve,R732,,AllTriggers)</f>
        <v>0.92702390599244922</v>
      </c>
      <c r="W732" s="33">
        <f t="shared" si="53"/>
        <v>1.4110873268122062E-2</v>
      </c>
      <c r="X732" s="35">
        <f t="shared" si="54"/>
        <v>3.9614101703438538E-4</v>
      </c>
      <c r="Y732" s="33">
        <f t="shared" si="55"/>
        <v>1.5730527266500684E-3</v>
      </c>
      <c r="Z732" s="54"/>
    </row>
    <row r="733" spans="15:26" x14ac:dyDescent="0.25">
      <c r="O733" s="37" t="s">
        <v>19</v>
      </c>
      <c r="P733" s="31">
        <f>_xll.qlCalendarAdvance(Calendar,P732,O732,"f",,Trigger)</f>
        <v>45945</v>
      </c>
      <c r="Q733" s="31">
        <f>_xll.qlInterestRateIndexValueDate(Index,P733,Trigger)</f>
        <v>45947</v>
      </c>
      <c r="R733" s="31">
        <f>_xll.qlInterestRateIndexMaturity(Index,Q733,Trigger)</f>
        <v>46041</v>
      </c>
      <c r="S733" s="32">
        <f>_xll.qlDayCounterYearFraction(DayCounter,Q733,R733,,,Trigger)</f>
        <v>0.26111111111111113</v>
      </c>
      <c r="T733" s="33">
        <f>_xll.qlIndexFixing(Index,P733,,AllTriggers)</f>
        <v>1.5719156386615661E-2</v>
      </c>
      <c r="U733" s="34">
        <f>_xll.qlYieldTSDiscount(OisCurve,Q733,,AllTriggers)</f>
        <v>0.92924180588144101</v>
      </c>
      <c r="V733" s="34">
        <f>_xll.qlYieldTSDiscount(OisCurve,R733,,AllTriggers)</f>
        <v>0.92582128868285396</v>
      </c>
      <c r="W733" s="33">
        <f t="shared" si="53"/>
        <v>1.4149440352153219E-2</v>
      </c>
      <c r="X733" s="35">
        <f t="shared" si="54"/>
        <v>4.082782180801403E-4</v>
      </c>
      <c r="Y733" s="33">
        <f t="shared" si="55"/>
        <v>1.5697160344624421E-3</v>
      </c>
      <c r="Z733" s="54"/>
    </row>
    <row r="734" spans="15:26" x14ac:dyDescent="0.25">
      <c r="O734" s="37" t="s">
        <v>19</v>
      </c>
      <c r="P734" s="31">
        <f>_xll.qlCalendarAdvance(Calendar,P733,O733,"f",,Trigger)</f>
        <v>45978</v>
      </c>
      <c r="Q734" s="31">
        <f>_xll.qlInterestRateIndexValueDate(Index,P734,Trigger)</f>
        <v>45980</v>
      </c>
      <c r="R734" s="31">
        <f>_xll.qlInterestRateIndexMaturity(Index,Q734,Trigger)</f>
        <v>46072</v>
      </c>
      <c r="S734" s="32">
        <f>_xll.qlDayCounterYearFraction(DayCounter,Q734,R734,,,Trigger)</f>
        <v>0.25555555555555554</v>
      </c>
      <c r="T734" s="33">
        <f>_xll.qlIndexFixing(Index,P734,,AllTriggers)</f>
        <v>1.5752463472032241E-2</v>
      </c>
      <c r="U734" s="34">
        <f>_xll.qlYieldTSDiscount(OisCurve,Q734,,AllTriggers)</f>
        <v>0.92804271985325704</v>
      </c>
      <c r="V734" s="34">
        <f>_xll.qlYieldTSDiscount(OisCurve,R734,,AllTriggers)</f>
        <v>0.92468950693859875</v>
      </c>
      <c r="W734" s="33">
        <f t="shared" si="53"/>
        <v>1.418991761933666E-2</v>
      </c>
      <c r="X734" s="35">
        <f t="shared" si="54"/>
        <v>3.9779532538648392E-4</v>
      </c>
      <c r="Y734" s="33">
        <f t="shared" si="55"/>
        <v>1.5625458526955811E-3</v>
      </c>
      <c r="Z734" s="54"/>
    </row>
    <row r="735" spans="15:26" x14ac:dyDescent="0.25">
      <c r="O735" s="37" t="s">
        <v>19</v>
      </c>
      <c r="P735" s="31">
        <f>_xll.qlCalendarAdvance(Calendar,P734,O734,"f",,Trigger)</f>
        <v>46008</v>
      </c>
      <c r="Q735" s="31">
        <f>_xll.qlInterestRateIndexValueDate(Index,P735,Trigger)</f>
        <v>46010</v>
      </c>
      <c r="R735" s="31">
        <f>_xll.qlInterestRateIndexMaturity(Index,Q735,Trigger)</f>
        <v>46100</v>
      </c>
      <c r="S735" s="32">
        <f>_xll.qlDayCounterYearFraction(DayCounter,Q735,R735,,,Trigger)</f>
        <v>0.25</v>
      </c>
      <c r="T735" s="33">
        <f>_xll.qlIndexFixing(Index,P735,,AllTriggers)</f>
        <v>1.5781896247267113E-2</v>
      </c>
      <c r="U735" s="34">
        <f>_xll.qlYieldTSDiscount(OisCurve,Q735,,AllTriggers)</f>
        <v>0.92695107985792591</v>
      </c>
      <c r="V735" s="34">
        <f>_xll.qlYieldTSDiscount(OisCurve,R735,,AllTriggers)</f>
        <v>0.92366537546615779</v>
      </c>
      <c r="W735" s="33">
        <f t="shared" si="53"/>
        <v>1.4228981529636364E-2</v>
      </c>
      <c r="X735" s="35">
        <f t="shared" si="54"/>
        <v>3.8677774180544871E-4</v>
      </c>
      <c r="Y735" s="33">
        <f t="shared" si="55"/>
        <v>1.552914717630749E-3</v>
      </c>
      <c r="Z735" s="54"/>
    </row>
    <row r="736" spans="15:26" x14ac:dyDescent="0.25">
      <c r="O736" s="37" t="s">
        <v>19</v>
      </c>
      <c r="P736" s="31">
        <f>_xll.qlCalendarAdvance(Calendar,P735,O735,"f",,Trigger)</f>
        <v>46041</v>
      </c>
      <c r="Q736" s="31">
        <f>_xll.qlInterestRateIndexValueDate(Index,P736,Trigger)</f>
        <v>46043</v>
      </c>
      <c r="R736" s="31">
        <f>_xll.qlInterestRateIndexMaturity(Index,Q736,Trigger)</f>
        <v>46133</v>
      </c>
      <c r="S736" s="32">
        <f>_xll.qlDayCounterYearFraction(DayCounter,Q736,R736,,,Trigger)</f>
        <v>0.25</v>
      </c>
      <c r="T736" s="33">
        <f>_xll.qlIndexFixing(Index,P736,,AllTriggers)</f>
        <v>1.5815368970297783E-2</v>
      </c>
      <c r="U736" s="34">
        <f>_xll.qlYieldTSDiscount(OisCurve,Q736,,AllTriggers)</f>
        <v>0.92574833271783141</v>
      </c>
      <c r="V736" s="34">
        <f>_xll.qlYieldTSDiscount(OisCurve,R736,,AllTriggers)</f>
        <v>0.92245587044466271</v>
      </c>
      <c r="W736" s="33">
        <f t="shared" si="53"/>
        <v>1.4276942143938598E-2</v>
      </c>
      <c r="X736" s="35">
        <f t="shared" si="54"/>
        <v>3.8316541966816945E-4</v>
      </c>
      <c r="Y736" s="33">
        <f t="shared" si="55"/>
        <v>1.5384268263591849E-3</v>
      </c>
      <c r="Z736" s="54"/>
    </row>
    <row r="737" spans="15:26" x14ac:dyDescent="0.25">
      <c r="O737" s="37" t="s">
        <v>19</v>
      </c>
      <c r="P737" s="31">
        <f>_xll.qlCalendarAdvance(Calendar,P736,O736,"f",,Trigger)</f>
        <v>46072</v>
      </c>
      <c r="Q737" s="31">
        <f>_xll.qlInterestRateIndexValueDate(Index,P737,Trigger)</f>
        <v>46076</v>
      </c>
      <c r="R737" s="31">
        <f>_xll.qlInterestRateIndexMaturity(Index,Q737,Trigger)</f>
        <v>46167</v>
      </c>
      <c r="S737" s="32">
        <f>_xll.qlDayCounterYearFraction(DayCounter,Q737,R737,,,Trigger)</f>
        <v>0.25277777777777777</v>
      </c>
      <c r="T737" s="33">
        <f>_xll.qlIndexFixing(Index,P737,,AllTriggers)</f>
        <v>1.5848831563761212E-2</v>
      </c>
      <c r="U737" s="34">
        <f>_xll.qlYieldTSDiscount(OisCurve,Q737,,AllTriggers)</f>
        <v>0.92454331525951738</v>
      </c>
      <c r="V737" s="34">
        <f>_xll.qlYieldTSDiscount(OisCurve,R737,,AllTriggers)</f>
        <v>0.92120666439684096</v>
      </c>
      <c r="W737" s="33">
        <f t="shared" si="53"/>
        <v>1.4328964377784257E-2</v>
      </c>
      <c r="X737" s="35">
        <f t="shared" si="54"/>
        <v>3.8272887369992592E-4</v>
      </c>
      <c r="Y737" s="33">
        <f t="shared" si="55"/>
        <v>1.5198671859769555E-3</v>
      </c>
      <c r="Z737" s="54"/>
    </row>
    <row r="738" spans="15:26" x14ac:dyDescent="0.25">
      <c r="O738" s="37" t="s">
        <v>19</v>
      </c>
      <c r="P738" s="31">
        <f>_xll.qlCalendarAdvance(Calendar,P737,O737,"f",,Trigger)</f>
        <v>46100</v>
      </c>
      <c r="Q738" s="31">
        <f>_xll.qlInterestRateIndexValueDate(Index,P738,Trigger)</f>
        <v>46104</v>
      </c>
      <c r="R738" s="31">
        <f>_xll.qlInterestRateIndexMaturity(Index,Q738,Trigger)</f>
        <v>46196</v>
      </c>
      <c r="S738" s="32">
        <f>_xll.qlDayCounterYearFraction(DayCounter,Q738,R738,,,Trigger)</f>
        <v>0.25555555555555554</v>
      </c>
      <c r="T738" s="33">
        <f>_xll.qlIndexFixing(Index,P738,,AllTriggers)</f>
        <v>1.5876671191786866E-2</v>
      </c>
      <c r="U738" s="34">
        <f>_xll.qlYieldTSDiscount(OisCurve,Q738,,AllTriggers)</f>
        <v>0.92351891656632046</v>
      </c>
      <c r="V738" s="34">
        <f>_xll.qlYieldTSDiscount(OisCurve,R738,,AllTriggers)</f>
        <v>0.92013871362432875</v>
      </c>
      <c r="W738" s="33">
        <f t="shared" si="53"/>
        <v>1.437487726742797E-2</v>
      </c>
      <c r="X738" s="35">
        <f t="shared" si="54"/>
        <v>3.823139600460804E-4</v>
      </c>
      <c r="Y738" s="33">
        <f t="shared" si="55"/>
        <v>1.5017939243588962E-3</v>
      </c>
      <c r="Z738" s="54"/>
    </row>
    <row r="739" spans="15:26" x14ac:dyDescent="0.25">
      <c r="O739" s="37" t="s">
        <v>19</v>
      </c>
      <c r="P739" s="31">
        <f>_xll.qlCalendarAdvance(Calendar,P738,O738,"f",,Trigger)</f>
        <v>46132</v>
      </c>
      <c r="Q739" s="31">
        <f>_xll.qlInterestRateIndexValueDate(Index,P739,Trigger)</f>
        <v>46134</v>
      </c>
      <c r="R739" s="31">
        <f>_xll.qlInterestRateIndexMaturity(Index,Q739,Trigger)</f>
        <v>46225</v>
      </c>
      <c r="S739" s="32">
        <f>_xll.qlDayCounterYearFraction(DayCounter,Q739,R739,,,Trigger)</f>
        <v>0.25277777777777777</v>
      </c>
      <c r="T739" s="33">
        <f>_xll.qlIndexFixing(Index,P739,,AllTriggers)</f>
        <v>1.5904127660964745E-2</v>
      </c>
      <c r="U739" s="34">
        <f>_xll.qlYieldTSDiscount(OisCurve,Q739,,AllTriggers)</f>
        <v>0.92241917433833087</v>
      </c>
      <c r="V739" s="34">
        <f>_xll.qlYieldTSDiscount(OisCurve,R739,,AllTriggers)</f>
        <v>0.91906867038781159</v>
      </c>
      <c r="W739" s="33">
        <f t="shared" si="53"/>
        <v>1.4421926598324607E-2</v>
      </c>
      <c r="X739" s="35">
        <f t="shared" si="54"/>
        <v>3.7323692422142507E-4</v>
      </c>
      <c r="Y739" s="33">
        <f t="shared" si="55"/>
        <v>1.4822010626401386E-3</v>
      </c>
      <c r="Z739" s="54"/>
    </row>
    <row r="740" spans="15:26" x14ac:dyDescent="0.25">
      <c r="O740" s="37" t="s">
        <v>19</v>
      </c>
      <c r="P740" s="31">
        <f>_xll.qlCalendarAdvance(Calendar,P739,O739,"f",,Trigger)</f>
        <v>46162</v>
      </c>
      <c r="Q740" s="31">
        <f>_xll.qlInterestRateIndexValueDate(Index,P740,Trigger)</f>
        <v>46164</v>
      </c>
      <c r="R740" s="31">
        <f>_xll.qlInterestRateIndexMaturity(Index,Q740,Trigger)</f>
        <v>46258</v>
      </c>
      <c r="S740" s="32">
        <f>_xll.qlDayCounterYearFraction(DayCounter,Q740,R740,,,Trigger)</f>
        <v>0.26111111111111113</v>
      </c>
      <c r="T740" s="33">
        <f>_xll.qlIndexFixing(Index,P740,,AllTriggers)</f>
        <v>1.5934109408376498E-2</v>
      </c>
      <c r="U740" s="34">
        <f>_xll.qlYieldTSDiscount(OisCurve,Q740,,AllTriggers)</f>
        <v>0.92131701609453165</v>
      </c>
      <c r="V740" s="34">
        <f>_xll.qlYieldTSDiscount(OisCurve,R740,,AllTriggers)</f>
        <v>0.91784869693803717</v>
      </c>
      <c r="W740" s="33">
        <f t="shared" si="53"/>
        <v>1.4471801805068359E-2</v>
      </c>
      <c r="X740" s="35">
        <f t="shared" si="54"/>
        <v>3.8031504602273786E-4</v>
      </c>
      <c r="Y740" s="33">
        <f t="shared" si="55"/>
        <v>1.4623076033081391E-3</v>
      </c>
      <c r="Z740" s="54"/>
    </row>
    <row r="741" spans="15:26" x14ac:dyDescent="0.25">
      <c r="O741" s="37" t="s">
        <v>19</v>
      </c>
      <c r="P741" s="31">
        <f>_xll.qlCalendarAdvance(Calendar,P740,O740,"f",,Trigger)</f>
        <v>46195</v>
      </c>
      <c r="Q741" s="31">
        <f>_xll.qlInterestRateIndexValueDate(Index,P741,Trigger)</f>
        <v>46197</v>
      </c>
      <c r="R741" s="31">
        <f>_xll.qlInterestRateIndexMaturity(Index,Q741,Trigger)</f>
        <v>46289</v>
      </c>
      <c r="S741" s="32">
        <f>_xll.qlDayCounterYearFraction(DayCounter,Q741,R741,,,Trigger)</f>
        <v>0.25555555555555554</v>
      </c>
      <c r="T741" s="33">
        <f>_xll.qlIndexFixing(Index,P741,,AllTriggers)</f>
        <v>1.5962036596058351E-2</v>
      </c>
      <c r="U741" s="34">
        <f>_xll.qlYieldTSDiscount(OisCurve,Q741,,AllTriggers)</f>
        <v>0.9201018494774732</v>
      </c>
      <c r="V741" s="34">
        <f>_xll.qlYieldTSDiscount(OisCurve,R741,,AllTriggers)</f>
        <v>0.91670059853239372</v>
      </c>
      <c r="W741" s="33">
        <f t="shared" si="53"/>
        <v>1.4518636564522333E-2</v>
      </c>
      <c r="X741" s="35">
        <f t="shared" si="54"/>
        <v>3.6743782165698521E-4</v>
      </c>
      <c r="Y741" s="33">
        <f t="shared" si="55"/>
        <v>1.4434000315360178E-3</v>
      </c>
      <c r="Z741" s="54"/>
    </row>
    <row r="742" spans="15:26" x14ac:dyDescent="0.25">
      <c r="O742" s="37" t="s">
        <v>19</v>
      </c>
      <c r="P742" s="31">
        <f>_xll.qlCalendarAdvance(Calendar,P741,O741,"f",,Trigger)</f>
        <v>46225</v>
      </c>
      <c r="Q742" s="31">
        <f>_xll.qlInterestRateIndexValueDate(Index,P742,Trigger)</f>
        <v>46227</v>
      </c>
      <c r="R742" s="31">
        <f>_xll.qlInterestRateIndexMaturity(Index,Q742,Trigger)</f>
        <v>46321</v>
      </c>
      <c r="S742" s="32">
        <f>_xll.qlDayCounterYearFraction(DayCounter,Q742,R742,,,Trigger)</f>
        <v>0.26111111111111113</v>
      </c>
      <c r="T742" s="33">
        <f>_xll.qlIndexFixing(Index,P742,,AllTriggers)</f>
        <v>1.5989704978360782E-2</v>
      </c>
      <c r="U742" s="34">
        <f>_xll.qlYieldTSDiscount(OisCurve,Q742,,AllTriggers)</f>
        <v>0.91899480131809197</v>
      </c>
      <c r="V742" s="34">
        <f>_xll.qlYieldTSDiscount(OisCurve,R742,,AllTriggers)</f>
        <v>0.91551358212665046</v>
      </c>
      <c r="W742" s="33">
        <f t="shared" si="53"/>
        <v>1.4562677254133762E-2</v>
      </c>
      <c r="X742" s="35">
        <f t="shared" si="54"/>
        <v>3.7113243211277881E-4</v>
      </c>
      <c r="Y742" s="33">
        <f t="shared" si="55"/>
        <v>1.4270277242270195E-3</v>
      </c>
      <c r="Z742" s="54"/>
    </row>
    <row r="743" spans="15:26" x14ac:dyDescent="0.25">
      <c r="O743" s="37" t="s">
        <v>19</v>
      </c>
      <c r="P743" s="31">
        <f>_xll.qlCalendarAdvance(Calendar,P742,O742,"f",,Trigger)</f>
        <v>46258</v>
      </c>
      <c r="Q743" s="31">
        <f>_xll.qlInterestRateIndexValueDate(Index,P743,Trigger)</f>
        <v>46260</v>
      </c>
      <c r="R743" s="31">
        <f>_xll.qlInterestRateIndexMaturity(Index,Q743,Trigger)</f>
        <v>46352</v>
      </c>
      <c r="S743" s="32">
        <f>_xll.qlDayCounterYearFraction(DayCounter,Q743,R743,,,Trigger)</f>
        <v>0.25555555555555554</v>
      </c>
      <c r="T743" s="33">
        <f>_xll.qlIndexFixing(Index,P743,,AllTriggers)</f>
        <v>1.6016070660714914E-2</v>
      </c>
      <c r="U743" s="34">
        <f>_xll.qlYieldTSDiscount(OisCurve,Q743,,AllTriggers)</f>
        <v>0.91777468413107588</v>
      </c>
      <c r="V743" s="34">
        <f>_xll.qlYieldTSDiscount(OisCurve,R743,,AllTriggers)</f>
        <v>0.9143620377352728</v>
      </c>
      <c r="W743" s="33">
        <f t="shared" si="53"/>
        <v>1.4604536465427727E-2</v>
      </c>
      <c r="X743" s="35">
        <f t="shared" si="54"/>
        <v>3.5931952386906936E-4</v>
      </c>
      <c r="Y743" s="33">
        <f t="shared" si="55"/>
        <v>1.4115341952871865E-3</v>
      </c>
      <c r="Z743" s="54"/>
    </row>
    <row r="744" spans="15:26" x14ac:dyDescent="0.25">
      <c r="O744" s="37" t="s">
        <v>19</v>
      </c>
      <c r="P744" s="31">
        <f>_xll.qlCalendarAdvance(Calendar,P743,O743,"f",,Trigger)</f>
        <v>46289</v>
      </c>
      <c r="Q744" s="31">
        <f>_xll.qlInterestRateIndexValueDate(Index,P744,Trigger)</f>
        <v>46293</v>
      </c>
      <c r="R744" s="31">
        <f>_xll.qlInterestRateIndexMaturity(Index,Q744,Trigger)</f>
        <v>46384</v>
      </c>
      <c r="S744" s="32">
        <f>_xll.qlDayCounterYearFraction(DayCounter,Q744,R744,,,Trigger)</f>
        <v>0.25277777777777777</v>
      </c>
      <c r="T744" s="33">
        <f>_xll.qlIndexFixing(Index,P744,,AllTriggers)</f>
        <v>1.6042396043347049E-2</v>
      </c>
      <c r="U744" s="34">
        <f>_xll.qlYieldTSDiscount(OisCurve,Q744,,AllTriggers)</f>
        <v>0.91655232175670021</v>
      </c>
      <c r="V744" s="34">
        <f>_xll.qlYieldTSDiscount(OisCurve,R744,,AllTriggers)</f>
        <v>0.91317188135883998</v>
      </c>
      <c r="W744" s="33">
        <f t="shared" si="53"/>
        <v>1.4644746599974244E-2</v>
      </c>
      <c r="X744" s="35">
        <f t="shared" si="54"/>
        <v>3.5192975960362101E-4</v>
      </c>
      <c r="Y744" s="33">
        <f t="shared" si="55"/>
        <v>1.3976494433728046E-3</v>
      </c>
      <c r="Z744" s="54"/>
    </row>
    <row r="745" spans="15:26" x14ac:dyDescent="0.25">
      <c r="O745" s="37" t="s">
        <v>19</v>
      </c>
      <c r="P745" s="31">
        <f>_xll.qlCalendarAdvance(Calendar,P744,O744,"f",,Trigger)</f>
        <v>46321</v>
      </c>
      <c r="Q745" s="31">
        <f>_xll.qlInterestRateIndexValueDate(Index,P745,Trigger)</f>
        <v>46323</v>
      </c>
      <c r="R745" s="31">
        <f>_xll.qlInterestRateIndexMaturity(Index,Q745,Trigger)</f>
        <v>46415</v>
      </c>
      <c r="S745" s="32">
        <f>_xll.qlDayCounterYearFraction(DayCounter,Q745,R745,,,Trigger)</f>
        <v>0.25555555555555554</v>
      </c>
      <c r="T745" s="33">
        <f>_xll.qlIndexFixing(Index,P745,,AllTriggers)</f>
        <v>1.6067040102428234E-2</v>
      </c>
      <c r="U745" s="34">
        <f>_xll.qlYieldTSDiscount(OisCurve,Q745,,AllTriggers)</f>
        <v>0.91543933495850471</v>
      </c>
      <c r="V745" s="34">
        <f>_xll.qlYieldTSDiscount(OisCurve,R745,,AllTriggers)</f>
        <v>0.91201769731215476</v>
      </c>
      <c r="W745" s="33">
        <f t="shared" si="53"/>
        <v>1.4680654680803732E-2</v>
      </c>
      <c r="X745" s="35">
        <f t="shared" si="54"/>
        <v>3.5291195437926948E-4</v>
      </c>
      <c r="Y745" s="33">
        <f t="shared" si="55"/>
        <v>1.3863854216245013E-3</v>
      </c>
      <c r="Z745" s="54"/>
    </row>
    <row r="746" spans="15:26" x14ac:dyDescent="0.25">
      <c r="O746" s="37" t="s">
        <v>19</v>
      </c>
      <c r="P746" s="31">
        <f>_xll.qlCalendarAdvance(Calendar,P745,O745,"f",,Trigger)</f>
        <v>46352</v>
      </c>
      <c r="Q746" s="31">
        <f>_xll.qlInterestRateIndexValueDate(Index,P746,Trigger)</f>
        <v>46356</v>
      </c>
      <c r="R746" s="31">
        <f>_xll.qlInterestRateIndexMaturity(Index,Q746,Trigger)</f>
        <v>46444</v>
      </c>
      <c r="S746" s="32">
        <f>_xll.qlDayCounterYearFraction(DayCounter,Q746,R746,,,Trigger)</f>
        <v>0.24444444444444444</v>
      </c>
      <c r="T746" s="33">
        <f>_xll.qlIndexFixing(Index,P746,,AllTriggers)</f>
        <v>1.6089582033300787E-2</v>
      </c>
      <c r="U746" s="34">
        <f>_xll.qlYieldTSDiscount(OisCurve,Q746,,AllTriggers)</f>
        <v>0.91421334532832954</v>
      </c>
      <c r="V746" s="34">
        <f>_xll.qlYieldTSDiscount(OisCurve,R746,,AllTriggers)</f>
        <v>0.91093706292168986</v>
      </c>
      <c r="W746" s="33">
        <f t="shared" si="53"/>
        <v>1.4713391327738534E-2</v>
      </c>
      <c r="X746" s="35">
        <f t="shared" si="54"/>
        <v>3.3514043627247663E-4</v>
      </c>
      <c r="Y746" s="33">
        <f t="shared" si="55"/>
        <v>1.3761907055622538E-3</v>
      </c>
      <c r="Z746" s="54"/>
    </row>
    <row r="747" spans="15:26" x14ac:dyDescent="0.25">
      <c r="O747" s="37" t="s">
        <v>19</v>
      </c>
      <c r="P747" s="31">
        <f>_xll.qlCalendarAdvance(Calendar,P746,O746,"f",,Trigger)</f>
        <v>46384</v>
      </c>
      <c r="Q747" s="31">
        <f>_xll.qlInterestRateIndexValueDate(Index,P747,Trigger)</f>
        <v>46386</v>
      </c>
      <c r="R747" s="31">
        <f>_xll.qlInterestRateIndexMaturity(Index,Q747,Trigger)</f>
        <v>46476</v>
      </c>
      <c r="S747" s="32">
        <f>_xll.qlDayCounterYearFraction(DayCounter,Q747,R747,,,Trigger)</f>
        <v>0.25</v>
      </c>
      <c r="T747" s="33">
        <f>_xll.qlIndexFixing(Index,P747,,AllTriggers)</f>
        <v>1.6113499770778361E-2</v>
      </c>
      <c r="U747" s="34">
        <f>_xll.qlYieldTSDiscount(OisCurve,Q747,,AllTriggers)</f>
        <v>0.91309745196707448</v>
      </c>
      <c r="V747" s="34">
        <f>_xll.qlYieldTSDiscount(OisCurve,R747,,AllTriggers)</f>
        <v>0.90974380691279366</v>
      </c>
      <c r="W747" s="33">
        <f t="shared" si="53"/>
        <v>1.4745448240693015E-2</v>
      </c>
      <c r="X747" s="35">
        <f t="shared" si="54"/>
        <v>3.4069868545196701E-4</v>
      </c>
      <c r="Y747" s="33">
        <f t="shared" si="55"/>
        <v>1.3680515300853457E-3</v>
      </c>
      <c r="Z747" s="54"/>
    </row>
    <row r="748" spans="15:26" x14ac:dyDescent="0.25">
      <c r="O748" s="37" t="s">
        <v>19</v>
      </c>
      <c r="P748" s="31">
        <f>_xll.qlCalendarAdvance(Calendar,P747,O747,"f",,Trigger)</f>
        <v>46415</v>
      </c>
      <c r="Q748" s="31">
        <f>_xll.qlInterestRateIndexValueDate(Index,P748,Trigger)</f>
        <v>46419</v>
      </c>
      <c r="R748" s="31">
        <f>_xll.qlInterestRateIndexMaturity(Index,Q748,Trigger)</f>
        <v>46510</v>
      </c>
      <c r="S748" s="32">
        <f>_xll.qlDayCounterYearFraction(DayCounter,Q748,R748,,,Trigger)</f>
        <v>0.25277777777777777</v>
      </c>
      <c r="T748" s="33">
        <f>_xll.qlIndexFixing(Index,P748,,AllTriggers)</f>
        <v>1.6138103850117855E-2</v>
      </c>
      <c r="U748" s="34">
        <f>_xll.qlYieldTSDiscount(OisCurve,Q748,,AllTriggers)</f>
        <v>0.91186869303566553</v>
      </c>
      <c r="V748" s="34">
        <f>_xll.qlYieldTSDiscount(OisCurve,R748,,AllTriggers)</f>
        <v>0.90847524445304106</v>
      </c>
      <c r="W748" s="33">
        <f t="shared" si="53"/>
        <v>1.4777102444349224E-2</v>
      </c>
      <c r="X748" s="35">
        <f t="shared" si="54"/>
        <v>3.4269190098606798E-4</v>
      </c>
      <c r="Y748" s="33">
        <f t="shared" si="55"/>
        <v>1.3610014057686311E-3</v>
      </c>
      <c r="Z748" s="54"/>
    </row>
    <row r="749" spans="15:26" x14ac:dyDescent="0.25">
      <c r="O749" s="37" t="s">
        <v>19</v>
      </c>
      <c r="P749" s="31">
        <f>_xll.qlCalendarAdvance(Calendar,P748,O748,"f",,Trigger)</f>
        <v>46447</v>
      </c>
      <c r="Q749" s="31">
        <f>_xll.qlInterestRateIndexValueDate(Index,P749,Trigger)</f>
        <v>46449</v>
      </c>
      <c r="R749" s="31">
        <f>_xll.qlInterestRateIndexMaturity(Index,Q749,Trigger)</f>
        <v>46541</v>
      </c>
      <c r="S749" s="32">
        <f>_xll.qlDayCounterYearFraction(DayCounter,Q749,R749,,,Trigger)</f>
        <v>0.25555555555555554</v>
      </c>
      <c r="T749" s="33">
        <f>_xll.qlIndexFixing(Index,P749,,AllTriggers)</f>
        <v>1.6159773512466096E-2</v>
      </c>
      <c r="U749" s="34">
        <f>_xll.qlYieldTSDiscount(OisCurve,Q749,,AllTriggers)</f>
        <v>0.91075066927284432</v>
      </c>
      <c r="V749" s="34">
        <f>_xll.qlYieldTSDiscount(OisCurve,R749,,AllTriggers)</f>
        <v>0.90731815997372633</v>
      </c>
      <c r="W749" s="33">
        <f t="shared" si="53"/>
        <v>1.4803581278889609E-2</v>
      </c>
      <c r="X749" s="35">
        <f t="shared" si="54"/>
        <v>3.4521663813006173E-4</v>
      </c>
      <c r="Y749" s="33">
        <f t="shared" si="55"/>
        <v>1.3561922335764871E-3</v>
      </c>
      <c r="Z749" s="54"/>
    </row>
    <row r="750" spans="15:26" x14ac:dyDescent="0.25">
      <c r="O750" s="37" t="s">
        <v>19</v>
      </c>
      <c r="P750" s="31">
        <f>_xll.qlCalendarAdvance(Calendar,P749,O749,"f",,Trigger)</f>
        <v>46478</v>
      </c>
      <c r="Q750" s="31">
        <f>_xll.qlInterestRateIndexValueDate(Index,P750,Trigger)</f>
        <v>46482</v>
      </c>
      <c r="R750" s="31">
        <f>_xll.qlInterestRateIndexMaturity(Index,Q750,Trigger)</f>
        <v>46573</v>
      </c>
      <c r="S750" s="32">
        <f>_xll.qlDayCounterYearFraction(DayCounter,Q750,R750,,,Trigger)</f>
        <v>0.25277777777777777</v>
      </c>
      <c r="T750" s="33">
        <f>_xll.qlIndexFixing(Index,P750,,AllTriggers)</f>
        <v>1.6181217641057847E-2</v>
      </c>
      <c r="U750" s="34">
        <f>_xll.qlYieldTSDiscount(OisCurve,Q750,,AllTriggers)</f>
        <v>0.90951999062844469</v>
      </c>
      <c r="V750" s="34">
        <f>_xll.qlYieldTSDiscount(OisCurve,R750,,AllTriggers)</f>
        <v>0.90612341983416367</v>
      </c>
      <c r="W750" s="33">
        <f t="shared" si="53"/>
        <v>1.4829087371397993E-2</v>
      </c>
      <c r="X750" s="35">
        <f t="shared" si="54"/>
        <v>3.4045412652934193E-4</v>
      </c>
      <c r="Y750" s="33">
        <f t="shared" si="55"/>
        <v>1.3521302696598535E-3</v>
      </c>
      <c r="Z750" s="54"/>
    </row>
    <row r="751" spans="15:26" x14ac:dyDescent="0.25">
      <c r="O751" s="37" t="s">
        <v>19</v>
      </c>
      <c r="P751" s="31">
        <f>_xll.qlCalendarAdvance(Calendar,P750,O750,"f",,Trigger)</f>
        <v>46510</v>
      </c>
      <c r="Q751" s="31">
        <f>_xll.qlInterestRateIndexValueDate(Index,P751,Trigger)</f>
        <v>46512</v>
      </c>
      <c r="R751" s="31">
        <f>_xll.qlInterestRateIndexMaturity(Index,Q751,Trigger)</f>
        <v>46604</v>
      </c>
      <c r="S751" s="32">
        <f>_xll.qlDayCounterYearFraction(DayCounter,Q751,R751,,,Trigger)</f>
        <v>0.25555555555555554</v>
      </c>
      <c r="T751" s="33">
        <f>_xll.qlIndexFixing(Index,P751,,AllTriggers)</f>
        <v>1.62010291336897E-2</v>
      </c>
      <c r="U751" s="34">
        <f>_xll.qlYieldTSDiscount(OisCurve,Q751,,AllTriggers)</f>
        <v>0.90840060499916586</v>
      </c>
      <c r="V751" s="34">
        <f>_xll.qlYieldTSDiscount(OisCurve,R751,,AllTriggers)</f>
        <v>0.90496577498380493</v>
      </c>
      <c r="W751" s="33">
        <f t="shared" si="53"/>
        <v>1.4852096689273479E-2</v>
      </c>
      <c r="X751" s="35">
        <f t="shared" si="54"/>
        <v>3.4336474684987868E-4</v>
      </c>
      <c r="Y751" s="33">
        <f t="shared" si="55"/>
        <v>1.3489324444162214E-3</v>
      </c>
      <c r="Z751" s="54"/>
    </row>
    <row r="752" spans="15:26" x14ac:dyDescent="0.25">
      <c r="O752" s="37" t="s">
        <v>19</v>
      </c>
      <c r="P752" s="31">
        <f>_xll.qlCalendarAdvance(Calendar,P751,O751,"f",,Trigger)</f>
        <v>46541</v>
      </c>
      <c r="Q752" s="31">
        <f>_xll.qlInterestRateIndexValueDate(Index,P752,Trigger)</f>
        <v>46545</v>
      </c>
      <c r="R752" s="31">
        <f>_xll.qlInterestRateIndexMaturity(Index,Q752,Trigger)</f>
        <v>46637</v>
      </c>
      <c r="S752" s="32">
        <f>_xll.qlDayCounterYearFraction(DayCounter,Q752,R752,,,Trigger)</f>
        <v>0.25555555555555554</v>
      </c>
      <c r="T752" s="33">
        <f>_xll.qlIndexFixing(Index,P752,,AllTriggers)</f>
        <v>1.6220844215043696E-2</v>
      </c>
      <c r="U752" s="34">
        <f>_xll.qlYieldTSDiscount(OisCurve,Q752,,AllTriggers)</f>
        <v>0.90716883409603821</v>
      </c>
      <c r="V752" s="34">
        <f>_xll.qlYieldTSDiscount(OisCurve,R752,,AllTriggers)</f>
        <v>0.90373327080106358</v>
      </c>
      <c r="W752" s="33">
        <f t="shared" si="53"/>
        <v>1.4875526861633154E-2</v>
      </c>
      <c r="X752" s="35">
        <f t="shared" si="54"/>
        <v>3.4244265672958709E-4</v>
      </c>
      <c r="Y752" s="33">
        <f t="shared" si="55"/>
        <v>1.3453173534105425E-3</v>
      </c>
      <c r="Z752" s="54"/>
    </row>
    <row r="753" spans="15:26" x14ac:dyDescent="0.25">
      <c r="O753" s="37" t="s">
        <v>19</v>
      </c>
      <c r="P753" s="31">
        <f>_xll.qlCalendarAdvance(Calendar,P752,O752,"f",,Trigger)</f>
        <v>46573</v>
      </c>
      <c r="Q753" s="31">
        <f>_xll.qlInterestRateIndexValueDate(Index,P753,Trigger)</f>
        <v>46575</v>
      </c>
      <c r="R753" s="31">
        <f>_xll.qlInterestRateIndexMaturity(Index,Q753,Trigger)</f>
        <v>46667</v>
      </c>
      <c r="S753" s="32">
        <f>_xll.qlDayCounterYearFraction(DayCounter,Q753,R753,,,Trigger)</f>
        <v>0.25555555555555554</v>
      </c>
      <c r="T753" s="33">
        <f>_xll.qlIndexFixing(Index,P753,,AllTriggers)</f>
        <v>1.6237708057805923E-2</v>
      </c>
      <c r="U753" s="34">
        <f>_xll.qlYieldTSDiscount(OisCurve,Q753,,AllTriggers)</f>
        <v>0.9060487393556772</v>
      </c>
      <c r="V753" s="34">
        <f>_xll.qlYieldTSDiscount(OisCurve,R753,,AllTriggers)</f>
        <v>0.90261273417578247</v>
      </c>
      <c r="W753" s="33">
        <f t="shared" si="53"/>
        <v>1.4895909564953102E-2</v>
      </c>
      <c r="X753" s="35">
        <f t="shared" si="54"/>
        <v>3.4154533227997259E-4</v>
      </c>
      <c r="Y753" s="33">
        <f t="shared" si="55"/>
        <v>1.341798492852821E-3</v>
      </c>
      <c r="Z753" s="54"/>
    </row>
    <row r="754" spans="15:26" x14ac:dyDescent="0.25">
      <c r="O754" s="37" t="s">
        <v>19</v>
      </c>
      <c r="P754" s="31">
        <f>_xll.qlCalendarAdvance(Calendar,P753,O753,"f",,Trigger)</f>
        <v>46604</v>
      </c>
      <c r="Q754" s="31">
        <f>_xll.qlInterestRateIndexValueDate(Index,P754,Trigger)</f>
        <v>46608</v>
      </c>
      <c r="R754" s="31">
        <f>_xll.qlInterestRateIndexMaturity(Index,Q754,Trigger)</f>
        <v>46700</v>
      </c>
      <c r="S754" s="32">
        <f>_xll.qlDayCounterYearFraction(DayCounter,Q754,R754,,,Trigger)</f>
        <v>0.25555555555555554</v>
      </c>
      <c r="T754" s="33">
        <f>_xll.qlIndexFixing(Index,P754,,AllTriggers)</f>
        <v>1.6254993312474392E-2</v>
      </c>
      <c r="U754" s="34">
        <f>_xll.qlYieldTSDiscount(OisCurve,Q754,,AllTriggers)</f>
        <v>0.90481638827125555</v>
      </c>
      <c r="V754" s="34">
        <f>_xll.qlYieldTSDiscount(OisCurve,R754,,AllTriggers)</f>
        <v>0.90138014290221802</v>
      </c>
      <c r="W754" s="33">
        <f t="shared" si="53"/>
        <v>1.4917321661561051E-2</v>
      </c>
      <c r="X754" s="35">
        <f t="shared" si="54"/>
        <v>3.4049319683013187E-4</v>
      </c>
      <c r="Y754" s="33">
        <f t="shared" si="55"/>
        <v>1.3376716509133409E-3</v>
      </c>
      <c r="Z754" s="54"/>
    </row>
    <row r="755" spans="15:26" x14ac:dyDescent="0.25">
      <c r="O755" s="37" t="s">
        <v>19</v>
      </c>
      <c r="P755" s="31">
        <f>_xll.qlCalendarAdvance(Calendar,P754,O754,"f",,Trigger)</f>
        <v>46636</v>
      </c>
      <c r="Q755" s="31">
        <f>_xll.qlInterestRateIndexValueDate(Index,P755,Trigger)</f>
        <v>46638</v>
      </c>
      <c r="R755" s="31">
        <f>_xll.qlInterestRateIndexMaturity(Index,Q755,Trigger)</f>
        <v>46729</v>
      </c>
      <c r="S755" s="32">
        <f>_xll.qlDayCounterYearFraction(DayCounter,Q755,R755,,,Trigger)</f>
        <v>0.25277777777777777</v>
      </c>
      <c r="T755" s="33">
        <f>_xll.qlIndexFixing(Index,P755,,AllTriggers)</f>
        <v>1.6268965601612652E-2</v>
      </c>
      <c r="U755" s="34">
        <f>_xll.qlYieldTSDiscount(OisCurve,Q755,,AllTriggers)</f>
        <v>0.90369592035975321</v>
      </c>
      <c r="V755" s="34">
        <f>_xll.qlYieldTSDiscount(OisCurve,R755,,AllTriggers)</f>
        <v>0.90029702597591221</v>
      </c>
      <c r="W755" s="33">
        <f t="shared" si="53"/>
        <v>1.493526602495447E-2</v>
      </c>
      <c r="X755" s="35">
        <f t="shared" si="54"/>
        <v>3.3580524675698702E-4</v>
      </c>
      <c r="Y755" s="33">
        <f t="shared" si="55"/>
        <v>1.333699576658182E-3</v>
      </c>
      <c r="Z755" s="54"/>
    </row>
    <row r="756" spans="15:26" x14ac:dyDescent="0.25">
      <c r="O756" s="37" t="s">
        <v>19</v>
      </c>
      <c r="P756" s="31">
        <f>_xll.qlCalendarAdvance(Calendar,P755,O755,"f",,Trigger)</f>
        <v>46666</v>
      </c>
      <c r="Q756" s="31">
        <f>_xll.qlInterestRateIndexValueDate(Index,P756,Trigger)</f>
        <v>46668</v>
      </c>
      <c r="R756" s="31">
        <f>_xll.qlInterestRateIndexMaturity(Index,Q756,Trigger)</f>
        <v>46762</v>
      </c>
      <c r="S756" s="32">
        <f>_xll.qlDayCounterYearFraction(DayCounter,Q756,R756,,,Trigger)</f>
        <v>0.26111111111111113</v>
      </c>
      <c r="T756" s="33">
        <f>_xll.qlIndexFixing(Index,P756,,AllTriggers)</f>
        <v>1.6284172589491473E-2</v>
      </c>
      <c r="U756" s="34">
        <f>_xll.qlYieldTSDiscount(OisCurve,Q756,,AllTriggers)</f>
        <v>0.90257538251824498</v>
      </c>
      <c r="V756" s="34">
        <f>_xll.qlYieldTSDiscount(OisCurve,R756,,AllTriggers)</f>
        <v>0.89906467459305806</v>
      </c>
      <c r="W756" s="33">
        <f t="shared" si="53"/>
        <v>1.4954724364427897E-2</v>
      </c>
      <c r="X756" s="35">
        <f t="shared" si="54"/>
        <v>3.4572370312580995E-4</v>
      </c>
      <c r="Y756" s="33">
        <f t="shared" si="55"/>
        <v>1.3294482250635759E-3</v>
      </c>
      <c r="Z756" s="54"/>
    </row>
    <row r="757" spans="15:26" x14ac:dyDescent="0.25">
      <c r="O757" s="37" t="s">
        <v>19</v>
      </c>
      <c r="P757" s="31">
        <f>_xll.qlCalendarAdvance(Calendar,P756,O756,"f",,Trigger)</f>
        <v>46699</v>
      </c>
      <c r="Q757" s="31">
        <f>_xll.qlInterestRateIndexValueDate(Index,P757,Trigger)</f>
        <v>46701</v>
      </c>
      <c r="R757" s="31">
        <f>_xll.qlInterestRateIndexMaturity(Index,Q757,Trigger)</f>
        <v>46793</v>
      </c>
      <c r="S757" s="32">
        <f>_xll.qlDayCounterYearFraction(DayCounter,Q757,R757,,,Trigger)</f>
        <v>0.25555555555555554</v>
      </c>
      <c r="T757" s="33">
        <f>_xll.qlIndexFixing(Index,P757,,AllTriggers)</f>
        <v>1.6296576315785523E-2</v>
      </c>
      <c r="U757" s="34">
        <f>_xll.qlYieldTSDiscount(OisCurve,Q757,,AllTriggers)</f>
        <v>0.9013427925598354</v>
      </c>
      <c r="V757" s="34">
        <f>_xll.qlYieldTSDiscount(OisCurve,R757,,AllTriggers)</f>
        <v>0.89790724479225592</v>
      </c>
      <c r="W757" s="33">
        <f t="shared" si="53"/>
        <v>1.497197830193555E-2</v>
      </c>
      <c r="X757" s="35">
        <f t="shared" si="54"/>
        <v>3.3716128143118277E-4</v>
      </c>
      <c r="Y757" s="33">
        <f t="shared" si="55"/>
        <v>1.324598013849973E-3</v>
      </c>
      <c r="Z757" s="54"/>
    </row>
    <row r="758" spans="15:26" x14ac:dyDescent="0.25">
      <c r="O758" s="37" t="s">
        <v>19</v>
      </c>
      <c r="P758" s="31">
        <f>_xll.qlCalendarAdvance(Calendar,P757,O757,"f",,Trigger)</f>
        <v>46729</v>
      </c>
      <c r="Q758" s="31">
        <f>_xll.qlInterestRateIndexValueDate(Index,P758,Trigger)</f>
        <v>46731</v>
      </c>
      <c r="R758" s="31">
        <f>_xll.qlInterestRateIndexMaturity(Index,Q758,Trigger)</f>
        <v>46822</v>
      </c>
      <c r="S758" s="32">
        <f>_xll.qlDayCounterYearFraction(DayCounter,Q758,R758,,,Trigger)</f>
        <v>0.25277777777777777</v>
      </c>
      <c r="T758" s="33">
        <f>_xll.qlIndexFixing(Index,P758,,AllTriggers)</f>
        <v>1.6307208185849582E-2</v>
      </c>
      <c r="U758" s="34">
        <f>_xll.qlYieldTSDiscount(OisCurve,Q758,,AllTriggers)</f>
        <v>0.90022233232560811</v>
      </c>
      <c r="V758" s="34">
        <f>_xll.qlYieldTSDiscount(OisCurve,R758,,AllTriggers)</f>
        <v>0.89682476041849113</v>
      </c>
      <c r="W758" s="33">
        <f t="shared" si="53"/>
        <v>1.4987257713650304E-2</v>
      </c>
      <c r="X758" s="35">
        <f t="shared" si="54"/>
        <v>3.323396562164499E-4</v>
      </c>
      <c r="Y758" s="33">
        <f t="shared" si="55"/>
        <v>1.3199504721992782E-3</v>
      </c>
      <c r="Z758" s="54"/>
    </row>
    <row r="759" spans="15:26" x14ac:dyDescent="0.25">
      <c r="O759" s="37" t="s">
        <v>19</v>
      </c>
      <c r="P759" s="31">
        <f>_xll.qlCalendarAdvance(Calendar,P758,O758,"f",,Trigger)</f>
        <v>46762</v>
      </c>
      <c r="Q759" s="31">
        <f>_xll.qlInterestRateIndexValueDate(Index,P759,Trigger)</f>
        <v>46764</v>
      </c>
      <c r="R759" s="31">
        <f>_xll.qlInterestRateIndexMaturity(Index,Q759,Trigger)</f>
        <v>46855</v>
      </c>
      <c r="S759" s="32">
        <f>_xll.qlDayCounterYearFraction(DayCounter,Q759,R759,,,Trigger)</f>
        <v>0.25277777777777777</v>
      </c>
      <c r="T759" s="33">
        <f>_xll.qlIndexFixing(Index,P759,,AllTriggers)</f>
        <v>1.6318248184744429E-2</v>
      </c>
      <c r="U759" s="34">
        <f>_xll.qlYieldTSDiscount(OisCurve,Q759,,AllTriggers)</f>
        <v>0.89898999402245083</v>
      </c>
      <c r="V759" s="34">
        <f>_xll.qlYieldTSDiscount(OisCurve,R759,,AllTriggers)</f>
        <v>0.89559336746052065</v>
      </c>
      <c r="W759" s="33">
        <f t="shared" si="53"/>
        <v>1.5003688581754646E-2</v>
      </c>
      <c r="X759" s="35">
        <f t="shared" si="54"/>
        <v>3.3098118818076746E-4</v>
      </c>
      <c r="Y759" s="33">
        <f t="shared" si="55"/>
        <v>1.314559602989783E-3</v>
      </c>
      <c r="Z759" s="54"/>
    </row>
    <row r="760" spans="15:26" x14ac:dyDescent="0.25">
      <c r="O760" s="37" t="s">
        <v>19</v>
      </c>
      <c r="P760" s="31">
        <f>_xll.qlCalendarAdvance(Calendar,P759,O759,"f",,Trigger)</f>
        <v>46793</v>
      </c>
      <c r="Q760" s="31">
        <f>_xll.qlInterestRateIndexValueDate(Index,P760,Trigger)</f>
        <v>46797</v>
      </c>
      <c r="R760" s="31">
        <f>_xll.qlInterestRateIndexMaturity(Index,Q760,Trigger)</f>
        <v>46888</v>
      </c>
      <c r="S760" s="32">
        <f>_xll.qlDayCounterYearFraction(DayCounter,Q760,R760,,,Trigger)</f>
        <v>0.25277777777777777</v>
      </c>
      <c r="T760" s="33">
        <f>_xll.qlIndexFixing(Index,P760,,AllTriggers)</f>
        <v>1.6327962952837699E-2</v>
      </c>
      <c r="U760" s="34">
        <f>_xll.qlYieldTSDiscount(OisCurve,Q760,,AllTriggers)</f>
        <v>0.89775791948060257</v>
      </c>
      <c r="V760" s="34">
        <f>_xll.qlYieldTSDiscount(OisCurve,R760,,AllTriggers)</f>
        <v>0.89436248550524233</v>
      </c>
      <c r="W760" s="33">
        <f t="shared" si="53"/>
        <v>1.501906248760149E-2</v>
      </c>
      <c r="X760" s="35">
        <f t="shared" si="54"/>
        <v>3.2955528367181064E-4</v>
      </c>
      <c r="Y760" s="33">
        <f t="shared" si="55"/>
        <v>1.3089004652362089E-3</v>
      </c>
      <c r="Z760" s="54"/>
    </row>
    <row r="761" spans="15:26" x14ac:dyDescent="0.25">
      <c r="O761" s="37" t="s">
        <v>19</v>
      </c>
      <c r="P761" s="31">
        <f>_xll.qlCalendarAdvance(Calendar,P760,O760,"f",,Trigger)</f>
        <v>46822</v>
      </c>
      <c r="Q761" s="31">
        <f>_xll.qlInterestRateIndexValueDate(Index,P761,Trigger)</f>
        <v>46826</v>
      </c>
      <c r="R761" s="31">
        <f>_xll.qlInterestRateIndexMaturity(Index,Q761,Trigger)</f>
        <v>46918</v>
      </c>
      <c r="S761" s="32">
        <f>_xll.qlDayCounterYearFraction(DayCounter,Q761,R761,,,Trigger)</f>
        <v>0.25555555555555554</v>
      </c>
      <c r="T761" s="33">
        <f>_xll.qlIndexFixing(Index,P761,,AllTriggers)</f>
        <v>1.6335886347439675E-2</v>
      </c>
      <c r="U761" s="34">
        <f>_xll.qlYieldTSDiscount(OisCurve,Q761,,AllTriggers)</f>
        <v>0.89667547642200784</v>
      </c>
      <c r="V761" s="34">
        <f>_xll.qlYieldTSDiscount(OisCurve,R761,,AllTriggers)</f>
        <v>0.89324402003574566</v>
      </c>
      <c r="W761" s="33">
        <f t="shared" si="53"/>
        <v>1.5032217100835032E-2</v>
      </c>
      <c r="X761" s="35">
        <f t="shared" si="54"/>
        <v>3.318298987693195E-4</v>
      </c>
      <c r="Y761" s="33">
        <f t="shared" si="55"/>
        <v>1.3036692466046433E-3</v>
      </c>
      <c r="Z761" s="54"/>
    </row>
    <row r="762" spans="15:26" x14ac:dyDescent="0.25">
      <c r="O762" s="37" t="s">
        <v>19</v>
      </c>
      <c r="P762" s="31">
        <f>_xll.qlCalendarAdvance(Calendar,P761,O761,"f",,Trigger)</f>
        <v>46853</v>
      </c>
      <c r="Q762" s="31">
        <f>_xll.qlInterestRateIndexValueDate(Index,P762,Trigger)</f>
        <v>46855</v>
      </c>
      <c r="R762" s="31">
        <f>_xll.qlInterestRateIndexMaturity(Index,Q762,Trigger)</f>
        <v>46946</v>
      </c>
      <c r="S762" s="32">
        <f>_xll.qlDayCounterYearFraction(DayCounter,Q762,R762,,,Trigger)</f>
        <v>0.25277777777777777</v>
      </c>
      <c r="T762" s="33">
        <f>_xll.qlIndexFixing(Index,P762,,AllTriggers)</f>
        <v>1.6341825901168956E-2</v>
      </c>
      <c r="U762" s="34">
        <f>_xll.qlYieldTSDiscount(OisCurve,Q762,,AllTriggers)</f>
        <v>0.89559336746052065</v>
      </c>
      <c r="V762" s="34">
        <f>_xll.qlYieldTSDiscount(OisCurve,R762,,AllTriggers)</f>
        <v>0.89220062466516104</v>
      </c>
      <c r="W762" s="33">
        <f t="shared" si="53"/>
        <v>1.5043521892882446E-2</v>
      </c>
      <c r="X762" s="35">
        <f t="shared" si="54"/>
        <v>3.268857280365339E-4</v>
      </c>
      <c r="Y762" s="33">
        <f t="shared" si="55"/>
        <v>1.2983040082865105E-3</v>
      </c>
      <c r="Z762" s="54"/>
    </row>
    <row r="763" spans="15:26" x14ac:dyDescent="0.25">
      <c r="O763" s="37" t="s">
        <v>19</v>
      </c>
      <c r="P763" s="31">
        <f>_xll.qlCalendarAdvance(Calendar,P762,O762,"f",,Trigger)</f>
        <v>46883</v>
      </c>
      <c r="Q763" s="31">
        <f>_xll.qlInterestRateIndexValueDate(Index,P763,Trigger)</f>
        <v>46885</v>
      </c>
      <c r="R763" s="31">
        <f>_xll.qlInterestRateIndexMaturity(Index,Q763,Trigger)</f>
        <v>46979</v>
      </c>
      <c r="S763" s="32">
        <f>_xll.qlDayCounterYearFraction(DayCounter,Q763,R763,,,Trigger)</f>
        <v>0.26111111111111113</v>
      </c>
      <c r="T763" s="33">
        <f>_xll.qlIndexFixing(Index,P763,,AllTriggers)</f>
        <v>1.6348723376882531E-2</v>
      </c>
      <c r="U763" s="34">
        <f>_xll.qlYieldTSDiscount(OisCurve,Q763,,AllTriggers)</f>
        <v>0.89447436041164852</v>
      </c>
      <c r="V763" s="34">
        <f>_xll.qlYieldTSDiscount(OisCurve,R763,,AllTriggers)</f>
        <v>0.89097161021190463</v>
      </c>
      <c r="W763" s="33">
        <f t="shared" si="53"/>
        <v>1.5056358525081307E-2</v>
      </c>
      <c r="X763" s="35">
        <f t="shared" si="54"/>
        <v>3.3607289047271366E-4</v>
      </c>
      <c r="Y763" s="33">
        <f t="shared" si="55"/>
        <v>1.292364851801224E-3</v>
      </c>
      <c r="Z763" s="54"/>
    </row>
    <row r="764" spans="15:26" x14ac:dyDescent="0.25">
      <c r="O764" s="37" t="s">
        <v>19</v>
      </c>
      <c r="P764" s="31">
        <f>_xll.qlCalendarAdvance(Calendar,P763,O763,"f",,Trigger)</f>
        <v>46916</v>
      </c>
      <c r="Q764" s="31">
        <f>_xll.qlInterestRateIndexValueDate(Index,P764,Trigger)</f>
        <v>46918</v>
      </c>
      <c r="R764" s="31">
        <f>_xll.qlInterestRateIndexMaturity(Index,Q764,Trigger)</f>
        <v>47010</v>
      </c>
      <c r="S764" s="32">
        <f>_xll.qlDayCounterYearFraction(DayCounter,Q764,R764,,,Trigger)</f>
        <v>0.25555555555555554</v>
      </c>
      <c r="T764" s="33">
        <f>_xll.qlIndexFixing(Index,P764,,AllTriggers)</f>
        <v>1.6352670518338882E-2</v>
      </c>
      <c r="U764" s="34">
        <f>_xll.qlYieldTSDiscount(OisCurve,Q764,,AllTriggers)</f>
        <v>0.89324402003574566</v>
      </c>
      <c r="V764" s="34">
        <f>_xll.qlYieldTSDiscount(OisCurve,R764,,AllTriggers)</f>
        <v>0.88981784689957033</v>
      </c>
      <c r="W764" s="33">
        <f t="shared" si="53"/>
        <v>1.5066863957176338E-2</v>
      </c>
      <c r="X764" s="35">
        <f t="shared" si="54"/>
        <v>3.2728107170205056E-4</v>
      </c>
      <c r="Y764" s="33">
        <f t="shared" si="55"/>
        <v>1.285806561162544E-3</v>
      </c>
      <c r="Z764" s="54"/>
    </row>
    <row r="765" spans="15:26" x14ac:dyDescent="0.25">
      <c r="O765" s="37" t="s">
        <v>19</v>
      </c>
      <c r="P765" s="31">
        <f>_xll.qlCalendarAdvance(Calendar,P764,O764,"f",,Trigger)</f>
        <v>46946</v>
      </c>
      <c r="Q765" s="31">
        <f>_xll.qlInterestRateIndexValueDate(Index,P765,Trigger)</f>
        <v>46948</v>
      </c>
      <c r="R765" s="31">
        <f>_xll.qlInterestRateIndexMaturity(Index,Q765,Trigger)</f>
        <v>47042</v>
      </c>
      <c r="S765" s="32">
        <f>_xll.qlDayCounterYearFraction(DayCounter,Q765,R765,,,Trigger)</f>
        <v>0.26111111111111113</v>
      </c>
      <c r="T765" s="33">
        <f>_xll.qlIndexFixing(Index,P765,,AllTriggers)</f>
        <v>1.635672906026598E-2</v>
      </c>
      <c r="U765" s="34">
        <f>_xll.qlYieldTSDiscount(OisCurve,Q765,,AllTriggers)</f>
        <v>0.89212611657801566</v>
      </c>
      <c r="V765" s="34">
        <f>_xll.qlYieldTSDiscount(OisCurve,R765,,AllTriggers)</f>
        <v>0.88862772124103873</v>
      </c>
      <c r="W765" s="33">
        <f t="shared" si="53"/>
        <v>1.5077303443197786E-2</v>
      </c>
      <c r="X765" s="35">
        <f t="shared" si="54"/>
        <v>3.3270685600523137E-4</v>
      </c>
      <c r="Y765" s="33">
        <f t="shared" si="55"/>
        <v>1.2794256170681941E-3</v>
      </c>
      <c r="Z765" s="54"/>
    </row>
    <row r="766" spans="15:26" x14ac:dyDescent="0.25">
      <c r="O766" s="37" t="s">
        <v>19</v>
      </c>
      <c r="P766" s="31">
        <f>_xll.qlCalendarAdvance(Calendar,P765,O765,"f",,Trigger)</f>
        <v>46979</v>
      </c>
      <c r="Q766" s="31">
        <f>_xll.qlInterestRateIndexValueDate(Index,P766,Trigger)</f>
        <v>46981</v>
      </c>
      <c r="R766" s="31">
        <f>_xll.qlInterestRateIndexMaturity(Index,Q766,Trigger)</f>
        <v>47073</v>
      </c>
      <c r="S766" s="32">
        <f>_xll.qlDayCounterYearFraction(DayCounter,Q766,R766,,,Trigger)</f>
        <v>0.25555555555555554</v>
      </c>
      <c r="T766" s="33">
        <f>_xll.qlIndexFixing(Index,P766,,AllTriggers)</f>
        <v>1.635822197885017E-2</v>
      </c>
      <c r="U766" s="34">
        <f>_xll.qlYieldTSDiscount(OisCurve,Q766,,AllTriggers)</f>
        <v>0.89089715067220066</v>
      </c>
      <c r="V766" s="34">
        <f>_xll.qlYieldTSDiscount(OisCurve,R766,,AllTriggers)</f>
        <v>0.88747568974700863</v>
      </c>
      <c r="W766" s="33">
        <f t="shared" si="53"/>
        <v>1.5085850253840761E-2</v>
      </c>
      <c r="X766" s="35">
        <f t="shared" si="54"/>
        <v>3.2386044203314553E-4</v>
      </c>
      <c r="Y766" s="33">
        <f t="shared" si="55"/>
        <v>1.2723717250094097E-3</v>
      </c>
      <c r="Z766" s="54"/>
    </row>
    <row r="767" spans="15:26" x14ac:dyDescent="0.25">
      <c r="O767" s="37" t="s">
        <v>19</v>
      </c>
      <c r="P767" s="31">
        <f>_xll.qlCalendarAdvance(Calendar,P766,O766,"f",,Trigger)</f>
        <v>47010</v>
      </c>
      <c r="Q767" s="31">
        <f>_xll.qlInterestRateIndexValueDate(Index,P767,Trigger)</f>
        <v>47014</v>
      </c>
      <c r="R767" s="31">
        <f>_xll.qlInterestRateIndexMaturity(Index,Q767,Trigger)</f>
        <v>47105</v>
      </c>
      <c r="S767" s="32">
        <f>_xll.qlDayCounterYearFraction(DayCounter,Q767,R767,,,Trigger)</f>
        <v>0.25277777777777777</v>
      </c>
      <c r="T767" s="33">
        <f>_xll.qlIndexFixing(Index,P767,,AllTriggers)</f>
        <v>1.635883527445376E-2</v>
      </c>
      <c r="U767" s="34">
        <f>_xll.qlYieldTSDiscount(OisCurve,Q767,,AllTriggers)</f>
        <v>0.8896690320697449</v>
      </c>
      <c r="V767" s="34">
        <f>_xll.qlYieldTSDiscount(OisCurve,R767,,AllTriggers)</f>
        <v>0.88628750424271252</v>
      </c>
      <c r="W767" s="33">
        <f t="shared" si="53"/>
        <v>1.5093829776778953E-2</v>
      </c>
      <c r="X767" s="35">
        <f t="shared" si="54"/>
        <v>3.1849916195032601E-4</v>
      </c>
      <c r="Y767" s="33">
        <f t="shared" si="55"/>
        <v>1.2650054976748072E-3</v>
      </c>
      <c r="Z767" s="54"/>
    </row>
    <row r="768" spans="15:26" x14ac:dyDescent="0.25">
      <c r="O768" s="37" t="s">
        <v>19</v>
      </c>
      <c r="P768" s="31">
        <f>_xll.qlCalendarAdvance(Calendar,P767,O767,"f",,Trigger)</f>
        <v>47042</v>
      </c>
      <c r="Q768" s="31">
        <f>_xll.qlInterestRateIndexValueDate(Index,P768,Trigger)</f>
        <v>47044</v>
      </c>
      <c r="R768" s="31">
        <f>_xll.qlInterestRateIndexMaturity(Index,Q768,Trigger)</f>
        <v>47136</v>
      </c>
      <c r="S768" s="32">
        <f>_xll.qlDayCounterYearFraction(DayCounter,Q768,R768,,,Trigger)</f>
        <v>0.25555555555555554</v>
      </c>
      <c r="T768" s="33">
        <f>_xll.qlIndexFixing(Index,P768,,AllTriggers)</f>
        <v>1.6358943103541437E-2</v>
      </c>
      <c r="U768" s="34">
        <f>_xll.qlYieldTSDiscount(OisCurve,Q768,,AllTriggers)</f>
        <v>0.88855336903004667</v>
      </c>
      <c r="V768" s="34">
        <f>_xll.qlYieldTSDiscount(OisCurve,R768,,AllTriggers)</f>
        <v>0.88513749920512619</v>
      </c>
      <c r="W768" s="33">
        <f t="shared" si="53"/>
        <v>1.5100983918313653E-2</v>
      </c>
      <c r="X768" s="35">
        <f t="shared" si="54"/>
        <v>3.2019133060732363E-4</v>
      </c>
      <c r="Y768" s="33">
        <f t="shared" si="55"/>
        <v>1.257959185227784E-3</v>
      </c>
      <c r="Z768" s="54"/>
    </row>
    <row r="769" spans="15:26" x14ac:dyDescent="0.25">
      <c r="O769" s="37" t="s">
        <v>19</v>
      </c>
      <c r="P769" s="31">
        <f>_xll.qlCalendarAdvance(Calendar,P768,O768,"f",,Trigger)</f>
        <v>47073</v>
      </c>
      <c r="Q769" s="31">
        <f>_xll.qlInterestRateIndexValueDate(Index,P769,Trigger)</f>
        <v>47077</v>
      </c>
      <c r="R769" s="31">
        <f>_xll.qlInterestRateIndexMaturity(Index,Q769,Trigger)</f>
        <v>47169</v>
      </c>
      <c r="S769" s="32">
        <f>_xll.qlDayCounterYearFraction(DayCounter,Q769,R769,,,Trigger)</f>
        <v>0.25555555555555554</v>
      </c>
      <c r="T769" s="33">
        <f>_xll.qlIndexFixing(Index,P769,,AllTriggers)</f>
        <v>1.635739308084689E-2</v>
      </c>
      <c r="U769" s="34">
        <f>_xll.qlYieldTSDiscount(OisCurve,Q769,,AllTriggers)</f>
        <v>0.88732710898240574</v>
      </c>
      <c r="V769" s="34">
        <f>_xll.qlYieldTSDiscount(OisCurve,R769,,AllTriggers)</f>
        <v>0.88391451548491062</v>
      </c>
      <c r="W769" s="33">
        <f t="shared" si="53"/>
        <v>1.5107373502066186E-2</v>
      </c>
      <c r="X769" s="35">
        <f t="shared" si="54"/>
        <v>3.1817024777588401E-4</v>
      </c>
      <c r="Y769" s="33">
        <f t="shared" si="55"/>
        <v>1.2500195787807037E-3</v>
      </c>
      <c r="Z769" s="54"/>
    </row>
    <row r="770" spans="15:26" x14ac:dyDescent="0.25">
      <c r="O770" s="37" t="s">
        <v>19</v>
      </c>
      <c r="P770" s="31">
        <f>_xll.qlCalendarAdvance(Calendar,P769,O769,"f",,Trigger)</f>
        <v>47105</v>
      </c>
      <c r="Q770" s="31">
        <f>_xll.qlInterestRateIndexValueDate(Index,P770,Trigger)</f>
        <v>47107</v>
      </c>
      <c r="R770" s="31">
        <f>_xll.qlInterestRateIndexMaturity(Index,Q770,Trigger)</f>
        <v>47197</v>
      </c>
      <c r="S770" s="32">
        <f>_xll.qlDayCounterYearFraction(DayCounter,Q770,R770,,,Trigger)</f>
        <v>0.25</v>
      </c>
      <c r="T770" s="33">
        <f>_xll.qlIndexFixing(Index,P770,,AllTriggers)</f>
        <v>1.635421334366427E-2</v>
      </c>
      <c r="U770" s="34">
        <f>_xll.qlYieldTSDiscount(OisCurve,Q770,,AllTriggers)</f>
        <v>0.88621327841557929</v>
      </c>
      <c r="V770" s="34">
        <f>_xll.qlYieldTSDiscount(OisCurve,R770,,AllTriggers)</f>
        <v>0.88287787679456953</v>
      </c>
      <c r="W770" s="33">
        <f t="shared" si="53"/>
        <v>1.5111497110424921E-2</v>
      </c>
      <c r="X770" s="35">
        <f t="shared" si="54"/>
        <v>3.094618810461176E-4</v>
      </c>
      <c r="Y770" s="33">
        <f t="shared" si="55"/>
        <v>1.2427162332393493E-3</v>
      </c>
      <c r="Z770" s="54"/>
    </row>
    <row r="771" spans="15:26" x14ac:dyDescent="0.25">
      <c r="O771" s="37" t="s">
        <v>19</v>
      </c>
      <c r="P771" s="31">
        <f>_xll.qlCalendarAdvance(Calendar,P770,O770,"f",,Trigger)</f>
        <v>47136</v>
      </c>
      <c r="Q771" s="31">
        <f>_xll.qlInterestRateIndexValueDate(Index,P771,Trigger)</f>
        <v>47140</v>
      </c>
      <c r="R771" s="31">
        <f>_xll.qlInterestRateIndexMaturity(Index,Q771,Trigger)</f>
        <v>47231</v>
      </c>
      <c r="S771" s="32">
        <f>_xll.qlDayCounterYearFraction(DayCounter,Q771,R771,,,Trigger)</f>
        <v>0.25277777777777777</v>
      </c>
      <c r="T771" s="33">
        <f>_xll.qlIndexFixing(Index,P771,,AllTriggers)</f>
        <v>1.6350463886322487E-2</v>
      </c>
      <c r="U771" s="34">
        <f>_xll.qlYieldTSDiscount(OisCurve,Q771,,AllTriggers)</f>
        <v>0.88498919041204893</v>
      </c>
      <c r="V771" s="34">
        <f>_xll.qlYieldTSDiscount(OisCurve,R771,,AllTriggers)</f>
        <v>0.88162046856190668</v>
      </c>
      <c r="W771" s="33">
        <f t="shared" si="53"/>
        <v>1.5116268496564054E-2</v>
      </c>
      <c r="X771" s="35">
        <f t="shared" si="54"/>
        <v>3.1074133808557355E-4</v>
      </c>
      <c r="Y771" s="33">
        <f t="shared" si="55"/>
        <v>1.2341953897584326E-3</v>
      </c>
      <c r="Z771" s="54"/>
    </row>
    <row r="772" spans="15:26" x14ac:dyDescent="0.25">
      <c r="O772" s="37" t="s">
        <v>19</v>
      </c>
      <c r="P772" s="31">
        <f>_xll.qlCalendarAdvance(Calendar,P771,O771,"f",,Trigger)</f>
        <v>47168</v>
      </c>
      <c r="Q772" s="31">
        <f>_xll.qlInterestRateIndexValueDate(Index,P772,Trigger)</f>
        <v>47170</v>
      </c>
      <c r="R772" s="31">
        <f>_xll.qlInterestRateIndexMaturity(Index,Q772,Trigger)</f>
        <v>47259</v>
      </c>
      <c r="S772" s="32">
        <f>_xll.qlDayCounterYearFraction(DayCounter,Q772,R772,,,Trigger)</f>
        <v>0.24722222222222223</v>
      </c>
      <c r="T772" s="33">
        <f>_xll.qlIndexFixing(Index,P772,,AllTriggers)</f>
        <v>1.6345079140774738E-2</v>
      </c>
      <c r="U772" s="34">
        <f>_xll.qlYieldTSDiscount(OisCurve,Q772,,AllTriggers)</f>
        <v>0.88387747580403808</v>
      </c>
      <c r="V772" s="34">
        <f>_xll.qlYieldTSDiscount(OisCurve,R772,,AllTriggers)</f>
        <v>0.88058614265772228</v>
      </c>
      <c r="W772" s="33">
        <f t="shared" ref="W772:W835" si="56">(U772/V772-1)/S772</f>
        <v>1.5118631813021532E-2</v>
      </c>
      <c r="X772" s="35">
        <f t="shared" ref="X772:X835" si="57">LN((1+T772*S772)/(1+W772*S772))</f>
        <v>3.0203036022194836E-4</v>
      </c>
      <c r="Y772" s="33">
        <f t="shared" ref="Y772:Y835" si="58">T772-W772</f>
        <v>1.2264473277532051E-3</v>
      </c>
      <c r="Z772" s="54"/>
    </row>
    <row r="773" spans="15:26" x14ac:dyDescent="0.25">
      <c r="O773" s="37" t="s">
        <v>19</v>
      </c>
      <c r="P773" s="31">
        <f>_xll.qlCalendarAdvance(Calendar,P772,O772,"f",,Trigger)</f>
        <v>47196</v>
      </c>
      <c r="Q773" s="31">
        <f>_xll.qlInterestRateIndexValueDate(Index,P773,Trigger)</f>
        <v>47198</v>
      </c>
      <c r="R773" s="31">
        <f>_xll.qlInterestRateIndexMaturity(Index,Q773,Trigger)</f>
        <v>47290</v>
      </c>
      <c r="S773" s="32">
        <f>_xll.qlDayCounterYearFraction(DayCounter,Q773,R773,,,Trigger)</f>
        <v>0.25555555555555554</v>
      </c>
      <c r="T773" s="33">
        <f>_xll.qlIndexFixing(Index,P773,,AllTriggers)</f>
        <v>1.6340370758855794E-2</v>
      </c>
      <c r="U773" s="34">
        <f>_xll.qlYieldTSDiscount(OisCurve,Q773,,AllTriggers)</f>
        <v>0.88284087242163101</v>
      </c>
      <c r="V773" s="34">
        <f>_xll.qlYieldTSDiscount(OisCurve,R773,,AllTriggers)</f>
        <v>0.87944231223152858</v>
      </c>
      <c r="W773" s="33">
        <f t="shared" si="56"/>
        <v>1.5121757962284791E-2</v>
      </c>
      <c r="X773" s="35">
        <f t="shared" si="57"/>
        <v>3.1017631404429269E-4</v>
      </c>
      <c r="Y773" s="33">
        <f t="shared" si="58"/>
        <v>1.2186127965710027E-3</v>
      </c>
      <c r="Z773" s="54"/>
    </row>
    <row r="774" spans="15:26" x14ac:dyDescent="0.25">
      <c r="O774" s="37" t="s">
        <v>19</v>
      </c>
      <c r="P774" s="31">
        <f>_xll.qlCalendarAdvance(Calendar,P773,O773,"f",,Trigger)</f>
        <v>47227</v>
      </c>
      <c r="Q774" s="31">
        <f>_xll.qlInterestRateIndexValueDate(Index,P774,Trigger)</f>
        <v>47231</v>
      </c>
      <c r="R774" s="31">
        <f>_xll.qlInterestRateIndexMaturity(Index,Q774,Trigger)</f>
        <v>47322</v>
      </c>
      <c r="S774" s="32">
        <f>_xll.qlDayCounterYearFraction(DayCounter,Q774,R774,,,Trigger)</f>
        <v>0.25277777777777777</v>
      </c>
      <c r="T774" s="33">
        <f>_xll.qlIndexFixing(Index,P774,,AllTriggers)</f>
        <v>1.6332402282724253E-2</v>
      </c>
      <c r="U774" s="34">
        <f>_xll.qlYieldTSDiscount(OisCurve,Q774,,AllTriggers)</f>
        <v>0.88162046856190668</v>
      </c>
      <c r="V774" s="34">
        <f>_xll.qlYieldTSDiscount(OisCurve,R774,,AllTriggers)</f>
        <v>0.8782631052862574</v>
      </c>
      <c r="W774" s="33">
        <f t="shared" si="56"/>
        <v>1.5122890412830369E-2</v>
      </c>
      <c r="X774" s="35">
        <f t="shared" si="57"/>
        <v>3.0452704745466571E-4</v>
      </c>
      <c r="Y774" s="33">
        <f t="shared" si="58"/>
        <v>1.2095118698938843E-3</v>
      </c>
      <c r="Z774" s="54"/>
    </row>
    <row r="775" spans="15:26" x14ac:dyDescent="0.25">
      <c r="O775" s="37" t="s">
        <v>19</v>
      </c>
      <c r="P775" s="31">
        <f>_xll.qlCalendarAdvance(Calendar,P774,O774,"f",,Trigger)</f>
        <v>47259</v>
      </c>
      <c r="Q775" s="31">
        <f>_xll.qlInterestRateIndexValueDate(Index,P775,Trigger)</f>
        <v>47261</v>
      </c>
      <c r="R775" s="31">
        <f>_xll.qlInterestRateIndexMaturity(Index,Q775,Trigger)</f>
        <v>47353</v>
      </c>
      <c r="S775" s="32">
        <f>_xll.qlDayCounterYearFraction(DayCounter,Q775,R775,,,Trigger)</f>
        <v>0.25555555555555554</v>
      </c>
      <c r="T775" s="33">
        <f>_xll.qlIndexFixing(Index,P775,,AllTriggers)</f>
        <v>1.6324454150911105E-2</v>
      </c>
      <c r="U775" s="34">
        <f>_xll.qlYieldTSDiscount(OisCurve,Q775,,AllTriggers)</f>
        <v>0.88051230473973396</v>
      </c>
      <c r="V775" s="34">
        <f>_xll.qlYieldTSDiscount(OisCurve,R775,,AllTriggers)</f>
        <v>0.87712229250163509</v>
      </c>
      <c r="W775" s="33">
        <f t="shared" si="56"/>
        <v>1.5123621179076079E-2</v>
      </c>
      <c r="X775" s="35">
        <f t="shared" si="57"/>
        <v>3.0565132101002715E-4</v>
      </c>
      <c r="Y775" s="33">
        <f t="shared" si="58"/>
        <v>1.2008329718350263E-3</v>
      </c>
      <c r="Z775" s="54"/>
    </row>
    <row r="776" spans="15:26" x14ac:dyDescent="0.25">
      <c r="O776" s="37" t="s">
        <v>19</v>
      </c>
      <c r="P776" s="31">
        <f>_xll.qlCalendarAdvance(Calendar,P775,O775,"f",,Trigger)</f>
        <v>47290</v>
      </c>
      <c r="Q776" s="31">
        <f>_xll.qlInterestRateIndexValueDate(Index,P776,Trigger)</f>
        <v>47294</v>
      </c>
      <c r="R776" s="31">
        <f>_xll.qlInterestRateIndexMaturity(Index,Q776,Trigger)</f>
        <v>47386</v>
      </c>
      <c r="S776" s="32">
        <f>_xll.qlDayCounterYearFraction(DayCounter,Q776,R776,,,Trigger)</f>
        <v>0.25555555555555554</v>
      </c>
      <c r="T776" s="33">
        <f>_xll.qlIndexFixing(Index,P776,,AllTriggers)</f>
        <v>1.6314189172280526E-2</v>
      </c>
      <c r="U776" s="34">
        <f>_xll.qlYieldTSDiscount(OisCurve,Q776,,AllTriggers)</f>
        <v>0.87929482534648962</v>
      </c>
      <c r="V776" s="34">
        <f>_xll.qlYieldTSDiscount(OisCurve,R776,,AllTriggers)</f>
        <v>0.8759096256929102</v>
      </c>
      <c r="W776" s="33">
        <f t="shared" si="56"/>
        <v>1.5123059546891842E-2</v>
      </c>
      <c r="X776" s="35">
        <f t="shared" si="57"/>
        <v>3.0318191924063145E-4</v>
      </c>
      <c r="Y776" s="33">
        <f t="shared" si="58"/>
        <v>1.1911296253886844E-3</v>
      </c>
      <c r="Z776" s="54"/>
    </row>
    <row r="777" spans="15:26" x14ac:dyDescent="0.25">
      <c r="O777" s="37" t="s">
        <v>19</v>
      </c>
      <c r="P777" s="31">
        <f>_xll.qlCalendarAdvance(Calendar,P776,O776,"f",,Trigger)</f>
        <v>47322</v>
      </c>
      <c r="Q777" s="31">
        <f>_xll.qlInterestRateIndexValueDate(Index,P777,Trigger)</f>
        <v>47324</v>
      </c>
      <c r="R777" s="31">
        <f>_xll.qlInterestRateIndexMaturity(Index,Q777,Trigger)</f>
        <v>47416</v>
      </c>
      <c r="S777" s="32">
        <f>_xll.qlDayCounterYearFraction(DayCounter,Q777,R777,,,Trigger)</f>
        <v>0.25555555555555554</v>
      </c>
      <c r="T777" s="33">
        <f>_xll.qlIndexFixing(Index,P777,,AllTriggers)</f>
        <v>1.6303707331675479E-2</v>
      </c>
      <c r="U777" s="34">
        <f>_xll.qlYieldTSDiscount(OisCurve,Q777,,AllTriggers)</f>
        <v>0.87818945785709412</v>
      </c>
      <c r="V777" s="34">
        <f>_xll.qlYieldTSDiscount(OisCurve,R777,,AllTriggers)</f>
        <v>0.87480883175526702</v>
      </c>
      <c r="W777" s="33">
        <f t="shared" si="56"/>
        <v>1.5121631652541257E-2</v>
      </c>
      <c r="X777" s="35">
        <f t="shared" si="57"/>
        <v>3.0087784621812082E-4</v>
      </c>
      <c r="Y777" s="33">
        <f t="shared" si="58"/>
        <v>1.1820756791342223E-3</v>
      </c>
      <c r="Z777" s="54"/>
    </row>
    <row r="778" spans="15:26" x14ac:dyDescent="0.25">
      <c r="O778" s="37" t="s">
        <v>19</v>
      </c>
      <c r="P778" s="31">
        <f>_xll.qlCalendarAdvance(Calendar,P777,O777,"f",,Trigger)</f>
        <v>47353</v>
      </c>
      <c r="Q778" s="31">
        <f>_xll.qlInterestRateIndexValueDate(Index,P778,Trigger)</f>
        <v>47357</v>
      </c>
      <c r="R778" s="31">
        <f>_xll.qlInterestRateIndexMaturity(Index,Q778,Trigger)</f>
        <v>47449</v>
      </c>
      <c r="S778" s="32">
        <f>_xll.qlDayCounterYearFraction(DayCounter,Q778,R778,,,Trigger)</f>
        <v>0.25555555555555554</v>
      </c>
      <c r="T778" s="33">
        <f>_xll.qlIndexFixing(Index,P778,,AllTriggers)</f>
        <v>1.6290912271776058E-2</v>
      </c>
      <c r="U778" s="34">
        <f>_xll.qlYieldTSDiscount(OisCurve,Q778,,AllTriggers)</f>
        <v>0.87697520510307825</v>
      </c>
      <c r="V778" s="34">
        <f>_xll.qlYieldTSDiscount(OisCurve,R778,,AllTriggers)</f>
        <v>0.87359982703377137</v>
      </c>
      <c r="W778" s="33">
        <f t="shared" si="56"/>
        <v>1.5119051918328052E-2</v>
      </c>
      <c r="X778" s="35">
        <f t="shared" si="57"/>
        <v>2.982782873378309E-4</v>
      </c>
      <c r="Y778" s="33">
        <f t="shared" si="58"/>
        <v>1.1718603534480055E-3</v>
      </c>
      <c r="Z778" s="54"/>
    </row>
    <row r="779" spans="15:26" x14ac:dyDescent="0.25">
      <c r="O779" s="37" t="s">
        <v>19</v>
      </c>
      <c r="P779" s="31">
        <f>_xll.qlCalendarAdvance(Calendar,P778,O778,"f",,Trigger)</f>
        <v>47385</v>
      </c>
      <c r="Q779" s="31">
        <f>_xll.qlInterestRateIndexValueDate(Index,P779,Trigger)</f>
        <v>47387</v>
      </c>
      <c r="R779" s="31">
        <f>_xll.qlInterestRateIndexMaturity(Index,Q779,Trigger)</f>
        <v>47479</v>
      </c>
      <c r="S779" s="32">
        <f>_xll.qlDayCounterYearFraction(DayCounter,Q779,R779,,,Trigger)</f>
        <v>0.25555555555555554</v>
      </c>
      <c r="T779" s="33">
        <f>_xll.qlIndexFixing(Index,P779,,AllTriggers)</f>
        <v>1.6278130377660752E-2</v>
      </c>
      <c r="U779" s="34">
        <f>_xll.qlYieldTSDiscount(OisCurve,Q779,,AllTriggers)</f>
        <v>0.87587290717224842</v>
      </c>
      <c r="V779" s="34">
        <f>_xll.qlYieldTSDiscount(OisCurve,R779,,AllTriggers)</f>
        <v>0.87250249637832444</v>
      </c>
      <c r="W779" s="33">
        <f t="shared" si="56"/>
        <v>1.5115789388533033E-2</v>
      </c>
      <c r="X779" s="35">
        <f t="shared" si="57"/>
        <v>2.9585588966905829E-4</v>
      </c>
      <c r="Y779" s="33">
        <f t="shared" si="58"/>
        <v>1.1623409891277185E-3</v>
      </c>
      <c r="Z779" s="54"/>
    </row>
    <row r="780" spans="15:26" x14ac:dyDescent="0.25">
      <c r="O780" s="37" t="s">
        <v>19</v>
      </c>
      <c r="P780" s="31">
        <f>_xll.qlCalendarAdvance(Calendar,P779,O779,"f",,Trigger)</f>
        <v>47415</v>
      </c>
      <c r="Q780" s="31">
        <f>_xll.qlInterestRateIndexValueDate(Index,P780,Trigger)</f>
        <v>47417</v>
      </c>
      <c r="R780" s="31">
        <f>_xll.qlInterestRateIndexMaturity(Index,Q780,Trigger)</f>
        <v>47511</v>
      </c>
      <c r="S780" s="32">
        <f>_xll.qlDayCounterYearFraction(DayCounter,Q780,R780,,,Trigger)</f>
        <v>0.26111111111111113</v>
      </c>
      <c r="T780" s="33">
        <f>_xll.qlIndexFixing(Index,P780,,AllTriggers)</f>
        <v>1.6264486694140184E-2</v>
      </c>
      <c r="U780" s="34">
        <f>_xll.qlYieldTSDiscount(OisCurve,Q780,,AllTriggers)</f>
        <v>0.87477216611447672</v>
      </c>
      <c r="V780" s="34">
        <f>_xll.qlYieldTSDiscount(OisCurve,R780,,AllTriggers)</f>
        <v>0.87133393284096983</v>
      </c>
      <c r="W780" s="33">
        <f t="shared" si="56"/>
        <v>1.5112118789640167E-2</v>
      </c>
      <c r="X780" s="35">
        <f t="shared" si="57"/>
        <v>2.996685070806604E-4</v>
      </c>
      <c r="Y780" s="33">
        <f t="shared" si="58"/>
        <v>1.1523679045000179E-3</v>
      </c>
      <c r="Z780" s="54"/>
    </row>
    <row r="781" spans="15:26" x14ac:dyDescent="0.25">
      <c r="O781" s="37" t="s">
        <v>19</v>
      </c>
      <c r="P781" s="31">
        <f>_xll.qlCalendarAdvance(Calendar,P780,O780,"f",,Trigger)</f>
        <v>47448</v>
      </c>
      <c r="Q781" s="31">
        <f>_xll.qlInterestRateIndexValueDate(Index,P781,Trigger)</f>
        <v>47450</v>
      </c>
      <c r="R781" s="31">
        <f>_xll.qlInterestRateIndexMaturity(Index,Q781,Trigger)</f>
        <v>47542</v>
      </c>
      <c r="S781" s="32">
        <f>_xll.qlDayCounterYearFraction(DayCounter,Q781,R781,,,Trigger)</f>
        <v>0.25555555555555554</v>
      </c>
      <c r="T781" s="33">
        <f>_xll.qlIndexFixing(Index,P781,,AllTriggers)</f>
        <v>1.6247723383189732E-2</v>
      </c>
      <c r="U781" s="34">
        <f>_xll.qlYieldTSDiscount(OisCurve,Q781,,AllTriggers)</f>
        <v>0.87356322190206592</v>
      </c>
      <c r="V781" s="34">
        <f>_xll.qlYieldTSDiscount(OisCurve,R781,,AllTriggers)</f>
        <v>0.87020384664050376</v>
      </c>
      <c r="W781" s="33">
        <f t="shared" si="56"/>
        <v>1.5106094404242874E-2</v>
      </c>
      <c r="X781" s="35">
        <f t="shared" si="57"/>
        <v>2.9058545136303814E-4</v>
      </c>
      <c r="Y781" s="33">
        <f t="shared" si="58"/>
        <v>1.141628978946858E-3</v>
      </c>
      <c r="Z781" s="54"/>
    </row>
    <row r="782" spans="15:26" x14ac:dyDescent="0.25">
      <c r="O782" s="37" t="s">
        <v>19</v>
      </c>
      <c r="P782" s="31">
        <f>_xll.qlCalendarAdvance(Calendar,P781,O781,"f",,Trigger)</f>
        <v>47479</v>
      </c>
      <c r="Q782" s="31">
        <f>_xll.qlInterestRateIndexValueDate(Index,P782,Trigger)</f>
        <v>47483</v>
      </c>
      <c r="R782" s="31">
        <f>_xll.qlInterestRateIndexMaturity(Index,Q782,Trigger)</f>
        <v>47571</v>
      </c>
      <c r="S782" s="32">
        <f>_xll.qlDayCounterYearFraction(DayCounter,Q782,R782,,,Trigger)</f>
        <v>0.24444444444444444</v>
      </c>
      <c r="T782" s="33">
        <f>_xll.qlIndexFixing(Index,P782,,AllTriggers)</f>
        <v>1.6229563187853957E-2</v>
      </c>
      <c r="U782" s="34">
        <f>_xll.qlYieldTSDiscount(OisCurve,Q782,,AllTriggers)</f>
        <v>0.87235631599423091</v>
      </c>
      <c r="V782" s="34">
        <f>_xll.qlYieldTSDiscount(OisCurve,R782,,AllTriggers)</f>
        <v>0.86914847419691021</v>
      </c>
      <c r="W782" s="33">
        <f t="shared" si="56"/>
        <v>1.5098673656400417E-2</v>
      </c>
      <c r="X782" s="35">
        <f t="shared" si="57"/>
        <v>2.7538521315793922E-4</v>
      </c>
      <c r="Y782" s="33">
        <f t="shared" si="58"/>
        <v>1.1308895314535404E-3</v>
      </c>
      <c r="Z782" s="54"/>
    </row>
    <row r="783" spans="15:26" x14ac:dyDescent="0.25">
      <c r="O783" s="37" t="s">
        <v>19</v>
      </c>
      <c r="P783" s="31">
        <f>_xll.qlCalendarAdvance(Calendar,P782,O782,"f",,Trigger)</f>
        <v>47511</v>
      </c>
      <c r="Q783" s="31">
        <f>_xll.qlInterestRateIndexValueDate(Index,P783,Trigger)</f>
        <v>47513</v>
      </c>
      <c r="R783" s="31">
        <f>_xll.qlInterestRateIndexMaturity(Index,Q783,Trigger)</f>
        <v>47603</v>
      </c>
      <c r="S783" s="32">
        <f>_xll.qlDayCounterYearFraction(DayCounter,Q783,R783,,,Trigger)</f>
        <v>0.25</v>
      </c>
      <c r="T783" s="33">
        <f>_xll.qlIndexFixing(Index,P783,,AllTriggers)</f>
        <v>1.6212372806277742E-2</v>
      </c>
      <c r="U783" s="34">
        <f>_xll.qlYieldTSDiscount(OisCurve,Q783,,AllTriggers)</f>
        <v>0.87126096512573203</v>
      </c>
      <c r="V783" s="34">
        <f>_xll.qlYieldTSDiscount(OisCurve,R783,,AllTriggers)</f>
        <v>0.86798601598763747</v>
      </c>
      <c r="W783" s="33">
        <f t="shared" si="56"/>
        <v>1.509217465614654E-2</v>
      </c>
      <c r="X783" s="35">
        <f t="shared" si="57"/>
        <v>2.7895795777020693E-4</v>
      </c>
      <c r="Y783" s="33">
        <f t="shared" si="58"/>
        <v>1.1201981501312019E-3</v>
      </c>
      <c r="Z783" s="54"/>
    </row>
    <row r="784" spans="15:26" x14ac:dyDescent="0.25">
      <c r="O784" s="37" t="s">
        <v>19</v>
      </c>
      <c r="P784" s="31">
        <f>_xll.qlCalendarAdvance(Calendar,P783,O783,"f",,Trigger)</f>
        <v>47542</v>
      </c>
      <c r="Q784" s="31">
        <f>_xll.qlInterestRateIndexValueDate(Index,P784,Trigger)</f>
        <v>47546</v>
      </c>
      <c r="R784" s="31">
        <f>_xll.qlInterestRateIndexMaturity(Index,Q784,Trigger)</f>
        <v>47638</v>
      </c>
      <c r="S784" s="32">
        <f>_xll.qlDayCounterYearFraction(DayCounter,Q784,R784,,,Trigger)</f>
        <v>0.25555555555555554</v>
      </c>
      <c r="T784" s="33">
        <f>_xll.qlIndexFixing(Index,P784,,AllTriggers)</f>
        <v>1.6192137996775161E-2</v>
      </c>
      <c r="U784" s="34">
        <f>_xll.qlYieldTSDiscount(OisCurve,Q784,,AllTriggers)</f>
        <v>0.87005817300796084</v>
      </c>
      <c r="V784" s="34">
        <f>_xll.qlYieldTSDiscount(OisCurve,R784,,AllTriggers)</f>
        <v>0.86671716564805479</v>
      </c>
      <c r="W784" s="33">
        <f t="shared" si="56"/>
        <v>1.5083936927367852E-2</v>
      </c>
      <c r="X784" s="35">
        <f t="shared" si="57"/>
        <v>2.8207964232288495E-4</v>
      </c>
      <c r="Y784" s="33">
        <f t="shared" si="58"/>
        <v>1.1082010694073094E-3</v>
      </c>
      <c r="Z784" s="54"/>
    </row>
    <row r="785" spans="15:26" x14ac:dyDescent="0.25">
      <c r="O785" s="37" t="s">
        <v>19</v>
      </c>
      <c r="P785" s="31">
        <f>_xll.qlCalendarAdvance(Calendar,P784,O784,"f",,Trigger)</f>
        <v>47570</v>
      </c>
      <c r="Q785" s="31">
        <f>_xll.qlInterestRateIndexValueDate(Index,P785,Trigger)</f>
        <v>47574</v>
      </c>
      <c r="R785" s="31">
        <f>_xll.qlInterestRateIndexMaturity(Index,Q785,Trigger)</f>
        <v>47665</v>
      </c>
      <c r="S785" s="32">
        <f>_xll.qlDayCounterYearFraction(DayCounter,Q785,R785,,,Trigger)</f>
        <v>0.25277777777777777</v>
      </c>
      <c r="T785" s="33">
        <f>_xll.qlIndexFixing(Index,P785,,AllTriggers)</f>
        <v>1.6174043514835527E-2</v>
      </c>
      <c r="U785" s="34">
        <f>_xll.qlYieldTSDiscount(OisCurve,Q785,,AllTriggers)</f>
        <v>0.8690393995408332</v>
      </c>
      <c r="V785" s="34">
        <f>_xll.qlYieldTSDiscount(OisCurve,R785,,AllTriggers)</f>
        <v>0.86574021362388054</v>
      </c>
      <c r="W785" s="33">
        <f t="shared" si="56"/>
        <v>1.5075797914010296E-2</v>
      </c>
      <c r="X785" s="35">
        <f t="shared" si="57"/>
        <v>2.7651993202405394E-4</v>
      </c>
      <c r="Y785" s="33">
        <f t="shared" si="58"/>
        <v>1.098245600825231E-3</v>
      </c>
      <c r="Z785" s="54"/>
    </row>
    <row r="786" spans="15:26" x14ac:dyDescent="0.25">
      <c r="O786" s="37" t="s">
        <v>19</v>
      </c>
      <c r="P786" s="31">
        <f>_xll.qlCalendarAdvance(Calendar,P785,O785,"f",,Trigger)</f>
        <v>47602</v>
      </c>
      <c r="Q786" s="31">
        <f>_xll.qlInterestRateIndexValueDate(Index,P786,Trigger)</f>
        <v>47605</v>
      </c>
      <c r="R786" s="31">
        <f>_xll.qlInterestRateIndexMaturity(Index,Q786,Trigger)</f>
        <v>47697</v>
      </c>
      <c r="S786" s="32">
        <f>_xll.qlDayCounterYearFraction(DayCounter,Q786,R786,,,Trigger)</f>
        <v>0.25555555555555554</v>
      </c>
      <c r="T786" s="33">
        <f>_xll.qlIndexFixing(Index,P786,,AllTriggers)</f>
        <v>1.6153533170086738E-2</v>
      </c>
      <c r="U786" s="34">
        <f>_xll.qlYieldTSDiscount(OisCurve,Q786,,AllTriggers)</f>
        <v>0.86791343674459587</v>
      </c>
      <c r="V786" s="34">
        <f>_xll.qlYieldTSDiscount(OisCurve,R786,,AllTriggers)</f>
        <v>0.86458447596589361</v>
      </c>
      <c r="W786" s="33">
        <f t="shared" si="56"/>
        <v>1.5066622899901327E-2</v>
      </c>
      <c r="X786" s="35">
        <f t="shared" si="57"/>
        <v>2.766622868480689E-4</v>
      </c>
      <c r="Y786" s="33">
        <f t="shared" si="58"/>
        <v>1.0869102701854105E-3</v>
      </c>
      <c r="Z786" s="54"/>
    </row>
    <row r="787" spans="15:26" x14ac:dyDescent="0.25">
      <c r="O787" s="37" t="s">
        <v>19</v>
      </c>
      <c r="P787" s="31">
        <f>_xll.qlCalendarAdvance(Calendar,P786,O786,"f",,Trigger)</f>
        <v>47632</v>
      </c>
      <c r="Q787" s="31">
        <f>_xll.qlInterestRateIndexValueDate(Index,P787,Trigger)</f>
        <v>47634</v>
      </c>
      <c r="R787" s="31">
        <f>_xll.qlInterestRateIndexMaturity(Index,Q787,Trigger)</f>
        <v>47725</v>
      </c>
      <c r="S787" s="32">
        <f>_xll.qlDayCounterYearFraction(DayCounter,Q787,R787,,,Trigger)</f>
        <v>0.25277777777777777</v>
      </c>
      <c r="T787" s="33">
        <f>_xll.qlIndexFixing(Index,P787,,AllTriggers)</f>
        <v>1.6134039713623264E-2</v>
      </c>
      <c r="U787" s="34">
        <f>_xll.qlYieldTSDiscount(OisCurve,Q787,,AllTriggers)</f>
        <v>0.86686203855741883</v>
      </c>
      <c r="V787" s="34">
        <f>_xll.qlYieldTSDiscount(OisCurve,R787,,AllTriggers)</f>
        <v>0.86357511533952502</v>
      </c>
      <c r="W787" s="33">
        <f t="shared" si="56"/>
        <v>1.5057419440597278E-2</v>
      </c>
      <c r="X787" s="35">
        <f t="shared" si="57"/>
        <v>2.7107702733374827E-4</v>
      </c>
      <c r="Y787" s="33">
        <f t="shared" si="58"/>
        <v>1.0766202730259859E-3</v>
      </c>
      <c r="Z787" s="54"/>
    </row>
    <row r="788" spans="15:26" x14ac:dyDescent="0.25">
      <c r="O788" s="37" t="s">
        <v>19</v>
      </c>
      <c r="P788" s="31">
        <f>_xll.qlCalendarAdvance(Calendar,P787,O787,"f",,Trigger)</f>
        <v>47665</v>
      </c>
      <c r="Q788" s="31">
        <f>_xll.qlInterestRateIndexValueDate(Index,P788,Trigger)</f>
        <v>47667</v>
      </c>
      <c r="R788" s="31">
        <f>_xll.qlInterestRateIndexMaturity(Index,Q788,Trigger)</f>
        <v>47759</v>
      </c>
      <c r="S788" s="32">
        <f>_xll.qlDayCounterYearFraction(DayCounter,Q788,R788,,,Trigger)</f>
        <v>0.25555555555555554</v>
      </c>
      <c r="T788" s="33">
        <f>_xll.qlIndexFixing(Index,P788,,AllTriggers)</f>
        <v>1.6111708042675706E-2</v>
      </c>
      <c r="U788" s="34">
        <f>_xll.qlYieldTSDiscount(OisCurve,Q788,,AllTriggers)</f>
        <v>0.86566791212686933</v>
      </c>
      <c r="V788" s="34">
        <f>_xll.qlYieldTSDiscount(OisCurve,R788,,AllTriggers)</f>
        <v>0.86235187736100616</v>
      </c>
      <c r="W788" s="33">
        <f t="shared" si="56"/>
        <v>1.5046976245887231E-2</v>
      </c>
      <c r="X788" s="35">
        <f t="shared" si="57"/>
        <v>2.7101909548943114E-4</v>
      </c>
      <c r="Y788" s="33">
        <f t="shared" si="58"/>
        <v>1.0647317967884748E-3</v>
      </c>
      <c r="Z788" s="54"/>
    </row>
    <row r="789" spans="15:26" x14ac:dyDescent="0.25">
      <c r="O789" s="37" t="s">
        <v>19</v>
      </c>
      <c r="P789" s="31">
        <f>_xll.qlCalendarAdvance(Calendar,P788,O788,"f",,Trigger)</f>
        <v>47696</v>
      </c>
      <c r="Q789" s="31">
        <f>_xll.qlInterestRateIndexValueDate(Index,P789,Trigger)</f>
        <v>47700</v>
      </c>
      <c r="R789" s="31">
        <f>_xll.qlInterestRateIndexMaturity(Index,Q789,Trigger)</f>
        <v>47792</v>
      </c>
      <c r="S789" s="32">
        <f>_xll.qlDayCounterYearFraction(DayCounter,Q789,R789,,,Trigger)</f>
        <v>0.25555555555555554</v>
      </c>
      <c r="T789" s="33">
        <f>_xll.qlIndexFixing(Index,P789,,AllTriggers)</f>
        <v>1.6089144059562445E-2</v>
      </c>
      <c r="U789" s="34">
        <f>_xll.qlYieldTSDiscount(OisCurve,Q789,,AllTriggers)</f>
        <v>0.86447624468753126</v>
      </c>
      <c r="V789" s="34">
        <f>_xll.qlYieldTSDiscount(OisCurve,R789,,AllTriggers)</f>
        <v>0.86116716793363202</v>
      </c>
      <c r="W789" s="33">
        <f t="shared" si="56"/>
        <v>1.5036060004447752E-2</v>
      </c>
      <c r="X789" s="35">
        <f t="shared" si="57"/>
        <v>2.6805539672276175E-4</v>
      </c>
      <c r="Y789" s="33">
        <f t="shared" si="58"/>
        <v>1.0530840551146933E-3</v>
      </c>
      <c r="Z789" s="54"/>
    </row>
    <row r="790" spans="15:26" x14ac:dyDescent="0.25">
      <c r="O790" s="37" t="s">
        <v>19</v>
      </c>
      <c r="P790" s="31">
        <f>_xll.qlCalendarAdvance(Calendar,P789,O789,"f",,Trigger)</f>
        <v>47728</v>
      </c>
      <c r="Q790" s="31">
        <f>_xll.qlInterestRateIndexValueDate(Index,P790,Trigger)</f>
        <v>47730</v>
      </c>
      <c r="R790" s="31">
        <f>_xll.qlInterestRateIndexMaturity(Index,Q790,Trigger)</f>
        <v>47821</v>
      </c>
      <c r="S790" s="32">
        <f>_xll.qlDayCounterYearFraction(DayCounter,Q790,R790,,,Trigger)</f>
        <v>0.25277777777777777</v>
      </c>
      <c r="T790" s="33">
        <f>_xll.qlIndexFixing(Index,P790,,AllTriggers)</f>
        <v>1.6068438958804616E-2</v>
      </c>
      <c r="U790" s="34">
        <f>_xll.qlYieldTSDiscount(OisCurve,Q790,,AllTriggers)</f>
        <v>0.86339506090927753</v>
      </c>
      <c r="V790" s="34">
        <f>_xll.qlYieldTSDiscount(OisCurve,R790,,AllTriggers)</f>
        <v>0.86012814945940042</v>
      </c>
      <c r="W790" s="33">
        <f t="shared" si="56"/>
        <v>1.5025720649114609E-2</v>
      </c>
      <c r="X790" s="35">
        <f t="shared" si="57"/>
        <v>2.6254423133400536E-4</v>
      </c>
      <c r="Y790" s="33">
        <f t="shared" si="58"/>
        <v>1.0427183096900078E-3</v>
      </c>
      <c r="Z790" s="54"/>
    </row>
    <row r="791" spans="15:26" x14ac:dyDescent="0.25">
      <c r="O791" s="37" t="s">
        <v>19</v>
      </c>
      <c r="P791" s="31">
        <f>_xll.qlCalendarAdvance(Calendar,P790,O790,"f",,Trigger)</f>
        <v>47758</v>
      </c>
      <c r="Q791" s="31">
        <f>_xll.qlInterestRateIndexValueDate(Index,P791,Trigger)</f>
        <v>47760</v>
      </c>
      <c r="R791" s="31">
        <f>_xll.qlInterestRateIndexMaturity(Index,Q791,Trigger)</f>
        <v>47854</v>
      </c>
      <c r="S791" s="32">
        <f>_xll.qlDayCounterYearFraction(DayCounter,Q791,R791,,,Trigger)</f>
        <v>0.26111111111111113</v>
      </c>
      <c r="T791" s="33">
        <f>_xll.qlIndexFixing(Index,P791,,AllTriggers)</f>
        <v>1.6047593853608204E-2</v>
      </c>
      <c r="U791" s="34">
        <f>_xll.qlYieldTSDiscount(OisCurve,Q791,,AllTriggers)</f>
        <v>0.86231594005511236</v>
      </c>
      <c r="V791" s="34">
        <f>_xll.qlYieldTSDiscount(OisCurve,R791,,AllTriggers)</f>
        <v>0.85894821333017357</v>
      </c>
      <c r="W791" s="33">
        <f t="shared" si="56"/>
        <v>1.5015662898826063E-2</v>
      </c>
      <c r="X791" s="35">
        <f t="shared" si="57"/>
        <v>2.6836030974202368E-4</v>
      </c>
      <c r="Y791" s="33">
        <f t="shared" si="58"/>
        <v>1.0319309547821408E-3</v>
      </c>
      <c r="Z791" s="54"/>
    </row>
    <row r="792" spans="15:26" x14ac:dyDescent="0.25">
      <c r="O792" s="37" t="s">
        <v>19</v>
      </c>
      <c r="P792" s="31">
        <f>_xll.qlCalendarAdvance(Calendar,P791,O791,"f",,Trigger)</f>
        <v>47791</v>
      </c>
      <c r="Q792" s="31">
        <f>_xll.qlInterestRateIndexValueDate(Index,P792,Trigger)</f>
        <v>47793</v>
      </c>
      <c r="R792" s="31">
        <f>_xll.qlInterestRateIndexMaturity(Index,Q792,Trigger)</f>
        <v>47885</v>
      </c>
      <c r="S792" s="32">
        <f>_xll.qlDayCounterYearFraction(DayCounter,Q792,R792,,,Trigger)</f>
        <v>0.25555555555555554</v>
      </c>
      <c r="T792" s="33">
        <f>_xll.qlIndexFixing(Index,P792,,AllTriggers)</f>
        <v>1.6024425842764617E-2</v>
      </c>
      <c r="U792" s="34">
        <f>_xll.qlYieldTSDiscount(OisCurve,Q792,,AllTriggers)</f>
        <v>0.8611313070816774</v>
      </c>
      <c r="V792" s="34">
        <f>_xll.qlYieldTSDiscount(OisCurve,R792,,AllTriggers)</f>
        <v>0.8578421273443142</v>
      </c>
      <c r="W792" s="33">
        <f t="shared" si="56"/>
        <v>1.5003580390673593E-2</v>
      </c>
      <c r="X792" s="35">
        <f t="shared" si="57"/>
        <v>2.5985249361241486E-4</v>
      </c>
      <c r="Y792" s="33">
        <f t="shared" si="58"/>
        <v>1.0208454520910237E-3</v>
      </c>
      <c r="Z792" s="54"/>
    </row>
    <row r="793" spans="15:26" x14ac:dyDescent="0.25">
      <c r="O793" s="37" t="s">
        <v>19</v>
      </c>
      <c r="P793" s="31">
        <f>_xll.qlCalendarAdvance(Calendar,P792,O792,"f",,Trigger)</f>
        <v>47821</v>
      </c>
      <c r="Q793" s="31">
        <f>_xll.qlInterestRateIndexValueDate(Index,P793,Trigger)</f>
        <v>47823</v>
      </c>
      <c r="R793" s="31">
        <f>_xll.qlInterestRateIndexMaturity(Index,Q793,Trigger)</f>
        <v>47913</v>
      </c>
      <c r="S793" s="32">
        <f>_xll.qlDayCounterYearFraction(DayCounter,Q793,R793,,,Trigger)</f>
        <v>0.25</v>
      </c>
      <c r="T793" s="33">
        <f>_xll.qlIndexFixing(Index,P793,,AllTriggers)</f>
        <v>1.6003196537124786E-2</v>
      </c>
      <c r="U793" s="34">
        <f>_xll.qlYieldTSDiscount(OisCurve,Q793,,AllTriggers)</f>
        <v>0.86005656542653486</v>
      </c>
      <c r="V793" s="34">
        <f>_xll.qlYieldTSDiscount(OisCurve,R793,,AllTriggers)</f>
        <v>0.85684504269094852</v>
      </c>
      <c r="W793" s="33">
        <f t="shared" si="56"/>
        <v>1.4992315182220217E-2</v>
      </c>
      <c r="X793" s="35">
        <f t="shared" si="57"/>
        <v>2.5174496954158399E-4</v>
      </c>
      <c r="Y793" s="33">
        <f t="shared" si="58"/>
        <v>1.0108813549045692E-3</v>
      </c>
      <c r="Z793" s="54"/>
    </row>
    <row r="794" spans="15:26" x14ac:dyDescent="0.25">
      <c r="O794" s="37" t="s">
        <v>19</v>
      </c>
      <c r="P794" s="31">
        <f>_xll.qlCalendarAdvance(Calendar,P793,O793,"f",,Trigger)</f>
        <v>47854</v>
      </c>
      <c r="Q794" s="31">
        <f>_xll.qlInterestRateIndexValueDate(Index,P794,Trigger)</f>
        <v>47856</v>
      </c>
      <c r="R794" s="31">
        <f>_xll.qlInterestRateIndexMaturity(Index,Q794,Trigger)</f>
        <v>47946</v>
      </c>
      <c r="S794" s="32">
        <f>_xll.qlDayCounterYearFraction(DayCounter,Q794,R794,,,Trigger)</f>
        <v>0.25</v>
      </c>
      <c r="T794" s="33">
        <f>_xll.qlIndexFixing(Index,P794,,AllTriggers)</f>
        <v>1.597964919452366E-2</v>
      </c>
      <c r="U794" s="34">
        <f>_xll.qlYieldTSDiscount(OisCurve,Q794,,AllTriggers)</f>
        <v>0.85887678439220827</v>
      </c>
      <c r="V794" s="34">
        <f>_xll.qlYieldTSDiscount(OisCurve,R794,,AllTriggers)</f>
        <v>0.85567231250522313</v>
      </c>
      <c r="W794" s="33">
        <f t="shared" si="56"/>
        <v>1.4979902189907968E-2</v>
      </c>
      <c r="X794" s="35">
        <f t="shared" si="57"/>
        <v>2.4897323996793256E-4</v>
      </c>
      <c r="Y794" s="33">
        <f t="shared" si="58"/>
        <v>9.9974700461569199E-4</v>
      </c>
      <c r="Z794" s="54"/>
    </row>
    <row r="795" spans="15:26" x14ac:dyDescent="0.25">
      <c r="O795" s="37" t="s">
        <v>19</v>
      </c>
      <c r="P795" s="31">
        <f>_xll.qlCalendarAdvance(Calendar,P794,O794,"f",,Trigger)</f>
        <v>47885</v>
      </c>
      <c r="Q795" s="31">
        <f>_xll.qlInterestRateIndexValueDate(Index,P795,Trigger)</f>
        <v>47889</v>
      </c>
      <c r="R795" s="31">
        <f>_xll.qlInterestRateIndexMaturity(Index,Q795,Trigger)</f>
        <v>47980</v>
      </c>
      <c r="S795" s="32">
        <f>_xll.qlDayCounterYearFraction(DayCounter,Q795,R795,,,Trigger)</f>
        <v>0.25277777777777777</v>
      </c>
      <c r="T795" s="33">
        <f>_xll.qlIndexFixing(Index,P795,,AllTriggers)</f>
        <v>1.5955882167532576E-2</v>
      </c>
      <c r="U795" s="34">
        <f>_xll.qlYieldTSDiscount(OisCurve,Q795,,AllTriggers)</f>
        <v>0.85769957244500794</v>
      </c>
      <c r="V795" s="34">
        <f>_xll.qlYieldTSDiscount(OisCurve,R795,,AllTriggers)</f>
        <v>0.85446678565475853</v>
      </c>
      <c r="W795" s="33">
        <f t="shared" si="56"/>
        <v>1.4967283524010879E-2</v>
      </c>
      <c r="X795" s="35">
        <f t="shared" si="57"/>
        <v>2.4892289308062107E-4</v>
      </c>
      <c r="Y795" s="33">
        <f t="shared" si="58"/>
        <v>9.8859864352169625E-4</v>
      </c>
      <c r="Z795" s="54"/>
    </row>
    <row r="796" spans="15:26" x14ac:dyDescent="0.25">
      <c r="O796" s="37" t="s">
        <v>19</v>
      </c>
      <c r="P796" s="31">
        <f>_xll.qlCalendarAdvance(Calendar,P795,O795,"f",,Trigger)</f>
        <v>47913</v>
      </c>
      <c r="Q796" s="31">
        <f>_xll.qlInterestRateIndexValueDate(Index,P796,Trigger)</f>
        <v>47917</v>
      </c>
      <c r="R796" s="31">
        <f>_xll.qlInterestRateIndexMaturity(Index,Q796,Trigger)</f>
        <v>48009</v>
      </c>
      <c r="S796" s="32">
        <f>_xll.qlDayCounterYearFraction(DayCounter,Q796,R796,,,Trigger)</f>
        <v>0.25555555555555554</v>
      </c>
      <c r="T796" s="33">
        <f>_xll.qlIndexFixing(Index,P796,,AllTriggers)</f>
        <v>1.59355429207239E-2</v>
      </c>
      <c r="U796" s="34">
        <f>_xll.qlYieldTSDiscount(OisCurve,Q796,,AllTriggers)</f>
        <v>0.85670275464991497</v>
      </c>
      <c r="V796" s="34">
        <f>_xll.qlYieldTSDiscount(OisCurve,R796,,AllTriggers)</f>
        <v>0.85344075523149054</v>
      </c>
      <c r="W796" s="33">
        <f t="shared" si="56"/>
        <v>1.495633466308254E-2</v>
      </c>
      <c r="X796" s="35">
        <f t="shared" si="57"/>
        <v>2.4925821575597768E-4</v>
      </c>
      <c r="Y796" s="33">
        <f t="shared" si="58"/>
        <v>9.7920825764136014E-4</v>
      </c>
      <c r="Z796" s="54"/>
    </row>
    <row r="797" spans="15:26" x14ac:dyDescent="0.25">
      <c r="O797" s="37" t="s">
        <v>19</v>
      </c>
      <c r="P797" s="31">
        <f>_xll.qlCalendarAdvance(Calendar,P796,O796,"f",,Trigger)</f>
        <v>47945</v>
      </c>
      <c r="Q797" s="31">
        <f>_xll.qlInterestRateIndexValueDate(Index,P797,Trigger)</f>
        <v>47947</v>
      </c>
      <c r="R797" s="31">
        <f>_xll.qlInterestRateIndexMaturity(Index,Q797,Trigger)</f>
        <v>48038</v>
      </c>
      <c r="S797" s="32">
        <f>_xll.qlDayCounterYearFraction(DayCounter,Q797,R797,,,Trigger)</f>
        <v>0.25277777777777777</v>
      </c>
      <c r="T797" s="33">
        <f>_xll.qlIndexFixing(Index,P797,,AllTriggers)</f>
        <v>1.5913611422751186E-2</v>
      </c>
      <c r="U797" s="34">
        <f>_xll.qlYieldTSDiscount(OisCurve,Q797,,AllTriggers)</f>
        <v>0.85563681603503616</v>
      </c>
      <c r="V797" s="34">
        <f>_xll.qlYieldTSDiscount(OisCurve,R797,,AllTriggers)</f>
        <v>0.85241677542580985</v>
      </c>
      <c r="W797" s="33">
        <f t="shared" si="56"/>
        <v>1.4944124233104764E-2</v>
      </c>
      <c r="X797" s="35">
        <f t="shared" si="57"/>
        <v>2.4411276054391341E-4</v>
      </c>
      <c r="Y797" s="33">
        <f t="shared" si="58"/>
        <v>9.6948718964642161E-4</v>
      </c>
      <c r="Z797" s="54"/>
    </row>
    <row r="798" spans="15:26" x14ac:dyDescent="0.25">
      <c r="O798" s="37" t="s">
        <v>19</v>
      </c>
      <c r="P798" s="31">
        <f>_xll.qlCalendarAdvance(Calendar,P797,O797,"f",,Trigger)</f>
        <v>47975</v>
      </c>
      <c r="Q798" s="31">
        <f>_xll.qlInterestRateIndexValueDate(Index,P798,Trigger)</f>
        <v>47977</v>
      </c>
      <c r="R798" s="31">
        <f>_xll.qlInterestRateIndexMaturity(Index,Q798,Trigger)</f>
        <v>48071</v>
      </c>
      <c r="S798" s="32">
        <f>_xll.qlDayCounterYearFraction(DayCounter,Q798,R798,,,Trigger)</f>
        <v>0.26111111111111113</v>
      </c>
      <c r="T798" s="33">
        <f>_xll.qlIndexFixing(Index,P798,,AllTriggers)</f>
        <v>1.5891428778790184E-2</v>
      </c>
      <c r="U798" s="34">
        <f>_xll.qlYieldTSDiscount(OisCurve,Q798,,AllTriggers)</f>
        <v>0.85457304327340444</v>
      </c>
      <c r="V798" s="34">
        <f>_xll.qlYieldTSDiscount(OisCurve,R798,,AllTriggers)</f>
        <v>0.85125406719151475</v>
      </c>
      <c r="W798" s="33">
        <f t="shared" si="56"/>
        <v>1.4932054622011861E-2</v>
      </c>
      <c r="X798" s="35">
        <f t="shared" si="57"/>
        <v>2.4949922430733419E-4</v>
      </c>
      <c r="Y798" s="33">
        <f t="shared" si="58"/>
        <v>9.5937415677832365E-4</v>
      </c>
      <c r="Z798" s="54"/>
    </row>
    <row r="799" spans="15:26" x14ac:dyDescent="0.25">
      <c r="O799" s="37" t="s">
        <v>19</v>
      </c>
      <c r="P799" s="31">
        <f>_xll.qlCalendarAdvance(Calendar,P798,O798,"f",,Trigger)</f>
        <v>48008</v>
      </c>
      <c r="Q799" s="31">
        <f>_xll.qlInterestRateIndexValueDate(Index,P799,Trigger)</f>
        <v>48010</v>
      </c>
      <c r="R799" s="31">
        <f>_xll.qlInterestRateIndexMaturity(Index,Q799,Trigger)</f>
        <v>48102</v>
      </c>
      <c r="S799" s="32">
        <f>_xll.qlDayCounterYearFraction(DayCounter,Q799,R799,,,Trigger)</f>
        <v>0.25555555555555554</v>
      </c>
      <c r="T799" s="33">
        <f>_xll.qlIndexFixing(Index,P799,,AllTriggers)</f>
        <v>1.5866936864449628E-2</v>
      </c>
      <c r="U799" s="34">
        <f>_xll.qlYieldTSDiscount(OisCurve,Q799,,AllTriggers)</f>
        <v>0.85340541137531423</v>
      </c>
      <c r="V799" s="34">
        <f>_xll.qlYieldTSDiscount(OisCurve,R799,,AllTriggers)</f>
        <v>0.85016427576422871</v>
      </c>
      <c r="W799" s="33">
        <f t="shared" si="56"/>
        <v>1.4917945774322523E-2</v>
      </c>
      <c r="X799" s="35">
        <f t="shared" si="57"/>
        <v>2.4156970208215223E-4</v>
      </c>
      <c r="Y799" s="33">
        <f t="shared" si="58"/>
        <v>9.4899109012710516E-4</v>
      </c>
      <c r="Z799" s="54"/>
    </row>
    <row r="800" spans="15:26" x14ac:dyDescent="0.25">
      <c r="O800" s="37" t="s">
        <v>19</v>
      </c>
      <c r="P800" s="31">
        <f>_xll.qlCalendarAdvance(Calendar,P799,O799,"f",,Trigger)</f>
        <v>48038</v>
      </c>
      <c r="Q800" s="31">
        <f>_xll.qlInterestRateIndexValueDate(Index,P800,Trigger)</f>
        <v>48040</v>
      </c>
      <c r="R800" s="31">
        <f>_xll.qlInterestRateIndexMaturity(Index,Q800,Trigger)</f>
        <v>48134</v>
      </c>
      <c r="S800" s="32">
        <f>_xll.qlDayCounterYearFraction(DayCounter,Q800,R800,,,Trigger)</f>
        <v>0.26111111111111113</v>
      </c>
      <c r="T800" s="33">
        <f>_xll.qlIndexFixing(Index,P800,,AllTriggers)</f>
        <v>1.5844391314643512E-2</v>
      </c>
      <c r="U800" s="34">
        <f>_xll.qlYieldTSDiscount(OisCurve,Q800,,AllTriggers)</f>
        <v>0.85234623203210247</v>
      </c>
      <c r="V800" s="34">
        <f>_xll.qlYieldTSDiscount(OisCurve,R800,,AllTriggers)</f>
        <v>0.8490418351298078</v>
      </c>
      <c r="W800" s="33">
        <f t="shared" si="56"/>
        <v>1.4905198482572738E-2</v>
      </c>
      <c r="X800" s="35">
        <f t="shared" si="57"/>
        <v>2.4425312370999667E-4</v>
      </c>
      <c r="Y800" s="33">
        <f t="shared" si="58"/>
        <v>9.3919283207077355E-4</v>
      </c>
      <c r="Z800" s="54"/>
    </row>
    <row r="801" spans="15:26" x14ac:dyDescent="0.25">
      <c r="O801" s="37" t="s">
        <v>19</v>
      </c>
      <c r="P801" s="31">
        <f>_xll.qlCalendarAdvance(Calendar,P800,O800,"f",,Trigger)</f>
        <v>48071</v>
      </c>
      <c r="Q801" s="31">
        <f>_xll.qlInterestRateIndexValueDate(Index,P801,Trigger)</f>
        <v>48073</v>
      </c>
      <c r="R801" s="31">
        <f>_xll.qlInterestRateIndexMaturity(Index,Q801,Trigger)</f>
        <v>48165</v>
      </c>
      <c r="S801" s="32">
        <f>_xll.qlDayCounterYearFraction(DayCounter,Q801,R801,,,Trigger)</f>
        <v>0.25555555555555554</v>
      </c>
      <c r="T801" s="33">
        <f>_xll.qlIndexFixing(Index,P801,,AllTriggers)</f>
        <v>1.5819515195691723E-2</v>
      </c>
      <c r="U801" s="34">
        <f>_xll.qlYieldTSDiscount(OisCurve,Q801,,AllTriggers)</f>
        <v>0.85118368628421659</v>
      </c>
      <c r="V801" s="34">
        <f>_xll.qlYieldTSDiscount(OisCurve,R801,,AllTriggers)</f>
        <v>0.84795691310371102</v>
      </c>
      <c r="W801" s="33">
        <f t="shared" si="56"/>
        <v>1.4890501574647963E-2</v>
      </c>
      <c r="X801" s="35">
        <f t="shared" si="57"/>
        <v>2.3648660606391192E-4</v>
      </c>
      <c r="Y801" s="33">
        <f t="shared" si="58"/>
        <v>9.2901362104375919E-4</v>
      </c>
      <c r="Z801" s="54"/>
    </row>
    <row r="802" spans="15:26" x14ac:dyDescent="0.25">
      <c r="O802" s="37" t="s">
        <v>19</v>
      </c>
      <c r="P802" s="31">
        <f>_xll.qlCalendarAdvance(Calendar,P801,O801,"f",,Trigger)</f>
        <v>48102</v>
      </c>
      <c r="Q802" s="31">
        <f>_xll.qlInterestRateIndexValueDate(Index,P802,Trigger)</f>
        <v>48106</v>
      </c>
      <c r="R802" s="31">
        <f>_xll.qlInterestRateIndexMaturity(Index,Q802,Trigger)</f>
        <v>48197</v>
      </c>
      <c r="S802" s="32">
        <f>_xll.qlDayCounterYearFraction(DayCounter,Q802,R802,,,Trigger)</f>
        <v>0.25277777777777777</v>
      </c>
      <c r="T802" s="33">
        <f>_xll.qlIndexFixing(Index,P802,,AllTriggers)</f>
        <v>1.579440815304866E-2</v>
      </c>
      <c r="U802" s="34">
        <f>_xll.qlYieldTSDiscount(OisCurve,Q802,,AllTriggers)</f>
        <v>0.850023831171421</v>
      </c>
      <c r="V802" s="34">
        <f>_xll.qlYieldTSDiscount(OisCurve,R802,,AllTriggers)</f>
        <v>0.84683953055591976</v>
      </c>
      <c r="W802" s="33">
        <f t="shared" si="56"/>
        <v>1.4875584747337859E-2</v>
      </c>
      <c r="X802" s="35">
        <f t="shared" si="57"/>
        <v>2.3136130316457146E-4</v>
      </c>
      <c r="Y802" s="33">
        <f t="shared" si="58"/>
        <v>9.1882340571080093E-4</v>
      </c>
      <c r="Z802" s="54"/>
    </row>
    <row r="803" spans="15:26" x14ac:dyDescent="0.25">
      <c r="O803" s="37" t="s">
        <v>19</v>
      </c>
      <c r="P803" s="31">
        <f>_xll.qlCalendarAdvance(Calendar,P802,O802,"f",,Trigger)</f>
        <v>48134</v>
      </c>
      <c r="Q803" s="31">
        <f>_xll.qlInterestRateIndexValueDate(Index,P803,Trigger)</f>
        <v>48136</v>
      </c>
      <c r="R803" s="31">
        <f>_xll.qlInterestRateIndexMaturity(Index,Q803,Trigger)</f>
        <v>48228</v>
      </c>
      <c r="S803" s="32">
        <f>_xll.qlDayCounterYearFraction(DayCounter,Q803,R803,,,Trigger)</f>
        <v>0.25555555555555554</v>
      </c>
      <c r="T803" s="33">
        <f>_xll.qlIndexFixing(Index,P803,,AllTriggers)</f>
        <v>1.5771328998735675E-2</v>
      </c>
      <c r="U803" s="34">
        <f>_xll.qlYieldTSDiscount(OisCurve,Q803,,AllTriggers)</f>
        <v>0.84897176746448266</v>
      </c>
      <c r="V803" s="34">
        <f>_xll.qlYieldTSDiscount(OisCurve,R803,,AllTriggers)</f>
        <v>0.84575953898623935</v>
      </c>
      <c r="W803" s="33">
        <f t="shared" si="56"/>
        <v>1.4861895276451645E-2</v>
      </c>
      <c r="X803" s="35">
        <f t="shared" si="57"/>
        <v>2.3150467508530761E-4</v>
      </c>
      <c r="Y803" s="33">
        <f t="shared" si="58"/>
        <v>9.0943372228403062E-4</v>
      </c>
      <c r="Z803" s="54"/>
    </row>
    <row r="804" spans="15:26" x14ac:dyDescent="0.25">
      <c r="O804" s="37" t="s">
        <v>19</v>
      </c>
      <c r="P804" s="31">
        <f>_xll.qlCalendarAdvance(Calendar,P803,O803,"f",,Trigger)</f>
        <v>48165</v>
      </c>
      <c r="Q804" s="31">
        <f>_xll.qlInterestRateIndexValueDate(Index,P804,Trigger)</f>
        <v>48169</v>
      </c>
      <c r="R804" s="31">
        <f>_xll.qlInterestRateIndexMaturity(Index,Q804,Trigger)</f>
        <v>48261</v>
      </c>
      <c r="S804" s="32">
        <f>_xll.qlDayCounterYearFraction(DayCounter,Q804,R804,,,Trigger)</f>
        <v>0.25555555555555554</v>
      </c>
      <c r="T804" s="33">
        <f>_xll.qlIndexFixing(Index,P804,,AllTriggers)</f>
        <v>1.5745783501457295E-2</v>
      </c>
      <c r="U804" s="34">
        <f>_xll.qlYieldTSDiscount(OisCurve,Q804,,AllTriggers)</f>
        <v>0.84781709901969959</v>
      </c>
      <c r="V804" s="34">
        <f>_xll.qlYieldTSDiscount(OisCurve,R804,,AllTriggers)</f>
        <v>0.84461256119522299</v>
      </c>
      <c r="W804" s="33">
        <f t="shared" si="56"/>
        <v>1.4846447248148133E-2</v>
      </c>
      <c r="X804" s="35">
        <f t="shared" si="57"/>
        <v>2.2893546644859206E-4</v>
      </c>
      <c r="Y804" s="33">
        <f t="shared" si="58"/>
        <v>8.9933625330916242E-4</v>
      </c>
      <c r="Z804" s="54"/>
    </row>
    <row r="805" spans="15:26" x14ac:dyDescent="0.25">
      <c r="O805" s="37" t="s">
        <v>19</v>
      </c>
      <c r="P805" s="31">
        <f>_xll.qlCalendarAdvance(Calendar,P804,O804,"f",,Trigger)</f>
        <v>48197</v>
      </c>
      <c r="Q805" s="31">
        <f>_xll.qlInterestRateIndexValueDate(Index,P805,Trigger)</f>
        <v>48199</v>
      </c>
      <c r="R805" s="31">
        <f>_xll.qlInterestRateIndexMaturity(Index,Q805,Trigger)</f>
        <v>48290</v>
      </c>
      <c r="S805" s="32">
        <f>_xll.qlDayCounterYearFraction(DayCounter,Q805,R805,,,Trigger)</f>
        <v>0.25277777777777777</v>
      </c>
      <c r="T805" s="33">
        <f>_xll.qlIndexFixing(Index,P805,,AllTriggers)</f>
        <v>1.572242840164104E-2</v>
      </c>
      <c r="U805" s="34">
        <f>_xll.qlYieldTSDiscount(OisCurve,Q805,,AllTriggers)</f>
        <v>0.846769780082685</v>
      </c>
      <c r="V805" s="34">
        <f>_xll.qlYieldTSDiscount(OisCurve,R805,,AllTriggers)</f>
        <v>0.84360691521685771</v>
      </c>
      <c r="W805" s="33">
        <f t="shared" si="56"/>
        <v>1.4832064804759832E-2</v>
      </c>
      <c r="X805" s="35">
        <f t="shared" si="57"/>
        <v>2.2419833480532596E-4</v>
      </c>
      <c r="Y805" s="33">
        <f t="shared" si="58"/>
        <v>8.9036359688120757E-4</v>
      </c>
      <c r="Z805" s="54"/>
    </row>
    <row r="806" spans="15:26" x14ac:dyDescent="0.25">
      <c r="O806" s="37" t="s">
        <v>19</v>
      </c>
      <c r="P806" s="31">
        <f>_xll.qlCalendarAdvance(Calendar,P805,O805,"f",,Trigger)</f>
        <v>48228</v>
      </c>
      <c r="Q806" s="31">
        <f>_xll.qlInterestRateIndexValueDate(Index,P806,Trigger)</f>
        <v>48232</v>
      </c>
      <c r="R806" s="31">
        <f>_xll.qlInterestRateIndexMaturity(Index,Q806,Trigger)</f>
        <v>48323</v>
      </c>
      <c r="S806" s="32">
        <f>_xll.qlDayCounterYearFraction(DayCounter,Q806,R806,,,Trigger)</f>
        <v>0.25277777777777777</v>
      </c>
      <c r="T806" s="33">
        <f>_xll.qlIndexFixing(Index,P806,,AllTriggers)</f>
        <v>1.5696486771177055E-2</v>
      </c>
      <c r="U806" s="34">
        <f>_xll.qlYieldTSDiscount(OisCurve,Q806,,AllTriggers)</f>
        <v>0.84562036326245305</v>
      </c>
      <c r="V806" s="34">
        <f>_xll.qlYieldTSDiscount(OisCurve,R806,,AllTriggers)</f>
        <v>0.84246519715859136</v>
      </c>
      <c r="W806" s="33">
        <f t="shared" si="56"/>
        <v>1.4816013572543052E-2</v>
      </c>
      <c r="X806" s="35">
        <f t="shared" si="57"/>
        <v>2.2170905157521106E-4</v>
      </c>
      <c r="Y806" s="33">
        <f t="shared" si="58"/>
        <v>8.8047319863400302E-4</v>
      </c>
      <c r="Z806" s="54"/>
    </row>
    <row r="807" spans="15:26" x14ac:dyDescent="0.25">
      <c r="O807" s="37" t="s">
        <v>19</v>
      </c>
      <c r="P807" s="31">
        <f>_xll.qlCalendarAdvance(Calendar,P806,O806,"f",,Trigger)</f>
        <v>48260</v>
      </c>
      <c r="Q807" s="31">
        <f>_xll.qlInterestRateIndexValueDate(Index,P807,Trigger)</f>
        <v>48262</v>
      </c>
      <c r="R807" s="31">
        <f>_xll.qlInterestRateIndexMaturity(Index,Q807,Trigger)</f>
        <v>48352</v>
      </c>
      <c r="S807" s="32">
        <f>_xll.qlDayCounterYearFraction(DayCounter,Q807,R807,,,Trigger)</f>
        <v>0.25</v>
      </c>
      <c r="T807" s="33">
        <f>_xll.qlIndexFixing(Index,P807,,AllTriggers)</f>
        <v>1.567277970467007E-2</v>
      </c>
      <c r="U807" s="34">
        <f>_xll.qlYieldTSDiscount(OisCurve,Q807,,AllTriggers)</f>
        <v>0.84457784778762357</v>
      </c>
      <c r="V807" s="34">
        <f>_xll.qlYieldTSDiscount(OisCurve,R807,,AllTriggers)</f>
        <v>0.84146420028245328</v>
      </c>
      <c r="W807" s="33">
        <f t="shared" si="56"/>
        <v>1.4801093161777246E-2</v>
      </c>
      <c r="X807" s="35">
        <f t="shared" si="57"/>
        <v>2.170946721493121E-4</v>
      </c>
      <c r="Y807" s="33">
        <f t="shared" si="58"/>
        <v>8.7168654289282443E-4</v>
      </c>
      <c r="Z807" s="54"/>
    </row>
    <row r="808" spans="15:26" x14ac:dyDescent="0.25">
      <c r="O808" s="37" t="s">
        <v>19</v>
      </c>
      <c r="P808" s="31">
        <f>_xll.qlCalendarAdvance(Calendar,P807,O807,"f",,Trigger)</f>
        <v>48289</v>
      </c>
      <c r="Q808" s="31">
        <f>_xll.qlInterestRateIndexValueDate(Index,P808,Trigger)</f>
        <v>48291</v>
      </c>
      <c r="R808" s="31">
        <f>_xll.qlInterestRateIndexMaturity(Index,Q808,Trigger)</f>
        <v>48383</v>
      </c>
      <c r="S808" s="32">
        <f>_xll.qlDayCounterYearFraction(DayCounter,Q808,R808,,,Trigger)</f>
        <v>0.25555555555555554</v>
      </c>
      <c r="T808" s="33">
        <f>_xll.qlIndexFixing(Index,P808,,AllTriggers)</f>
        <v>1.5649521438620782E-2</v>
      </c>
      <c r="U808" s="34">
        <f>_xll.qlYieldTSDiscount(OisCurve,Q808,,AllTriggers)</f>
        <v>0.84357227636818477</v>
      </c>
      <c r="V808" s="34">
        <f>_xll.qlYieldTSDiscount(OisCurve,R808,,AllTriggers)</f>
        <v>0.84039659443285519</v>
      </c>
      <c r="W808" s="33">
        <f t="shared" si="56"/>
        <v>1.4786568113663422E-2</v>
      </c>
      <c r="X808" s="35">
        <f t="shared" si="57"/>
        <v>2.1967817655911502E-4</v>
      </c>
      <c r="Y808" s="33">
        <f t="shared" si="58"/>
        <v>8.6295332495735927E-4</v>
      </c>
      <c r="Z808" s="54"/>
    </row>
    <row r="809" spans="15:26" x14ac:dyDescent="0.25">
      <c r="O809" s="37" t="s">
        <v>19</v>
      </c>
      <c r="P809" s="31">
        <f>_xll.qlCalendarAdvance(Calendar,P808,O808,"f",,Trigger)</f>
        <v>48320</v>
      </c>
      <c r="Q809" s="31">
        <f>_xll.qlInterestRateIndexValueDate(Index,P809,Trigger)</f>
        <v>48324</v>
      </c>
      <c r="R809" s="31">
        <f>_xll.qlInterestRateIndexMaturity(Index,Q809,Trigger)</f>
        <v>48415</v>
      </c>
      <c r="S809" s="32">
        <f>_xll.qlDayCounterYearFraction(DayCounter,Q809,R809,,,Trigger)</f>
        <v>0.25277777777777777</v>
      </c>
      <c r="T809" s="33">
        <f>_xll.qlIndexFixing(Index,P809,,AllTriggers)</f>
        <v>1.5623057211876354E-2</v>
      </c>
      <c r="U809" s="34">
        <f>_xll.qlYieldTSDiscount(OisCurve,Q809,,AllTriggers)</f>
        <v>0.84243064364667108</v>
      </c>
      <c r="V809" s="34">
        <f>_xll.qlYieldTSDiscount(OisCurve,R809,,AllTriggers)</f>
        <v>0.83929719309381778</v>
      </c>
      <c r="W809" s="33">
        <f t="shared" si="56"/>
        <v>1.4769581291560304E-2</v>
      </c>
      <c r="X809" s="35">
        <f t="shared" si="57"/>
        <v>2.149141992012758E-4</v>
      </c>
      <c r="Y809" s="33">
        <f t="shared" si="58"/>
        <v>8.5347592031605017E-4</v>
      </c>
      <c r="Z809" s="54"/>
    </row>
    <row r="810" spans="15:26" x14ac:dyDescent="0.25">
      <c r="O810" s="37" t="s">
        <v>19</v>
      </c>
      <c r="P810" s="31">
        <f>_xll.qlCalendarAdvance(Calendar,P809,O809,"f",,Trigger)</f>
        <v>48351</v>
      </c>
      <c r="Q810" s="31">
        <f>_xll.qlInterestRateIndexValueDate(Index,P810,Trigger)</f>
        <v>48353</v>
      </c>
      <c r="R810" s="31">
        <f>_xll.qlInterestRateIndexMaturity(Index,Q810,Trigger)</f>
        <v>48445</v>
      </c>
      <c r="S810" s="32">
        <f>_xll.qlDayCounterYearFraction(DayCounter,Q810,R810,,,Trigger)</f>
        <v>0.25555555555555554</v>
      </c>
      <c r="T810" s="33">
        <f>_xll.qlIndexFixing(Index,P810,,AllTriggers)</f>
        <v>1.5599502770860071E-2</v>
      </c>
      <c r="U810" s="34">
        <f>_xll.qlYieldTSDiscount(OisCurve,Q810,,AllTriggers)</f>
        <v>0.84142972219487455</v>
      </c>
      <c r="V810" s="34">
        <f>_xll.qlYieldTSDiscount(OisCurve,R810,,AllTriggers)</f>
        <v>0.83826895683033165</v>
      </c>
      <c r="W810" s="33">
        <f t="shared" si="56"/>
        <v>1.4754467757942922E-2</v>
      </c>
      <c r="X810" s="35">
        <f t="shared" si="57"/>
        <v>2.1511904029382033E-4</v>
      </c>
      <c r="Y810" s="33">
        <f t="shared" si="58"/>
        <v>8.4503501291714918E-4</v>
      </c>
      <c r="Z810" s="54"/>
    </row>
    <row r="811" spans="15:26" x14ac:dyDescent="0.25">
      <c r="O811" s="37" t="s">
        <v>19</v>
      </c>
      <c r="P811" s="31">
        <f>_xll.qlCalendarAdvance(Calendar,P810,O810,"f",,Trigger)</f>
        <v>48382</v>
      </c>
      <c r="Q811" s="31">
        <f>_xll.qlInterestRateIndexValueDate(Index,P811,Trigger)</f>
        <v>48386</v>
      </c>
      <c r="R811" s="31">
        <f>_xll.qlInterestRateIndexMaturity(Index,Q811,Trigger)</f>
        <v>48478</v>
      </c>
      <c r="S811" s="32">
        <f>_xll.qlDayCounterYearFraction(DayCounter,Q811,R811,,,Trigger)</f>
        <v>0.25555555555555554</v>
      </c>
      <c r="T811" s="33">
        <f>_xll.qlIndexFixing(Index,P811,,AllTriggers)</f>
        <v>1.5572578040983994E-2</v>
      </c>
      <c r="U811" s="34">
        <f>_xll.qlYieldTSDiscount(OisCurve,Q811,,AllTriggers)</f>
        <v>0.8402934112478545</v>
      </c>
      <c r="V811" s="34">
        <f>_xll.qlYieldTSDiscount(OisCurve,R811,,AllTriggers)</f>
        <v>0.83714065366429802</v>
      </c>
      <c r="W811" s="33">
        <f t="shared" si="56"/>
        <v>1.4736923176377108E-2</v>
      </c>
      <c r="X811" s="35">
        <f t="shared" si="57"/>
        <v>2.1273235694084985E-4</v>
      </c>
      <c r="Y811" s="33">
        <f t="shared" si="58"/>
        <v>8.35654864606886E-4</v>
      </c>
      <c r="Z811" s="54"/>
    </row>
    <row r="812" spans="15:26" x14ac:dyDescent="0.25">
      <c r="O812" s="37" t="s">
        <v>19</v>
      </c>
      <c r="P812" s="31">
        <f>_xll.qlCalendarAdvance(Calendar,P811,O811,"f",,Trigger)</f>
        <v>48414</v>
      </c>
      <c r="Q812" s="31">
        <f>_xll.qlInterestRateIndexValueDate(Index,P812,Trigger)</f>
        <v>48416</v>
      </c>
      <c r="R812" s="31">
        <f>_xll.qlInterestRateIndexMaturity(Index,Q812,Trigger)</f>
        <v>48508</v>
      </c>
      <c r="S812" s="32">
        <f>_xll.qlDayCounterYearFraction(DayCounter,Q812,R812,,,Trigger)</f>
        <v>0.25555555555555554</v>
      </c>
      <c r="T812" s="33">
        <f>_xll.qlIndexFixing(Index,P812,,AllTriggers)</f>
        <v>1.5547919017519098E-2</v>
      </c>
      <c r="U812" s="34">
        <f>_xll.qlYieldTSDiscount(OisCurve,Q812,,AllTriggers)</f>
        <v>0.83926288023873774</v>
      </c>
      <c r="V812" s="34">
        <f>_xll.qlYieldTSDiscount(OisCurve,R812,,AllTriggers)</f>
        <v>0.83611744331136528</v>
      </c>
      <c r="W812" s="33">
        <f t="shared" si="56"/>
        <v>1.4720696898978862E-2</v>
      </c>
      <c r="X812" s="35">
        <f t="shared" si="57"/>
        <v>2.1058673171546255E-4</v>
      </c>
      <c r="Y812" s="33">
        <f t="shared" si="58"/>
        <v>8.2722211854023564E-4</v>
      </c>
      <c r="Z812" s="54"/>
    </row>
    <row r="813" spans="15:26" x14ac:dyDescent="0.25">
      <c r="O813" s="37" t="s">
        <v>19</v>
      </c>
      <c r="P813" s="31">
        <f>_xll.qlCalendarAdvance(Calendar,P812,O812,"f",,Trigger)</f>
        <v>48445</v>
      </c>
      <c r="Q813" s="31">
        <f>_xll.qlInterestRateIndexValueDate(Index,P813,Trigger)</f>
        <v>48449</v>
      </c>
      <c r="R813" s="31">
        <f>_xll.qlInterestRateIndexMaturity(Index,Q813,Trigger)</f>
        <v>48541</v>
      </c>
      <c r="S813" s="32">
        <f>_xll.qlDayCounterYearFraction(DayCounter,Q813,R813,,,Trigger)</f>
        <v>0.25555555555555554</v>
      </c>
      <c r="T813" s="33">
        <f>_xll.qlIndexFixing(Index,P813,,AllTriggers)</f>
        <v>1.5520593899797533E-2</v>
      </c>
      <c r="U813" s="34">
        <f>_xll.qlYieldTSDiscount(OisCurve,Q813,,AllTriggers)</f>
        <v>0.83813203868793662</v>
      </c>
      <c r="V813" s="34">
        <f>_xll.qlYieldTSDiscount(OisCurve,R813,,AllTriggers)</f>
        <v>0.83499469914642543</v>
      </c>
      <c r="W813" s="33">
        <f t="shared" si="56"/>
        <v>1.4702543674289321E-2</v>
      </c>
      <c r="X813" s="35">
        <f t="shared" si="57"/>
        <v>2.0825303957385029E-4</v>
      </c>
      <c r="Y813" s="33">
        <f t="shared" si="58"/>
        <v>8.1805022550821178E-4</v>
      </c>
      <c r="Z813" s="54"/>
    </row>
    <row r="814" spans="15:26" x14ac:dyDescent="0.25">
      <c r="O814" s="37" t="s">
        <v>19</v>
      </c>
      <c r="P814" s="31">
        <f>_xll.qlCalendarAdvance(Calendar,P813,O813,"f",,Trigger)</f>
        <v>48477</v>
      </c>
      <c r="Q814" s="31">
        <f>_xll.qlInterestRateIndexValueDate(Index,P814,Trigger)</f>
        <v>48479</v>
      </c>
      <c r="R814" s="31">
        <f>_xll.qlInterestRateIndexMaturity(Index,Q814,Trigger)</f>
        <v>48570</v>
      </c>
      <c r="S814" s="32">
        <f>_xll.qlDayCounterYearFraction(DayCounter,Q814,R814,,,Trigger)</f>
        <v>0.25277777777777777</v>
      </c>
      <c r="T814" s="33">
        <f>_xll.qlIndexFixing(Index,P814,,AllTriggers)</f>
        <v>1.5495657770905117E-2</v>
      </c>
      <c r="U814" s="34">
        <f>_xll.qlYieldTSDiscount(OisCurve,Q814,,AllTriggers)</f>
        <v>0.83710650791243302</v>
      </c>
      <c r="V814" s="34">
        <f>_xll.qlYieldTSDiscount(OisCurve,R814,,AllTriggers)</f>
        <v>0.83401046840670767</v>
      </c>
      <c r="W814" s="33">
        <f t="shared" si="56"/>
        <v>1.4685748966313361E-2</v>
      </c>
      <c r="X814" s="35">
        <f t="shared" si="57"/>
        <v>2.039489659408802E-4</v>
      </c>
      <c r="Y814" s="33">
        <f t="shared" si="58"/>
        <v>8.0990880459175588E-4</v>
      </c>
      <c r="Z814" s="54"/>
    </row>
    <row r="815" spans="15:26" x14ac:dyDescent="0.25">
      <c r="O815" s="37" t="s">
        <v>19</v>
      </c>
      <c r="P815" s="31">
        <f>_xll.qlCalendarAdvance(Calendar,P814,O814,"f",,Trigger)</f>
        <v>48507</v>
      </c>
      <c r="Q815" s="31">
        <f>_xll.qlInterestRateIndexValueDate(Index,P815,Trigger)</f>
        <v>48509</v>
      </c>
      <c r="R815" s="31">
        <f>_xll.qlInterestRateIndexMaturity(Index,Q815,Trigger)</f>
        <v>48603</v>
      </c>
      <c r="S815" s="32">
        <f>_xll.qlDayCounterYearFraction(DayCounter,Q815,R815,,,Trigger)</f>
        <v>0.26111111111111113</v>
      </c>
      <c r="T815" s="33">
        <f>_xll.qlIndexFixing(Index,P815,,AllTriggers)</f>
        <v>1.5470192604339692E-2</v>
      </c>
      <c r="U815" s="34">
        <f>_xll.qlYieldTSDiscount(OisCurve,Q815,,AllTriggers)</f>
        <v>0.83608337778339636</v>
      </c>
      <c r="V815" s="34">
        <f>_xll.qlYieldTSDiscount(OisCurve,R815,,AllTriggers)</f>
        <v>0.83289325402593117</v>
      </c>
      <c r="W815" s="33">
        <f t="shared" si="56"/>
        <v>1.4668740780767553E-2</v>
      </c>
      <c r="X815" s="35">
        <f t="shared" si="57"/>
        <v>2.084477755232161E-4</v>
      </c>
      <c r="Y815" s="33">
        <f t="shared" si="58"/>
        <v>8.014518235721392E-4</v>
      </c>
      <c r="Z815" s="54"/>
    </row>
    <row r="816" spans="15:26" x14ac:dyDescent="0.25">
      <c r="O816" s="37" t="s">
        <v>19</v>
      </c>
      <c r="P816" s="31">
        <f>_xll.qlCalendarAdvance(Calendar,P815,O815,"f",,Trigger)</f>
        <v>48540</v>
      </c>
      <c r="Q816" s="31">
        <f>_xll.qlInterestRateIndexValueDate(Index,P816,Trigger)</f>
        <v>48542</v>
      </c>
      <c r="R816" s="31">
        <f>_xll.qlInterestRateIndexMaturity(Index,Q816,Trigger)</f>
        <v>48634</v>
      </c>
      <c r="S816" s="32">
        <f>_xll.qlDayCounterYearFraction(DayCounter,Q816,R816,,,Trigger)</f>
        <v>0.25555555555555554</v>
      </c>
      <c r="T816" s="33">
        <f>_xll.qlIndexFixing(Index,P816,,AllTriggers)</f>
        <v>1.5442458432708032E-2</v>
      </c>
      <c r="U816" s="34">
        <f>_xll.qlYieldTSDiscount(OisCurve,Q816,,AllTriggers)</f>
        <v>0.83496072234587926</v>
      </c>
      <c r="V816" s="34">
        <f>_xll.qlYieldTSDiscount(OisCurve,R816,,AllTriggers)</f>
        <v>0.83184645194377804</v>
      </c>
      <c r="W816" s="33">
        <f t="shared" si="56"/>
        <v>1.4649669368676342E-2</v>
      </c>
      <c r="X816" s="35">
        <f t="shared" si="57"/>
        <v>2.0182560967951186E-4</v>
      </c>
      <c r="Y816" s="33">
        <f t="shared" si="58"/>
        <v>7.9278906403169001E-4</v>
      </c>
      <c r="Z816" s="54"/>
    </row>
    <row r="817" spans="15:26" x14ac:dyDescent="0.25">
      <c r="O817" s="37" t="s">
        <v>19</v>
      </c>
      <c r="P817" s="31">
        <f>_xll.qlCalendarAdvance(Calendar,P816,O816,"f",,Trigger)</f>
        <v>48570</v>
      </c>
      <c r="Q817" s="31">
        <f>_xll.qlInterestRateIndexValueDate(Index,P817,Trigger)</f>
        <v>48572</v>
      </c>
      <c r="R817" s="31">
        <f>_xll.qlInterestRateIndexMaturity(Index,Q817,Trigger)</f>
        <v>48662</v>
      </c>
      <c r="S817" s="32">
        <f>_xll.qlDayCounterYearFraction(DayCounter,Q817,R817,,,Trigger)</f>
        <v>0.25</v>
      </c>
      <c r="T817" s="33">
        <f>_xll.qlIndexFixing(Index,P817,,AllTriggers)</f>
        <v>1.5417096459590773E-2</v>
      </c>
      <c r="U817" s="34">
        <f>_xll.qlYieldTSDiscount(OisCurve,Q817,,AllTriggers)</f>
        <v>0.83394267428793967</v>
      </c>
      <c r="V817" s="34">
        <f>_xll.qlYieldTSDiscount(OisCurve,R817,,AllTriggers)</f>
        <v>0.83090321490344032</v>
      </c>
      <c r="W817" s="33">
        <f t="shared" si="56"/>
        <v>1.463207425357016E-2</v>
      </c>
      <c r="X817" s="35">
        <f t="shared" si="57"/>
        <v>1.9552114609319964E-4</v>
      </c>
      <c r="Y817" s="33">
        <f t="shared" si="58"/>
        <v>7.8502220602061357E-4</v>
      </c>
      <c r="Z817" s="54"/>
    </row>
    <row r="818" spans="15:26" x14ac:dyDescent="0.25">
      <c r="O818" s="37" t="s">
        <v>19</v>
      </c>
      <c r="P818" s="31">
        <f>_xll.qlCalendarAdvance(Calendar,P817,O817,"f",,Trigger)</f>
        <v>48603</v>
      </c>
      <c r="Q818" s="31">
        <f>_xll.qlInterestRateIndexValueDate(Index,P818,Trigger)</f>
        <v>48605</v>
      </c>
      <c r="R818" s="31">
        <f>_xll.qlInterestRateIndexMaturity(Index,Q818,Trigger)</f>
        <v>48695</v>
      </c>
      <c r="S818" s="32">
        <f>_xll.qlDayCounterYearFraction(DayCounter,Q818,R818,,,Trigger)</f>
        <v>0.25</v>
      </c>
      <c r="T818" s="33">
        <f>_xll.qlIndexFixing(Index,P818,,AllTriggers)</f>
        <v>1.5388788746856008E-2</v>
      </c>
      <c r="U818" s="34">
        <f>_xll.qlYieldTSDiscount(OisCurve,Q818,,AllTriggers)</f>
        <v>0.83282563925417585</v>
      </c>
      <c r="V818" s="34">
        <f>_xll.qlYieldTSDiscount(OisCurve,R818,,AllTriggers)</f>
        <v>0.8297943124161915</v>
      </c>
      <c r="W818" s="33">
        <f t="shared" si="56"/>
        <v>1.4612425236600224E-2</v>
      </c>
      <c r="X818" s="35">
        <f t="shared" si="57"/>
        <v>1.9336572734832949E-4</v>
      </c>
      <c r="Y818" s="33">
        <f t="shared" si="58"/>
        <v>7.7636351025578421E-4</v>
      </c>
      <c r="Z818" s="54"/>
    </row>
    <row r="819" spans="15:26" x14ac:dyDescent="0.25">
      <c r="O819" s="37" t="s">
        <v>19</v>
      </c>
      <c r="P819" s="31">
        <f>_xll.qlCalendarAdvance(Calendar,P818,O818,"f",,Trigger)</f>
        <v>48634</v>
      </c>
      <c r="Q819" s="31">
        <f>_xll.qlInterestRateIndexValueDate(Index,P819,Trigger)</f>
        <v>48638</v>
      </c>
      <c r="R819" s="31">
        <f>_xll.qlInterestRateIndexMaturity(Index,Q819,Trigger)</f>
        <v>48730</v>
      </c>
      <c r="S819" s="32">
        <f>_xll.qlDayCounterYearFraction(DayCounter,Q819,R819,,,Trigger)</f>
        <v>0.25555555555555554</v>
      </c>
      <c r="T819" s="33">
        <f>_xll.qlIndexFixing(Index,P819,,AllTriggers)</f>
        <v>1.5360055478262866E-2</v>
      </c>
      <c r="U819" s="34">
        <f>_xll.qlYieldTSDiscount(OisCurve,Q819,,AllTriggers)</f>
        <v>0.8317115721165671</v>
      </c>
      <c r="V819" s="34">
        <f>_xll.qlYieldTSDiscount(OisCurve,R819,,AllTriggers)</f>
        <v>0.82862149547760122</v>
      </c>
      <c r="W819" s="33">
        <f t="shared" si="56"/>
        <v>1.4592433705165055E-2</v>
      </c>
      <c r="X819" s="35">
        <f t="shared" si="57"/>
        <v>1.9542207771391785E-4</v>
      </c>
      <c r="Y819" s="33">
        <f t="shared" si="58"/>
        <v>7.6762177309781104E-4</v>
      </c>
      <c r="Z819" s="54"/>
    </row>
    <row r="820" spans="15:26" x14ac:dyDescent="0.25">
      <c r="O820" s="37" t="s">
        <v>19</v>
      </c>
      <c r="P820" s="31">
        <f>_xll.qlCalendarAdvance(Calendar,P819,O819,"f",,Trigger)</f>
        <v>48662</v>
      </c>
      <c r="Q820" s="31">
        <f>_xll.qlInterestRateIndexValueDate(Index,P820,Trigger)</f>
        <v>48666</v>
      </c>
      <c r="R820" s="31">
        <f>_xll.qlInterestRateIndexMaturity(Index,Q820,Trigger)</f>
        <v>48758</v>
      </c>
      <c r="S820" s="32">
        <f>_xll.qlDayCounterYearFraction(DayCounter,Q820,R820,,,Trigger)</f>
        <v>0.25555555555555554</v>
      </c>
      <c r="T820" s="33">
        <f>_xll.qlIndexFixing(Index,P820,,AllTriggers)</f>
        <v>1.5335686998766853E-2</v>
      </c>
      <c r="U820" s="34">
        <f>_xll.qlYieldTSDiscount(OisCurve,Q820,,AllTriggers)</f>
        <v>0.83076864259538152</v>
      </c>
      <c r="V820" s="34">
        <f>_xll.qlYieldTSDiscount(OisCurve,R820,,AllTriggers)</f>
        <v>0.82768569426870264</v>
      </c>
      <c r="W820" s="33">
        <f t="shared" si="56"/>
        <v>1.4575231790353343E-2</v>
      </c>
      <c r="X820" s="35">
        <f t="shared" si="57"/>
        <v>1.9359862944423549E-4</v>
      </c>
      <c r="Y820" s="33">
        <f t="shared" si="58"/>
        <v>7.6045520841351057E-4</v>
      </c>
      <c r="Z820" s="54"/>
    </row>
    <row r="821" spans="15:26" x14ac:dyDescent="0.25">
      <c r="O821" s="37" t="s">
        <v>19</v>
      </c>
      <c r="P821" s="31">
        <f>_xll.qlCalendarAdvance(Calendar,P820,O820,"f",,Trigger)</f>
        <v>48694</v>
      </c>
      <c r="Q821" s="31">
        <f>_xll.qlInterestRateIndexValueDate(Index,P821,Trigger)</f>
        <v>48696</v>
      </c>
      <c r="R821" s="31">
        <f>_xll.qlInterestRateIndexMaturity(Index,Q821,Trigger)</f>
        <v>48787</v>
      </c>
      <c r="S821" s="32">
        <f>_xll.qlDayCounterYearFraction(DayCounter,Q821,R821,,,Trigger)</f>
        <v>0.25277777777777777</v>
      </c>
      <c r="T821" s="33">
        <f>_xll.qlIndexFixing(Index,P821,,AllTriggers)</f>
        <v>1.5309526109676562E-2</v>
      </c>
      <c r="U821" s="34">
        <f>_xll.qlYieldTSDiscount(OisCurve,Q821,,AllTriggers)</f>
        <v>0.82976075624961942</v>
      </c>
      <c r="V821" s="34">
        <f>_xll.qlYieldTSDiscount(OisCurve,R821,,AllTriggers)</f>
        <v>0.82671878083418782</v>
      </c>
      <c r="W821" s="33">
        <f t="shared" si="56"/>
        <v>1.4556568370818031E-2</v>
      </c>
      <c r="X821" s="35">
        <f t="shared" si="57"/>
        <v>1.8961523587056615E-4</v>
      </c>
      <c r="Y821" s="33">
        <f t="shared" si="58"/>
        <v>7.5295773885853019E-4</v>
      </c>
      <c r="Z821" s="54"/>
    </row>
    <row r="822" spans="15:26" x14ac:dyDescent="0.25">
      <c r="O822" s="37" t="s">
        <v>19</v>
      </c>
      <c r="P822" s="31">
        <f>_xll.qlCalendarAdvance(Calendar,P821,O821,"f",,Trigger)</f>
        <v>48724</v>
      </c>
      <c r="Q822" s="31">
        <f>_xll.qlInterestRateIndexValueDate(Index,P822,Trigger)</f>
        <v>48726</v>
      </c>
      <c r="R822" s="31">
        <f>_xll.qlInterestRateIndexMaturity(Index,Q822,Trigger)</f>
        <v>48820</v>
      </c>
      <c r="S822" s="32">
        <f>_xll.qlDayCounterYearFraction(DayCounter,Q822,R822,,,Trigger)</f>
        <v>0.26111111111111113</v>
      </c>
      <c r="T822" s="33">
        <f>_xll.qlIndexFixing(Index,P822,,AllTriggers)</f>
        <v>1.5282720757373367E-2</v>
      </c>
      <c r="U822" s="34">
        <f>_xll.qlYieldTSDiscount(OisCurve,Q822,,AllTriggers)</f>
        <v>0.82875535960586522</v>
      </c>
      <c r="V822" s="34">
        <f>_xll.qlYieldTSDiscount(OisCurve,R822,,AllTriggers)</f>
        <v>0.82562137180035766</v>
      </c>
      <c r="W822" s="33">
        <f t="shared" si="56"/>
        <v>1.4537543357198996E-2</v>
      </c>
      <c r="X822" s="35">
        <f t="shared" si="57"/>
        <v>1.9381952116115879E-4</v>
      </c>
      <c r="Y822" s="33">
        <f t="shared" si="58"/>
        <v>7.4517740017437072E-4</v>
      </c>
      <c r="Z822" s="54"/>
    </row>
    <row r="823" spans="15:26" x14ac:dyDescent="0.25">
      <c r="O823" s="37" t="s">
        <v>19</v>
      </c>
      <c r="P823" s="31">
        <f>_xll.qlCalendarAdvance(Calendar,P822,O822,"f",,Trigger)</f>
        <v>48757</v>
      </c>
      <c r="Q823" s="31">
        <f>_xll.qlInterestRateIndexValueDate(Index,P823,Trigger)</f>
        <v>48759</v>
      </c>
      <c r="R823" s="31">
        <f>_xll.qlInterestRateIndexMaturity(Index,Q823,Trigger)</f>
        <v>48851</v>
      </c>
      <c r="S823" s="32">
        <f>_xll.qlDayCounterYearFraction(DayCounter,Q823,R823,,,Trigger)</f>
        <v>0.25555555555555554</v>
      </c>
      <c r="T823" s="33">
        <f>_xll.qlIndexFixing(Index,P823,,AllTriggers)</f>
        <v>1.5253665447059776E-2</v>
      </c>
      <c r="U823" s="34">
        <f>_xll.qlYieldTSDiscount(OisCurve,Q823,,AllTriggers)</f>
        <v>0.82765231325033051</v>
      </c>
      <c r="V823" s="34">
        <f>_xll.qlYieldTSDiscount(OisCurve,R823,,AllTriggers)</f>
        <v>0.82459327060459853</v>
      </c>
      <c r="W823" s="33">
        <f t="shared" si="56"/>
        <v>1.4516449868462457E-2</v>
      </c>
      <c r="X823" s="35">
        <f t="shared" si="57"/>
        <v>1.8768558898674831E-4</v>
      </c>
      <c r="Y823" s="33">
        <f t="shared" si="58"/>
        <v>7.3721557859731876E-4</v>
      </c>
      <c r="Z823" s="54"/>
    </row>
    <row r="824" spans="15:26" x14ac:dyDescent="0.25">
      <c r="O824" s="37" t="s">
        <v>19</v>
      </c>
      <c r="P824" s="31">
        <f>_xll.qlCalendarAdvance(Calendar,P823,O823,"f",,Trigger)</f>
        <v>48787</v>
      </c>
      <c r="Q824" s="31">
        <f>_xll.qlInterestRateIndexValueDate(Index,P824,Trigger)</f>
        <v>48789</v>
      </c>
      <c r="R824" s="31">
        <f>_xll.qlInterestRateIndexMaturity(Index,Q824,Trigger)</f>
        <v>48883</v>
      </c>
      <c r="S824" s="32">
        <f>_xll.qlDayCounterYearFraction(DayCounter,Q824,R824,,,Trigger)</f>
        <v>0.26111111111111113</v>
      </c>
      <c r="T824" s="33">
        <f>_xll.qlIndexFixing(Index,P824,,AllTriggers)</f>
        <v>1.5226595027735882E-2</v>
      </c>
      <c r="U824" s="34">
        <f>_xll.qlYieldTSDiscount(OisCurve,Q824,,AllTriggers)</f>
        <v>0.82665218403187157</v>
      </c>
      <c r="V824" s="34">
        <f>_xll.qlYieldTSDiscount(OisCurve,R824,,AllTriggers)</f>
        <v>0.82353486221229277</v>
      </c>
      <c r="W824" s="33">
        <f t="shared" si="56"/>
        <v>1.4496871786281899E-2</v>
      </c>
      <c r="X824" s="35">
        <f t="shared" si="57"/>
        <v>1.898023070045794E-4</v>
      </c>
      <c r="Y824" s="33">
        <f t="shared" si="58"/>
        <v>7.2972324145398337E-4</v>
      </c>
      <c r="Z824" s="54"/>
    </row>
    <row r="825" spans="15:26" x14ac:dyDescent="0.25">
      <c r="O825" s="37" t="s">
        <v>19</v>
      </c>
      <c r="P825" s="31">
        <f>_xll.qlCalendarAdvance(Calendar,P824,O824,"f",,Trigger)</f>
        <v>48820</v>
      </c>
      <c r="Q825" s="31">
        <f>_xll.qlInterestRateIndexValueDate(Index,P825,Trigger)</f>
        <v>48822</v>
      </c>
      <c r="R825" s="31">
        <f>_xll.qlInterestRateIndexMaturity(Index,Q825,Trigger)</f>
        <v>48913</v>
      </c>
      <c r="S825" s="32">
        <f>_xll.qlDayCounterYearFraction(DayCounter,Q825,R825,,,Trigger)</f>
        <v>0.25277777777777777</v>
      </c>
      <c r="T825" s="33">
        <f>_xll.qlIndexFixing(Index,P825,,AllTriggers)</f>
        <v>1.5197288898779873E-2</v>
      </c>
      <c r="U825" s="34">
        <f>_xll.qlYieldTSDiscount(OisCurve,Q825,,AllTriggers)</f>
        <v>0.82555496074119761</v>
      </c>
      <c r="V825" s="34">
        <f>_xll.qlYieldTSDiscount(OisCurve,R825,,AllTriggers)</f>
        <v>0.82254525305919035</v>
      </c>
      <c r="W825" s="33">
        <f t="shared" si="56"/>
        <v>1.44752350592036E-2</v>
      </c>
      <c r="X825" s="35">
        <f t="shared" si="57"/>
        <v>1.8183722548185353E-4</v>
      </c>
      <c r="Y825" s="33">
        <f t="shared" si="58"/>
        <v>7.2205383957627337E-4</v>
      </c>
      <c r="Z825" s="54"/>
    </row>
    <row r="826" spans="15:26" x14ac:dyDescent="0.25">
      <c r="O826" s="37" t="s">
        <v>19</v>
      </c>
      <c r="P826" s="31">
        <f>_xll.qlCalendarAdvance(Calendar,P825,O825,"f",,Trigger)</f>
        <v>48851</v>
      </c>
      <c r="Q826" s="31">
        <f>_xll.qlInterestRateIndexValueDate(Index,P826,Trigger)</f>
        <v>48855</v>
      </c>
      <c r="R826" s="31">
        <f>_xll.qlInterestRateIndexMaturity(Index,Q826,Trigger)</f>
        <v>48947</v>
      </c>
      <c r="S826" s="32">
        <f>_xll.qlDayCounterYearFraction(DayCounter,Q826,R826,,,Trigger)</f>
        <v>0.25555555555555554</v>
      </c>
      <c r="T826" s="33">
        <f>_xll.qlIndexFixing(Index,P826,,AllTriggers)</f>
        <v>1.5167251302507585E-2</v>
      </c>
      <c r="U826" s="34">
        <f>_xll.qlYieldTSDiscount(OisCurve,Q826,,AllTriggers)</f>
        <v>0.82446081053026221</v>
      </c>
      <c r="V826" s="34">
        <f>_xll.qlYieldTSDiscount(OisCurve,R826,,AllTriggers)</f>
        <v>0.82142680968902793</v>
      </c>
      <c r="W826" s="33">
        <f t="shared" si="56"/>
        <v>1.4453116290816659E-2</v>
      </c>
      <c r="X826" s="35">
        <f t="shared" si="57"/>
        <v>1.8181303966512244E-4</v>
      </c>
      <c r="Y826" s="33">
        <f t="shared" si="58"/>
        <v>7.1413501169092543E-4</v>
      </c>
      <c r="Z826" s="54"/>
    </row>
    <row r="827" spans="15:26" x14ac:dyDescent="0.25">
      <c r="O827" s="37" t="s">
        <v>19</v>
      </c>
      <c r="P827" s="31">
        <f>_xll.qlCalendarAdvance(Calendar,P826,O826,"f",,Trigger)</f>
        <v>48883</v>
      </c>
      <c r="Q827" s="31">
        <f>_xll.qlInterestRateIndexValueDate(Index,P827,Trigger)</f>
        <v>48885</v>
      </c>
      <c r="R827" s="31">
        <f>_xll.qlInterestRateIndexMaturity(Index,Q827,Trigger)</f>
        <v>48977</v>
      </c>
      <c r="S827" s="32">
        <f>_xll.qlDayCounterYearFraction(DayCounter,Q827,R827,,,Trigger)</f>
        <v>0.25555555555555554</v>
      </c>
      <c r="T827" s="33">
        <f>_xll.qlIndexFixing(Index,P827,,AllTriggers)</f>
        <v>1.5139882997143863E-2</v>
      </c>
      <c r="U827" s="34">
        <f>_xll.qlYieldTSDiscount(OisCurve,Q827,,AllTriggers)</f>
        <v>0.82346880838576131</v>
      </c>
      <c r="V827" s="34">
        <f>_xll.qlYieldTSDiscount(OisCurve,R827,,AllTriggers)</f>
        <v>0.82044270809467834</v>
      </c>
      <c r="W827" s="33">
        <f t="shared" si="56"/>
        <v>1.4432771346197226E-2</v>
      </c>
      <c r="X827" s="35">
        <f t="shared" si="57"/>
        <v>1.8002604183057374E-4</v>
      </c>
      <c r="Y827" s="33">
        <f t="shared" si="58"/>
        <v>7.0711165094663672E-4</v>
      </c>
      <c r="Z827" s="54"/>
    </row>
    <row r="828" spans="15:26" x14ac:dyDescent="0.25">
      <c r="O828" s="37" t="s">
        <v>19</v>
      </c>
      <c r="P828" s="31">
        <f>_xll.qlCalendarAdvance(Calendar,P827,O827,"f",,Trigger)</f>
        <v>48913</v>
      </c>
      <c r="Q828" s="31">
        <f>_xll.qlInterestRateIndexValueDate(Index,P828,Trigger)</f>
        <v>48915</v>
      </c>
      <c r="R828" s="31">
        <f>_xll.qlInterestRateIndexMaturity(Index,Q828,Trigger)</f>
        <v>49005</v>
      </c>
      <c r="S828" s="32">
        <f>_xll.qlDayCounterYearFraction(DayCounter,Q828,R828,,,Trigger)</f>
        <v>0.25</v>
      </c>
      <c r="T828" s="33">
        <f>_xll.qlIndexFixing(Index,P828,,AllTriggers)</f>
        <v>1.5112631545288302E-2</v>
      </c>
      <c r="U828" s="34">
        <f>_xll.qlYieldTSDiscount(OisCurve,Q828,,AllTriggers)</f>
        <v>0.82247937054797138</v>
      </c>
      <c r="V828" s="34">
        <f>_xll.qlYieldTSDiscount(OisCurve,R828,,AllTriggers)</f>
        <v>0.81952655851889988</v>
      </c>
      <c r="W828" s="33">
        <f t="shared" si="56"/>
        <v>1.4412282303128521E-2</v>
      </c>
      <c r="X828" s="35">
        <f t="shared" si="57"/>
        <v>1.7444350729351E-4</v>
      </c>
      <c r="Y828" s="33">
        <f t="shared" si="58"/>
        <v>7.0034924215978123E-4</v>
      </c>
      <c r="Z828" s="54"/>
    </row>
    <row r="829" spans="15:26" x14ac:dyDescent="0.25">
      <c r="O829" s="37" t="s">
        <v>19</v>
      </c>
      <c r="P829" s="31">
        <f>_xll.qlCalendarAdvance(Calendar,P828,O828,"f",,Trigger)</f>
        <v>48943</v>
      </c>
      <c r="Q829" s="31">
        <f>_xll.qlInterestRateIndexValueDate(Index,P829,Trigger)</f>
        <v>48947</v>
      </c>
      <c r="R829" s="31">
        <f>_xll.qlInterestRateIndexMaturity(Index,Q829,Trigger)</f>
        <v>49037</v>
      </c>
      <c r="S829" s="32">
        <f>_xll.qlDayCounterYearFraction(DayCounter,Q829,R829,,,Trigger)</f>
        <v>0.25</v>
      </c>
      <c r="T829" s="33">
        <f>_xll.qlIndexFixing(Index,P829,,AllTriggers)</f>
        <v>1.5083071517175917E-2</v>
      </c>
      <c r="U829" s="34">
        <f>_xll.qlYieldTSDiscount(OisCurve,Q829,,AllTriggers)</f>
        <v>0.82142680968902793</v>
      </c>
      <c r="V829" s="34">
        <f>_xll.qlYieldTSDiscount(OisCurve,R829,,AllTriggers)</f>
        <v>0.81848231529471016</v>
      </c>
      <c r="W829" s="33">
        <f t="shared" si="56"/>
        <v>1.4390020843675799E-2</v>
      </c>
      <c r="X829" s="35">
        <f t="shared" si="57"/>
        <v>1.7262668851349367E-4</v>
      </c>
      <c r="Y829" s="33">
        <f t="shared" si="58"/>
        <v>6.930506735001174E-4</v>
      </c>
      <c r="Z829" s="54"/>
    </row>
    <row r="830" spans="15:26" x14ac:dyDescent="0.25">
      <c r="O830" s="37" t="s">
        <v>19</v>
      </c>
      <c r="P830" s="31">
        <f>_xll.qlCalendarAdvance(Calendar,P829,O829,"f",,Trigger)</f>
        <v>48974</v>
      </c>
      <c r="Q830" s="31">
        <f>_xll.qlInterestRateIndexValueDate(Index,P830,Trigger)</f>
        <v>48976</v>
      </c>
      <c r="R830" s="31">
        <f>_xll.qlInterestRateIndexMaturity(Index,Q830,Trigger)</f>
        <v>49066</v>
      </c>
      <c r="S830" s="32">
        <f>_xll.qlDayCounterYearFraction(DayCounter,Q830,R830,,,Trigger)</f>
        <v>0.25</v>
      </c>
      <c r="T830" s="33">
        <f>_xll.qlIndexFixing(Index,P830,,AllTriggers)</f>
        <v>1.5056112470662519E-2</v>
      </c>
      <c r="U830" s="34">
        <f>_xll.qlYieldTSDiscount(OisCurve,Q830,,AllTriggers)</f>
        <v>0.82047546966111373</v>
      </c>
      <c r="V830" s="34">
        <f>_xll.qlYieldTSDiscount(OisCurve,R830,,AllTriggers)</f>
        <v>0.81753854673308757</v>
      </c>
      <c r="W830" s="33">
        <f t="shared" si="56"/>
        <v>1.4369587536941175E-2</v>
      </c>
      <c r="X830" s="35">
        <f t="shared" si="57"/>
        <v>1.7100225123033717E-4</v>
      </c>
      <c r="Y830" s="33">
        <f t="shared" si="58"/>
        <v>6.8652493372134415E-4</v>
      </c>
      <c r="Z830" s="54"/>
    </row>
    <row r="831" spans="15:26" x14ac:dyDescent="0.25">
      <c r="O831" s="37" t="s">
        <v>19</v>
      </c>
      <c r="P831" s="31">
        <f>_xll.qlCalendarAdvance(Calendar,P830,O830,"f",,Trigger)</f>
        <v>49003</v>
      </c>
      <c r="Q831" s="31">
        <f>_xll.qlInterestRateIndexValueDate(Index,P831,Trigger)</f>
        <v>49005</v>
      </c>
      <c r="R831" s="31">
        <f>_xll.qlInterestRateIndexMaturity(Index,Q831,Trigger)</f>
        <v>49097</v>
      </c>
      <c r="S831" s="32">
        <f>_xll.qlDayCounterYearFraction(DayCounter,Q831,R831,,,Trigger)</f>
        <v>0.25555555555555554</v>
      </c>
      <c r="T831" s="33">
        <f>_xll.qlIndexFixing(Index,P831,,AllTriggers)</f>
        <v>1.5028677088260651E-2</v>
      </c>
      <c r="U831" s="34">
        <f>_xll.qlYieldTSDiscount(OisCurve,Q831,,AllTriggers)</f>
        <v>0.81952655851889988</v>
      </c>
      <c r="V831" s="34">
        <f>_xll.qlYieldTSDiscount(OisCurve,R831,,AllTriggers)</f>
        <v>0.81653241200780946</v>
      </c>
      <c r="W831" s="33">
        <f t="shared" si="56"/>
        <v>1.4348757386581056E-2</v>
      </c>
      <c r="X831" s="35">
        <f t="shared" si="57"/>
        <v>1.7310744967715303E-4</v>
      </c>
      <c r="Y831" s="33">
        <f t="shared" si="58"/>
        <v>6.7991970167959569E-4</v>
      </c>
      <c r="Z831" s="54"/>
    </row>
    <row r="832" spans="15:26" x14ac:dyDescent="0.25">
      <c r="O832" s="37" t="s">
        <v>19</v>
      </c>
      <c r="P832" s="31">
        <f>_xll.qlCalendarAdvance(Calendar,P831,O831,"f",,Trigger)</f>
        <v>49031</v>
      </c>
      <c r="Q832" s="31">
        <f>_xll.qlInterestRateIndexValueDate(Index,P832,Trigger)</f>
        <v>49033</v>
      </c>
      <c r="R832" s="31">
        <f>_xll.qlInterestRateIndexMaturity(Index,Q832,Trigger)</f>
        <v>49125</v>
      </c>
      <c r="S832" s="32">
        <f>_xll.qlDayCounterYearFraction(DayCounter,Q832,R832,,,Trigger)</f>
        <v>0.25555555555555554</v>
      </c>
      <c r="T832" s="33">
        <f>_xll.qlIndexFixing(Index,P832,,AllTriggers)</f>
        <v>1.5002330156466128E-2</v>
      </c>
      <c r="U832" s="34">
        <f>_xll.qlYieldTSDiscount(OisCurve,Q832,,AllTriggers)</f>
        <v>0.81861268280791155</v>
      </c>
      <c r="V832" s="34">
        <f>_xll.qlYieldTSDiscount(OisCurve,R832,,AllTriggers)</f>
        <v>0.81562607222017913</v>
      </c>
      <c r="W832" s="33">
        <f t="shared" si="56"/>
        <v>1.4328547701546023E-2</v>
      </c>
      <c r="X832" s="35">
        <f t="shared" si="57"/>
        <v>1.7154592429799361E-4</v>
      </c>
      <c r="Y832" s="33">
        <f t="shared" si="58"/>
        <v>6.7378245492010456E-4</v>
      </c>
      <c r="Z832" s="54"/>
    </row>
    <row r="833" spans="15:26" x14ac:dyDescent="0.25">
      <c r="O833" s="37" t="s">
        <v>19</v>
      </c>
      <c r="P833" s="31">
        <f>_xll.qlCalendarAdvance(Calendar,P832,O832,"f",,Trigger)</f>
        <v>49062</v>
      </c>
      <c r="Q833" s="31">
        <f>_xll.qlInterestRateIndexValueDate(Index,P833,Trigger)</f>
        <v>49067</v>
      </c>
      <c r="R833" s="31">
        <f>_xll.qlInterestRateIndexMaturity(Index,Q833,Trigger)</f>
        <v>49159</v>
      </c>
      <c r="S833" s="32">
        <f>_xll.qlDayCounterYearFraction(DayCounter,Q833,R833,,,Trigger)</f>
        <v>0.25555555555555554</v>
      </c>
      <c r="T833" s="33">
        <f>_xll.qlIndexFixing(Index,P833,,AllTriggers)</f>
        <v>1.4970134553961255E-2</v>
      </c>
      <c r="U833" s="34">
        <f>_xll.qlYieldTSDiscount(OisCurve,Q833,,AllTriggers)</f>
        <v>0.81750604681946093</v>
      </c>
      <c r="V833" s="34">
        <f>_xll.qlYieldTSDiscount(OisCurve,R833,,AllTriggers)</f>
        <v>0.81452862725011621</v>
      </c>
      <c r="W833" s="33">
        <f t="shared" si="56"/>
        <v>1.4303698897857417E-2</v>
      </c>
      <c r="X833" s="35">
        <f t="shared" si="57"/>
        <v>1.6967665153034758E-4</v>
      </c>
      <c r="Y833" s="33">
        <f t="shared" si="58"/>
        <v>6.6643565610383787E-4</v>
      </c>
      <c r="Z833" s="54"/>
    </row>
    <row r="834" spans="15:26" x14ac:dyDescent="0.25">
      <c r="O834" s="37" t="s">
        <v>19</v>
      </c>
      <c r="P834" s="31">
        <f>_xll.qlCalendarAdvance(Calendar,P833,O833,"f",,Trigger)</f>
        <v>49093</v>
      </c>
      <c r="Q834" s="31">
        <f>_xll.qlInterestRateIndexValueDate(Index,P834,Trigger)</f>
        <v>49095</v>
      </c>
      <c r="R834" s="31">
        <f>_xll.qlInterestRateIndexMaturity(Index,Q834,Trigger)</f>
        <v>49187</v>
      </c>
      <c r="S834" s="32">
        <f>_xll.qlDayCounterYearFraction(DayCounter,Q834,R834,,,Trigger)</f>
        <v>0.25555555555555554</v>
      </c>
      <c r="T834" s="33">
        <f>_xll.qlIndexFixing(Index,P834,,AllTriggers)</f>
        <v>1.4943453438202751E-2</v>
      </c>
      <c r="U834" s="34">
        <f>_xll.qlYieldTSDiscount(OisCurve,Q834,,AllTriggers)</f>
        <v>0.8165972388340379</v>
      </c>
      <c r="V834" s="34">
        <f>_xll.qlYieldTSDiscount(OisCurve,R834,,AllTriggers)</f>
        <v>0.81362742130383869</v>
      </c>
      <c r="W834" s="33">
        <f t="shared" si="56"/>
        <v>1.4282981145778298E-2</v>
      </c>
      <c r="X834" s="35">
        <f t="shared" si="57"/>
        <v>1.6815937470512308E-4</v>
      </c>
      <c r="Y834" s="33">
        <f t="shared" si="58"/>
        <v>6.604722924244532E-4</v>
      </c>
      <c r="Z834" s="54"/>
    </row>
    <row r="835" spans="15:26" x14ac:dyDescent="0.25">
      <c r="O835" s="37" t="s">
        <v>19</v>
      </c>
      <c r="P835" s="31">
        <f>_xll.qlCalendarAdvance(Calendar,P834,O834,"f",,Trigger)</f>
        <v>49124</v>
      </c>
      <c r="Q835" s="31">
        <f>_xll.qlInterestRateIndexValueDate(Index,P835,Trigger)</f>
        <v>49128</v>
      </c>
      <c r="R835" s="31">
        <f>_xll.qlInterestRateIndexMaturity(Index,Q835,Trigger)</f>
        <v>49220</v>
      </c>
      <c r="S835" s="32">
        <f>_xll.qlDayCounterYearFraction(DayCounter,Q835,R835,,,Trigger)</f>
        <v>0.25555555555555554</v>
      </c>
      <c r="T835" s="33">
        <f>_xll.qlIndexFixing(Index,P835,,AllTriggers)</f>
        <v>1.4911814090508787E-2</v>
      </c>
      <c r="U835" s="34">
        <f>_xll.qlYieldTSDiscount(OisCurve,Q835,,AllTriggers)</f>
        <v>0.81552910141537915</v>
      </c>
      <c r="V835" s="34">
        <f>_xll.qlYieldTSDiscount(OisCurve,R835,,AllTriggers)</f>
        <v>0.81256828143139881</v>
      </c>
      <c r="W835" s="33">
        <f t="shared" si="56"/>
        <v>1.4258269235183075E-2</v>
      </c>
      <c r="X835" s="35">
        <f t="shared" si="57"/>
        <v>1.6639681006452877E-4</v>
      </c>
      <c r="Y835" s="33">
        <f t="shared" si="58"/>
        <v>6.5354485532571199E-4</v>
      </c>
      <c r="Z835" s="54"/>
    </row>
    <row r="836" spans="15:26" x14ac:dyDescent="0.25">
      <c r="O836" s="37" t="s">
        <v>19</v>
      </c>
      <c r="P836" s="31">
        <f>_xll.qlCalendarAdvance(Calendar,P835,O835,"f",,Trigger)</f>
        <v>49156</v>
      </c>
      <c r="Q836" s="31">
        <f>_xll.qlInterestRateIndexValueDate(Index,P836,Trigger)</f>
        <v>49158</v>
      </c>
      <c r="R836" s="31">
        <f>_xll.qlInterestRateIndexMaturity(Index,Q836,Trigger)</f>
        <v>49250</v>
      </c>
      <c r="S836" s="32">
        <f>_xll.qlDayCounterYearFraction(DayCounter,Q836,R836,,,Trigger)</f>
        <v>0.25555555555555554</v>
      </c>
      <c r="T836" s="33">
        <f>_xll.qlIndexFixing(Index,P836,,AllTriggers)</f>
        <v>1.4882869142708456E-2</v>
      </c>
      <c r="U836" s="34">
        <f>_xll.qlYieldTSDiscount(OisCurve,Q836,,AllTriggers)</f>
        <v>0.81456085621189944</v>
      </c>
      <c r="V836" s="34">
        <f>_xll.qlYieldTSDiscount(OisCurve,R836,,AllTriggers)</f>
        <v>0.81160825129283398</v>
      </c>
      <c r="W836" s="33">
        <f t="shared" ref="W836:W899" si="59">(U836/V836-1)/S836</f>
        <v>1.4235527305230812E-2</v>
      </c>
      <c r="X836" s="35">
        <f t="shared" ref="X836:X899" si="60">LN((1+T836*S836)/(1+W836*S836))</f>
        <v>1.6481856548744933E-4</v>
      </c>
      <c r="Y836" s="33">
        <f t="shared" ref="Y836:Y899" si="61">T836-W836</f>
        <v>6.4734183747764372E-4</v>
      </c>
      <c r="Z836" s="54"/>
    </row>
    <row r="837" spans="15:26" x14ac:dyDescent="0.25">
      <c r="O837" s="37" t="s">
        <v>19</v>
      </c>
      <c r="P837" s="31">
        <f>_xll.qlCalendarAdvance(Calendar,P836,O836,"f",,Trigger)</f>
        <v>49187</v>
      </c>
      <c r="Q837" s="31">
        <f>_xll.qlInterestRateIndexValueDate(Index,P837,Trigger)</f>
        <v>49191</v>
      </c>
      <c r="R837" s="31">
        <f>_xll.qlInterestRateIndexMaturity(Index,Q837,Trigger)</f>
        <v>49282</v>
      </c>
      <c r="S837" s="32">
        <f>_xll.qlDayCounterYearFraction(DayCounter,Q837,R837,,,Trigger)</f>
        <v>0.25277777777777777</v>
      </c>
      <c r="T837" s="33">
        <f>_xll.qlIndexFixing(Index,P837,,AllTriggers)</f>
        <v>1.4851012146271851E-2</v>
      </c>
      <c r="U837" s="34">
        <f>_xll.qlYieldTSDiscount(OisCurve,Q837,,AllTriggers)</f>
        <v>0.81349886783262315</v>
      </c>
      <c r="V837" s="34">
        <f>_xll.qlYieldTSDiscount(OisCurve,R837,,AllTriggers)</f>
        <v>0.81058719657612388</v>
      </c>
      <c r="W837" s="33">
        <f t="shared" si="59"/>
        <v>1.4210315096161759E-2</v>
      </c>
      <c r="X837" s="35">
        <f t="shared" si="60"/>
        <v>1.6136129222372081E-4</v>
      </c>
      <c r="Y837" s="33">
        <f t="shared" si="61"/>
        <v>6.4069705011009226E-4</v>
      </c>
      <c r="Z837" s="54"/>
    </row>
    <row r="838" spans="15:26" x14ac:dyDescent="0.25">
      <c r="O838" s="37" t="s">
        <v>19</v>
      </c>
      <c r="P838" s="31">
        <f>_xll.qlCalendarAdvance(Calendar,P837,O837,"f",,Trigger)</f>
        <v>49219</v>
      </c>
      <c r="Q838" s="31">
        <f>_xll.qlInterestRateIndexValueDate(Index,P838,Trigger)</f>
        <v>49221</v>
      </c>
      <c r="R838" s="31">
        <f>_xll.qlInterestRateIndexMaturity(Index,Q838,Trigger)</f>
        <v>49313</v>
      </c>
      <c r="S838" s="32">
        <f>_xll.qlDayCounterYearFraction(DayCounter,Q838,R838,,,Trigger)</f>
        <v>0.25555555555555554</v>
      </c>
      <c r="T838" s="33">
        <f>_xll.qlIndexFixing(Index,P838,,AllTriggers)</f>
        <v>1.4821520866046269E-2</v>
      </c>
      <c r="U838" s="34">
        <f>_xll.qlYieldTSDiscount(OisCurve,Q838,,AllTriggers)</f>
        <v>0.81253623702461675</v>
      </c>
      <c r="V838" s="34">
        <f>_xll.qlYieldTSDiscount(OisCurve,R838,,AllTriggers)</f>
        <v>0.80960099286945197</v>
      </c>
      <c r="W838" s="33">
        <f t="shared" si="59"/>
        <v>1.4186911947528694E-2</v>
      </c>
      <c r="X838" s="35">
        <f t="shared" si="60"/>
        <v>1.615789213100431E-4</v>
      </c>
      <c r="Y838" s="33">
        <f t="shared" si="61"/>
        <v>6.3460891851757455E-4</v>
      </c>
      <c r="Z838" s="54"/>
    </row>
    <row r="839" spans="15:26" x14ac:dyDescent="0.25">
      <c r="O839" s="37" t="s">
        <v>19</v>
      </c>
      <c r="P839" s="31">
        <f>_xll.qlCalendarAdvance(Calendar,P838,O838,"f",,Trigger)</f>
        <v>49250</v>
      </c>
      <c r="Q839" s="31">
        <f>_xll.qlInterestRateIndexValueDate(Index,P839,Trigger)</f>
        <v>49254</v>
      </c>
      <c r="R839" s="31">
        <f>_xll.qlInterestRateIndexMaturity(Index,Q839,Trigger)</f>
        <v>49346</v>
      </c>
      <c r="S839" s="32">
        <f>_xll.qlDayCounterYearFraction(DayCounter,Q839,R839,,,Trigger)</f>
        <v>0.25555555555555554</v>
      </c>
      <c r="T839" s="33">
        <f>_xll.qlIndexFixing(Index,P839,,AllTriggers)</f>
        <v>1.4789081166957581E-2</v>
      </c>
      <c r="U839" s="34">
        <f>_xll.qlYieldTSDiscount(OisCurve,Q839,,AllTriggers)</f>
        <v>0.81148045111721145</v>
      </c>
      <c r="V839" s="34">
        <f>_xll.qlYieldTSDiscount(OisCurve,R839,,AllTriggers)</f>
        <v>0.80855435924565977</v>
      </c>
      <c r="W839" s="33">
        <f t="shared" si="59"/>
        <v>1.4160983221276541E-2</v>
      </c>
      <c r="X839" s="35">
        <f t="shared" si="60"/>
        <v>1.5992233909215887E-4</v>
      </c>
      <c r="Y839" s="33">
        <f t="shared" si="61"/>
        <v>6.2809794568103976E-4</v>
      </c>
      <c r="Z839" s="54"/>
    </row>
    <row r="840" spans="15:26" x14ac:dyDescent="0.25">
      <c r="O840" s="37" t="s">
        <v>19</v>
      </c>
      <c r="P840" s="31">
        <f>_xll.qlCalendarAdvance(Calendar,P839,O839,"f",,Trigger)</f>
        <v>49282</v>
      </c>
      <c r="Q840" s="31">
        <f>_xll.qlInterestRateIndexValueDate(Index,P840,Trigger)</f>
        <v>49284</v>
      </c>
      <c r="R840" s="31">
        <f>_xll.qlInterestRateIndexMaturity(Index,Q840,Trigger)</f>
        <v>49374</v>
      </c>
      <c r="S840" s="32">
        <f>_xll.qlDayCounterYearFraction(DayCounter,Q840,R840,,,Trigger)</f>
        <v>0.25</v>
      </c>
      <c r="T840" s="33">
        <f>_xll.qlIndexFixing(Index,P840,,AllTriggers)</f>
        <v>1.4759799024801623E-2</v>
      </c>
      <c r="U840" s="34">
        <f>_xll.qlYieldTSDiscount(OisCurve,Q840,,AllTriggers)</f>
        <v>0.81052348299668653</v>
      </c>
      <c r="V840" s="34">
        <f>_xll.qlYieldTSDiscount(OisCurve,R840,,AllTriggers)</f>
        <v>0.80766890160610338</v>
      </c>
      <c r="W840" s="33">
        <f t="shared" si="59"/>
        <v>1.4137384192490998E-2</v>
      </c>
      <c r="X840" s="35">
        <f t="shared" si="60"/>
        <v>1.5504366773021796E-4</v>
      </c>
      <c r="Y840" s="33">
        <f t="shared" si="61"/>
        <v>6.2241483231062489E-4</v>
      </c>
      <c r="Z840" s="54"/>
    </row>
    <row r="841" spans="15:26" x14ac:dyDescent="0.25">
      <c r="O841" s="37" t="s">
        <v>19</v>
      </c>
      <c r="P841" s="31">
        <f>_xll.qlCalendarAdvance(Calendar,P840,O840,"f",,Trigger)</f>
        <v>49313</v>
      </c>
      <c r="Q841" s="31">
        <f>_xll.qlInterestRateIndexValueDate(Index,P841,Trigger)</f>
        <v>49317</v>
      </c>
      <c r="R841" s="31">
        <f>_xll.qlInterestRateIndexMaturity(Index,Q841,Trigger)</f>
        <v>49408</v>
      </c>
      <c r="S841" s="32">
        <f>_xll.qlDayCounterYearFraction(DayCounter,Q841,R841,,,Trigger)</f>
        <v>0.25277777777777777</v>
      </c>
      <c r="T841" s="33">
        <f>_xll.qlIndexFixing(Index,P841,,AllTriggers)</f>
        <v>1.4726768554179539E-2</v>
      </c>
      <c r="U841" s="34">
        <f>_xll.qlYieldTSDiscount(OisCurve,Q841,,AllTriggers)</f>
        <v>0.80947395237384068</v>
      </c>
      <c r="V841" s="34">
        <f>_xll.qlYieldTSDiscount(OisCurve,R841,,AllTriggers)</f>
        <v>0.80659691909345843</v>
      </c>
      <c r="W841" s="33">
        <f t="shared" si="59"/>
        <v>1.411072848255567E-2</v>
      </c>
      <c r="X841" s="35">
        <f t="shared" si="60"/>
        <v>1.5515573843621338E-4</v>
      </c>
      <c r="Y841" s="33">
        <f t="shared" si="61"/>
        <v>6.1604007162386829E-4</v>
      </c>
      <c r="Z841" s="54"/>
    </row>
    <row r="842" spans="15:26" x14ac:dyDescent="0.25">
      <c r="O842" s="37" t="s">
        <v>19</v>
      </c>
      <c r="P842" s="31">
        <f>_xll.qlCalendarAdvance(Calendar,P841,O841,"f",,Trigger)</f>
        <v>49345</v>
      </c>
      <c r="Q842" s="31">
        <f>_xll.qlInterestRateIndexValueDate(Index,P842,Trigger)</f>
        <v>49347</v>
      </c>
      <c r="R842" s="31">
        <f>_xll.qlInterestRateIndexMaturity(Index,Q842,Trigger)</f>
        <v>49436</v>
      </c>
      <c r="S842" s="32">
        <f>_xll.qlDayCounterYearFraction(DayCounter,Q842,R842,,,Trigger)</f>
        <v>0.24722222222222223</v>
      </c>
      <c r="T842" s="33">
        <f>_xll.qlIndexFixing(Index,P842,,AllTriggers)</f>
        <v>1.4697143827554231E-2</v>
      </c>
      <c r="U842" s="34">
        <f>_xll.qlYieldTSDiscount(OisCurve,Q842,,AllTriggers)</f>
        <v>0.80852269467429527</v>
      </c>
      <c r="V842" s="34">
        <f>_xll.qlYieldTSDiscount(OisCurve,R842,,AllTriggers)</f>
        <v>0.80571676868547504</v>
      </c>
      <c r="W842" s="33">
        <f t="shared" si="59"/>
        <v>1.4086603915422508E-2</v>
      </c>
      <c r="X842" s="35">
        <f t="shared" si="60"/>
        <v>1.5040389839425991E-4</v>
      </c>
      <c r="Y842" s="33">
        <f t="shared" si="61"/>
        <v>6.105399121317228E-4</v>
      </c>
      <c r="Z842" s="54"/>
    </row>
    <row r="843" spans="15:26" x14ac:dyDescent="0.25">
      <c r="O843" s="37" t="s">
        <v>19</v>
      </c>
      <c r="P843" s="31">
        <f>_xll.qlCalendarAdvance(Calendar,P842,O842,"f",,Trigger)</f>
        <v>49373</v>
      </c>
      <c r="Q843" s="31">
        <f>_xll.qlInterestRateIndexValueDate(Index,P843,Trigger)</f>
        <v>49375</v>
      </c>
      <c r="R843" s="31">
        <f>_xll.qlInterestRateIndexMaturity(Index,Q843,Trigger)</f>
        <v>49467</v>
      </c>
      <c r="S843" s="32">
        <f>_xll.qlDayCounterYearFraction(DayCounter,Q843,R843,,,Trigger)</f>
        <v>0.25555555555555554</v>
      </c>
      <c r="T843" s="33">
        <f>_xll.qlIndexFixing(Index,P843,,AllTriggers)</f>
        <v>1.4668380981538106E-2</v>
      </c>
      <c r="U843" s="34">
        <f>_xll.qlYieldTSDiscount(OisCurve,Q843,,AllTriggers)</f>
        <v>0.80763732229984098</v>
      </c>
      <c r="V843" s="34">
        <f>_xll.qlYieldTSDiscount(OisCurve,R843,,AllTriggers)</f>
        <v>0.80474512100513318</v>
      </c>
      <c r="W843" s="33">
        <f t="shared" si="59"/>
        <v>1.4063222154038551E-2</v>
      </c>
      <c r="X843" s="35">
        <f t="shared" si="60"/>
        <v>1.5408601079729576E-4</v>
      </c>
      <c r="Y843" s="33">
        <f t="shared" si="61"/>
        <v>6.0515882749955473E-4</v>
      </c>
      <c r="Z843" s="54"/>
    </row>
    <row r="844" spans="15:26" x14ac:dyDescent="0.25">
      <c r="O844" s="37" t="s">
        <v>19</v>
      </c>
      <c r="P844" s="31">
        <f>_xll.qlCalendarAdvance(Calendar,P843,O843,"f",,Trigger)</f>
        <v>49404</v>
      </c>
      <c r="Q844" s="31">
        <f>_xll.qlInterestRateIndexValueDate(Index,P844,Trigger)</f>
        <v>49408</v>
      </c>
      <c r="R844" s="31">
        <f>_xll.qlInterestRateIndexMaturity(Index,Q844,Trigger)</f>
        <v>49499</v>
      </c>
      <c r="S844" s="32">
        <f>_xll.qlDayCounterYearFraction(DayCounter,Q844,R844,,,Trigger)</f>
        <v>0.25277777777777777</v>
      </c>
      <c r="T844" s="33">
        <f>_xll.qlIndexFixing(Index,P844,,AllTriggers)</f>
        <v>1.4635481360956916E-2</v>
      </c>
      <c r="U844" s="34">
        <f>_xll.qlYieldTSDiscount(OisCurve,Q844,,AllTriggers)</f>
        <v>0.80659691909345843</v>
      </c>
      <c r="V844" s="34">
        <f>_xll.qlYieldTSDiscount(OisCurve,R844,,AllTriggers)</f>
        <v>0.80374518955507257</v>
      </c>
      <c r="W844" s="33">
        <f t="shared" si="59"/>
        <v>1.4036248740535282E-2</v>
      </c>
      <c r="X844" s="35">
        <f t="shared" si="60"/>
        <v>1.5092576744809365E-4</v>
      </c>
      <c r="Y844" s="33">
        <f t="shared" si="61"/>
        <v>5.992326204216341E-4</v>
      </c>
      <c r="Z844" s="54"/>
    </row>
    <row r="845" spans="15:26" x14ac:dyDescent="0.25">
      <c r="O845" s="37" t="s">
        <v>19</v>
      </c>
      <c r="P845" s="31">
        <f>_xll.qlCalendarAdvance(Calendar,P844,O844,"f",,Trigger)</f>
        <v>49436</v>
      </c>
      <c r="Q845" s="31">
        <f>_xll.qlInterestRateIndexValueDate(Index,P845,Trigger)</f>
        <v>49438</v>
      </c>
      <c r="R845" s="31">
        <f>_xll.qlInterestRateIndexMaturity(Index,Q845,Trigger)</f>
        <v>49530</v>
      </c>
      <c r="S845" s="32">
        <f>_xll.qlDayCounterYearFraction(DayCounter,Q845,R845,,,Trigger)</f>
        <v>0.25555555555555554</v>
      </c>
      <c r="T845" s="33">
        <f>_xll.qlIndexFixing(Index,P845,,AllTriggers)</f>
        <v>1.4605513135265775E-2</v>
      </c>
      <c r="U845" s="34">
        <f>_xll.qlYieldTSDiscount(OisCurve,Q845,,AllTriggers)</f>
        <v>0.80565399294001061</v>
      </c>
      <c r="V845" s="34">
        <f>_xll.qlYieldTSDiscount(OisCurve,R845,,AllTriggers)</f>
        <v>0.80277943015988984</v>
      </c>
      <c r="W845" s="33">
        <f t="shared" si="59"/>
        <v>1.4011680814196377E-2</v>
      </c>
      <c r="X845" s="35">
        <f t="shared" si="60"/>
        <v>1.512042492817722E-4</v>
      </c>
      <c r="Y845" s="33">
        <f t="shared" si="61"/>
        <v>5.938323210693975E-4</v>
      </c>
      <c r="Z845" s="54"/>
    </row>
    <row r="846" spans="15:26" x14ac:dyDescent="0.25">
      <c r="O846" s="37" t="s">
        <v>19</v>
      </c>
      <c r="P846" s="31">
        <f>_xll.qlCalendarAdvance(Calendar,P845,O845,"f",,Trigger)</f>
        <v>49467</v>
      </c>
      <c r="Q846" s="31">
        <f>_xll.qlInterestRateIndexValueDate(Index,P846,Trigger)</f>
        <v>49471</v>
      </c>
      <c r="R846" s="31">
        <f>_xll.qlInterestRateIndexMaturity(Index,Q846,Trigger)</f>
        <v>49563</v>
      </c>
      <c r="S846" s="32">
        <f>_xll.qlDayCounterYearFraction(DayCounter,Q846,R846,,,Trigger)</f>
        <v>0.25555555555555554</v>
      </c>
      <c r="T846" s="33">
        <f>_xll.qlIndexFixing(Index,P846,,AllTriggers)</f>
        <v>1.4573349350352942E-2</v>
      </c>
      <c r="U846" s="34">
        <f>_xll.qlYieldTSDiscount(OisCurve,Q846,,AllTriggers)</f>
        <v>0.80461996044396622</v>
      </c>
      <c r="V846" s="34">
        <f>_xll.qlYieldTSDiscount(OisCurve,R846,,AllTriggers)</f>
        <v>0.80175448212168765</v>
      </c>
      <c r="W846" s="33">
        <f t="shared" si="59"/>
        <v>1.3985255475488718E-2</v>
      </c>
      <c r="X846" s="35">
        <f t="shared" si="60"/>
        <v>1.4974421732213476E-4</v>
      </c>
      <c r="Y846" s="33">
        <f t="shared" si="61"/>
        <v>5.8809387486422407E-4</v>
      </c>
      <c r="Z846" s="54"/>
    </row>
    <row r="847" spans="15:26" x14ac:dyDescent="0.25">
      <c r="O847" s="37" t="s">
        <v>19</v>
      </c>
      <c r="P847" s="31">
        <f>_xll.qlCalendarAdvance(Calendar,P846,O846,"f",,Trigger)</f>
        <v>49499</v>
      </c>
      <c r="Q847" s="31">
        <f>_xll.qlInterestRateIndexValueDate(Index,P847,Trigger)</f>
        <v>49501</v>
      </c>
      <c r="R847" s="31">
        <f>_xll.qlInterestRateIndexMaturity(Index,Q847,Trigger)</f>
        <v>49593</v>
      </c>
      <c r="S847" s="32">
        <f>_xll.qlDayCounterYearFraction(DayCounter,Q847,R847,,,Trigger)</f>
        <v>0.25555555555555554</v>
      </c>
      <c r="T847" s="33">
        <f>_xll.qlIndexFixing(Index,P847,,AllTriggers)</f>
        <v>1.4544673615448936E-2</v>
      </c>
      <c r="U847" s="34">
        <f>_xll.qlYieldTSDiscount(OisCurve,Q847,,AllTriggers)</f>
        <v>0.80368279608227977</v>
      </c>
      <c r="V847" s="34">
        <f>_xll.qlYieldTSDiscount(OisCurve,R847,,AllTriggers)</f>
        <v>0.8008254635589791</v>
      </c>
      <c r="W847" s="33">
        <f t="shared" si="59"/>
        <v>1.3961676925000997E-2</v>
      </c>
      <c r="X847" s="35">
        <f t="shared" si="60"/>
        <v>1.4844732724584301E-4</v>
      </c>
      <c r="Y847" s="33">
        <f t="shared" si="61"/>
        <v>5.8299669044793896E-4</v>
      </c>
      <c r="Z847" s="54"/>
    </row>
    <row r="848" spans="15:26" x14ac:dyDescent="0.25">
      <c r="O848" s="37" t="s">
        <v>19</v>
      </c>
      <c r="P848" s="31">
        <f>_xll.qlCalendarAdvance(Calendar,P847,O847,"f",,Trigger)</f>
        <v>49530</v>
      </c>
      <c r="Q848" s="31">
        <f>_xll.qlInterestRateIndexValueDate(Index,P848,Trigger)</f>
        <v>49534</v>
      </c>
      <c r="R848" s="31">
        <f>_xll.qlInterestRateIndexMaturity(Index,Q848,Trigger)</f>
        <v>49626</v>
      </c>
      <c r="S848" s="32">
        <f>_xll.qlDayCounterYearFraction(DayCounter,Q848,R848,,,Trigger)</f>
        <v>0.25555555555555554</v>
      </c>
      <c r="T848" s="33">
        <f>_xll.qlIndexFixing(Index,P848,,AllTriggers)</f>
        <v>1.4513750769081067E-2</v>
      </c>
      <c r="U848" s="34">
        <f>_xll.qlYieldTSDiscount(OisCurve,Q848,,AllTriggers)</f>
        <v>0.80265502363339569</v>
      </c>
      <c r="V848" s="34">
        <f>_xll.qlYieldTSDiscount(OisCurve,R848,,AllTriggers)</f>
        <v>0.79980652799406771</v>
      </c>
      <c r="W848" s="33">
        <f t="shared" si="59"/>
        <v>1.3936229443240926E-2</v>
      </c>
      <c r="X848" s="35">
        <f t="shared" si="60"/>
        <v>1.4705420103878084E-4</v>
      </c>
      <c r="Y848" s="33">
        <f t="shared" si="61"/>
        <v>5.7752132584014057E-4</v>
      </c>
      <c r="Z848" s="54"/>
    </row>
    <row r="849" spans="15:26" x14ac:dyDescent="0.25">
      <c r="O849" s="37" t="s">
        <v>19</v>
      </c>
      <c r="P849" s="31">
        <f>_xll.qlCalendarAdvance(Calendar,P848,O848,"f",,Trigger)</f>
        <v>49562</v>
      </c>
      <c r="Q849" s="31">
        <f>_xll.qlInterestRateIndexValueDate(Index,P849,Trigger)</f>
        <v>49564</v>
      </c>
      <c r="R849" s="31">
        <f>_xll.qlInterestRateIndexMaturity(Index,Q849,Trigger)</f>
        <v>49655</v>
      </c>
      <c r="S849" s="32">
        <f>_xll.qlDayCounterYearFraction(DayCounter,Q849,R849,,,Trigger)</f>
        <v>0.25277777777777777</v>
      </c>
      <c r="T849" s="33">
        <f>_xll.qlIndexFixing(Index,P849,,AllTriggers)</f>
        <v>1.448636219674288E-2</v>
      </c>
      <c r="U849" s="34">
        <f>_xll.qlYieldTSDiscount(OisCurve,Q849,,AllTriggers)</f>
        <v>0.80172347281571443</v>
      </c>
      <c r="V849" s="34">
        <f>_xll.qlYieldTSDiscount(OisCurve,R849,,AllTriggers)</f>
        <v>0.79891364590648239</v>
      </c>
      <c r="W849" s="33">
        <f t="shared" si="59"/>
        <v>1.3913642380190947E-2</v>
      </c>
      <c r="X849" s="35">
        <f t="shared" si="60"/>
        <v>1.4425305436033782E-4</v>
      </c>
      <c r="Y849" s="33">
        <f t="shared" si="61"/>
        <v>5.7271981655193302E-4</v>
      </c>
      <c r="Z849" s="54"/>
    </row>
    <row r="850" spans="15:26" x14ac:dyDescent="0.25">
      <c r="O850" s="37" t="s">
        <v>19</v>
      </c>
      <c r="P850" s="31">
        <f>_xll.qlCalendarAdvance(Calendar,P849,O849,"f",,Trigger)</f>
        <v>49592</v>
      </c>
      <c r="Q850" s="31">
        <f>_xll.qlInterestRateIndexValueDate(Index,P850,Trigger)</f>
        <v>49594</v>
      </c>
      <c r="R850" s="31">
        <f>_xll.qlInterestRateIndexMaturity(Index,Q850,Trigger)</f>
        <v>49688</v>
      </c>
      <c r="S850" s="32">
        <f>_xll.qlDayCounterYearFraction(DayCounter,Q850,R850,,,Trigger)</f>
        <v>0.26111111111111113</v>
      </c>
      <c r="T850" s="33">
        <f>_xll.qlIndexFixing(Index,P850,,AllTriggers)</f>
        <v>1.4458890799154611E-2</v>
      </c>
      <c r="U850" s="34">
        <f>_xll.qlYieldTSDiscount(OisCurve,Q850,,AllTriggers)</f>
        <v>0.80079454099281688</v>
      </c>
      <c r="V850" s="34">
        <f>_xll.qlYieldTSDiscount(OisCurve,R850,,AllTriggers)</f>
        <v>0.79790046372826862</v>
      </c>
      <c r="W850" s="33">
        <f t="shared" si="59"/>
        <v>1.3891081238767545E-2</v>
      </c>
      <c r="X850" s="35">
        <f t="shared" si="60"/>
        <v>1.477146571461502E-4</v>
      </c>
      <c r="Y850" s="33">
        <f t="shared" si="61"/>
        <v>5.6780956038706559E-4</v>
      </c>
      <c r="Z850" s="54"/>
    </row>
    <row r="851" spans="15:26" x14ac:dyDescent="0.25">
      <c r="O851" s="37" t="s">
        <v>19</v>
      </c>
      <c r="P851" s="31">
        <f>_xll.qlCalendarAdvance(Calendar,P850,O850,"f",,Trigger)</f>
        <v>49625</v>
      </c>
      <c r="Q851" s="31">
        <f>_xll.qlInterestRateIndexValueDate(Index,P851,Trigger)</f>
        <v>49627</v>
      </c>
      <c r="R851" s="31">
        <f>_xll.qlInterestRateIndexMaturity(Index,Q851,Trigger)</f>
        <v>49719</v>
      </c>
      <c r="S851" s="32">
        <f>_xll.qlDayCounterYearFraction(DayCounter,Q851,R851,,,Trigger)</f>
        <v>0.25555555555555554</v>
      </c>
      <c r="T851" s="33">
        <f>_xll.qlIndexFixing(Index,P851,,AllTriggers)</f>
        <v>1.4430101586457857E-2</v>
      </c>
      <c r="U851" s="34">
        <f>_xll.qlYieldTSDiscount(OisCurve,Q851,,AllTriggers)</f>
        <v>0.79977569950852312</v>
      </c>
      <c r="V851" s="34">
        <f>_xll.qlYieldTSDiscount(OisCurve,R851,,AllTriggers)</f>
        <v>0.79695141704777039</v>
      </c>
      <c r="W851" s="33">
        <f t="shared" si="59"/>
        <v>1.3867269481437423E-2</v>
      </c>
      <c r="X851" s="35">
        <f t="shared" si="60"/>
        <v>1.433166706667192E-4</v>
      </c>
      <c r="Y851" s="33">
        <f t="shared" si="61"/>
        <v>5.6283210502043428E-4</v>
      </c>
      <c r="Z851" s="54"/>
    </row>
    <row r="852" spans="15:26" x14ac:dyDescent="0.25">
      <c r="O852" s="37" t="s">
        <v>19</v>
      </c>
      <c r="P852" s="31">
        <f>_xll.qlCalendarAdvance(Calendar,P851,O851,"f",,Trigger)</f>
        <v>49655</v>
      </c>
      <c r="Q852" s="31">
        <f>_xll.qlInterestRateIndexValueDate(Index,P852,Trigger)</f>
        <v>49657</v>
      </c>
      <c r="R852" s="31">
        <f>_xll.qlInterestRateIndexMaturity(Index,Q852,Trigger)</f>
        <v>49748</v>
      </c>
      <c r="S852" s="32">
        <f>_xll.qlDayCounterYearFraction(DayCounter,Q852,R852,,,Trigger)</f>
        <v>0.25277777777777777</v>
      </c>
      <c r="T852" s="33">
        <f>_xll.qlIndexFixing(Index,P852,,AllTriggers)</f>
        <v>1.4404353746269345E-2</v>
      </c>
      <c r="U852" s="34">
        <f>_xll.qlYieldTSDiscount(OisCurve,Q852,,AllTriggers)</f>
        <v>0.7988521547858477</v>
      </c>
      <c r="V852" s="34">
        <f>_xll.qlYieldTSDiscount(OisCurve,R852,,AllTriggers)</f>
        <v>0.79606595984570649</v>
      </c>
      <c r="W852" s="33">
        <f t="shared" si="59"/>
        <v>1.3845975345362787E-2</v>
      </c>
      <c r="X852" s="35">
        <f t="shared" si="60"/>
        <v>1.4064348013059631E-4</v>
      </c>
      <c r="Y852" s="33">
        <f t="shared" si="61"/>
        <v>5.5837840090655795E-4</v>
      </c>
      <c r="Z852" s="54"/>
    </row>
    <row r="853" spans="15:26" x14ac:dyDescent="0.25">
      <c r="O853" s="37" t="s">
        <v>19</v>
      </c>
      <c r="P853" s="31">
        <f>_xll.qlCalendarAdvance(Calendar,P852,O852,"f",,Trigger)</f>
        <v>49688</v>
      </c>
      <c r="Q853" s="31">
        <f>_xll.qlInterestRateIndexValueDate(Index,P853,Trigger)</f>
        <v>49690</v>
      </c>
      <c r="R853" s="31">
        <f>_xll.qlInterestRateIndexMaturity(Index,Q853,Trigger)</f>
        <v>49781</v>
      </c>
      <c r="S853" s="32">
        <f>_xll.qlDayCounterYearFraction(DayCounter,Q853,R853,,,Trigger)</f>
        <v>0.25277777777777777</v>
      </c>
      <c r="T853" s="33">
        <f>_xll.qlIndexFixing(Index,P853,,AllTriggers)</f>
        <v>1.4376494728299449E-2</v>
      </c>
      <c r="U853" s="34">
        <f>_xll.qlYieldTSDiscount(OisCurve,Q853,,AllTriggers)</f>
        <v>0.79783915551460394</v>
      </c>
      <c r="V853" s="34">
        <f>_xll.qlYieldTSDiscount(OisCurve,R853,,AllTriggers)</f>
        <v>0.7950611065750286</v>
      </c>
      <c r="W853" s="33">
        <f t="shared" si="59"/>
        <v>1.3822942194147014E-2</v>
      </c>
      <c r="X853" s="35">
        <f t="shared" si="60"/>
        <v>1.3942884198466524E-4</v>
      </c>
      <c r="Y853" s="33">
        <f t="shared" si="61"/>
        <v>5.5355253415243465E-4</v>
      </c>
      <c r="Z853" s="54"/>
    </row>
    <row r="854" spans="15:26" x14ac:dyDescent="0.25">
      <c r="O854" s="37" t="s">
        <v>19</v>
      </c>
      <c r="P854" s="31">
        <f>_xll.qlCalendarAdvance(Calendar,P853,O853,"f",,Trigger)</f>
        <v>49719</v>
      </c>
      <c r="Q854" s="31">
        <f>_xll.qlInterestRateIndexValueDate(Index,P854,Trigger)</f>
        <v>49723</v>
      </c>
      <c r="R854" s="31">
        <f>_xll.qlInterestRateIndexMaturity(Index,Q854,Trigger)</f>
        <v>49814</v>
      </c>
      <c r="S854" s="32">
        <f>_xll.qlDayCounterYearFraction(DayCounter,Q854,R854,,,Trigger)</f>
        <v>0.25277777777777777</v>
      </c>
      <c r="T854" s="33">
        <f>_xll.qlIndexFixing(Index,P854,,AllTriggers)</f>
        <v>1.4349285607300078E-2</v>
      </c>
      <c r="U854" s="34">
        <f>_xll.qlYieldTSDiscount(OisCurve,Q854,,AllTriggers)</f>
        <v>0.79682915008434985</v>
      </c>
      <c r="V854" s="34">
        <f>_xll.qlYieldTSDiscount(OisCurve,R854,,AllTriggers)</f>
        <v>0.79405912263997869</v>
      </c>
      <c r="W854" s="33">
        <f t="shared" si="59"/>
        <v>1.3800421173864066E-2</v>
      </c>
      <c r="X854" s="35">
        <f t="shared" si="60"/>
        <v>1.3824886877585998E-4</v>
      </c>
      <c r="Y854" s="33">
        <f t="shared" si="61"/>
        <v>5.4886443343601238E-4</v>
      </c>
      <c r="Z854" s="54"/>
    </row>
    <row r="855" spans="15:26" x14ac:dyDescent="0.25">
      <c r="O855" s="37" t="s">
        <v>19</v>
      </c>
      <c r="P855" s="31">
        <f>_xll.qlCalendarAdvance(Calendar,P854,O854,"f",,Trigger)</f>
        <v>49748</v>
      </c>
      <c r="Q855" s="31">
        <f>_xll.qlInterestRateIndexValueDate(Index,P855,Trigger)</f>
        <v>49752</v>
      </c>
      <c r="R855" s="31">
        <f>_xll.qlInterestRateIndexMaturity(Index,Q855,Trigger)</f>
        <v>49844</v>
      </c>
      <c r="S855" s="32">
        <f>_xll.qlDayCounterYearFraction(DayCounter,Q855,R855,,,Trigger)</f>
        <v>0.25555555555555554</v>
      </c>
      <c r="T855" s="33">
        <f>_xll.qlIndexFixing(Index,P855,,AllTriggers)</f>
        <v>1.4325801688623756E-2</v>
      </c>
      <c r="U855" s="34">
        <f>_xll.qlYieldTSDiscount(OisCurve,Q855,,AllTriggers)</f>
        <v>0.79594400513120478</v>
      </c>
      <c r="V855" s="34">
        <f>_xll.qlYieldTSDiscount(OisCurve,R855,,AllTriggers)</f>
        <v>0.79315068041695647</v>
      </c>
      <c r="W855" s="33">
        <f t="shared" si="59"/>
        <v>1.3780989319719626E-2</v>
      </c>
      <c r="X855" s="35">
        <f t="shared" si="60"/>
        <v>1.3873158398954654E-4</v>
      </c>
      <c r="Y855" s="33">
        <f t="shared" si="61"/>
        <v>5.4481236890412989E-4</v>
      </c>
      <c r="Z855" s="54"/>
    </row>
    <row r="856" spans="15:26" x14ac:dyDescent="0.25">
      <c r="O856" s="37" t="s">
        <v>19</v>
      </c>
      <c r="P856" s="31">
        <f>_xll.qlCalendarAdvance(Calendar,P855,O855,"f",,Trigger)</f>
        <v>49780</v>
      </c>
      <c r="Q856" s="31">
        <f>_xll.qlInterestRateIndexValueDate(Index,P856,Trigger)</f>
        <v>49782</v>
      </c>
      <c r="R856" s="31">
        <f>_xll.qlInterestRateIndexMaturity(Index,Q856,Trigger)</f>
        <v>49873</v>
      </c>
      <c r="S856" s="32">
        <f>_xll.qlDayCounterYearFraction(DayCounter,Q856,R856,,,Trigger)</f>
        <v>0.25277777777777777</v>
      </c>
      <c r="T856" s="33">
        <f>_xll.qlIndexFixing(Index,P856,,AllTriggers)</f>
        <v>1.4302258624956645E-2</v>
      </c>
      <c r="U856" s="34">
        <f>_xll.qlYieldTSDiscount(OisCurve,Q856,,AllTriggers)</f>
        <v>0.79503070149442767</v>
      </c>
      <c r="V856" s="34">
        <f>_xll.qlYieldTSDiscount(OisCurve,R856,,AllTriggers)</f>
        <v>0.7922747070916909</v>
      </c>
      <c r="W856" s="33">
        <f t="shared" si="59"/>
        <v>1.3761432622102023E-2</v>
      </c>
      <c r="X856" s="35">
        <f t="shared" si="60"/>
        <v>1.362256114766988E-4</v>
      </c>
      <c r="Y856" s="33">
        <f t="shared" si="61"/>
        <v>5.4082600285462225E-4</v>
      </c>
      <c r="Z856" s="54"/>
    </row>
    <row r="857" spans="15:26" x14ac:dyDescent="0.25">
      <c r="O857" s="37" t="s">
        <v>19</v>
      </c>
      <c r="P857" s="31">
        <f>_xll.qlCalendarAdvance(Calendar,P856,O856,"f",,Trigger)</f>
        <v>49810</v>
      </c>
      <c r="Q857" s="31">
        <f>_xll.qlInterestRateIndexValueDate(Index,P857,Trigger)</f>
        <v>49814</v>
      </c>
      <c r="R857" s="31">
        <f>_xll.qlInterestRateIndexMaturity(Index,Q857,Trigger)</f>
        <v>49906</v>
      </c>
      <c r="S857" s="32">
        <f>_xll.qlDayCounterYearFraction(DayCounter,Q857,R857,,,Trigger)</f>
        <v>0.25555555555555554</v>
      </c>
      <c r="T857" s="33">
        <f>_xll.qlIndexFixing(Index,P857,,AllTriggers)</f>
        <v>1.4277528551853231E-2</v>
      </c>
      <c r="U857" s="34">
        <f>_xll.qlYieldTSDiscount(OisCurve,Q857,,AllTriggers)</f>
        <v>0.79405912263997869</v>
      </c>
      <c r="V857" s="34">
        <f>_xll.qlYieldTSDiscount(OisCurve,R857,,AllTriggers)</f>
        <v>0.79128048692894681</v>
      </c>
      <c r="W857" s="33">
        <f t="shared" si="59"/>
        <v>1.3740920605429627E-2</v>
      </c>
      <c r="X857" s="35">
        <f t="shared" si="60"/>
        <v>1.366439383077734E-4</v>
      </c>
      <c r="Y857" s="33">
        <f t="shared" si="61"/>
        <v>5.3660794642360413E-4</v>
      </c>
      <c r="Z857" s="54"/>
    </row>
    <row r="858" spans="15:26" x14ac:dyDescent="0.25">
      <c r="O858" s="37" t="s">
        <v>19</v>
      </c>
      <c r="P858" s="31">
        <f>_xll.qlCalendarAdvance(Calendar,P857,O857,"f",,Trigger)</f>
        <v>49842</v>
      </c>
      <c r="Q858" s="31">
        <f>_xll.qlInterestRateIndexValueDate(Index,P858,Trigger)</f>
        <v>49844</v>
      </c>
      <c r="R858" s="31">
        <f>_xll.qlInterestRateIndexMaturity(Index,Q858,Trigger)</f>
        <v>49936</v>
      </c>
      <c r="S858" s="32">
        <f>_xll.qlDayCounterYearFraction(DayCounter,Q858,R858,,,Trigger)</f>
        <v>0.25555555555555554</v>
      </c>
      <c r="T858" s="33">
        <f>_xll.qlIndexFixing(Index,P858,,AllTriggers)</f>
        <v>1.4254994121561901E-2</v>
      </c>
      <c r="U858" s="34">
        <f>_xll.qlYieldTSDiscount(OisCurve,Q858,,AllTriggers)</f>
        <v>0.79315068041695647</v>
      </c>
      <c r="V858" s="34">
        <f>_xll.qlYieldTSDiscount(OisCurve,R858,,AllTriggers)</f>
        <v>0.79037899538976819</v>
      </c>
      <c r="W858" s="33">
        <f t="shared" si="59"/>
        <v>1.3722181488494932E-2</v>
      </c>
      <c r="X858" s="35">
        <f t="shared" si="60"/>
        <v>1.3567819791650602E-4</v>
      </c>
      <c r="Y858" s="33">
        <f t="shared" si="61"/>
        <v>5.328126330669692E-4</v>
      </c>
      <c r="Z858" s="54"/>
    </row>
    <row r="859" spans="15:26" x14ac:dyDescent="0.25">
      <c r="O859" s="37" t="s">
        <v>19</v>
      </c>
      <c r="P859" s="31">
        <f>_xll.qlCalendarAdvance(Calendar,P858,O858,"f",,Trigger)</f>
        <v>49872</v>
      </c>
      <c r="Q859" s="31">
        <f>_xll.qlInterestRateIndexValueDate(Index,P859,Trigger)</f>
        <v>49874</v>
      </c>
      <c r="R859" s="31">
        <f>_xll.qlInterestRateIndexMaturity(Index,Q859,Trigger)</f>
        <v>49968</v>
      </c>
      <c r="S859" s="32">
        <f>_xll.qlDayCounterYearFraction(DayCounter,Q859,R859,,,Trigger)</f>
        <v>0.26111111111111113</v>
      </c>
      <c r="T859" s="33">
        <f>_xll.qlIndexFixing(Index,P859,,AllTriggers)</f>
        <v>1.4232844015904758E-2</v>
      </c>
      <c r="U859" s="34">
        <f>_xll.qlYieldTSDiscount(OisCurve,Q859,,AllTriggers)</f>
        <v>0.79224453909891623</v>
      </c>
      <c r="V859" s="34">
        <f>_xll.qlYieldTSDiscount(OisCurve,R859,,AllTriggers)</f>
        <v>0.78941982759279294</v>
      </c>
      <c r="W859" s="33">
        <f t="shared" si="59"/>
        <v>1.3703790667371095E-2</v>
      </c>
      <c r="X859" s="35">
        <f t="shared" si="60"/>
        <v>1.3763969698296955E-4</v>
      </c>
      <c r="Y859" s="33">
        <f t="shared" si="61"/>
        <v>5.2905334853366355E-4</v>
      </c>
      <c r="Z859" s="54"/>
    </row>
    <row r="860" spans="15:26" x14ac:dyDescent="0.25">
      <c r="O860" s="37" t="s">
        <v>19</v>
      </c>
      <c r="P860" s="31">
        <f>_xll.qlCalendarAdvance(Calendar,P859,O859,"f",,Trigger)</f>
        <v>49905</v>
      </c>
      <c r="Q860" s="31">
        <f>_xll.qlInterestRateIndexValueDate(Index,P860,Trigger)</f>
        <v>49907</v>
      </c>
      <c r="R860" s="31">
        <f>_xll.qlInterestRateIndexMaturity(Index,Q860,Trigger)</f>
        <v>49999</v>
      </c>
      <c r="S860" s="32">
        <f>_xll.qlDayCounterYearFraction(DayCounter,Q860,R860,,,Trigger)</f>
        <v>0.25555555555555554</v>
      </c>
      <c r="T860" s="33">
        <f>_xll.qlIndexFixing(Index,P860,,AllTriggers)</f>
        <v>1.4209419996453369E-2</v>
      </c>
      <c r="U860" s="34">
        <f>_xll.qlYieldTSDiscount(OisCurve,Q860,,AllTriggers)</f>
        <v>0.7912504014313585</v>
      </c>
      <c r="V860" s="34">
        <f>_xll.qlYieldTSDiscount(OisCurve,R860,,AllTriggers)</f>
        <v>0.78849298224700515</v>
      </c>
      <c r="W860" s="33">
        <f t="shared" si="59"/>
        <v>1.368420696074824E-2</v>
      </c>
      <c r="X860" s="35">
        <f t="shared" si="60"/>
        <v>1.3374441938209341E-4</v>
      </c>
      <c r="Y860" s="33">
        <f t="shared" si="61"/>
        <v>5.2521303570512816E-4</v>
      </c>
      <c r="Z860" s="54"/>
    </row>
    <row r="861" spans="15:26" x14ac:dyDescent="0.25">
      <c r="O861" s="37" t="s">
        <v>19</v>
      </c>
      <c r="P861" s="31">
        <f>_xll.qlCalendarAdvance(Calendar,P860,O860,"f",,Trigger)</f>
        <v>49936</v>
      </c>
      <c r="Q861" s="31">
        <f>_xll.qlInterestRateIndexValueDate(Index,P861,Trigger)</f>
        <v>49940</v>
      </c>
      <c r="R861" s="31">
        <f>_xll.qlInterestRateIndexMaturity(Index,Q861,Trigger)</f>
        <v>50031</v>
      </c>
      <c r="S861" s="32">
        <f>_xll.qlDayCounterYearFraction(DayCounter,Q861,R861,,,Trigger)</f>
        <v>0.25277777777777777</v>
      </c>
      <c r="T861" s="33">
        <f>_xll.qlIndexFixing(Index,P861,,AllTriggers)</f>
        <v>1.4186551850192979E-2</v>
      </c>
      <c r="U861" s="34">
        <f>_xll.qlYieldTSDiscount(OisCurve,Q861,,AllTriggers)</f>
        <v>0.79025896339723878</v>
      </c>
      <c r="V861" s="34">
        <f>_xll.qlYieldTSDiscount(OisCurve,R861,,AllTriggers)</f>
        <v>0.78753862418692877</v>
      </c>
      <c r="W861" s="33">
        <f t="shared" si="59"/>
        <v>1.3665084048984861E-2</v>
      </c>
      <c r="X861" s="35">
        <f t="shared" si="60"/>
        <v>1.3135309124361668E-4</v>
      </c>
      <c r="Y861" s="33">
        <f t="shared" si="61"/>
        <v>5.2146780120811836E-4</v>
      </c>
      <c r="Z861" s="54"/>
    </row>
    <row r="862" spans="15:26" x14ac:dyDescent="0.25">
      <c r="O862" s="37" t="s">
        <v>19</v>
      </c>
      <c r="P862" s="31">
        <f>_xll.qlCalendarAdvance(Calendar,P861,O861,"f",,Trigger)</f>
        <v>49968</v>
      </c>
      <c r="Q862" s="31">
        <f>_xll.qlInterestRateIndexValueDate(Index,P862,Trigger)</f>
        <v>49970</v>
      </c>
      <c r="R862" s="31">
        <f>_xll.qlInterestRateIndexMaturity(Index,Q862,Trigger)</f>
        <v>50062</v>
      </c>
      <c r="S862" s="32">
        <f>_xll.qlDayCounterYearFraction(DayCounter,Q862,R862,,,Trigger)</f>
        <v>0.25555555555555554</v>
      </c>
      <c r="T862" s="33">
        <f>_xll.qlIndexFixing(Index,P862,,AllTriggers)</f>
        <v>1.4166214303669012E-2</v>
      </c>
      <c r="U862" s="34">
        <f>_xll.qlYieldTSDiscount(OisCurve,Q862,,AllTriggers)</f>
        <v>0.78935996177387602</v>
      </c>
      <c r="V862" s="34">
        <f>_xll.qlYieldTSDiscount(OisCurve,R862,,AllTriggers)</f>
        <v>0.78661636387066691</v>
      </c>
      <c r="W862" s="33">
        <f t="shared" si="59"/>
        <v>1.3648098838543841E-2</v>
      </c>
      <c r="X862" s="35">
        <f t="shared" si="60"/>
        <v>1.3193837001179582E-4</v>
      </c>
      <c r="Y862" s="33">
        <f t="shared" si="61"/>
        <v>5.1811546512517057E-4</v>
      </c>
      <c r="Z862" s="54"/>
    </row>
    <row r="863" spans="15:26" x14ac:dyDescent="0.25">
      <c r="O863" s="37" t="s">
        <v>19</v>
      </c>
      <c r="P863" s="31">
        <f>_xll.qlCalendarAdvance(Calendar,P862,O862,"f",,Trigger)</f>
        <v>49999</v>
      </c>
      <c r="Q863" s="31">
        <f>_xll.qlInterestRateIndexValueDate(Index,P863,Trigger)</f>
        <v>50003</v>
      </c>
      <c r="R863" s="31">
        <f>_xll.qlInterestRateIndexMaturity(Index,Q863,Trigger)</f>
        <v>50095</v>
      </c>
      <c r="S863" s="32">
        <f>_xll.qlDayCounterYearFraction(DayCounter,Q863,R863,,,Trigger)</f>
        <v>0.25555555555555554</v>
      </c>
      <c r="T863" s="33">
        <f>_xll.qlIndexFixing(Index,P863,,AllTriggers)</f>
        <v>1.4144527948586002E-2</v>
      </c>
      <c r="U863" s="34">
        <f>_xll.qlYieldTSDiscount(OisCurve,Q863,,AllTriggers)</f>
        <v>0.78837355575048762</v>
      </c>
      <c r="V863" s="34">
        <f>_xll.qlYieldTSDiscount(OisCurve,R863,,AllTriggers)</f>
        <v>0.78563702149043546</v>
      </c>
      <c r="W863" s="33">
        <f t="shared" si="59"/>
        <v>1.3629929912187377E-2</v>
      </c>
      <c r="X863" s="35">
        <f t="shared" si="60"/>
        <v>1.3104331996293772E-4</v>
      </c>
      <c r="Y863" s="33">
        <f t="shared" si="61"/>
        <v>5.1459803639862522E-4</v>
      </c>
      <c r="Z863" s="54"/>
    </row>
    <row r="864" spans="15:26" x14ac:dyDescent="0.25">
      <c r="O864" s="37" t="s">
        <v>19</v>
      </c>
      <c r="P864" s="31">
        <f>_xll.qlCalendarAdvance(Calendar,P863,O863,"f",,Trigger)</f>
        <v>50031</v>
      </c>
      <c r="Q864" s="31">
        <f>_xll.qlInterestRateIndexValueDate(Index,P864,Trigger)</f>
        <v>50033</v>
      </c>
      <c r="R864" s="31">
        <f>_xll.qlInterestRateIndexMaturity(Index,Q864,Trigger)</f>
        <v>50123</v>
      </c>
      <c r="S864" s="32">
        <f>_xll.qlDayCounterYearFraction(DayCounter,Q864,R864,,,Trigger)</f>
        <v>0.25</v>
      </c>
      <c r="T864" s="33">
        <f>_xll.qlIndexFixing(Index,P864,,AllTriggers)</f>
        <v>1.4125444022612399E-2</v>
      </c>
      <c r="U864" s="34">
        <f>_xll.qlYieldTSDiscount(OisCurve,Q864,,AllTriggers)</f>
        <v>0.78747905638239135</v>
      </c>
      <c r="V864" s="34">
        <f>_xll.qlYieldTSDiscount(OisCurve,R864,,AllTriggers)</f>
        <v>0.78480798895239878</v>
      </c>
      <c r="W864" s="33">
        <f t="shared" si="59"/>
        <v>1.3613864627235017E-2</v>
      </c>
      <c r="X864" s="35">
        <f t="shared" si="60"/>
        <v>1.2745291704200777E-4</v>
      </c>
      <c r="Y864" s="33">
        <f t="shared" si="61"/>
        <v>5.1157939537738173E-4</v>
      </c>
      <c r="Z864" s="54"/>
    </row>
    <row r="865" spans="15:26" x14ac:dyDescent="0.25">
      <c r="O865" s="37" t="s">
        <v>19</v>
      </c>
      <c r="P865" s="31">
        <f>_xll.qlCalendarAdvance(Calendar,P864,O864,"f",,Trigger)</f>
        <v>50062</v>
      </c>
      <c r="Q865" s="31">
        <f>_xll.qlInterestRateIndexValueDate(Index,P865,Trigger)</f>
        <v>50066</v>
      </c>
      <c r="R865" s="31">
        <f>_xll.qlInterestRateIndexMaturity(Index,Q865,Trigger)</f>
        <v>50157</v>
      </c>
      <c r="S865" s="32">
        <f>_xll.qlDayCounterYearFraction(DayCounter,Q865,R865,,,Trigger)</f>
        <v>0.25277777777777777</v>
      </c>
      <c r="T865" s="33">
        <f>_xll.qlIndexFixing(Index,P865,,AllTriggers)</f>
        <v>1.4104955539805019E-2</v>
      </c>
      <c r="U865" s="34">
        <f>_xll.qlYieldTSDiscount(OisCurve,Q865,,AllTriggers)</f>
        <v>0.78649752367436909</v>
      </c>
      <c r="V865" s="34">
        <f>_xll.qlYieldTSDiscount(OisCurve,R865,,AllTriggers)</f>
        <v>0.78380364221630783</v>
      </c>
      <c r="W865" s="33">
        <f t="shared" si="59"/>
        <v>1.3596662335387994E-2</v>
      </c>
      <c r="X865" s="35">
        <f t="shared" si="60"/>
        <v>1.2803694687209453E-4</v>
      </c>
      <c r="Y865" s="33">
        <f t="shared" si="61"/>
        <v>5.0829320441702491E-4</v>
      </c>
      <c r="Z865" s="54"/>
    </row>
    <row r="866" spans="15:26" x14ac:dyDescent="0.25">
      <c r="O866" s="37" t="s">
        <v>19</v>
      </c>
      <c r="P866" s="31">
        <f>_xll.qlCalendarAdvance(Calendar,P865,O865,"f",,Trigger)</f>
        <v>50094</v>
      </c>
      <c r="Q866" s="31">
        <f>_xll.qlInterestRateIndexValueDate(Index,P866,Trigger)</f>
        <v>50096</v>
      </c>
      <c r="R866" s="31">
        <f>_xll.qlInterestRateIndexMaturity(Index,Q866,Trigger)</f>
        <v>50185</v>
      </c>
      <c r="S866" s="32">
        <f>_xll.qlDayCounterYearFraction(DayCounter,Q866,R866,,,Trigger)</f>
        <v>0.24722222222222223</v>
      </c>
      <c r="T866" s="33">
        <f>_xll.qlIndexFixing(Index,P866,,AllTriggers)</f>
        <v>1.4086956899672877E-2</v>
      </c>
      <c r="U866" s="34">
        <f>_xll.qlYieldTSDiscount(OisCurve,Q866,,AllTriggers)</f>
        <v>0.78560738294352328</v>
      </c>
      <c r="V866" s="34">
        <f>_xll.qlYieldTSDiscount(OisCurve,R866,,AllTriggers)</f>
        <v>0.78297842573566612</v>
      </c>
      <c r="W866" s="33">
        <f t="shared" si="59"/>
        <v>1.3581452390039923E-2</v>
      </c>
      <c r="X866" s="35">
        <f t="shared" si="60"/>
        <v>1.2454598580877131E-4</v>
      </c>
      <c r="Y866" s="33">
        <f t="shared" si="61"/>
        <v>5.0550450963295426E-4</v>
      </c>
      <c r="Z866" s="54"/>
    </row>
    <row r="867" spans="15:26" x14ac:dyDescent="0.25">
      <c r="O867" s="37" t="s">
        <v>19</v>
      </c>
      <c r="P867" s="31">
        <f>_xll.qlCalendarAdvance(Calendar,P866,O866,"f",,Trigger)</f>
        <v>50122</v>
      </c>
      <c r="Q867" s="31">
        <f>_xll.qlInterestRateIndexValueDate(Index,P867,Trigger)</f>
        <v>50124</v>
      </c>
      <c r="R867" s="31">
        <f>_xll.qlInterestRateIndexMaturity(Index,Q867,Trigger)</f>
        <v>50216</v>
      </c>
      <c r="S867" s="32">
        <f>_xll.qlDayCounterYearFraction(DayCounter,Q867,R867,,,Trigger)</f>
        <v>0.25555555555555554</v>
      </c>
      <c r="T867" s="33">
        <f>_xll.qlIndexFixing(Index,P867,,AllTriggers)</f>
        <v>1.4070570717855139E-2</v>
      </c>
      <c r="U867" s="34">
        <f>_xll.qlYieldTSDiscount(OisCurve,Q867,,AllTriggers)</f>
        <v>0.78477841296848838</v>
      </c>
      <c r="V867" s="34">
        <f>_xll.qlYieldTSDiscount(OisCurve,R867,,AllTriggers)</f>
        <v>0.78206675373081502</v>
      </c>
      <c r="W867" s="33">
        <f t="shared" si="59"/>
        <v>1.356769156165406E-2</v>
      </c>
      <c r="X867" s="35">
        <f t="shared" si="60"/>
        <v>1.2806130667387944E-4</v>
      </c>
      <c r="Y867" s="33">
        <f t="shared" si="61"/>
        <v>5.0287915620107933E-4</v>
      </c>
      <c r="Z867" s="54"/>
    </row>
    <row r="868" spans="15:26" x14ac:dyDescent="0.25">
      <c r="O868" s="37" t="s">
        <v>19</v>
      </c>
      <c r="P868" s="31">
        <f>_xll.qlCalendarAdvance(Calendar,P867,O867,"f",,Trigger)</f>
        <v>50153</v>
      </c>
      <c r="Q868" s="31">
        <f>_xll.qlInterestRateIndexValueDate(Index,P868,Trigger)</f>
        <v>50157</v>
      </c>
      <c r="R868" s="31">
        <f>_xll.qlInterestRateIndexMaturity(Index,Q868,Trigger)</f>
        <v>50248</v>
      </c>
      <c r="S868" s="32">
        <f>_xll.qlDayCounterYearFraction(DayCounter,Q868,R868,,,Trigger)</f>
        <v>0.25277777777777777</v>
      </c>
      <c r="T868" s="33">
        <f>_xll.qlIndexFixing(Index,P868,,AllTriggers)</f>
        <v>1.4051916036274726E-2</v>
      </c>
      <c r="U868" s="34">
        <f>_xll.qlYieldTSDiscount(OisCurve,Q868,,AllTriggers)</f>
        <v>0.78380364221630783</v>
      </c>
      <c r="V868" s="34">
        <f>_xll.qlYieldTSDiscount(OisCurve,R868,,AllTriggers)</f>
        <v>0.78112779800111676</v>
      </c>
      <c r="W868" s="33">
        <f t="shared" si="59"/>
        <v>1.3551889155539525E-2</v>
      </c>
      <c r="X868" s="35">
        <f t="shared" si="60"/>
        <v>1.2595624596062704E-4</v>
      </c>
      <c r="Y868" s="33">
        <f t="shared" si="61"/>
        <v>5.0002688073520069E-4</v>
      </c>
      <c r="Z868" s="54"/>
    </row>
    <row r="869" spans="15:26" x14ac:dyDescent="0.25">
      <c r="O869" s="37" t="s">
        <v>19</v>
      </c>
      <c r="P869" s="31">
        <f>_xll.qlCalendarAdvance(Calendar,P868,O868,"f",,Trigger)</f>
        <v>50185</v>
      </c>
      <c r="Q869" s="31">
        <f>_xll.qlInterestRateIndexValueDate(Index,P869,Trigger)</f>
        <v>50187</v>
      </c>
      <c r="R869" s="31">
        <f>_xll.qlInterestRateIndexMaturity(Index,Q869,Trigger)</f>
        <v>50279</v>
      </c>
      <c r="S869" s="32">
        <f>_xll.qlDayCounterYearFraction(DayCounter,Q869,R869,,,Trigger)</f>
        <v>0.25555555555555554</v>
      </c>
      <c r="T869" s="33">
        <f>_xll.qlIndexFixing(Index,P869,,AllTriggers)</f>
        <v>1.4035522387113152E-2</v>
      </c>
      <c r="U869" s="34">
        <f>_xll.qlYieldTSDiscount(OisCurve,Q869,,AllTriggers)</f>
        <v>0.78291954635753891</v>
      </c>
      <c r="V869" s="34">
        <f>_xll.qlYieldTSDiscount(OisCurve,R869,,AllTriggers)</f>
        <v>0.78022020748534615</v>
      </c>
      <c r="W869" s="33">
        <f t="shared" si="59"/>
        <v>1.3538011792200639E-2</v>
      </c>
      <c r="X869" s="35">
        <f t="shared" si="60"/>
        <v>1.2669521331277271E-4</v>
      </c>
      <c r="Y869" s="33">
        <f t="shared" si="61"/>
        <v>4.9751059491251297E-4</v>
      </c>
      <c r="Z869" s="54"/>
    </row>
    <row r="870" spans="15:26" x14ac:dyDescent="0.25">
      <c r="O870" s="37" t="s">
        <v>19</v>
      </c>
      <c r="P870" s="31">
        <f>_xll.qlCalendarAdvance(Calendar,P869,O869,"f",,Trigger)</f>
        <v>50216</v>
      </c>
      <c r="Q870" s="31">
        <f>_xll.qlInterestRateIndexValueDate(Index,P870,Trigger)</f>
        <v>50220</v>
      </c>
      <c r="R870" s="31">
        <f>_xll.qlInterestRateIndexMaturity(Index,Q870,Trigger)</f>
        <v>50312</v>
      </c>
      <c r="S870" s="32">
        <f>_xll.qlDayCounterYearFraction(DayCounter,Q870,R870,,,Trigger)</f>
        <v>0.25555555555555554</v>
      </c>
      <c r="T870" s="33">
        <f>_xll.qlIndexFixing(Index,P870,,AllTriggers)</f>
        <v>1.401810884067009E-2</v>
      </c>
      <c r="U870" s="34">
        <f>_xll.qlYieldTSDiscount(OisCurve,Q870,,AllTriggers)</f>
        <v>0.78194926697221256</v>
      </c>
      <c r="V870" s="34">
        <f>_xll.qlYieldTSDiscount(OisCurve,R870,,AllTriggers)</f>
        <v>0.77925621092263264</v>
      </c>
      <c r="W870" s="33">
        <f t="shared" si="59"/>
        <v>1.3523210035018962E-2</v>
      </c>
      <c r="X870" s="35">
        <f t="shared" si="60"/>
        <v>1.2603061641126159E-4</v>
      </c>
      <c r="Y870" s="33">
        <f t="shared" si="61"/>
        <v>4.9489880565112797E-4</v>
      </c>
      <c r="Z870" s="54"/>
    </row>
    <row r="871" spans="15:26" x14ac:dyDescent="0.25">
      <c r="O871" s="37" t="s">
        <v>19</v>
      </c>
      <c r="P871" s="31">
        <f>_xll.qlCalendarAdvance(Calendar,P870,O870,"f",,Trigger)</f>
        <v>50248</v>
      </c>
      <c r="Q871" s="31">
        <f>_xll.qlInterestRateIndexValueDate(Index,P871,Trigger)</f>
        <v>50250</v>
      </c>
      <c r="R871" s="31">
        <f>_xll.qlInterestRateIndexMaturity(Index,Q871,Trigger)</f>
        <v>50342</v>
      </c>
      <c r="S871" s="32">
        <f>_xll.qlDayCounterYearFraction(DayCounter,Q871,R871,,,Trigger)</f>
        <v>0.25555555555555554</v>
      </c>
      <c r="T871" s="33">
        <f>_xll.qlIndexFixing(Index,P871,,AllTriggers)</f>
        <v>1.4002842174124364E-2</v>
      </c>
      <c r="U871" s="34">
        <f>_xll.qlYieldTSDiscount(OisCurve,Q871,,AllTriggers)</f>
        <v>0.78106918408357962</v>
      </c>
      <c r="V871" s="34">
        <f>_xll.qlYieldTSDiscount(OisCurve,R871,,AllTriggers)</f>
        <v>0.77838173845827274</v>
      </c>
      <c r="W871" s="33">
        <f t="shared" si="59"/>
        <v>1.3510198219856238E-2</v>
      </c>
      <c r="X871" s="35">
        <f t="shared" si="60"/>
        <v>1.2545684911570207E-4</v>
      </c>
      <c r="Y871" s="33">
        <f t="shared" si="61"/>
        <v>4.9264395426812553E-4</v>
      </c>
      <c r="Z871" s="54"/>
    </row>
    <row r="872" spans="15:26" x14ac:dyDescent="0.25">
      <c r="O872" s="37" t="s">
        <v>19</v>
      </c>
      <c r="P872" s="31">
        <f>_xll.qlCalendarAdvance(Calendar,P871,O871,"f",,Trigger)</f>
        <v>50279</v>
      </c>
      <c r="Q872" s="31">
        <f>_xll.qlInterestRateIndexValueDate(Index,P872,Trigger)</f>
        <v>50283</v>
      </c>
      <c r="R872" s="31">
        <f>_xll.qlInterestRateIndexMaturity(Index,Q872,Trigger)</f>
        <v>50374</v>
      </c>
      <c r="S872" s="32">
        <f>_xll.qlDayCounterYearFraction(DayCounter,Q872,R872,,,Trigger)</f>
        <v>0.25277777777777777</v>
      </c>
      <c r="T872" s="33">
        <f>_xll.qlIndexFixing(Index,P872,,AllTriggers)</f>
        <v>1.3986633310800477E-2</v>
      </c>
      <c r="U872" s="34">
        <f>_xll.qlYieldTSDiscount(OisCurve,Q872,,AllTriggers)</f>
        <v>0.78010324221615368</v>
      </c>
      <c r="V872" s="34">
        <f>_xll.qlYieldTSDiscount(OisCurve,R872,,AllTriggers)</f>
        <v>0.77745091352173001</v>
      </c>
      <c r="W872" s="33">
        <f t="shared" si="59"/>
        <v>1.3496323328615233E-2</v>
      </c>
      <c r="X872" s="35">
        <f t="shared" si="60"/>
        <v>1.2351044934686499E-4</v>
      </c>
      <c r="Y872" s="33">
        <f t="shared" si="61"/>
        <v>4.9030998218524413E-4</v>
      </c>
      <c r="Z872" s="54"/>
    </row>
    <row r="873" spans="15:26" x14ac:dyDescent="0.25">
      <c r="O873" s="37" t="s">
        <v>19</v>
      </c>
      <c r="P873" s="31">
        <f>_xll.qlCalendarAdvance(Calendar,P872,O872,"f",,Trigger)</f>
        <v>50311</v>
      </c>
      <c r="Q873" s="31">
        <f>_xll.qlInterestRateIndexValueDate(Index,P873,Trigger)</f>
        <v>50313</v>
      </c>
      <c r="R873" s="31">
        <f>_xll.qlInterestRateIndexMaturity(Index,Q873,Trigger)</f>
        <v>50405</v>
      </c>
      <c r="S873" s="32">
        <f>_xll.qlDayCounterYearFraction(DayCounter,Q873,R873,,,Trigger)</f>
        <v>0.25555555555555554</v>
      </c>
      <c r="T873" s="33">
        <f>_xll.qlIndexFixing(Index,P873,,AllTriggers)</f>
        <v>1.3972530019773452E-2</v>
      </c>
      <c r="U873" s="34">
        <f>_xll.qlYieldTSDiscount(OisCurve,Q873,,AllTriggers)</f>
        <v>0.77922703306053875</v>
      </c>
      <c r="V873" s="34">
        <f>_xll.qlYieldTSDiscount(OisCurve,R873,,AllTriggers)</f>
        <v>0.77655105737086816</v>
      </c>
      <c r="W873" s="33">
        <f t="shared" si="59"/>
        <v>1.3484250804965622E-2</v>
      </c>
      <c r="X873" s="35">
        <f t="shared" si="60"/>
        <v>1.2434621408296761E-4</v>
      </c>
      <c r="Y873" s="33">
        <f t="shared" si="61"/>
        <v>4.8827921480783069E-4</v>
      </c>
      <c r="Z873" s="54"/>
    </row>
    <row r="874" spans="15:26" x14ac:dyDescent="0.25">
      <c r="O874" s="37" t="s">
        <v>19</v>
      </c>
      <c r="P874" s="31">
        <f>_xll.qlCalendarAdvance(Calendar,P873,O873,"f",,Trigger)</f>
        <v>50341</v>
      </c>
      <c r="Q874" s="31">
        <f>_xll.qlInterestRateIndexValueDate(Index,P874,Trigger)</f>
        <v>50343</v>
      </c>
      <c r="R874" s="31">
        <f>_xll.qlInterestRateIndexMaturity(Index,Q874,Trigger)</f>
        <v>50434</v>
      </c>
      <c r="S874" s="32">
        <f>_xll.qlDayCounterYearFraction(DayCounter,Q874,R874,,,Trigger)</f>
        <v>0.25277777777777777</v>
      </c>
      <c r="T874" s="33">
        <f>_xll.qlIndexFixing(Index,P874,,AllTriggers)</f>
        <v>1.3958875396481746E-2</v>
      </c>
      <c r="U874" s="34">
        <f>_xll.qlYieldTSDiscount(OisCurve,Q874,,AllTriggers)</f>
        <v>0.77835261996201499</v>
      </c>
      <c r="V874" s="34">
        <f>_xll.qlYieldTSDiscount(OisCurve,R874,,AllTriggers)</f>
        <v>0.77571090134325449</v>
      </c>
      <c r="W874" s="33">
        <f t="shared" si="59"/>
        <v>1.3472486924212417E-2</v>
      </c>
      <c r="X874" s="35">
        <f t="shared" si="60"/>
        <v>1.2252340628363486E-4</v>
      </c>
      <c r="Y874" s="33">
        <f t="shared" si="61"/>
        <v>4.863884722693286E-4</v>
      </c>
      <c r="Z874" s="54"/>
    </row>
    <row r="875" spans="15:26" x14ac:dyDescent="0.25">
      <c r="O875" s="37" t="s">
        <v>19</v>
      </c>
      <c r="P875" s="31">
        <f>_xll.qlCalendarAdvance(Calendar,P874,O874,"f",,Trigger)</f>
        <v>50374</v>
      </c>
      <c r="Q875" s="31">
        <f>_xll.qlInterestRateIndexValueDate(Index,P875,Trigger)</f>
        <v>50376</v>
      </c>
      <c r="R875" s="31">
        <f>_xll.qlInterestRateIndexMaturity(Index,Q875,Trigger)</f>
        <v>50466</v>
      </c>
      <c r="S875" s="32">
        <f>_xll.qlDayCounterYearFraction(DayCounter,Q875,R875,,,Trigger)</f>
        <v>0.25</v>
      </c>
      <c r="T875" s="33">
        <f>_xll.qlIndexFixing(Index,P875,,AllTriggers)</f>
        <v>1.3944462363386201E-2</v>
      </c>
      <c r="U875" s="34">
        <f>_xll.qlYieldTSDiscount(OisCurve,Q875,,AllTriggers)</f>
        <v>0.7773928028159045</v>
      </c>
      <c r="V875" s="34">
        <f>_xll.qlYieldTSDiscount(OisCurve,R875,,AllTriggers)</f>
        <v>0.77478564382831439</v>
      </c>
      <c r="W875" s="33">
        <f t="shared" si="59"/>
        <v>1.3460027342312664E-2</v>
      </c>
      <c r="X875" s="35">
        <f t="shared" si="60"/>
        <v>1.2069530625570832E-4</v>
      </c>
      <c r="Y875" s="33">
        <f t="shared" si="61"/>
        <v>4.8443502107353709E-4</v>
      </c>
      <c r="Z875" s="54"/>
    </row>
    <row r="876" spans="15:26" x14ac:dyDescent="0.25">
      <c r="O876" s="37" t="s">
        <v>19</v>
      </c>
      <c r="P876" s="31">
        <f>_xll.qlCalendarAdvance(Calendar,P875,O875,"f",,Trigger)</f>
        <v>50404</v>
      </c>
      <c r="Q876" s="31">
        <f>_xll.qlInterestRateIndexValueDate(Index,P876,Trigger)</f>
        <v>50409</v>
      </c>
      <c r="R876" s="31">
        <f>_xll.qlInterestRateIndexMaturity(Index,Q876,Trigger)</f>
        <v>50500</v>
      </c>
      <c r="S876" s="32">
        <f>_xll.qlDayCounterYearFraction(DayCounter,Q876,R876,,,Trigger)</f>
        <v>0.25277777777777777</v>
      </c>
      <c r="T876" s="33">
        <f>_xll.qlIndexFixing(Index,P876,,AllTriggers)</f>
        <v>1.3930822331301902E-2</v>
      </c>
      <c r="U876" s="34">
        <f>_xll.qlYieldTSDiscount(OisCurve,Q876,,AllTriggers)</f>
        <v>0.77643507991289484</v>
      </c>
      <c r="V876" s="34">
        <f>_xll.qlYieldTSDiscount(OisCurve,R876,,AllTriggers)</f>
        <v>0.77380459957015146</v>
      </c>
      <c r="W876" s="33">
        <f t="shared" si="59"/>
        <v>1.3448221769660372E-2</v>
      </c>
      <c r="X876" s="35">
        <f t="shared" si="60"/>
        <v>1.2157001594662933E-4</v>
      </c>
      <c r="Y876" s="33">
        <f t="shared" si="61"/>
        <v>4.8260056164152985E-4</v>
      </c>
      <c r="Z876" s="54"/>
    </row>
    <row r="877" spans="15:26" x14ac:dyDescent="0.25">
      <c r="O877" s="37" t="s">
        <v>19</v>
      </c>
      <c r="P877" s="31">
        <f>_xll.qlCalendarAdvance(Calendar,P876,O876,"f",,Trigger)</f>
        <v>50437</v>
      </c>
      <c r="Q877" s="31">
        <f>_xll.qlInterestRateIndexValueDate(Index,P877,Trigger)</f>
        <v>50439</v>
      </c>
      <c r="R877" s="31">
        <f>_xll.qlInterestRateIndexMaturity(Index,Q877,Trigger)</f>
        <v>50528</v>
      </c>
      <c r="S877" s="32">
        <f>_xll.qlDayCounterYearFraction(DayCounter,Q877,R877,,,Trigger)</f>
        <v>0.24722222222222223</v>
      </c>
      <c r="T877" s="33">
        <f>_xll.qlIndexFixing(Index,P877,,AllTriggers)</f>
        <v>1.3918771289120739E-2</v>
      </c>
      <c r="U877" s="34">
        <f>_xll.qlYieldTSDiscount(OisCurve,Q877,,AllTriggers)</f>
        <v>0.77556620546330091</v>
      </c>
      <c r="V877" s="34">
        <f>_xll.qlYieldTSDiscount(OisCurve,R877,,AllTriggers)</f>
        <v>0.77299822967474685</v>
      </c>
      <c r="W877" s="33">
        <f t="shared" si="59"/>
        <v>1.3437699334407251E-2</v>
      </c>
      <c r="X877" s="35">
        <f t="shared" si="60"/>
        <v>1.1853085818139104E-4</v>
      </c>
      <c r="Y877" s="33">
        <f t="shared" si="61"/>
        <v>4.810719547134884E-4</v>
      </c>
      <c r="Z877" s="54"/>
    </row>
    <row r="878" spans="15:26" x14ac:dyDescent="0.25">
      <c r="O878" s="37" t="s">
        <v>19</v>
      </c>
      <c r="P878" s="31">
        <f>_xll.qlCalendarAdvance(Calendar,P877,O877,"f",,Trigger)</f>
        <v>50465</v>
      </c>
      <c r="Q878" s="31">
        <f>_xll.qlInterestRateIndexValueDate(Index,P878,Trigger)</f>
        <v>50467</v>
      </c>
      <c r="R878" s="31">
        <f>_xll.qlInterestRateIndexMaturity(Index,Q878,Trigger)</f>
        <v>50559</v>
      </c>
      <c r="S878" s="32">
        <f>_xll.qlDayCounterYearFraction(DayCounter,Q878,R878,,,Trigger)</f>
        <v>0.25555555555555554</v>
      </c>
      <c r="T878" s="33">
        <f>_xll.qlIndexFixing(Index,P878,,AllTriggers)</f>
        <v>1.3908402544652069E-2</v>
      </c>
      <c r="U878" s="34">
        <f>_xll.qlYieldTSDiscount(OisCurve,Q878,,AllTriggers)</f>
        <v>0.77475675976357539</v>
      </c>
      <c r="V878" s="34">
        <f>_xll.qlYieldTSDiscount(OisCurve,R878,,AllTriggers)</f>
        <v>0.77210706301897913</v>
      </c>
      <c r="W878" s="33">
        <f t="shared" si="59"/>
        <v>1.3428679858555894E-2</v>
      </c>
      <c r="X878" s="35">
        <f t="shared" si="60"/>
        <v>1.2216905245787424E-4</v>
      </c>
      <c r="Y878" s="33">
        <f t="shared" si="61"/>
        <v>4.797226860961748E-4</v>
      </c>
      <c r="Z878" s="54"/>
    </row>
    <row r="879" spans="15:26" x14ac:dyDescent="0.25">
      <c r="O879" s="37" t="s">
        <v>19</v>
      </c>
      <c r="P879" s="31">
        <f>_xll.qlCalendarAdvance(Calendar,P878,O878,"f",,Trigger)</f>
        <v>50496</v>
      </c>
      <c r="Q879" s="31">
        <f>_xll.qlInterestRateIndexValueDate(Index,P879,Trigger)</f>
        <v>50500</v>
      </c>
      <c r="R879" s="31">
        <f>_xll.qlInterestRateIndexMaturity(Index,Q879,Trigger)</f>
        <v>50591</v>
      </c>
      <c r="S879" s="32">
        <f>_xll.qlDayCounterYearFraction(DayCounter,Q879,R879,,,Trigger)</f>
        <v>0.25277777777777777</v>
      </c>
      <c r="T879" s="33">
        <f>_xll.qlIndexFixing(Index,P879,,AllTriggers)</f>
        <v>1.3896404781045953E-2</v>
      </c>
      <c r="U879" s="34">
        <f>_xll.qlYieldTSDiscount(OisCurve,Q879,,AllTriggers)</f>
        <v>0.77380459957015146</v>
      </c>
      <c r="V879" s="34">
        <f>_xll.qlYieldTSDiscount(OisCurve,R879,,AllTriggers)</f>
        <v>0.77118887843439499</v>
      </c>
      <c r="W879" s="33">
        <f t="shared" si="59"/>
        <v>1.3418123729705515E-2</v>
      </c>
      <c r="X879" s="35">
        <f t="shared" si="60"/>
        <v>1.2048288407036874E-4</v>
      </c>
      <c r="Y879" s="33">
        <f t="shared" si="61"/>
        <v>4.7828105134043765E-4</v>
      </c>
      <c r="Z879" s="54"/>
    </row>
    <row r="880" spans="15:26" x14ac:dyDescent="0.25">
      <c r="O880" s="37" t="s">
        <v>19</v>
      </c>
      <c r="P880" s="31">
        <f>_xll.qlCalendarAdvance(Calendar,P879,O879,"f",,Trigger)</f>
        <v>50528</v>
      </c>
      <c r="Q880" s="31">
        <f>_xll.qlInterestRateIndexValueDate(Index,P880,Trigger)</f>
        <v>50530</v>
      </c>
      <c r="R880" s="31">
        <f>_xll.qlInterestRateIndexMaturity(Index,Q880,Trigger)</f>
        <v>50622</v>
      </c>
      <c r="S880" s="32">
        <f>_xll.qlDayCounterYearFraction(DayCounter,Q880,R880,,,Trigger)</f>
        <v>0.25555555555555554</v>
      </c>
      <c r="T880" s="33">
        <f>_xll.qlIndexFixing(Index,P880,,AllTriggers)</f>
        <v>1.388624664373554E-2</v>
      </c>
      <c r="U880" s="34">
        <f>_xll.qlYieldTSDiscount(OisCurve,Q880,,AllTriggers)</f>
        <v>0.77294068463849563</v>
      </c>
      <c r="V880" s="34">
        <f>_xll.qlYieldTSDiscount(OisCurve,R880,,AllTriggers)</f>
        <v>0.77030102836186409</v>
      </c>
      <c r="W880" s="33">
        <f t="shared" si="59"/>
        <v>1.3409160052777192E-2</v>
      </c>
      <c r="X880" s="35">
        <f t="shared" si="60"/>
        <v>1.214983734345493E-4</v>
      </c>
      <c r="Y880" s="33">
        <f t="shared" si="61"/>
        <v>4.7708659095834806E-4</v>
      </c>
      <c r="Z880" s="54"/>
    </row>
    <row r="881" spans="15:26" x14ac:dyDescent="0.25">
      <c r="O881" s="37" t="s">
        <v>19</v>
      </c>
      <c r="P881" s="31">
        <f>_xll.qlCalendarAdvance(Calendar,P880,O880,"f",,Trigger)</f>
        <v>50559</v>
      </c>
      <c r="Q881" s="31">
        <f>_xll.qlInterestRateIndexValueDate(Index,P881,Trigger)</f>
        <v>50563</v>
      </c>
      <c r="R881" s="31">
        <f>_xll.qlInterestRateIndexMaturity(Index,Q881,Trigger)</f>
        <v>50655</v>
      </c>
      <c r="S881" s="32">
        <f>_xll.qlDayCounterYearFraction(DayCounter,Q881,R881,,,Trigger)</f>
        <v>0.25555555555555554</v>
      </c>
      <c r="T881" s="33">
        <f>_xll.qlIndexFixing(Index,P881,,AllTriggers)</f>
        <v>1.3875586165578786E-2</v>
      </c>
      <c r="U881" s="34">
        <f>_xll.qlYieldTSDiscount(OisCurve,Q881,,AllTriggers)</f>
        <v>0.77199219459865109</v>
      </c>
      <c r="V881" s="34">
        <f>_xll.qlYieldTSDiscount(OisCurve,R881,,AllTriggers)</f>
        <v>0.76935763501493404</v>
      </c>
      <c r="W881" s="33">
        <f t="shared" si="59"/>
        <v>1.3399680107098298E-2</v>
      </c>
      <c r="X881" s="35">
        <f t="shared" si="60"/>
        <v>1.211980411858469E-4</v>
      </c>
      <c r="Y881" s="33">
        <f t="shared" si="61"/>
        <v>4.7590605848048771E-4</v>
      </c>
      <c r="Z881" s="54"/>
    </row>
    <row r="882" spans="15:26" x14ac:dyDescent="0.25">
      <c r="O882" s="37" t="s">
        <v>19</v>
      </c>
      <c r="P882" s="31">
        <f>_xll.qlCalendarAdvance(Calendar,P881,O881,"f",,Trigger)</f>
        <v>50591</v>
      </c>
      <c r="Q882" s="31">
        <f>_xll.qlInterestRateIndexValueDate(Index,P882,Trigger)</f>
        <v>50593</v>
      </c>
      <c r="R882" s="31">
        <f>_xll.qlInterestRateIndexMaturity(Index,Q882,Trigger)</f>
        <v>50685</v>
      </c>
      <c r="S882" s="32">
        <f>_xll.qlDayCounterYearFraction(DayCounter,Q882,R882,,,Trigger)</f>
        <v>0.25555555555555554</v>
      </c>
      <c r="T882" s="33">
        <f>_xll.qlIndexFixing(Index,P882,,AllTriggers)</f>
        <v>1.3866458590548206E-2</v>
      </c>
      <c r="U882" s="34">
        <f>_xll.qlYieldTSDiscount(OisCurve,Q882,,AllTriggers)</f>
        <v>0.77113154940846651</v>
      </c>
      <c r="V882" s="34">
        <f>_xll.qlYieldTSDiscount(OisCurve,R882,,AllTriggers)</f>
        <v>0.76850152675121919</v>
      </c>
      <c r="W882" s="33">
        <f t="shared" si="59"/>
        <v>1.3391506260404891E-2</v>
      </c>
      <c r="X882" s="35">
        <f t="shared" si="60"/>
        <v>1.2095542357491499E-4</v>
      </c>
      <c r="Y882" s="33">
        <f t="shared" si="61"/>
        <v>4.7495233014331444E-4</v>
      </c>
      <c r="Z882" s="54"/>
    </row>
    <row r="883" spans="15:26" x14ac:dyDescent="0.25">
      <c r="O883" s="37" t="s">
        <v>19</v>
      </c>
      <c r="P883" s="31">
        <f>_xll.qlCalendarAdvance(Calendar,P882,O882,"f",,Trigger)</f>
        <v>50622</v>
      </c>
      <c r="Q883" s="31">
        <f>_xll.qlInterestRateIndexValueDate(Index,P883,Trigger)</f>
        <v>50626</v>
      </c>
      <c r="R883" s="31">
        <f>_xll.qlInterestRateIndexMaturity(Index,Q883,Trigger)</f>
        <v>50718</v>
      </c>
      <c r="S883" s="32">
        <f>_xll.qlDayCounterYearFraction(DayCounter,Q883,R883,,,Trigger)</f>
        <v>0.25555555555555554</v>
      </c>
      <c r="T883" s="33">
        <f>_xll.qlIndexFixing(Index,P883,,AllTriggers)</f>
        <v>1.3857038399026586E-2</v>
      </c>
      <c r="U883" s="34">
        <f>_xll.qlYieldTSDiscount(OisCurve,Q883,,AllTriggers)</f>
        <v>0.77018658297800024</v>
      </c>
      <c r="V883" s="34">
        <f>_xll.qlYieldTSDiscount(OisCurve,R883,,AllTriggers)</f>
        <v>0.76756144534513626</v>
      </c>
      <c r="W883" s="33">
        <f t="shared" si="59"/>
        <v>1.3383003740106631E-2</v>
      </c>
      <c r="X883" s="35">
        <f t="shared" si="60"/>
        <v>1.2072199707889709E-4</v>
      </c>
      <c r="Y883" s="33">
        <f t="shared" si="61"/>
        <v>4.7403465891995497E-4</v>
      </c>
      <c r="Z883" s="54"/>
    </row>
    <row r="884" spans="15:26" x14ac:dyDescent="0.25">
      <c r="O884" s="37" t="s">
        <v>19</v>
      </c>
      <c r="P884" s="31">
        <f>_xll.qlCalendarAdvance(Calendar,P883,O883,"f",,Trigger)</f>
        <v>50654</v>
      </c>
      <c r="Q884" s="31">
        <f>_xll.qlInterestRateIndexValueDate(Index,P884,Trigger)</f>
        <v>50656</v>
      </c>
      <c r="R884" s="31">
        <f>_xll.qlInterestRateIndexMaturity(Index,Q884,Trigger)</f>
        <v>50747</v>
      </c>
      <c r="S884" s="32">
        <f>_xll.qlDayCounterYearFraction(DayCounter,Q884,R884,,,Trigger)</f>
        <v>0.25277777777777777</v>
      </c>
      <c r="T884" s="33">
        <f>_xll.qlIndexFixing(Index,P884,,AllTriggers)</f>
        <v>1.3848896664244532E-2</v>
      </c>
      <c r="U884" s="34">
        <f>_xll.qlYieldTSDiscount(OisCurve,Q884,,AllTriggers)</f>
        <v>0.76932907489965441</v>
      </c>
      <c r="V884" s="34">
        <f>_xll.qlYieldTSDiscount(OisCurve,R884,,AllTriggers)</f>
        <v>0.76673669935518374</v>
      </c>
      <c r="W884" s="33">
        <f t="shared" si="59"/>
        <v>1.3375584621322892E-2</v>
      </c>
      <c r="X884" s="35">
        <f t="shared" si="60"/>
        <v>1.1923250277366644E-4</v>
      </c>
      <c r="Y884" s="33">
        <f t="shared" si="61"/>
        <v>4.7331204292164024E-4</v>
      </c>
      <c r="Z884" s="54"/>
    </row>
    <row r="885" spans="15:26" x14ac:dyDescent="0.25">
      <c r="O885" s="37" t="s">
        <v>19</v>
      </c>
      <c r="P885" s="31">
        <f>_xll.qlCalendarAdvance(Calendar,P884,O884,"f",,Trigger)</f>
        <v>50684</v>
      </c>
      <c r="Q885" s="31">
        <f>_xll.qlInterestRateIndexValueDate(Index,P885,Trigger)</f>
        <v>50686</v>
      </c>
      <c r="R885" s="31">
        <f>_xll.qlInterestRateIndexMaturity(Index,Q885,Trigger)</f>
        <v>50780</v>
      </c>
      <c r="S885" s="32">
        <f>_xll.qlDayCounterYearFraction(DayCounter,Q885,R885,,,Trigger)</f>
        <v>0.26111111111111113</v>
      </c>
      <c r="T885" s="33">
        <f>_xll.qlIndexFixing(Index,P885,,AllTriggers)</f>
        <v>1.3841876494961306E-2</v>
      </c>
      <c r="U885" s="34">
        <f>_xll.qlYieldTSDiscount(OisCurve,Q885,,AllTriggers)</f>
        <v>0.76847301440999405</v>
      </c>
      <c r="V885" s="34">
        <f>_xll.qlYieldTSDiscount(OisCurve,R885,,AllTriggers)</f>
        <v>0.76579973734240425</v>
      </c>
      <c r="W885" s="33">
        <f t="shared" si="59"/>
        <v>1.3369138023008343E-2</v>
      </c>
      <c r="X885" s="35">
        <f t="shared" si="60"/>
        <v>1.2300030321351312E-4</v>
      </c>
      <c r="Y885" s="33">
        <f t="shared" si="61"/>
        <v>4.7273847195296315E-4</v>
      </c>
      <c r="Z885" s="54"/>
    </row>
    <row r="886" spans="15:26" x14ac:dyDescent="0.25">
      <c r="O886" s="37" t="s">
        <v>19</v>
      </c>
      <c r="P886" s="31">
        <f>_xll.qlCalendarAdvance(Calendar,P885,O885,"f",,Trigger)</f>
        <v>50717</v>
      </c>
      <c r="Q886" s="31">
        <f>_xll.qlInterestRateIndexValueDate(Index,P886,Trigger)</f>
        <v>50719</v>
      </c>
      <c r="R886" s="31">
        <f>_xll.qlInterestRateIndexMaturity(Index,Q886,Trigger)</f>
        <v>50811</v>
      </c>
      <c r="S886" s="32">
        <f>_xll.qlDayCounterYearFraction(DayCounter,Q886,R886,,,Trigger)</f>
        <v>0.25555555555555554</v>
      </c>
      <c r="T886" s="33">
        <f>_xll.qlIndexFixing(Index,P886,,AllTriggers)</f>
        <v>1.3833985888467874E-2</v>
      </c>
      <c r="U886" s="34">
        <f>_xll.qlYieldTSDiscount(OisCurve,Q886,,AllTriggers)</f>
        <v>0.76753298441513551</v>
      </c>
      <c r="V886" s="34">
        <f>_xll.qlYieldTSDiscount(OisCurve,R886,,AllTriggers)</f>
        <v>0.76492102285811747</v>
      </c>
      <c r="W886" s="33">
        <f t="shared" si="59"/>
        <v>1.3361796617862251E-2</v>
      </c>
      <c r="X886" s="35">
        <f t="shared" si="60"/>
        <v>1.2025271134781263E-4</v>
      </c>
      <c r="Y886" s="33">
        <f t="shared" si="61"/>
        <v>4.7218927060562257E-4</v>
      </c>
      <c r="Z886" s="54"/>
    </row>
    <row r="887" spans="15:26" x14ac:dyDescent="0.25">
      <c r="O887" s="37" t="s">
        <v>19</v>
      </c>
      <c r="P887" s="31">
        <f>_xll.qlCalendarAdvance(Calendar,P886,O886,"f",,Trigger)</f>
        <v>50747</v>
      </c>
      <c r="Q887" s="31">
        <f>_xll.qlInterestRateIndexValueDate(Index,P887,Trigger)</f>
        <v>50749</v>
      </c>
      <c r="R887" s="31">
        <f>_xll.qlInterestRateIndexMaturity(Index,Q887,Trigger)</f>
        <v>50839</v>
      </c>
      <c r="S887" s="32">
        <f>_xll.qlDayCounterYearFraction(DayCounter,Q887,R887,,,Trigger)</f>
        <v>0.25</v>
      </c>
      <c r="T887" s="33">
        <f>_xll.qlIndexFixing(Index,P887,,AllTriggers)</f>
        <v>1.3827313246270734E-2</v>
      </c>
      <c r="U887" s="34">
        <f>_xll.qlYieldTSDiscount(OisCurve,Q887,,AllTriggers)</f>
        <v>0.76667986739832916</v>
      </c>
      <c r="V887" s="34">
        <f>_xll.qlYieldTSDiscount(OisCurve,R887,,AllTriggers)</f>
        <v>0.76412853520536539</v>
      </c>
      <c r="W887" s="33">
        <f t="shared" si="59"/>
        <v>1.3355513243740624E-2</v>
      </c>
      <c r="X887" s="35">
        <f t="shared" si="60"/>
        <v>1.1755058113696778E-4</v>
      </c>
      <c r="Y887" s="33">
        <f t="shared" si="61"/>
        <v>4.7180000253010945E-4</v>
      </c>
      <c r="Z887" s="54"/>
    </row>
    <row r="888" spans="15:26" x14ac:dyDescent="0.25">
      <c r="O888" s="37" t="s">
        <v>19</v>
      </c>
      <c r="P888" s="31">
        <f>_xll.qlCalendarAdvance(Calendar,P887,O887,"f",,Trigger)</f>
        <v>50780</v>
      </c>
      <c r="Q888" s="31">
        <f>_xll.qlInterestRateIndexValueDate(Index,P888,Trigger)</f>
        <v>50782</v>
      </c>
      <c r="R888" s="31">
        <f>_xll.qlInterestRateIndexMaturity(Index,Q888,Trigger)</f>
        <v>50872</v>
      </c>
      <c r="S888" s="32">
        <f>_xll.qlDayCounterYearFraction(DayCounter,Q888,R888,,,Trigger)</f>
        <v>0.25</v>
      </c>
      <c r="T888" s="33">
        <f>_xll.qlIndexFixing(Index,P888,,AllTriggers)</f>
        <v>1.3820944974003879E-2</v>
      </c>
      <c r="U888" s="34">
        <f>_xll.qlYieldTSDiscount(OisCurve,Q888,,AllTriggers)</f>
        <v>0.76574300371307968</v>
      </c>
      <c r="V888" s="34">
        <f>_xll.qlYieldTSDiscount(OisCurve,R888,,AllTriggers)</f>
        <v>0.76319594867947127</v>
      </c>
      <c r="W888" s="33">
        <f t="shared" si="59"/>
        <v>1.33494159030354E-2</v>
      </c>
      <c r="X888" s="35">
        <f t="shared" si="60"/>
        <v>1.1748326005619534E-4</v>
      </c>
      <c r="Y888" s="33">
        <f t="shared" si="61"/>
        <v>4.715290709684794E-4</v>
      </c>
      <c r="Z888" s="54"/>
    </row>
    <row r="889" spans="15:26" x14ac:dyDescent="0.25">
      <c r="O889" s="37" t="s">
        <v>19</v>
      </c>
      <c r="P889" s="31">
        <f>_xll.qlCalendarAdvance(Calendar,P888,O888,"f",,Trigger)</f>
        <v>50811</v>
      </c>
      <c r="Q889" s="31">
        <f>_xll.qlInterestRateIndexValueDate(Index,P889,Trigger)</f>
        <v>50815</v>
      </c>
      <c r="R889" s="31">
        <f>_xll.qlInterestRateIndexMaturity(Index,Q889,Trigger)</f>
        <v>50906</v>
      </c>
      <c r="S889" s="32">
        <f>_xll.qlDayCounterYearFraction(DayCounter,Q889,R889,,,Trigger)</f>
        <v>0.25277777777777777</v>
      </c>
      <c r="T889" s="33">
        <f>_xll.qlIndexFixing(Index,P889,,AllTriggers)</f>
        <v>1.3815413928675781E-2</v>
      </c>
      <c r="U889" s="34">
        <f>_xll.qlYieldTSDiscount(OisCurve,Q889,,AllTriggers)</f>
        <v>0.76480774179040856</v>
      </c>
      <c r="V889" s="34">
        <f>_xll.qlYieldTSDiscount(OisCurve,R889,,AllTriggers)</f>
        <v>0.76223666662603862</v>
      </c>
      <c r="W889" s="33">
        <f t="shared" si="59"/>
        <v>1.3344000374007778E-2</v>
      </c>
      <c r="X889" s="35">
        <f t="shared" si="60"/>
        <v>1.1875522599094683E-4</v>
      </c>
      <c r="Y889" s="33">
        <f t="shared" si="61"/>
        <v>4.7141355466800289E-4</v>
      </c>
      <c r="Z889" s="54"/>
    </row>
    <row r="890" spans="15:26" x14ac:dyDescent="0.25">
      <c r="O890" s="37" t="s">
        <v>19</v>
      </c>
      <c r="P890" s="31">
        <f>_xll.qlCalendarAdvance(Calendar,P889,O889,"f",,Trigger)</f>
        <v>50839</v>
      </c>
      <c r="Q890" s="31">
        <f>_xll.qlInterestRateIndexValueDate(Index,P890,Trigger)</f>
        <v>50843</v>
      </c>
      <c r="R890" s="31">
        <f>_xll.qlInterestRateIndexMaturity(Index,Q890,Trigger)</f>
        <v>50935</v>
      </c>
      <c r="S890" s="32">
        <f>_xll.qlDayCounterYearFraction(DayCounter,Q890,R890,,,Trigger)</f>
        <v>0.25555555555555554</v>
      </c>
      <c r="T890" s="33">
        <f>_xll.qlIndexFixing(Index,P890,,AllTriggers)</f>
        <v>1.381127533683729E-2</v>
      </c>
      <c r="U890" s="34">
        <f>_xll.qlYieldTSDiscount(OisCurve,Q890,,AllTriggers)</f>
        <v>0.76401541343574597</v>
      </c>
      <c r="V890" s="34">
        <f>_xll.qlYieldTSDiscount(OisCurve,R890,,AllTriggers)</f>
        <v>0.76141967919599152</v>
      </c>
      <c r="W890" s="33">
        <f t="shared" si="59"/>
        <v>1.3339845574906752E-2</v>
      </c>
      <c r="X890" s="35">
        <f t="shared" si="60"/>
        <v>1.2005996961984889E-4</v>
      </c>
      <c r="Y890" s="33">
        <f t="shared" si="61"/>
        <v>4.714297619305384E-4</v>
      </c>
      <c r="Z890" s="54"/>
    </row>
    <row r="891" spans="15:26" x14ac:dyDescent="0.25">
      <c r="O891" s="37" t="s">
        <v>19</v>
      </c>
      <c r="P891" s="31">
        <f>_xll.qlCalendarAdvance(Calendar,P890,O890,"f",,Trigger)</f>
        <v>50872</v>
      </c>
      <c r="Q891" s="31">
        <f>_xll.qlInterestRateIndexValueDate(Index,P891,Trigger)</f>
        <v>50874</v>
      </c>
      <c r="R891" s="31">
        <f>_xll.qlInterestRateIndexMaturity(Index,Q891,Trigger)</f>
        <v>50965</v>
      </c>
      <c r="S891" s="32">
        <f>_xll.qlDayCounterYearFraction(DayCounter,Q891,R891,,,Trigger)</f>
        <v>0.25277777777777777</v>
      </c>
      <c r="T891" s="33">
        <f>_xll.qlIndexFixing(Index,P891,,AllTriggers)</f>
        <v>1.3806825822238791E-2</v>
      </c>
      <c r="U891" s="34">
        <f>_xll.qlYieldTSDiscount(OisCurve,Q891,,AllTriggers)</f>
        <v>0.76313947676310978</v>
      </c>
      <c r="V891" s="34">
        <f>_xll.qlYieldTSDiscount(OisCurve,R891,,AllTriggers)</f>
        <v>0.76057567622351629</v>
      </c>
      <c r="W891" s="33">
        <f t="shared" si="59"/>
        <v>1.3335303699852455E-2</v>
      </c>
      <c r="X891" s="35">
        <f t="shared" si="60"/>
        <v>1.1878283422171665E-4</v>
      </c>
      <c r="Y891" s="33">
        <f t="shared" si="61"/>
        <v>4.715221223863357E-4</v>
      </c>
      <c r="Z891" s="54"/>
    </row>
    <row r="892" spans="15:26" x14ac:dyDescent="0.25">
      <c r="O892" s="37" t="s">
        <v>19</v>
      </c>
      <c r="P892" s="31">
        <f>_xll.qlCalendarAdvance(Calendar,P891,O891,"f",,Trigger)</f>
        <v>50902</v>
      </c>
      <c r="Q892" s="31">
        <f>_xll.qlInterestRateIndexValueDate(Index,P892,Trigger)</f>
        <v>50906</v>
      </c>
      <c r="R892" s="31">
        <f>_xll.qlInterestRateIndexMaturity(Index,Q892,Trigger)</f>
        <v>50998</v>
      </c>
      <c r="S892" s="32">
        <f>_xll.qlDayCounterYearFraction(DayCounter,Q892,R892,,,Trigger)</f>
        <v>0.25555555555555554</v>
      </c>
      <c r="T892" s="33">
        <f>_xll.qlIndexFixing(Index,P892,,AllTriggers)</f>
        <v>1.380325090584196E-2</v>
      </c>
      <c r="U892" s="34">
        <f>_xll.qlYieldTSDiscount(OisCurve,Q892,,AllTriggers)</f>
        <v>0.76223666662603862</v>
      </c>
      <c r="V892" s="34">
        <f>_xll.qlYieldTSDiscount(OisCurve,R892,,AllTriggers)</f>
        <v>0.75964859759771408</v>
      </c>
      <c r="W892" s="33">
        <f t="shared" si="59"/>
        <v>1.3331462290064782E-2</v>
      </c>
      <c r="X892" s="35">
        <f t="shared" si="60"/>
        <v>1.2015161068582936E-4</v>
      </c>
      <c r="Y892" s="33">
        <f t="shared" si="61"/>
        <v>4.7178861577717827E-4</v>
      </c>
      <c r="Z892" s="54"/>
    </row>
    <row r="893" spans="15:26" x14ac:dyDescent="0.25">
      <c r="O893" s="37" t="s">
        <v>19</v>
      </c>
      <c r="P893" s="31">
        <f>_xll.qlCalendarAdvance(Calendar,P892,O892,"f",,Trigger)</f>
        <v>50934</v>
      </c>
      <c r="Q893" s="31">
        <f>_xll.qlInterestRateIndexValueDate(Index,P893,Trigger)</f>
        <v>50936</v>
      </c>
      <c r="R893" s="31">
        <f>_xll.qlInterestRateIndexMaturity(Index,Q893,Trigger)</f>
        <v>51028</v>
      </c>
      <c r="S893" s="32">
        <f>_xll.qlDayCounterYearFraction(DayCounter,Q893,R893,,,Trigger)</f>
        <v>0.25555555555555554</v>
      </c>
      <c r="T893" s="33">
        <f>_xll.qlIndexFixing(Index,P893,,AllTriggers)</f>
        <v>1.3800261932916271E-2</v>
      </c>
      <c r="U893" s="34">
        <f>_xll.qlYieldTSDiscount(OisCurve,Q893,,AllTriggers)</f>
        <v>0.76139152696982471</v>
      </c>
      <c r="V893" s="34">
        <f>_xll.qlYieldTSDiscount(OisCurve,R893,,AllTriggers)</f>
        <v>0.75880697225111982</v>
      </c>
      <c r="W893" s="33">
        <f t="shared" si="59"/>
        <v>1.3328126066413528E-2</v>
      </c>
      <c r="X893" s="35">
        <f t="shared" si="60"/>
        <v>1.2024014275915943E-4</v>
      </c>
      <c r="Y893" s="33">
        <f t="shared" si="61"/>
        <v>4.7213586650274308E-4</v>
      </c>
      <c r="Z893" s="54"/>
    </row>
    <row r="894" spans="15:26" x14ac:dyDescent="0.25">
      <c r="O894" s="37" t="s">
        <v>19</v>
      </c>
      <c r="P894" s="31">
        <f>_xll.qlCalendarAdvance(Calendar,P893,O893,"f",,Trigger)</f>
        <v>50964</v>
      </c>
      <c r="Q894" s="31">
        <f>_xll.qlInterestRateIndexValueDate(Index,P894,Trigger)</f>
        <v>50966</v>
      </c>
      <c r="R894" s="31">
        <f>_xll.qlInterestRateIndexMaturity(Index,Q894,Trigger)</f>
        <v>51060</v>
      </c>
      <c r="S894" s="32">
        <f>_xll.qlDayCounterYearFraction(DayCounter,Q894,R894,,,Trigger)</f>
        <v>0.26111111111111113</v>
      </c>
      <c r="T894" s="33">
        <f>_xll.qlIndexFixing(Index,P894,,AllTriggers)</f>
        <v>1.3798274828681274E-2</v>
      </c>
      <c r="U894" s="34">
        <f>_xll.qlYieldTSDiscount(OisCurve,Q894,,AllTriggers)</f>
        <v>0.76054756271719592</v>
      </c>
      <c r="V894" s="34">
        <f>_xll.qlYieldTSDiscount(OisCurve,R894,,AllTriggers)</f>
        <v>0.75791043741261921</v>
      </c>
      <c r="W894" s="33">
        <f t="shared" si="59"/>
        <v>1.3325623091452394E-2</v>
      </c>
      <c r="X894" s="35">
        <f t="shared" si="60"/>
        <v>1.2297912974312082E-4</v>
      </c>
      <c r="Y894" s="33">
        <f t="shared" si="61"/>
        <v>4.7265173722887965E-4</v>
      </c>
      <c r="Z894" s="54"/>
    </row>
    <row r="895" spans="15:26" x14ac:dyDescent="0.25">
      <c r="O895" s="37" t="s">
        <v>19</v>
      </c>
      <c r="P895" s="31">
        <f>_xll.qlCalendarAdvance(Calendar,P894,O894,"f",,Trigger)</f>
        <v>50997</v>
      </c>
      <c r="Q895" s="31">
        <f>_xll.qlInterestRateIndexValueDate(Index,P895,Trigger)</f>
        <v>50999</v>
      </c>
      <c r="R895" s="31">
        <f>_xll.qlInterestRateIndexMaturity(Index,Q895,Trigger)</f>
        <v>51091</v>
      </c>
      <c r="S895" s="32">
        <f>_xll.qlDayCounterYearFraction(DayCounter,Q895,R895,,,Trigger)</f>
        <v>0.25555555555555554</v>
      </c>
      <c r="T895" s="33">
        <f>_xll.qlIndexFixing(Index,P895,,AllTriggers)</f>
        <v>1.3795732670711852E-2</v>
      </c>
      <c r="U895" s="34">
        <f>_xll.qlYieldTSDiscount(OisCurve,Q895,,AllTriggers)</f>
        <v>0.75962052558736182</v>
      </c>
      <c r="V895" s="34">
        <f>_xll.qlYieldTSDiscount(OisCurve,R895,,AllTriggers)</f>
        <v>0.75704306785854347</v>
      </c>
      <c r="W895" s="33">
        <f t="shared" si="59"/>
        <v>1.332249720583936E-2</v>
      </c>
      <c r="X895" s="35">
        <f t="shared" si="60"/>
        <v>1.205203364008795E-4</v>
      </c>
      <c r="Y895" s="33">
        <f t="shared" si="61"/>
        <v>4.7323546487249186E-4</v>
      </c>
      <c r="Z895" s="54"/>
    </row>
    <row r="896" spans="15:26" x14ac:dyDescent="0.25">
      <c r="O896" s="37" t="s">
        <v>19</v>
      </c>
      <c r="P896" s="31">
        <f>_xll.qlCalendarAdvance(Calendar,P895,O895,"f",,Trigger)</f>
        <v>51028</v>
      </c>
      <c r="Q896" s="31">
        <f>_xll.qlInterestRateIndexValueDate(Index,P896,Trigger)</f>
        <v>51032</v>
      </c>
      <c r="R896" s="31">
        <f>_xll.qlInterestRateIndexMaturity(Index,Q896,Trigger)</f>
        <v>51123</v>
      </c>
      <c r="S896" s="32">
        <f>_xll.qlDayCounterYearFraction(DayCounter,Q896,R896,,,Trigger)</f>
        <v>0.25277777777777777</v>
      </c>
      <c r="T896" s="33">
        <f>_xll.qlIndexFixing(Index,P896,,AllTriggers)</f>
        <v>1.3794053391482677E-2</v>
      </c>
      <c r="U896" s="34">
        <f>_xll.qlYieldTSDiscount(OisCurve,Q896,,AllTriggers)</f>
        <v>0.75869483838157614</v>
      </c>
      <c r="V896" s="34">
        <f>_xll.qlYieldTSDiscount(OisCurve,R896,,AllTriggers)</f>
        <v>0.75614887113054818</v>
      </c>
      <c r="W896" s="33">
        <f t="shared" si="59"/>
        <v>1.3320073255754464E-2</v>
      </c>
      <c r="X896" s="35">
        <f t="shared" si="60"/>
        <v>1.1940246235793503E-4</v>
      </c>
      <c r="Y896" s="33">
        <f t="shared" si="61"/>
        <v>4.7398013572821224E-4</v>
      </c>
      <c r="Z896" s="54"/>
    </row>
    <row r="897" spans="15:26" x14ac:dyDescent="0.25">
      <c r="O897" s="37" t="s">
        <v>19</v>
      </c>
      <c r="P897" s="31">
        <f>_xll.qlCalendarAdvance(Calendar,P896,O896,"f",,Trigger)</f>
        <v>51060</v>
      </c>
      <c r="Q897" s="31">
        <f>_xll.qlInterestRateIndexValueDate(Index,P897,Trigger)</f>
        <v>51062</v>
      </c>
      <c r="R897" s="31">
        <f>_xll.qlInterestRateIndexMaturity(Index,Q897,Trigger)</f>
        <v>51154</v>
      </c>
      <c r="S897" s="32">
        <f>_xll.qlDayCounterYearFraction(DayCounter,Q897,R897,,,Trigger)</f>
        <v>0.25555555555555554</v>
      </c>
      <c r="T897" s="33">
        <f>_xll.qlIndexFixing(Index,P897,,AllTriggers)</f>
        <v>1.3793571092509335E-2</v>
      </c>
      <c r="U897" s="34">
        <f>_xll.qlYieldTSDiscount(OisCurve,Q897,,AllTriggers)</f>
        <v>0.75785444431830229</v>
      </c>
      <c r="V897" s="34">
        <f>_xll.qlYieldTSDiscount(OisCurve,R897,,AllTriggers)</f>
        <v>0.75528370290767688</v>
      </c>
      <c r="W897" s="33">
        <f t="shared" si="59"/>
        <v>1.3318734235117383E-2</v>
      </c>
      <c r="X897" s="35">
        <f t="shared" si="60"/>
        <v>1.2092825920696212E-4</v>
      </c>
      <c r="Y897" s="33">
        <f t="shared" si="61"/>
        <v>4.7483685739195189E-4</v>
      </c>
      <c r="Z897" s="54"/>
    </row>
    <row r="898" spans="15:26" x14ac:dyDescent="0.25">
      <c r="O898" s="37" t="s">
        <v>19</v>
      </c>
      <c r="P898" s="31">
        <f>_xll.qlCalendarAdvance(Calendar,P897,O897,"f",,Trigger)</f>
        <v>51091</v>
      </c>
      <c r="Q898" s="31">
        <f>_xll.qlInterestRateIndexValueDate(Index,P898,Trigger)</f>
        <v>51095</v>
      </c>
      <c r="R898" s="31">
        <f>_xll.qlInterestRateIndexMaturity(Index,Q898,Trigger)</f>
        <v>51187</v>
      </c>
      <c r="S898" s="32">
        <f>_xll.qlDayCounterYearFraction(DayCounter,Q898,R898,,,Trigger)</f>
        <v>0.25555555555555554</v>
      </c>
      <c r="T898" s="33">
        <f>_xll.qlIndexFixing(Index,P898,,AllTriggers)</f>
        <v>1.3793383761817506E-2</v>
      </c>
      <c r="U898" s="34">
        <f>_xll.qlYieldTSDiscount(OisCurve,Q898,,AllTriggers)</f>
        <v>0.75693122991689621</v>
      </c>
      <c r="V898" s="34">
        <f>_xll.qlYieldTSDiscount(OisCurve,R898,,AllTriggers)</f>
        <v>0.75436385579949661</v>
      </c>
      <c r="W898" s="33">
        <f t="shared" si="59"/>
        <v>1.3317507816833062E-2</v>
      </c>
      <c r="X898" s="35">
        <f t="shared" si="60"/>
        <v>1.2119290886893542E-4</v>
      </c>
      <c r="Y898" s="33">
        <f t="shared" si="61"/>
        <v>4.7587594498444373E-4</v>
      </c>
      <c r="Z898" s="54"/>
    </row>
    <row r="899" spans="15:26" x14ac:dyDescent="0.25">
      <c r="O899" s="37" t="s">
        <v>19</v>
      </c>
      <c r="P899" s="31">
        <f>_xll.qlCalendarAdvance(Calendar,P898,O898,"f",,Trigger)</f>
        <v>51123</v>
      </c>
      <c r="Q899" s="31">
        <f>_xll.qlInterestRateIndexValueDate(Index,P899,Trigger)</f>
        <v>51125</v>
      </c>
      <c r="R899" s="31">
        <f>_xll.qlInterestRateIndexMaturity(Index,Q899,Trigger)</f>
        <v>51216</v>
      </c>
      <c r="S899" s="32">
        <f>_xll.qlDayCounterYearFraction(DayCounter,Q899,R899,,,Trigger)</f>
        <v>0.25277777777777777</v>
      </c>
      <c r="T899" s="33">
        <f>_xll.qlIndexFixing(Index,P899,,AllTriggers)</f>
        <v>1.379349774145471E-2</v>
      </c>
      <c r="U899" s="34">
        <f>_xll.qlYieldTSDiscount(OisCurve,Q899,,AllTriggers)</f>
        <v>0.75609302194668915</v>
      </c>
      <c r="V899" s="34">
        <f>_xll.qlYieldTSDiscount(OisCurve,R899,,AllTriggers)</f>
        <v>0.75355644593718751</v>
      </c>
      <c r="W899" s="33">
        <f t="shared" si="59"/>
        <v>1.3316595253796821E-2</v>
      </c>
      <c r="X899" s="35">
        <f t="shared" si="60"/>
        <v>1.201387061832209E-4</v>
      </c>
      <c r="Y899" s="33">
        <f t="shared" si="61"/>
        <v>4.769024876578893E-4</v>
      </c>
      <c r="Z899" s="54"/>
    </row>
    <row r="900" spans="15:26" x14ac:dyDescent="0.25">
      <c r="O900" s="37" t="s">
        <v>19</v>
      </c>
      <c r="P900" s="31">
        <f>_xll.qlCalendarAdvance(Calendar,P899,O899,"f",,Trigger)</f>
        <v>51154</v>
      </c>
      <c r="Q900" s="31">
        <f>_xll.qlInterestRateIndexValueDate(Index,P900,Trigger)</f>
        <v>51158</v>
      </c>
      <c r="R900" s="31">
        <f>_xll.qlInterestRateIndexMaturity(Index,Q900,Trigger)</f>
        <v>51249</v>
      </c>
      <c r="S900" s="32">
        <f>_xll.qlDayCounterYearFraction(DayCounter,Q900,R900,,,Trigger)</f>
        <v>0.25277777777777777</v>
      </c>
      <c r="T900" s="33">
        <f>_xll.qlIndexFixing(Index,P900,,AllTriggers)</f>
        <v>1.3794540741158018E-2</v>
      </c>
      <c r="U900" s="34">
        <f>_xll.qlYieldTSDiscount(OisCurve,Q900,,AllTriggers)</f>
        <v>0.75517214445605707</v>
      </c>
      <c r="V900" s="34">
        <f>_xll.qlYieldTSDiscount(OisCurve,R900,,AllTriggers)</f>
        <v>0.7526387065413247</v>
      </c>
      <c r="W900" s="33">
        <f t="shared" ref="W900:W963" si="62">(U900/V900-1)/S900</f>
        <v>1.3316338454935964E-2</v>
      </c>
      <c r="X900" s="35">
        <f t="shared" ref="X900:X963" si="63">LN((1+T900*S900)/(1+W900*S900))</f>
        <v>1.2046613250832568E-4</v>
      </c>
      <c r="Y900" s="33">
        <f t="shared" ref="Y900:Y963" si="64">T900-W900</f>
        <v>4.7820228622205349E-4</v>
      </c>
      <c r="Z900" s="54"/>
    </row>
    <row r="901" spans="15:26" x14ac:dyDescent="0.25">
      <c r="O901" s="37" t="s">
        <v>19</v>
      </c>
      <c r="P901" s="31">
        <f>_xll.qlCalendarAdvance(Calendar,P900,O900,"f",,Trigger)</f>
        <v>51186</v>
      </c>
      <c r="Q901" s="31">
        <f>_xll.qlInterestRateIndexValueDate(Index,P901,Trigger)</f>
        <v>51188</v>
      </c>
      <c r="R901" s="31">
        <f>_xll.qlInterestRateIndexMaturity(Index,Q901,Trigger)</f>
        <v>51278</v>
      </c>
      <c r="S901" s="32">
        <f>_xll.qlDayCounterYearFraction(DayCounter,Q901,R901,,,Trigger)</f>
        <v>0.25</v>
      </c>
      <c r="T901" s="33">
        <f>_xll.qlIndexFixing(Index,P901,,AllTriggers)</f>
        <v>1.3795751685848678E-2</v>
      </c>
      <c r="U901" s="34">
        <f>_xll.qlYieldTSDiscount(OisCurve,Q901,,AllTriggers)</f>
        <v>0.75433599959396314</v>
      </c>
      <c r="V901" s="34">
        <f>_xll.qlYieldTSDiscount(OisCurve,R901,,AllTriggers)</f>
        <v>0.75183309256000874</v>
      </c>
      <c r="W901" s="33">
        <f t="shared" si="62"/>
        <v>1.3316290856162816E-2</v>
      </c>
      <c r="X901" s="35">
        <f t="shared" si="63"/>
        <v>1.1946035578308475E-4</v>
      </c>
      <c r="Y901" s="33">
        <f t="shared" si="64"/>
        <v>4.7946082968586268E-4</v>
      </c>
      <c r="Z901" s="54"/>
    </row>
    <row r="902" spans="15:26" x14ac:dyDescent="0.25">
      <c r="O902" s="37" t="s">
        <v>19</v>
      </c>
      <c r="P902" s="31">
        <f>_xll.qlCalendarAdvance(Calendar,P901,O901,"f",,Trigger)</f>
        <v>51215</v>
      </c>
      <c r="Q902" s="31">
        <f>_xll.qlInterestRateIndexValueDate(Index,P902,Trigger)</f>
        <v>51217</v>
      </c>
      <c r="R902" s="31">
        <f>_xll.qlInterestRateIndexMaturity(Index,Q902,Trigger)</f>
        <v>51309</v>
      </c>
      <c r="S902" s="32">
        <f>_xll.qlDayCounterYearFraction(DayCounter,Q902,R902,,,Trigger)</f>
        <v>0.25555555555555554</v>
      </c>
      <c r="T902" s="33">
        <f>_xll.qlIndexFixing(Index,P902,,AllTriggers)</f>
        <v>1.379824005023673E-2</v>
      </c>
      <c r="U902" s="34">
        <f>_xll.qlYieldTSDiscount(OisCurve,Q902,,AllTriggers)</f>
        <v>0.75352861959085959</v>
      </c>
      <c r="V902" s="34">
        <f>_xll.qlYieldTSDiscount(OisCurve,R902,,AllTriggers)</f>
        <v>0.75097281503885105</v>
      </c>
      <c r="W902" s="33">
        <f t="shared" si="62"/>
        <v>1.331735867619757E-2</v>
      </c>
      <c r="X902" s="35">
        <f t="shared" si="63"/>
        <v>1.2246758472292857E-4</v>
      </c>
      <c r="Y902" s="33">
        <f t="shared" si="64"/>
        <v>4.8088137403915973E-4</v>
      </c>
      <c r="Z902" s="54"/>
    </row>
    <row r="903" spans="15:26" x14ac:dyDescent="0.25">
      <c r="O903" s="37" t="s">
        <v>19</v>
      </c>
      <c r="P903" s="31">
        <f>_xll.qlCalendarAdvance(Calendar,P902,O902,"f",,Trigger)</f>
        <v>51246</v>
      </c>
      <c r="Q903" s="31">
        <f>_xll.qlInterestRateIndexValueDate(Index,P903,Trigger)</f>
        <v>51250</v>
      </c>
      <c r="R903" s="31">
        <f>_xll.qlInterestRateIndexMaturity(Index,Q903,Trigger)</f>
        <v>51341</v>
      </c>
      <c r="S903" s="32">
        <f>_xll.qlDayCounterYearFraction(DayCounter,Q903,R903,,,Trigger)</f>
        <v>0.25277777777777777</v>
      </c>
      <c r="T903" s="33">
        <f>_xll.qlIndexFixing(Index,P903,,AllTriggers)</f>
        <v>1.380041519890376E-2</v>
      </c>
      <c r="U903" s="34">
        <f>_xll.qlYieldTSDiscount(OisCurve,Q903,,AllTriggers)</f>
        <v>0.75261091313228512</v>
      </c>
      <c r="V903" s="34">
        <f>_xll.qlYieldTSDiscount(OisCurve,R903,,AllTriggers)</f>
        <v>0.75008574954465179</v>
      </c>
      <c r="W903" s="33">
        <f t="shared" si="62"/>
        <v>1.3318021512798713E-2</v>
      </c>
      <c r="X903" s="35">
        <f t="shared" si="63"/>
        <v>1.2152189161113238E-4</v>
      </c>
      <c r="Y903" s="33">
        <f t="shared" si="64"/>
        <v>4.8239368610504714E-4</v>
      </c>
      <c r="Z903" s="54"/>
    </row>
    <row r="904" spans="15:26" x14ac:dyDescent="0.25">
      <c r="O904" s="37" t="s">
        <v>19</v>
      </c>
      <c r="P904" s="31">
        <f>_xll.qlCalendarAdvance(Calendar,P903,O903,"f",,Trigger)</f>
        <v>51277</v>
      </c>
      <c r="Q904" s="31">
        <f>_xll.qlInterestRateIndexValueDate(Index,P904,Trigger)</f>
        <v>51279</v>
      </c>
      <c r="R904" s="31">
        <f>_xll.qlInterestRateIndexMaturity(Index,Q904,Trigger)</f>
        <v>51371</v>
      </c>
      <c r="S904" s="32">
        <f>_xll.qlDayCounterYearFraction(DayCounter,Q904,R904,,,Trigger)</f>
        <v>0.25555555555555554</v>
      </c>
      <c r="T904" s="33">
        <f>_xll.qlIndexFixing(Index,P904,,AllTriggers)</f>
        <v>1.3803022311475914E-2</v>
      </c>
      <c r="U904" s="34">
        <f>_xll.qlYieldTSDiscount(OisCurve,Q904,,AllTriggers)</f>
        <v>0.75180532726511085</v>
      </c>
      <c r="V904" s="34">
        <f>_xll.qlYieldTSDiscount(OisCurve,R904,,AllTriggers)</f>
        <v>0.74925500681273038</v>
      </c>
      <c r="W904" s="33">
        <f t="shared" si="62"/>
        <v>1.3319250085648368E-2</v>
      </c>
      <c r="X904" s="35">
        <f t="shared" si="63"/>
        <v>1.2320370241968097E-4</v>
      </c>
      <c r="Y904" s="33">
        <f t="shared" si="64"/>
        <v>4.8377222582754627E-4</v>
      </c>
      <c r="Z904" s="54"/>
    </row>
    <row r="905" spans="15:26" x14ac:dyDescent="0.25">
      <c r="O905" s="37" t="s">
        <v>19</v>
      </c>
      <c r="P905" s="31">
        <f>_xll.qlCalendarAdvance(Calendar,P904,O904,"f",,Trigger)</f>
        <v>51308</v>
      </c>
      <c r="Q905" s="31">
        <f>_xll.qlInterestRateIndexValueDate(Index,P905,Trigger)</f>
        <v>51312</v>
      </c>
      <c r="R905" s="31">
        <f>_xll.qlInterestRateIndexMaturity(Index,Q905,Trigger)</f>
        <v>51404</v>
      </c>
      <c r="S905" s="32">
        <f>_xll.qlDayCounterYearFraction(DayCounter,Q905,R905,,,Trigger)</f>
        <v>0.25555555555555554</v>
      </c>
      <c r="T905" s="33">
        <f>_xll.qlIndexFixing(Index,P905,,AllTriggers)</f>
        <v>1.3805689697409784E-2</v>
      </c>
      <c r="U905" s="34">
        <f>_xll.qlYieldTSDiscount(OisCurve,Q905,,AllTriggers)</f>
        <v>0.75088961121837039</v>
      </c>
      <c r="V905" s="34">
        <f>_xll.qlYieldTSDiscount(OisCurve,R905,,AllTriggers)</f>
        <v>0.74834216650142205</v>
      </c>
      <c r="W905" s="33">
        <f t="shared" si="62"/>
        <v>1.3320460054372712E-2</v>
      </c>
      <c r="X905" s="35">
        <f t="shared" si="63"/>
        <v>1.2357480615597492E-4</v>
      </c>
      <c r="Y905" s="33">
        <f t="shared" si="64"/>
        <v>4.8522964303707172E-4</v>
      </c>
      <c r="Z905" s="54"/>
    </row>
    <row r="906" spans="15:26" x14ac:dyDescent="0.25">
      <c r="O906" s="37" t="s">
        <v>19</v>
      </c>
      <c r="P906" s="31">
        <f>_xll.qlCalendarAdvance(Calendar,P905,O905,"f",,Trigger)</f>
        <v>51340</v>
      </c>
      <c r="Q906" s="31">
        <f>_xll.qlInterestRateIndexValueDate(Index,P906,Trigger)</f>
        <v>51342</v>
      </c>
      <c r="R906" s="31">
        <f>_xll.qlInterestRateIndexMaturity(Index,Q906,Trigger)</f>
        <v>51434</v>
      </c>
      <c r="S906" s="32">
        <f>_xll.qlDayCounterYearFraction(DayCounter,Q906,R906,,,Trigger)</f>
        <v>0.25555555555555554</v>
      </c>
      <c r="T906" s="33">
        <f>_xll.qlIndexFixing(Index,P906,,AllTriggers)</f>
        <v>1.3808154694924584E-2</v>
      </c>
      <c r="U906" s="34">
        <f>_xll.qlYieldTSDiscount(OisCurve,Q906,,AllTriggers)</f>
        <v>0.75005804442153912</v>
      </c>
      <c r="V906" s="34">
        <f>_xll.qlYieldTSDiscount(OisCurve,R906,,AllTriggers)</f>
        <v>0.74751319228655988</v>
      </c>
      <c r="W906" s="33">
        <f t="shared" si="62"/>
        <v>1.3321660611042443E-2</v>
      </c>
      <c r="X906" s="35">
        <f t="shared" si="63"/>
        <v>1.238967670546086E-4</v>
      </c>
      <c r="Y906" s="33">
        <f t="shared" si="64"/>
        <v>4.8649408388214133E-4</v>
      </c>
      <c r="Z906" s="54"/>
    </row>
    <row r="907" spans="15:26" x14ac:dyDescent="0.25">
      <c r="O907" s="37" t="s">
        <v>19</v>
      </c>
      <c r="P907" s="31">
        <f>_xll.qlCalendarAdvance(Calendar,P906,O906,"f",,Trigger)</f>
        <v>51371</v>
      </c>
      <c r="Q907" s="31">
        <f>_xll.qlInterestRateIndexValueDate(Index,P907,Trigger)</f>
        <v>51375</v>
      </c>
      <c r="R907" s="31">
        <f>_xll.qlInterestRateIndexMaturity(Index,Q907,Trigger)</f>
        <v>51467</v>
      </c>
      <c r="S907" s="32">
        <f>_xll.qlDayCounterYearFraction(DayCounter,Q907,R907,,,Trigger)</f>
        <v>0.25555555555555554</v>
      </c>
      <c r="T907" s="33">
        <f>_xll.qlIndexFixing(Index,P907,,AllTriggers)</f>
        <v>1.3810910303614511E-2</v>
      </c>
      <c r="U907" s="34">
        <f>_xll.qlYieldTSDiscount(OisCurve,Q907,,AllTriggers)</f>
        <v>0.74914430517050279</v>
      </c>
      <c r="V907" s="34">
        <f>_xll.qlYieldTSDiscount(OisCurve,R907,,AllTriggers)</f>
        <v>0.74660228108252369</v>
      </c>
      <c r="W907" s="33">
        <f t="shared" si="62"/>
        <v>1.3323091867099594E-2</v>
      </c>
      <c r="X907" s="35">
        <f t="shared" si="63"/>
        <v>1.2423397729616166E-4</v>
      </c>
      <c r="Y907" s="33">
        <f t="shared" si="64"/>
        <v>4.878184365149172E-4</v>
      </c>
      <c r="Z907" s="54"/>
    </row>
    <row r="908" spans="15:26" x14ac:dyDescent="0.25">
      <c r="O908" s="37" t="s">
        <v>19</v>
      </c>
      <c r="P908" s="31">
        <f>_xll.qlCalendarAdvance(Calendar,P907,O907,"f",,Trigger)</f>
        <v>51403</v>
      </c>
      <c r="Q908" s="31">
        <f>_xll.qlInterestRateIndexValueDate(Index,P908,Trigger)</f>
        <v>51405</v>
      </c>
      <c r="R908" s="31">
        <f>_xll.qlInterestRateIndexMaturity(Index,Q908,Trigger)</f>
        <v>51497</v>
      </c>
      <c r="S908" s="32">
        <f>_xll.qlDayCounterYearFraction(DayCounter,Q908,R908,,,Trigger)</f>
        <v>0.25555555555555554</v>
      </c>
      <c r="T908" s="33">
        <f>_xll.qlIndexFixing(Index,P908,,AllTriggers)</f>
        <v>1.3813455503794692E-2</v>
      </c>
      <c r="U908" s="34">
        <f>_xll.qlYieldTSDiscount(OisCurve,Q908,,AllTriggers)</f>
        <v>0.7483145205563384</v>
      </c>
      <c r="V908" s="34">
        <f>_xll.qlYieldTSDiscount(OisCurve,R908,,AllTriggers)</f>
        <v>0.745775045879709</v>
      </c>
      <c r="W908" s="33">
        <f t="shared" si="62"/>
        <v>1.3324493594273927E-2</v>
      </c>
      <c r="X908" s="35">
        <f t="shared" si="63"/>
        <v>1.2452512592698629E-4</v>
      </c>
      <c r="Y908" s="33">
        <f t="shared" si="64"/>
        <v>4.8896190952076556E-4</v>
      </c>
      <c r="Z908" s="54"/>
    </row>
    <row r="909" spans="15:26" x14ac:dyDescent="0.25">
      <c r="O909" s="37" t="s">
        <v>19</v>
      </c>
      <c r="P909" s="31">
        <f>_xll.qlCalendarAdvance(Calendar,P908,O908,"f",,Trigger)</f>
        <v>51433</v>
      </c>
      <c r="Q909" s="31">
        <f>_xll.qlInterestRateIndexValueDate(Index,P909,Trigger)</f>
        <v>51435</v>
      </c>
      <c r="R909" s="31">
        <f>_xll.qlInterestRateIndexMaturity(Index,Q909,Trigger)</f>
        <v>51529</v>
      </c>
      <c r="S909" s="32">
        <f>_xll.qlDayCounterYearFraction(DayCounter,Q909,R909,,,Trigger)</f>
        <v>0.26111111111111113</v>
      </c>
      <c r="T909" s="33">
        <f>_xll.qlIndexFixing(Index,P909,,AllTriggers)</f>
        <v>1.3816655952024677E-2</v>
      </c>
      <c r="U909" s="34">
        <f>_xll.qlYieldTSDiscount(OisCurve,Q909,,AllTriggers)</f>
        <v>0.74748557417463246</v>
      </c>
      <c r="V909" s="34">
        <f>_xll.qlYieldTSDiscount(OisCurve,R909,,AllTriggers)</f>
        <v>0.74489356290193587</v>
      </c>
      <c r="W909" s="33">
        <f t="shared" si="62"/>
        <v>1.3326537074632596E-2</v>
      </c>
      <c r="X909" s="35">
        <f t="shared" si="63"/>
        <v>1.2752358019749852E-4</v>
      </c>
      <c r="Y909" s="33">
        <f t="shared" si="64"/>
        <v>4.9011887739208032E-4</v>
      </c>
      <c r="Z909" s="54"/>
    </row>
    <row r="910" spans="15:26" x14ac:dyDescent="0.25">
      <c r="O910" s="37" t="s">
        <v>19</v>
      </c>
      <c r="P910" s="31">
        <f>_xll.qlCalendarAdvance(Calendar,P909,O909,"f",,Trigger)</f>
        <v>51466</v>
      </c>
      <c r="Q910" s="31">
        <f>_xll.qlInterestRateIndexValueDate(Index,P910,Trigger)</f>
        <v>51468</v>
      </c>
      <c r="R910" s="31">
        <f>_xll.qlInterestRateIndexMaturity(Index,Q910,Trigger)</f>
        <v>51560</v>
      </c>
      <c r="S910" s="32">
        <f>_xll.qlDayCounterYearFraction(DayCounter,Q910,R910,,,Trigger)</f>
        <v>0.25555555555555554</v>
      </c>
      <c r="T910" s="33">
        <f>_xll.qlIndexFixing(Index,P910,,AllTriggers)</f>
        <v>1.381892473876656E-2</v>
      </c>
      <c r="U910" s="34">
        <f>_xll.qlYieldTSDiscount(OisCurve,Q910,,AllTriggers)</f>
        <v>0.74657469333005522</v>
      </c>
      <c r="V910" s="34">
        <f>_xll.qlYieldTSDiscount(OisCurve,R910,,AllTriggers)</f>
        <v>0.74404050601726479</v>
      </c>
      <c r="W910" s="33">
        <f t="shared" si="62"/>
        <v>1.3327749036254262E-2</v>
      </c>
      <c r="X910" s="35">
        <f t="shared" si="63"/>
        <v>1.2508877903690178E-4</v>
      </c>
      <c r="Y910" s="33">
        <f t="shared" si="64"/>
        <v>4.9117570251229828E-4</v>
      </c>
      <c r="Z910" s="54"/>
    </row>
    <row r="911" spans="15:26" x14ac:dyDescent="0.25">
      <c r="O911" s="37" t="s">
        <v>19</v>
      </c>
      <c r="P911" s="31">
        <f>_xll.qlCalendarAdvance(Calendar,P910,O910,"f",,Trigger)</f>
        <v>51497</v>
      </c>
      <c r="Q911" s="31">
        <f>_xll.qlInterestRateIndexValueDate(Index,P911,Trigger)</f>
        <v>51501</v>
      </c>
      <c r="R911" s="31">
        <f>_xll.qlInterestRateIndexMaturity(Index,Q911,Trigger)</f>
        <v>51589</v>
      </c>
      <c r="S911" s="32">
        <f>_xll.qlDayCounterYearFraction(DayCounter,Q911,R911,,,Trigger)</f>
        <v>0.24444444444444444</v>
      </c>
      <c r="T911" s="33">
        <f>_xll.qlIndexFixing(Index,P911,,AllTriggers)</f>
        <v>1.3820616480457838E-2</v>
      </c>
      <c r="U911" s="34">
        <f>_xll.qlYieldTSDiscount(OisCurve,Q911,,AllTriggers)</f>
        <v>0.74566480978671235</v>
      </c>
      <c r="V911" s="34">
        <f>_xll.qlYieldTSDiscount(OisCurve,R911,,AllTriggers)</f>
        <v>0.74324326236141125</v>
      </c>
      <c r="W911" s="33">
        <f t="shared" si="62"/>
        <v>1.3328516890630627E-2</v>
      </c>
      <c r="X911" s="35">
        <f t="shared" si="63"/>
        <v>1.1989317816037043E-4</v>
      </c>
      <c r="Y911" s="33">
        <f t="shared" si="64"/>
        <v>4.9209958982721069E-4</v>
      </c>
      <c r="Z911" s="54"/>
    </row>
    <row r="912" spans="15:26" x14ac:dyDescent="0.25">
      <c r="O912" s="37" t="s">
        <v>19</v>
      </c>
      <c r="P912" s="31">
        <f>_xll.qlCalendarAdvance(Calendar,P911,O911,"f",,Trigger)</f>
        <v>51529</v>
      </c>
      <c r="Q912" s="31">
        <f>_xll.qlInterestRateIndexValueDate(Index,P912,Trigger)</f>
        <v>51531</v>
      </c>
      <c r="R912" s="31">
        <f>_xll.qlInterestRateIndexMaturity(Index,Q912,Trigger)</f>
        <v>51621</v>
      </c>
      <c r="S912" s="32">
        <f>_xll.qlDayCounterYearFraction(DayCounter,Q912,R912,,,Trigger)</f>
        <v>0.25</v>
      </c>
      <c r="T912" s="33">
        <f>_xll.qlIndexFixing(Index,P912,,AllTriggers)</f>
        <v>1.3823940714632776E-2</v>
      </c>
      <c r="U912" s="34">
        <f>_xll.qlYieldTSDiscount(OisCurve,Q912,,AllTriggers)</f>
        <v>0.744838500927406</v>
      </c>
      <c r="V912" s="34">
        <f>_xll.qlYieldTSDiscount(OisCurve,R912,,AllTriggers)</f>
        <v>0.74236440996759179</v>
      </c>
      <c r="W912" s="33">
        <f t="shared" si="62"/>
        <v>1.3330870535252615E-2</v>
      </c>
      <c r="X912" s="35">
        <f t="shared" si="63"/>
        <v>1.2285054707294221E-4</v>
      </c>
      <c r="Y912" s="33">
        <f t="shared" si="64"/>
        <v>4.9307017938016173E-4</v>
      </c>
      <c r="Z912" s="54"/>
    </row>
    <row r="913" spans="15:26" x14ac:dyDescent="0.25">
      <c r="O913" s="37" t="s">
        <v>19</v>
      </c>
      <c r="P913" s="31">
        <f>_xll.qlCalendarAdvance(Calendar,P912,O912,"f",,Trigger)</f>
        <v>51560</v>
      </c>
      <c r="Q913" s="31">
        <f>_xll.qlInterestRateIndexValueDate(Index,P913,Trigger)</f>
        <v>51564</v>
      </c>
      <c r="R913" s="31">
        <f>_xll.qlInterestRateIndexMaturity(Index,Q913,Trigger)</f>
        <v>51656</v>
      </c>
      <c r="S913" s="32">
        <f>_xll.qlDayCounterYearFraction(DayCounter,Q913,R913,,,Trigger)</f>
        <v>0.25555555555555554</v>
      </c>
      <c r="T913" s="33">
        <f>_xll.qlIndexFixing(Index,P913,,AllTriggers)</f>
        <v>1.3827582679675115E-2</v>
      </c>
      <c r="U913" s="34">
        <f>_xll.qlYieldTSDiscount(OisCurve,Q913,,AllTriggers)</f>
        <v>0.74393049684443913</v>
      </c>
      <c r="V913" s="34">
        <f>_xll.qlYieldTSDiscount(OisCurve,R913,,AllTriggers)</f>
        <v>0.74140419494084164</v>
      </c>
      <c r="W913" s="33">
        <f t="shared" si="62"/>
        <v>1.333352205915051E-2</v>
      </c>
      <c r="X913" s="35">
        <f t="shared" si="63"/>
        <v>1.2582325614130563E-4</v>
      </c>
      <c r="Y913" s="33">
        <f t="shared" si="64"/>
        <v>4.9406062052460495E-4</v>
      </c>
      <c r="Z913" s="54"/>
    </row>
    <row r="914" spans="15:26" x14ac:dyDescent="0.25">
      <c r="O914" s="37" t="s">
        <v>19</v>
      </c>
      <c r="P914" s="31">
        <f>_xll.qlCalendarAdvance(Calendar,P913,O913,"f",,Trigger)</f>
        <v>51588</v>
      </c>
      <c r="Q914" s="31">
        <f>_xll.qlInterestRateIndexValueDate(Index,P914,Trigger)</f>
        <v>51592</v>
      </c>
      <c r="R914" s="31">
        <f>_xll.qlInterestRateIndexMaturity(Index,Q914,Trigger)</f>
        <v>51683</v>
      </c>
      <c r="S914" s="32">
        <f>_xll.qlDayCounterYearFraction(DayCounter,Q914,R914,,,Trigger)</f>
        <v>0.25277777777777777</v>
      </c>
      <c r="T914" s="33">
        <f>_xll.qlIndexFixing(Index,P914,,AllTriggers)</f>
        <v>1.3829869216114033E-2</v>
      </c>
      <c r="U914" s="34">
        <f>_xll.qlYieldTSDiscount(OisCurve,Q914,,AllTriggers)</f>
        <v>0.74316083152049905</v>
      </c>
      <c r="V914" s="34">
        <f>_xll.qlYieldTSDiscount(OisCurve,R914,,AllTriggers)</f>
        <v>0.74066418644166276</v>
      </c>
      <c r="W914" s="33">
        <f t="shared" si="62"/>
        <v>1.3335109021496382E-2</v>
      </c>
      <c r="X914" s="35">
        <f t="shared" si="63"/>
        <v>1.2463646191712767E-4</v>
      </c>
      <c r="Y914" s="33">
        <f t="shared" si="64"/>
        <v>4.9476019461765046E-4</v>
      </c>
      <c r="Z914" s="54"/>
    </row>
    <row r="915" spans="15:26" x14ac:dyDescent="0.25">
      <c r="O915" s="37" t="s">
        <v>19</v>
      </c>
      <c r="P915" s="31">
        <f>_xll.qlCalendarAdvance(Calendar,P914,O914,"f",,Trigger)</f>
        <v>51620</v>
      </c>
      <c r="Q915" s="31">
        <f>_xll.qlInterestRateIndexValueDate(Index,P915,Trigger)</f>
        <v>51623</v>
      </c>
      <c r="R915" s="31">
        <f>_xll.qlInterestRateIndexMaturity(Index,Q915,Trigger)</f>
        <v>51715</v>
      </c>
      <c r="S915" s="32">
        <f>_xll.qlDayCounterYearFraction(DayCounter,Q915,R915,,,Trigger)</f>
        <v>0.25555555555555554</v>
      </c>
      <c r="T915" s="33">
        <f>_xll.qlIndexFixing(Index,P915,,AllTriggers)</f>
        <v>1.383309774365192E-2</v>
      </c>
      <c r="U915" s="34">
        <f>_xll.qlYieldTSDiscount(OisCurve,Q915,,AllTriggers)</f>
        <v>0.74230951164454273</v>
      </c>
      <c r="V915" s="34">
        <f>_xll.qlYieldTSDiscount(OisCurve,R915,,AllTriggers)</f>
        <v>0.73978795422120092</v>
      </c>
      <c r="W915" s="33">
        <f t="shared" si="62"/>
        <v>1.3337556760917109E-2</v>
      </c>
      <c r="X915" s="35">
        <f t="shared" si="63"/>
        <v>1.2620010903423802E-4</v>
      </c>
      <c r="Y915" s="33">
        <f t="shared" si="64"/>
        <v>4.9554098273481111E-4</v>
      </c>
      <c r="Z915" s="54"/>
    </row>
    <row r="916" spans="15:26" x14ac:dyDescent="0.25">
      <c r="O916" s="37" t="s">
        <v>19</v>
      </c>
      <c r="P916" s="31">
        <f>_xll.qlCalendarAdvance(Calendar,P915,O915,"f",,Trigger)</f>
        <v>51650</v>
      </c>
      <c r="Q916" s="31">
        <f>_xll.qlInterestRateIndexValueDate(Index,P916,Trigger)</f>
        <v>51652</v>
      </c>
      <c r="R916" s="31">
        <f>_xll.qlInterestRateIndexMaturity(Index,Q916,Trigger)</f>
        <v>51743</v>
      </c>
      <c r="S916" s="32">
        <f>_xll.qlDayCounterYearFraction(DayCounter,Q916,R916,,,Trigger)</f>
        <v>0.25277777777777777</v>
      </c>
      <c r="T916" s="33">
        <f>_xll.qlIndexFixing(Index,P916,,AllTriggers)</f>
        <v>1.3835548830355805E-2</v>
      </c>
      <c r="U916" s="34">
        <f>_xll.qlYieldTSDiscount(OisCurve,Q916,,AllTriggers)</f>
        <v>0.74151387966150706</v>
      </c>
      <c r="V916" s="34">
        <f>_xll.qlYieldTSDiscount(OisCurve,R916,,AllTriggers)</f>
        <v>0.73902197033005024</v>
      </c>
      <c r="W916" s="33">
        <f t="shared" si="62"/>
        <v>1.3339390769826341E-2</v>
      </c>
      <c r="X916" s="35">
        <f t="shared" si="63"/>
        <v>1.2498844551290882E-4</v>
      </c>
      <c r="Y916" s="33">
        <f t="shared" si="64"/>
        <v>4.961580605294634E-4</v>
      </c>
      <c r="Z916" s="54"/>
    </row>
    <row r="917" spans="15:26" x14ac:dyDescent="0.25">
      <c r="O917" s="37" t="s">
        <v>19</v>
      </c>
      <c r="P917" s="31">
        <f>_xll.qlCalendarAdvance(Calendar,P916,O916,"f",,Trigger)</f>
        <v>51683</v>
      </c>
      <c r="Q917" s="31">
        <f>_xll.qlInterestRateIndexValueDate(Index,P917,Trigger)</f>
        <v>51685</v>
      </c>
      <c r="R917" s="31">
        <f>_xll.qlInterestRateIndexMaturity(Index,Q917,Trigger)</f>
        <v>51777</v>
      </c>
      <c r="S917" s="32">
        <f>_xll.qlDayCounterYearFraction(DayCounter,Q917,R917,,,Trigger)</f>
        <v>0.25555555555555554</v>
      </c>
      <c r="T917" s="33">
        <f>_xll.qlIndexFixing(Index,P917,,AllTriggers)</f>
        <v>1.3839052412196257E-2</v>
      </c>
      <c r="U917" s="34">
        <f>_xll.qlYieldTSDiscount(OisCurve,Q917,,AllTriggers)</f>
        <v>0.74060939610029264</v>
      </c>
      <c r="V917" s="34">
        <f>_xll.qlYieldTSDiscount(OisCurve,R917,,AllTriggers)</f>
        <v>0.73809274173915385</v>
      </c>
      <c r="W917" s="33">
        <f t="shared" si="62"/>
        <v>1.3342195875937069E-2</v>
      </c>
      <c r="X917" s="35">
        <f t="shared" si="63"/>
        <v>1.2653497218331218E-4</v>
      </c>
      <c r="Y917" s="33">
        <f t="shared" si="64"/>
        <v>4.9685653625918848E-4</v>
      </c>
      <c r="Z917" s="54"/>
    </row>
    <row r="918" spans="15:26" x14ac:dyDescent="0.25">
      <c r="O918" s="37" t="s">
        <v>19</v>
      </c>
      <c r="P918" s="31">
        <f>_xll.qlCalendarAdvance(Calendar,P917,O917,"f",,Trigger)</f>
        <v>51714</v>
      </c>
      <c r="Q918" s="31">
        <f>_xll.qlInterestRateIndexValueDate(Index,P918,Trigger)</f>
        <v>51718</v>
      </c>
      <c r="R918" s="31">
        <f>_xll.qlInterestRateIndexMaturity(Index,Q918,Trigger)</f>
        <v>51810</v>
      </c>
      <c r="S918" s="32">
        <f>_xll.qlDayCounterYearFraction(DayCounter,Q918,R918,,,Trigger)</f>
        <v>0.25555555555555554</v>
      </c>
      <c r="T918" s="33">
        <f>_xll.qlIndexFixing(Index,P918,,AllTriggers)</f>
        <v>1.3842288351293806E-2</v>
      </c>
      <c r="U918" s="34">
        <f>_xll.qlYieldTSDiscount(OisCurve,Q918,,AllTriggers)</f>
        <v>0.73970585251105303</v>
      </c>
      <c r="V918" s="34">
        <f>_xll.qlYieldTSDiscount(OisCurve,R918,,AllTriggers)</f>
        <v>0.7371917735411504</v>
      </c>
      <c r="W918" s="33">
        <f t="shared" si="62"/>
        <v>1.3344831928541964E-2</v>
      </c>
      <c r="X918" s="35">
        <f t="shared" si="63"/>
        <v>1.2668765117629626E-4</v>
      </c>
      <c r="Y918" s="33">
        <f t="shared" si="64"/>
        <v>4.974564227518425E-4</v>
      </c>
      <c r="Z918" s="54"/>
    </row>
    <row r="919" spans="15:26" x14ac:dyDescent="0.25">
      <c r="O919" s="37" t="s">
        <v>19</v>
      </c>
      <c r="P919" s="31">
        <f>_xll.qlCalendarAdvance(Calendar,P918,O918,"f",,Trigger)</f>
        <v>51746</v>
      </c>
      <c r="Q919" s="31">
        <f>_xll.qlInterestRateIndexValueDate(Index,P919,Trigger)</f>
        <v>51748</v>
      </c>
      <c r="R919" s="31">
        <f>_xll.qlInterestRateIndexMaturity(Index,Q919,Trigger)</f>
        <v>51839</v>
      </c>
      <c r="S919" s="32">
        <f>_xll.qlDayCounterYearFraction(DayCounter,Q919,R919,,,Trigger)</f>
        <v>0.25277777777777777</v>
      </c>
      <c r="T919" s="33">
        <f>_xll.qlIndexFixing(Index,P919,,AllTriggers)</f>
        <v>1.3844953962744745E-2</v>
      </c>
      <c r="U919" s="34">
        <f>_xll.qlYieldTSDiscount(OisCurve,Q919,,AllTriggers)</f>
        <v>0.73888525771291635</v>
      </c>
      <c r="V919" s="34">
        <f>_xll.qlYieldTSDiscount(OisCurve,R919,,AllTriggers)</f>
        <v>0.73640076322882975</v>
      </c>
      <c r="W919" s="33">
        <f t="shared" si="62"/>
        <v>1.3347038567016602E-2</v>
      </c>
      <c r="X919" s="35">
        <f t="shared" si="63"/>
        <v>1.2543087090085279E-4</v>
      </c>
      <c r="Y919" s="33">
        <f t="shared" si="64"/>
        <v>4.9791539572814278E-4</v>
      </c>
      <c r="Z919" s="54"/>
    </row>
    <row r="920" spans="15:26" x14ac:dyDescent="0.25">
      <c r="O920" s="37" t="s">
        <v>19</v>
      </c>
      <c r="P920" s="31">
        <f>_xll.qlCalendarAdvance(Calendar,P919,O919,"f",,Trigger)</f>
        <v>51776</v>
      </c>
      <c r="Q920" s="31">
        <f>_xll.qlInterestRateIndexValueDate(Index,P920,Trigger)</f>
        <v>51778</v>
      </c>
      <c r="R920" s="31">
        <f>_xll.qlInterestRateIndexMaturity(Index,Q920,Trigger)</f>
        <v>51872</v>
      </c>
      <c r="S920" s="32">
        <f>_xll.qlDayCounterYearFraction(DayCounter,Q920,R920,,,Trigger)</f>
        <v>0.26111111111111113</v>
      </c>
      <c r="T920" s="33">
        <f>_xll.qlIndexFixing(Index,P920,,AllTriggers)</f>
        <v>1.3848924361347126E-2</v>
      </c>
      <c r="U920" s="34">
        <f>_xll.qlYieldTSDiscount(OisCurve,Q920,,AllTriggers)</f>
        <v>0.73806542625461113</v>
      </c>
      <c r="V920" s="34">
        <f>_xll.qlYieldTSDiscount(OisCurve,R920,,AllTriggers)</f>
        <v>0.73550149346310845</v>
      </c>
      <c r="W920" s="33">
        <f t="shared" si="62"/>
        <v>1.3350505962409285E-2</v>
      </c>
      <c r="X920" s="35">
        <f t="shared" si="63"/>
        <v>1.296820763102838E-4</v>
      </c>
      <c r="Y920" s="33">
        <f t="shared" si="64"/>
        <v>4.9841839893784157E-4</v>
      </c>
      <c r="Z920" s="54"/>
    </row>
    <row r="921" spans="15:26" x14ac:dyDescent="0.25">
      <c r="O921" s="37" t="s">
        <v>19</v>
      </c>
      <c r="P921" s="31">
        <f>_xll.qlCalendarAdvance(Calendar,P920,O920,"f",,Trigger)</f>
        <v>51809</v>
      </c>
      <c r="Q921" s="31">
        <f>_xll.qlInterestRateIndexValueDate(Index,P921,Trigger)</f>
        <v>51811</v>
      </c>
      <c r="R921" s="31">
        <f>_xll.qlInterestRateIndexMaturity(Index,Q921,Trigger)</f>
        <v>51903</v>
      </c>
      <c r="S921" s="32">
        <f>_xll.qlDayCounterYearFraction(DayCounter,Q921,R921,,,Trigger)</f>
        <v>0.25555555555555554</v>
      </c>
      <c r="T921" s="33">
        <f>_xll.qlIndexFixing(Index,P921,,AllTriggers)</f>
        <v>1.3851656450883787E-2</v>
      </c>
      <c r="U921" s="34">
        <f>_xll.qlYieldTSDiscount(OisCurve,Q921,,AllTriggers)</f>
        <v>0.73716448568706017</v>
      </c>
      <c r="V921" s="34">
        <f>_xll.qlYieldTSDiscount(OisCurve,R921,,AllTriggers)</f>
        <v>0.73465753751259888</v>
      </c>
      <c r="W921" s="33">
        <f t="shared" si="62"/>
        <v>1.3352884444128469E-2</v>
      </c>
      <c r="X921" s="35">
        <f t="shared" si="63"/>
        <v>1.2702241030794408E-4</v>
      </c>
      <c r="Y921" s="33">
        <f t="shared" si="64"/>
        <v>4.9877200675531828E-4</v>
      </c>
      <c r="Z921" s="54"/>
    </row>
    <row r="922" spans="15:26" x14ac:dyDescent="0.25">
      <c r="O922" s="37" t="s">
        <v>19</v>
      </c>
      <c r="P922" s="31">
        <f>_xll.qlCalendarAdvance(Calendar,P921,O921,"f",,Trigger)</f>
        <v>51839</v>
      </c>
      <c r="Q922" s="31">
        <f>_xll.qlInterestRateIndexValueDate(Index,P922,Trigger)</f>
        <v>51841</v>
      </c>
      <c r="R922" s="31">
        <f>_xll.qlInterestRateIndexMaturity(Index,Q922,Trigger)</f>
        <v>51931</v>
      </c>
      <c r="S922" s="32">
        <f>_xll.qlDayCounterYearFraction(DayCounter,Q922,R922,,,Trigger)</f>
        <v>0.25</v>
      </c>
      <c r="T922" s="33">
        <f>_xll.qlIndexFixing(Index,P922,,AllTriggers)</f>
        <v>1.3854119556473421E-2</v>
      </c>
      <c r="U922" s="34">
        <f>_xll.qlYieldTSDiscount(OisCurve,Q922,,AllTriggers)</f>
        <v>0.73634623648716668</v>
      </c>
      <c r="V922" s="34">
        <f>_xll.qlYieldTSDiscount(OisCurve,R922,,AllTriggers)</f>
        <v>0.73389592546285887</v>
      </c>
      <c r="W922" s="33">
        <f t="shared" si="62"/>
        <v>1.3355087223096085E-2</v>
      </c>
      <c r="X922" s="35">
        <f t="shared" si="63"/>
        <v>1.2433520073176955E-4</v>
      </c>
      <c r="Y922" s="33">
        <f t="shared" si="64"/>
        <v>4.990323333773361E-4</v>
      </c>
      <c r="Z922" s="54"/>
    </row>
    <row r="923" spans="15:26" x14ac:dyDescent="0.25">
      <c r="O923" s="37" t="s">
        <v>19</v>
      </c>
      <c r="P923" s="31">
        <f>_xll.qlCalendarAdvance(Calendar,P922,O922,"f",,Trigger)</f>
        <v>51872</v>
      </c>
      <c r="Q923" s="31">
        <f>_xll.qlInterestRateIndexValueDate(Index,P923,Trigger)</f>
        <v>51874</v>
      </c>
      <c r="R923" s="31">
        <f>_xll.qlInterestRateIndexMaturity(Index,Q923,Trigger)</f>
        <v>51964</v>
      </c>
      <c r="S923" s="32">
        <f>_xll.qlDayCounterYearFraction(DayCounter,Q923,R923,,,Trigger)</f>
        <v>0.25</v>
      </c>
      <c r="T923" s="33">
        <f>_xll.qlIndexFixing(Index,P923,,AllTriggers)</f>
        <v>1.3857572293106912E-2</v>
      </c>
      <c r="U923" s="34">
        <f>_xll.qlYieldTSDiscount(OisCurve,Q923,,AllTriggers)</f>
        <v>0.73544702101499349</v>
      </c>
      <c r="V923" s="34">
        <f>_xll.qlYieldTSDiscount(OisCurve,R923,,AllTriggers)</f>
        <v>0.73299912143162294</v>
      </c>
      <c r="W923" s="33">
        <f t="shared" si="62"/>
        <v>1.3358267489268272E-2</v>
      </c>
      <c r="X923" s="35">
        <f t="shared" si="63"/>
        <v>1.2440298465830324E-4</v>
      </c>
      <c r="Y923" s="33">
        <f t="shared" si="64"/>
        <v>4.9930480383864051E-4</v>
      </c>
      <c r="Z923" s="54"/>
    </row>
    <row r="924" spans="15:26" x14ac:dyDescent="0.25">
      <c r="O924" s="37" t="s">
        <v>19</v>
      </c>
      <c r="P924" s="31">
        <f>_xll.qlCalendarAdvance(Calendar,P923,O923,"f",,Trigger)</f>
        <v>51903</v>
      </c>
      <c r="Q924" s="31">
        <f>_xll.qlInterestRateIndexValueDate(Index,P924,Trigger)</f>
        <v>51907</v>
      </c>
      <c r="R924" s="31">
        <f>_xll.qlInterestRateIndexMaturity(Index,Q924,Trigger)</f>
        <v>51998</v>
      </c>
      <c r="S924" s="32">
        <f>_xll.qlDayCounterYearFraction(DayCounter,Q924,R924,,,Trigger)</f>
        <v>0.25277777777777777</v>
      </c>
      <c r="T924" s="33">
        <f>_xll.qlIndexFixing(Index,P924,,AllTriggers)</f>
        <v>1.3861391473599612E-2</v>
      </c>
      <c r="U924" s="34">
        <f>_xll.qlYieldTSDiscount(OisCurve,Q924,,AllTriggers)</f>
        <v>0.73454869694325642</v>
      </c>
      <c r="V924" s="34">
        <f>_xll.qlYieldTSDiscount(OisCurve,R924,,AllTriggers)</f>
        <v>0.73207605002978782</v>
      </c>
      <c r="W924" s="33">
        <f t="shared" si="62"/>
        <v>1.3361862988223679E-2</v>
      </c>
      <c r="X924" s="35">
        <f t="shared" si="63"/>
        <v>1.2583673206809667E-4</v>
      </c>
      <c r="Y924" s="33">
        <f t="shared" si="64"/>
        <v>4.9952848537593297E-4</v>
      </c>
      <c r="Z924" s="54"/>
    </row>
    <row r="925" spans="15:26" x14ac:dyDescent="0.25">
      <c r="O925" s="37" t="s">
        <v>19</v>
      </c>
      <c r="P925" s="31">
        <f>_xll.qlCalendarAdvance(Calendar,P924,O924,"f",,Trigger)</f>
        <v>51931</v>
      </c>
      <c r="Q925" s="31">
        <f>_xll.qlInterestRateIndexValueDate(Index,P925,Trigger)</f>
        <v>51935</v>
      </c>
      <c r="R925" s="31">
        <f>_xll.qlInterestRateIndexMaturity(Index,Q925,Trigger)</f>
        <v>52027</v>
      </c>
      <c r="S925" s="32">
        <f>_xll.qlDayCounterYearFraction(DayCounter,Q925,R925,,,Trigger)</f>
        <v>0.25555555555555554</v>
      </c>
      <c r="T925" s="33">
        <f>_xll.qlIndexFixing(Index,P925,,AllTriggers)</f>
        <v>1.3864718193348806E-2</v>
      </c>
      <c r="U925" s="34">
        <f>_xll.qlYieldTSDiscount(OisCurve,Q925,,AllTriggers)</f>
        <v>0.73378717540045058</v>
      </c>
      <c r="V925" s="34">
        <f>_xll.qlYieldTSDiscount(OisCurve,R925,,AllTriggers)</f>
        <v>0.73128944635375737</v>
      </c>
      <c r="W925" s="33">
        <f t="shared" si="62"/>
        <v>1.3365053202063687E-2</v>
      </c>
      <c r="X925" s="35">
        <f t="shared" si="63"/>
        <v>1.2724941811739307E-4</v>
      </c>
      <c r="Y925" s="33">
        <f t="shared" si="64"/>
        <v>4.9966499128511858E-4</v>
      </c>
      <c r="Z925" s="54"/>
    </row>
    <row r="926" spans="15:26" x14ac:dyDescent="0.25">
      <c r="O926" s="37" t="s">
        <v>19</v>
      </c>
      <c r="P926" s="31">
        <f>_xll.qlCalendarAdvance(Calendar,P925,O925,"f",,Trigger)</f>
        <v>51964</v>
      </c>
      <c r="Q926" s="31">
        <f>_xll.qlInterestRateIndexValueDate(Index,P926,Trigger)</f>
        <v>51966</v>
      </c>
      <c r="R926" s="31">
        <f>_xll.qlInterestRateIndexMaturity(Index,Q926,Trigger)</f>
        <v>52057</v>
      </c>
      <c r="S926" s="32">
        <f>_xll.qlDayCounterYearFraction(DayCounter,Q926,R926,,,Trigger)</f>
        <v>0.25277777777777777</v>
      </c>
      <c r="T926" s="33">
        <f>_xll.qlIndexFixing(Index,P926,,AllTriggers)</f>
        <v>1.3867763828006396E-2</v>
      </c>
      <c r="U926" s="34">
        <f>_xll.qlYieldTSDiscount(OisCurve,Q926,,AllTriggers)</f>
        <v>0.73294479767535037</v>
      </c>
      <c r="V926" s="34">
        <f>_xll.qlYieldTSDiscount(OisCurve,R926,,AllTriggers)</f>
        <v>0.73047641155066767</v>
      </c>
      <c r="W926" s="33">
        <f t="shared" si="62"/>
        <v>1.3368048379555991E-2</v>
      </c>
      <c r="X926" s="35">
        <f t="shared" si="63"/>
        <v>1.2588363101524128E-4</v>
      </c>
      <c r="Y926" s="33">
        <f t="shared" si="64"/>
        <v>4.9971544845040482E-4</v>
      </c>
      <c r="Z926" s="54"/>
    </row>
    <row r="927" spans="15:26" x14ac:dyDescent="0.25">
      <c r="O927" s="37" t="s">
        <v>19</v>
      </c>
      <c r="P927" s="31">
        <f>_xll.qlCalendarAdvance(Calendar,P926,O926,"f",,Trigger)</f>
        <v>51994</v>
      </c>
      <c r="Q927" s="31">
        <f>_xll.qlInterestRateIndexValueDate(Index,P927,Trigger)</f>
        <v>51998</v>
      </c>
      <c r="R927" s="31">
        <f>_xll.qlInterestRateIndexMaturity(Index,Q927,Trigger)</f>
        <v>52090</v>
      </c>
      <c r="S927" s="32">
        <f>_xll.qlDayCounterYearFraction(DayCounter,Q927,R927,,,Trigger)</f>
        <v>0.25555555555555554</v>
      </c>
      <c r="T927" s="33">
        <f>_xll.qlIndexFixing(Index,P927,,AllTriggers)</f>
        <v>1.3871604376313523E-2</v>
      </c>
      <c r="U927" s="34">
        <f>_xll.qlYieldTSDiscount(OisCurve,Q927,,AllTriggers)</f>
        <v>0.73207605002978782</v>
      </c>
      <c r="V927" s="34">
        <f>_xll.qlYieldTSDiscount(OisCurve,R927,,AllTriggers)</f>
        <v>0.72958288015616979</v>
      </c>
      <c r="W927" s="33">
        <f t="shared" si="62"/>
        <v>1.3371862717048615E-2</v>
      </c>
      <c r="X927" s="35">
        <f t="shared" si="63"/>
        <v>1.2726872116239097E-4</v>
      </c>
      <c r="Y927" s="33">
        <f t="shared" si="64"/>
        <v>4.9974165926490802E-4</v>
      </c>
      <c r="Z927" s="54"/>
    </row>
    <row r="928" spans="15:26" x14ac:dyDescent="0.25">
      <c r="O928" s="37" t="s">
        <v>19</v>
      </c>
      <c r="P928" s="31">
        <f>_xll.qlCalendarAdvance(Calendar,P927,O927,"f",,Trigger)</f>
        <v>52026</v>
      </c>
      <c r="Q928" s="31">
        <f>_xll.qlInterestRateIndexValueDate(Index,P928,Trigger)</f>
        <v>52028</v>
      </c>
      <c r="R928" s="31">
        <f>_xll.qlInterestRateIndexMaturity(Index,Q928,Trigger)</f>
        <v>52120</v>
      </c>
      <c r="S928" s="32">
        <f>_xll.qlDayCounterYearFraction(DayCounter,Q928,R928,,,Trigger)</f>
        <v>0.25555555555555554</v>
      </c>
      <c r="T928" s="33">
        <f>_xll.qlIndexFixing(Index,P928,,AllTriggers)</f>
        <v>1.387494271101611E-2</v>
      </c>
      <c r="U928" s="34">
        <f>_xll.qlYieldTSDiscount(OisCurve,Q928,,AllTriggers)</f>
        <v>0.73126233387022943</v>
      </c>
      <c r="V928" s="34">
        <f>_xll.qlYieldTSDiscount(OisCurve,R928,,AllTriggers)</f>
        <v>0.728771305785748</v>
      </c>
      <c r="W928" s="33">
        <f t="shared" si="62"/>
        <v>1.3375253831701177E-2</v>
      </c>
      <c r="X928" s="35">
        <f t="shared" si="63"/>
        <v>1.2725517070003069E-4</v>
      </c>
      <c r="Y928" s="33">
        <f t="shared" si="64"/>
        <v>4.9968887931493323E-4</v>
      </c>
      <c r="Z928" s="54"/>
    </row>
    <row r="929" spans="15:26" x14ac:dyDescent="0.25">
      <c r="O929" s="37" t="s">
        <v>19</v>
      </c>
      <c r="P929" s="31">
        <f>_xll.qlCalendarAdvance(Calendar,P928,O928,"f",,Trigger)</f>
        <v>52056</v>
      </c>
      <c r="Q929" s="31">
        <f>_xll.qlInterestRateIndexValueDate(Index,P929,Trigger)</f>
        <v>52058</v>
      </c>
      <c r="R929" s="31">
        <f>_xll.qlInterestRateIndexMaturity(Index,Q929,Trigger)</f>
        <v>52152</v>
      </c>
      <c r="S929" s="32">
        <f>_xll.qlDayCounterYearFraction(DayCounter,Q929,R929,,,Trigger)</f>
        <v>0.26111111111111113</v>
      </c>
      <c r="T929" s="33">
        <f>_xll.qlIndexFixing(Index,P929,,AllTriggers)</f>
        <v>1.3878967518423279E-2</v>
      </c>
      <c r="U929" s="34">
        <f>_xll.qlYieldTSDiscount(OisCurve,Q929,,AllTriggers)</f>
        <v>0.73044932245964156</v>
      </c>
      <c r="V929" s="34">
        <f>_xll.qlYieldTSDiscount(OisCurve,R929,,AllTriggers)</f>
        <v>0.72790638242009476</v>
      </c>
      <c r="W929" s="33">
        <f t="shared" si="62"/>
        <v>1.337935692775882E-2</v>
      </c>
      <c r="X929" s="35">
        <f t="shared" si="63"/>
        <v>1.299912733508626E-4</v>
      </c>
      <c r="Y929" s="33">
        <f t="shared" si="64"/>
        <v>4.9961059066445934E-4</v>
      </c>
      <c r="Z929" s="54"/>
    </row>
    <row r="930" spans="15:26" x14ac:dyDescent="0.25">
      <c r="O930" s="37" t="s">
        <v>19</v>
      </c>
      <c r="P930" s="31">
        <f>_xll.qlCalendarAdvance(Calendar,P929,O929,"f",,Trigger)</f>
        <v>52089</v>
      </c>
      <c r="Q930" s="31">
        <f>_xll.qlInterestRateIndexValueDate(Index,P930,Trigger)</f>
        <v>52091</v>
      </c>
      <c r="R930" s="31">
        <f>_xll.qlInterestRateIndexMaturity(Index,Q930,Trigger)</f>
        <v>52183</v>
      </c>
      <c r="S930" s="32">
        <f>_xll.qlDayCounterYearFraction(DayCounter,Q930,R930,,,Trigger)</f>
        <v>0.25555555555555554</v>
      </c>
      <c r="T930" s="33">
        <f>_xll.qlIndexFixing(Index,P930,,AllTriggers)</f>
        <v>1.3882077534351731E-2</v>
      </c>
      <c r="U930" s="34">
        <f>_xll.qlYieldTSDiscount(OisCurve,Q930,,AllTriggers)</f>
        <v>0.72955581656085888</v>
      </c>
      <c r="V930" s="34">
        <f>_xll.qlYieldTSDiscount(OisCurve,R930,,AllTriggers)</f>
        <v>0.72706922526106732</v>
      </c>
      <c r="W930" s="33">
        <f t="shared" si="62"/>
        <v>1.3382686999653635E-2</v>
      </c>
      <c r="X930" s="35">
        <f t="shared" si="63"/>
        <v>1.2717895571459436E-4</v>
      </c>
      <c r="Y930" s="33">
        <f t="shared" si="64"/>
        <v>4.9939053469809543E-4</v>
      </c>
      <c r="Z930" s="54"/>
    </row>
    <row r="931" spans="15:26" x14ac:dyDescent="0.25">
      <c r="O931" s="37" t="s">
        <v>19</v>
      </c>
      <c r="P931" s="31">
        <f>_xll.qlCalendarAdvance(Calendar,P930,O930,"f",,Trigger)</f>
        <v>52120</v>
      </c>
      <c r="Q931" s="31">
        <f>_xll.qlInterestRateIndexValueDate(Index,P931,Trigger)</f>
        <v>52124</v>
      </c>
      <c r="R931" s="31">
        <f>_xll.qlInterestRateIndexMaturity(Index,Q931,Trigger)</f>
        <v>52215</v>
      </c>
      <c r="S931" s="32">
        <f>_xll.qlDayCounterYearFraction(DayCounter,Q931,R931,,,Trigger)</f>
        <v>0.25277777777777777</v>
      </c>
      <c r="T931" s="33">
        <f>_xll.qlIndexFixing(Index,P931,,AllTriggers)</f>
        <v>1.3885556250957628E-2</v>
      </c>
      <c r="U931" s="34">
        <f>_xll.qlYieldTSDiscount(OisCurve,Q931,,AllTriggers)</f>
        <v>0.72866314783257236</v>
      </c>
      <c r="V931" s="34">
        <f>_xll.qlYieldTSDiscount(OisCurve,R931,,AllTriggers)</f>
        <v>0.72620581703101805</v>
      </c>
      <c r="W931" s="33">
        <f t="shared" si="62"/>
        <v>1.3386437339807659E-2</v>
      </c>
      <c r="X931" s="35">
        <f t="shared" si="63"/>
        <v>1.2573278393658907E-4</v>
      </c>
      <c r="Y931" s="33">
        <f t="shared" si="64"/>
        <v>4.9911891114996949E-4</v>
      </c>
      <c r="Z931" s="54"/>
    </row>
    <row r="932" spans="15:26" x14ac:dyDescent="0.25">
      <c r="O932" s="37" t="s">
        <v>19</v>
      </c>
      <c r="P932" s="31">
        <f>_xll.qlCalendarAdvance(Calendar,P931,O931,"f",,Trigger)</f>
        <v>52152</v>
      </c>
      <c r="Q932" s="31">
        <f>_xll.qlInterestRateIndexValueDate(Index,P932,Trigger)</f>
        <v>52154</v>
      </c>
      <c r="R932" s="31">
        <f>_xll.qlInterestRateIndexMaturity(Index,Q932,Trigger)</f>
        <v>52246</v>
      </c>
      <c r="S932" s="32">
        <f>_xll.qlDayCounterYearFraction(DayCounter,Q932,R932,,,Trigger)</f>
        <v>0.25555555555555554</v>
      </c>
      <c r="T932" s="33">
        <f>_xll.qlIndexFixing(Index,P932,,AllTriggers)</f>
        <v>1.3889380792620308E-2</v>
      </c>
      <c r="U932" s="34">
        <f>_xll.qlYieldTSDiscount(OisCurve,Q932,,AllTriggers)</f>
        <v>0.72785235045667063</v>
      </c>
      <c r="V932" s="34">
        <f>_xll.qlYieldTSDiscount(OisCurve,R932,,AllTriggers)</f>
        <v>0.72537011393206285</v>
      </c>
      <c r="W932" s="33">
        <f t="shared" si="62"/>
        <v>1.3390542645139919E-2</v>
      </c>
      <c r="X932" s="35">
        <f t="shared" si="63"/>
        <v>1.2703803496677088E-4</v>
      </c>
      <c r="Y932" s="33">
        <f t="shared" si="64"/>
        <v>4.9883814748038872E-4</v>
      </c>
      <c r="Z932" s="54"/>
    </row>
    <row r="933" spans="15:26" x14ac:dyDescent="0.25">
      <c r="O933" s="37" t="s">
        <v>19</v>
      </c>
      <c r="P933" s="31">
        <f>_xll.qlCalendarAdvance(Calendar,P932,O932,"f",,Trigger)</f>
        <v>52183</v>
      </c>
      <c r="Q933" s="31">
        <f>_xll.qlInterestRateIndexValueDate(Index,P933,Trigger)</f>
        <v>52187</v>
      </c>
      <c r="R933" s="31">
        <f>_xll.qlInterestRateIndexMaturity(Index,Q933,Trigger)</f>
        <v>52279</v>
      </c>
      <c r="S933" s="32">
        <f>_xll.qlDayCounterYearFraction(DayCounter,Q933,R933,,,Trigger)</f>
        <v>0.25555555555555554</v>
      </c>
      <c r="T933" s="33">
        <f>_xll.qlIndexFixing(Index,P933,,AllTriggers)</f>
        <v>1.3893273530369845E-2</v>
      </c>
      <c r="U933" s="34">
        <f>_xll.qlYieldTSDiscount(OisCurve,Q933,,AllTriggers)</f>
        <v>0.72696125748926199</v>
      </c>
      <c r="V933" s="34">
        <f>_xll.qlYieldTSDiscount(OisCurve,R933,,AllTriggers)</f>
        <v>0.7244812695505537</v>
      </c>
      <c r="W933" s="33">
        <f t="shared" si="62"/>
        <v>1.3394826115723369E-2</v>
      </c>
      <c r="X933" s="35">
        <f t="shared" si="63"/>
        <v>1.2693839572185133E-4</v>
      </c>
      <c r="Y933" s="33">
        <f t="shared" si="64"/>
        <v>4.9844741464647596E-4</v>
      </c>
      <c r="Z933" s="54"/>
    </row>
    <row r="934" spans="15:26" x14ac:dyDescent="0.25">
      <c r="O934" s="37" t="s">
        <v>19</v>
      </c>
      <c r="P934" s="31">
        <f>_xll.qlCalendarAdvance(Calendar,P933,O933,"f",,Trigger)</f>
        <v>52215</v>
      </c>
      <c r="Q934" s="31">
        <f>_xll.qlInterestRateIndexValueDate(Index,P934,Trigger)</f>
        <v>52217</v>
      </c>
      <c r="R934" s="31">
        <f>_xll.qlInterestRateIndexMaturity(Index,Q934,Trigger)</f>
        <v>52307</v>
      </c>
      <c r="S934" s="32">
        <f>_xll.qlDayCounterYearFraction(DayCounter,Q934,R934,,,Trigger)</f>
        <v>0.25</v>
      </c>
      <c r="T934" s="33">
        <f>_xll.qlIndexFixing(Index,P934,,AllTriggers)</f>
        <v>1.3896196134848715E-2</v>
      </c>
      <c r="U934" s="34">
        <f>_xll.qlYieldTSDiscount(OisCurve,Q934,,AllTriggers)</f>
        <v>0.72615187928495106</v>
      </c>
      <c r="V934" s="34">
        <f>_xll.qlYieldTSDiscount(OisCurve,R934,,AllTriggers)</f>
        <v>0.72372771957006332</v>
      </c>
      <c r="W934" s="33">
        <f t="shared" si="62"/>
        <v>1.3398186358415387E-2</v>
      </c>
      <c r="X934" s="35">
        <f t="shared" si="63"/>
        <v>1.2407911142733015E-4</v>
      </c>
      <c r="Y934" s="33">
        <f t="shared" si="64"/>
        <v>4.98009776433328E-4</v>
      </c>
      <c r="Z934" s="54"/>
    </row>
    <row r="935" spans="15:26" x14ac:dyDescent="0.25">
      <c r="O935" s="37" t="s">
        <v>19</v>
      </c>
      <c r="P935" s="31">
        <f>_xll.qlCalendarAdvance(Calendar,P934,O934,"f",,Trigger)</f>
        <v>52246</v>
      </c>
      <c r="Q935" s="31">
        <f>_xll.qlInterestRateIndexValueDate(Index,P935,Trigger)</f>
        <v>52250</v>
      </c>
      <c r="R935" s="31">
        <f>_xll.qlInterestRateIndexMaturity(Index,Q935,Trigger)</f>
        <v>52341</v>
      </c>
      <c r="S935" s="32">
        <f>_xll.qlDayCounterYearFraction(DayCounter,Q935,R935,,,Trigger)</f>
        <v>0.25277777777777777</v>
      </c>
      <c r="T935" s="33">
        <f>_xll.qlIndexFixing(Index,P935,,AllTriggers)</f>
        <v>1.3900504410789327E-2</v>
      </c>
      <c r="U935" s="34">
        <f>_xll.qlYieldTSDiscount(OisCurve,Q935,,AllTriggers)</f>
        <v>0.72526233279994545</v>
      </c>
      <c r="V935" s="34">
        <f>_xll.qlYieldTSDiscount(OisCurve,R935,,AllTriggers)</f>
        <v>0.72281345370629335</v>
      </c>
      <c r="W935" s="33">
        <f t="shared" si="62"/>
        <v>1.3403006388231055E-2</v>
      </c>
      <c r="X935" s="35">
        <f t="shared" si="63"/>
        <v>1.2532396923395161E-4</v>
      </c>
      <c r="Y935" s="33">
        <f t="shared" si="64"/>
        <v>4.9749802255827195E-4</v>
      </c>
      <c r="Z935" s="54"/>
    </row>
    <row r="936" spans="15:26" x14ac:dyDescent="0.25">
      <c r="O936" s="37" t="s">
        <v>19</v>
      </c>
      <c r="P936" s="31">
        <f>_xll.qlCalendarAdvance(Calendar,P935,O935,"f",,Trigger)</f>
        <v>52278</v>
      </c>
      <c r="Q936" s="31">
        <f>_xll.qlInterestRateIndexValueDate(Index,P936,Trigger)</f>
        <v>52280</v>
      </c>
      <c r="R936" s="31">
        <f>_xll.qlInterestRateIndexMaturity(Index,Q936,Trigger)</f>
        <v>52369</v>
      </c>
      <c r="S936" s="32">
        <f>_xll.qlDayCounterYearFraction(DayCounter,Q936,R936,,,Trigger)</f>
        <v>0.24722222222222223</v>
      </c>
      <c r="T936" s="33">
        <f>_xll.qlIndexFixing(Index,P936,,AllTriggers)</f>
        <v>1.3903503235034096E-2</v>
      </c>
      <c r="U936" s="34">
        <f>_xll.qlYieldTSDiscount(OisCurve,Q936,,AllTriggers)</f>
        <v>0.72445434726803659</v>
      </c>
      <c r="V936" s="34">
        <f>_xll.qlYieldTSDiscount(OisCurve,R936,,AllTriggers)</f>
        <v>0.72206114833267587</v>
      </c>
      <c r="W936" s="33">
        <f t="shared" si="62"/>
        <v>1.3406558802545336E-2</v>
      </c>
      <c r="X936" s="35">
        <f t="shared" si="63"/>
        <v>1.2244236282600858E-4</v>
      </c>
      <c r="Y936" s="33">
        <f t="shared" si="64"/>
        <v>4.9694443248875925E-4</v>
      </c>
      <c r="Z936" s="54"/>
    </row>
    <row r="937" spans="15:26" x14ac:dyDescent="0.25">
      <c r="O937" s="37" t="s">
        <v>19</v>
      </c>
      <c r="P937" s="31">
        <f>_xll.qlCalendarAdvance(Calendar,P936,O936,"f",,Trigger)</f>
        <v>52306</v>
      </c>
      <c r="Q937" s="31">
        <f>_xll.qlInterestRateIndexValueDate(Index,P937,Trigger)</f>
        <v>52308</v>
      </c>
      <c r="R937" s="31">
        <f>_xll.qlInterestRateIndexMaturity(Index,Q937,Trigger)</f>
        <v>52400</v>
      </c>
      <c r="S937" s="32">
        <f>_xll.qlDayCounterYearFraction(DayCounter,Q937,R937,,,Trigger)</f>
        <v>0.25555555555555554</v>
      </c>
      <c r="T937" s="33">
        <f>_xll.qlIndexFixing(Index,P937,,AllTriggers)</f>
        <v>1.3907942297903531E-2</v>
      </c>
      <c r="U937" s="34">
        <f>_xll.qlYieldTSDiscount(OisCurve,Q937,,AllTriggers)</f>
        <v>0.72370081754892468</v>
      </c>
      <c r="V937" s="34">
        <f>_xll.qlYieldTSDiscount(OisCurve,R937,,AllTriggers)</f>
        <v>0.72122888527764806</v>
      </c>
      <c r="W937" s="33">
        <f t="shared" si="62"/>
        <v>1.3411523928493234E-2</v>
      </c>
      <c r="X937" s="35">
        <f t="shared" si="63"/>
        <v>1.2642115875573549E-4</v>
      </c>
      <c r="Y937" s="33">
        <f t="shared" si="64"/>
        <v>4.964183694102977E-4</v>
      </c>
      <c r="Z937" s="54"/>
    </row>
    <row r="938" spans="15:26" x14ac:dyDescent="0.25">
      <c r="O938" s="37" t="s">
        <v>19</v>
      </c>
      <c r="P938" s="31">
        <f>_xll.qlCalendarAdvance(Calendar,P937,O937,"f",,Trigger)</f>
        <v>52337</v>
      </c>
      <c r="Q938" s="31">
        <f>_xll.qlInterestRateIndexValueDate(Index,P938,Trigger)</f>
        <v>52341</v>
      </c>
      <c r="R938" s="31">
        <f>_xll.qlInterestRateIndexMaturity(Index,Q938,Trigger)</f>
        <v>52432</v>
      </c>
      <c r="S938" s="32">
        <f>_xll.qlDayCounterYearFraction(DayCounter,Q938,R938,,,Trigger)</f>
        <v>0.25277777777777777</v>
      </c>
      <c r="T938" s="33">
        <f>_xll.qlIndexFixing(Index,P938,,AllTriggers)</f>
        <v>1.3911719300881085E-2</v>
      </c>
      <c r="U938" s="34">
        <f>_xll.qlYieldTSDiscount(OisCurve,Q938,,AllTriggers)</f>
        <v>0.72281345370629335</v>
      </c>
      <c r="V938" s="34">
        <f>_xll.qlYieldTSDiscount(OisCurve,R938,,AllTriggers)</f>
        <v>0.72037048095872092</v>
      </c>
      <c r="W938" s="33">
        <f t="shared" si="62"/>
        <v>1.3416023876980408E-2</v>
      </c>
      <c r="X938" s="35">
        <f t="shared" si="63"/>
        <v>1.2486949822722117E-4</v>
      </c>
      <c r="Y938" s="33">
        <f t="shared" si="64"/>
        <v>4.9569542390067757E-4</v>
      </c>
      <c r="Z938" s="54"/>
    </row>
    <row r="939" spans="15:26" x14ac:dyDescent="0.25">
      <c r="O939" s="37" t="s">
        <v>19</v>
      </c>
      <c r="P939" s="31">
        <f>_xll.qlCalendarAdvance(Calendar,P938,O938,"f",,Trigger)</f>
        <v>52369</v>
      </c>
      <c r="Q939" s="31">
        <f>_xll.qlInterestRateIndexValueDate(Index,P939,Trigger)</f>
        <v>52371</v>
      </c>
      <c r="R939" s="31">
        <f>_xll.qlInterestRateIndexMaturity(Index,Q939,Trigger)</f>
        <v>52463</v>
      </c>
      <c r="S939" s="32">
        <f>_xll.qlDayCounterYearFraction(DayCounter,Q939,R939,,,Trigger)</f>
        <v>0.25555555555555554</v>
      </c>
      <c r="T939" s="33">
        <f>_xll.qlIndexFixing(Index,P939,,AllTriggers)</f>
        <v>1.3915825728267691E-2</v>
      </c>
      <c r="U939" s="34">
        <f>_xll.qlYieldTSDiscount(OisCurve,Q939,,AllTriggers)</f>
        <v>0.72200743350476793</v>
      </c>
      <c r="V939" s="34">
        <f>_xll.qlYieldTSDiscount(OisCurve,R939,,AllTriggers)</f>
        <v>0.71953957904004062</v>
      </c>
      <c r="W939" s="33">
        <f t="shared" si="62"/>
        <v>1.3420834794635668E-2</v>
      </c>
      <c r="X939" s="35">
        <f t="shared" si="63"/>
        <v>1.2605736260374957E-4</v>
      </c>
      <c r="Y939" s="33">
        <f t="shared" si="64"/>
        <v>4.9499093363202309E-4</v>
      </c>
      <c r="Z939" s="54"/>
    </row>
    <row r="940" spans="15:26" x14ac:dyDescent="0.25">
      <c r="O940" s="37" t="s">
        <v>19</v>
      </c>
      <c r="P940" s="31">
        <f>_xll.qlCalendarAdvance(Calendar,P939,O939,"f",,Trigger)</f>
        <v>52400</v>
      </c>
      <c r="Q940" s="31">
        <f>_xll.qlInterestRateIndexValueDate(Index,P940,Trigger)</f>
        <v>52404</v>
      </c>
      <c r="R940" s="31">
        <f>_xll.qlInterestRateIndexMaturity(Index,Q940,Trigger)</f>
        <v>52496</v>
      </c>
      <c r="S940" s="32">
        <f>_xll.qlDayCounterYearFraction(DayCounter,Q940,R940,,,Trigger)</f>
        <v>0.25555555555555554</v>
      </c>
      <c r="T940" s="33">
        <f>_xll.qlIndexFixing(Index,P940,,AllTriggers)</f>
        <v>1.3920022367038966E-2</v>
      </c>
      <c r="U940" s="34">
        <f>_xll.qlYieldTSDiscount(OisCurve,Q940,,AllTriggers)</f>
        <v>0.72112154566071973</v>
      </c>
      <c r="V940" s="34">
        <f>_xll.qlYieldTSDiscount(OisCurve,R940,,AllTriggers)</f>
        <v>0.7186557956870957</v>
      </c>
      <c r="W940" s="33">
        <f t="shared" si="62"/>
        <v>1.3425880527528912E-2</v>
      </c>
      <c r="X940" s="35">
        <f t="shared" si="63"/>
        <v>1.2584097909992012E-4</v>
      </c>
      <c r="Y940" s="33">
        <f t="shared" si="64"/>
        <v>4.9414183951005351E-4</v>
      </c>
      <c r="Z940" s="54"/>
    </row>
    <row r="941" spans="15:26" x14ac:dyDescent="0.25">
      <c r="O941" s="37" t="s">
        <v>19</v>
      </c>
      <c r="P941" s="31">
        <f>_xll.qlCalendarAdvance(Calendar,P940,O940,"f",,Trigger)</f>
        <v>52432</v>
      </c>
      <c r="Q941" s="31">
        <f>_xll.qlInterestRateIndexValueDate(Index,P941,Trigger)</f>
        <v>52434</v>
      </c>
      <c r="R941" s="31">
        <f>_xll.qlInterestRateIndexMaturity(Index,Q941,Trigger)</f>
        <v>52526</v>
      </c>
      <c r="S941" s="32">
        <f>_xll.qlDayCounterYearFraction(DayCounter,Q941,R941,,,Trigger)</f>
        <v>0.25555555555555554</v>
      </c>
      <c r="T941" s="33">
        <f>_xll.qlIndexFixing(Index,P941,,AllTriggers)</f>
        <v>1.3923877597908292E-2</v>
      </c>
      <c r="U941" s="34">
        <f>_xll.qlYieldTSDiscount(OisCurve,Q941,,AllTriggers)</f>
        <v>0.72031685434075832</v>
      </c>
      <c r="V941" s="34">
        <f>_xll.qlYieldTSDiscount(OisCurve,R941,,AllTriggers)</f>
        <v>0.71785299885924558</v>
      </c>
      <c r="W941" s="33">
        <f t="shared" si="62"/>
        <v>1.3430568150626425E-2</v>
      </c>
      <c r="X941" s="35">
        <f t="shared" si="63"/>
        <v>1.256288606898982E-4</v>
      </c>
      <c r="Y941" s="33">
        <f t="shared" si="64"/>
        <v>4.9330944728186686E-4</v>
      </c>
      <c r="Z941" s="54"/>
    </row>
    <row r="942" spans="15:26" x14ac:dyDescent="0.25">
      <c r="O942" s="37" t="s">
        <v>19</v>
      </c>
      <c r="P942" s="31">
        <f>_xll.qlCalendarAdvance(Calendar,P941,O941,"f",,Trigger)</f>
        <v>52463</v>
      </c>
      <c r="Q942" s="31">
        <f>_xll.qlInterestRateIndexValueDate(Index,P942,Trigger)</f>
        <v>52467</v>
      </c>
      <c r="R942" s="31">
        <f>_xll.qlInterestRateIndexMaturity(Index,Q942,Trigger)</f>
        <v>52559</v>
      </c>
      <c r="S942" s="32">
        <f>_xll.qlDayCounterYearFraction(DayCounter,Q942,R942,,,Trigger)</f>
        <v>0.25555555555555554</v>
      </c>
      <c r="T942" s="33">
        <f>_xll.qlIndexFixing(Index,P942,,AllTriggers)</f>
        <v>1.3928162467186814E-2</v>
      </c>
      <c r="U942" s="34">
        <f>_xll.qlYieldTSDiscount(OisCurve,Q942,,AllTriggers)</f>
        <v>0.7194324141023889</v>
      </c>
      <c r="V942" s="34">
        <f>_xll.qlYieldTSDiscount(OisCurve,R942,,AllTriggers)</f>
        <v>0.71697062210659956</v>
      </c>
      <c r="W942" s="33">
        <f t="shared" si="62"/>
        <v>1.3435835188971026E-2</v>
      </c>
      <c r="X942" s="35">
        <f t="shared" si="63"/>
        <v>1.2537858369101083E-4</v>
      </c>
      <c r="Y942" s="33">
        <f t="shared" si="64"/>
        <v>4.9232727821578795E-4</v>
      </c>
      <c r="Z942" s="54"/>
    </row>
    <row r="943" spans="15:26" x14ac:dyDescent="0.25">
      <c r="O943" s="37" t="s">
        <v>19</v>
      </c>
      <c r="P943" s="31">
        <f>_xll.qlCalendarAdvance(Calendar,P942,O942,"f",,Trigger)</f>
        <v>52495</v>
      </c>
      <c r="Q943" s="31">
        <f>_xll.qlInterestRateIndexValueDate(Index,P943,Trigger)</f>
        <v>52497</v>
      </c>
      <c r="R943" s="31">
        <f>_xll.qlInterestRateIndexMaturity(Index,Q943,Trigger)</f>
        <v>52588</v>
      </c>
      <c r="S943" s="32">
        <f>_xll.qlDayCounterYearFraction(DayCounter,Q943,R943,,,Trigger)</f>
        <v>0.25277777777777777</v>
      </c>
      <c r="T943" s="33">
        <f>_xll.qlIndexFixing(Index,P943,,AllTriggers)</f>
        <v>1.3931762418044419E-2</v>
      </c>
      <c r="U943" s="34">
        <f>_xll.qlYieldTSDiscount(OisCurve,Q943,,AllTriggers)</f>
        <v>0.71862902596815748</v>
      </c>
      <c r="V943" s="34">
        <f>_xll.qlYieldTSDiscount(OisCurve,R943,,AllTriggers)</f>
        <v>0.71619579944465273</v>
      </c>
      <c r="W943" s="33">
        <f t="shared" si="62"/>
        <v>1.3440390308712502E-2</v>
      </c>
      <c r="X943" s="35">
        <f t="shared" si="63"/>
        <v>1.2377972959065034E-4</v>
      </c>
      <c r="Y943" s="33">
        <f t="shared" si="64"/>
        <v>4.9137210933191712E-4</v>
      </c>
      <c r="Z943" s="54"/>
    </row>
    <row r="944" spans="15:26" x14ac:dyDescent="0.25">
      <c r="O944" s="37" t="s">
        <v>19</v>
      </c>
      <c r="P944" s="31">
        <f>_xll.qlCalendarAdvance(Calendar,P943,O943,"f",,Trigger)</f>
        <v>52525</v>
      </c>
      <c r="Q944" s="31">
        <f>_xll.qlInterestRateIndexValueDate(Index,P944,Trigger)</f>
        <v>52527</v>
      </c>
      <c r="R944" s="31">
        <f>_xll.qlInterestRateIndexMaturity(Index,Q944,Trigger)</f>
        <v>52621</v>
      </c>
      <c r="S944" s="32">
        <f>_xll.qlDayCounterYearFraction(DayCounter,Q944,R944,,,Trigger)</f>
        <v>0.26111111111111113</v>
      </c>
      <c r="T944" s="33">
        <f>_xll.qlIndexFixing(Index,P944,,AllTriggers)</f>
        <v>1.3936744182434653E-2</v>
      </c>
      <c r="U944" s="34">
        <f>_xll.qlYieldTSDiscount(OisCurve,Q944,,AllTriggers)</f>
        <v>0.71782624943421602</v>
      </c>
      <c r="V944" s="34">
        <f>_xll.qlYieldTSDiscount(OisCurve,R944,,AllTriggers)</f>
        <v>0.71531477985355518</v>
      </c>
      <c r="W944" s="33">
        <f t="shared" si="62"/>
        <v>1.3446379705268014E-2</v>
      </c>
      <c r="X944" s="35">
        <f t="shared" si="63"/>
        <v>1.2758350022482517E-4</v>
      </c>
      <c r="Y944" s="33">
        <f t="shared" si="64"/>
        <v>4.9036447716663961E-4</v>
      </c>
      <c r="Z944" s="54"/>
    </row>
    <row r="945" spans="15:26" x14ac:dyDescent="0.25">
      <c r="O945" s="37" t="s">
        <v>19</v>
      </c>
      <c r="P945" s="31">
        <f>_xll.qlCalendarAdvance(Calendar,P944,O944,"f",,Trigger)</f>
        <v>52558</v>
      </c>
      <c r="Q945" s="31">
        <f>_xll.qlInterestRateIndexValueDate(Index,P945,Trigger)</f>
        <v>52560</v>
      </c>
      <c r="R945" s="31">
        <f>_xll.qlInterestRateIndexMaturity(Index,Q945,Trigger)</f>
        <v>52652</v>
      </c>
      <c r="S945" s="32">
        <f>_xll.qlDayCounterYearFraction(DayCounter,Q945,R945,,,Trigger)</f>
        <v>0.25555555555555554</v>
      </c>
      <c r="T945" s="33">
        <f>_xll.qlIndexFixing(Index,P945,,AllTriggers)</f>
        <v>1.3940486659178093E-2</v>
      </c>
      <c r="U945" s="34">
        <f>_xll.qlYieldTSDiscount(OisCurve,Q945,,AllTriggers)</f>
        <v>0.71694389478401077</v>
      </c>
      <c r="V945" s="34">
        <f>_xll.qlYieldTSDiscount(OisCurve,R945,,AllTriggers)</f>
        <v>0.71448780363098707</v>
      </c>
      <c r="W945" s="33">
        <f t="shared" si="62"/>
        <v>1.3451302344857533E-2</v>
      </c>
      <c r="X945" s="35">
        <f t="shared" si="63"/>
        <v>1.2457773957344823E-4</v>
      </c>
      <c r="Y945" s="33">
        <f t="shared" si="64"/>
        <v>4.8918431432055931E-4</v>
      </c>
      <c r="Z945" s="54"/>
    </row>
    <row r="946" spans="15:26" x14ac:dyDescent="0.25">
      <c r="O946" s="37" t="s">
        <v>19</v>
      </c>
      <c r="P946" s="31">
        <f>_xll.qlCalendarAdvance(Calendar,P945,O945,"f",,Trigger)</f>
        <v>52588</v>
      </c>
      <c r="Q946" s="31">
        <f>_xll.qlInterestRateIndexValueDate(Index,P946,Trigger)</f>
        <v>52593</v>
      </c>
      <c r="R946" s="31">
        <f>_xll.qlInterestRateIndexMaturity(Index,Q946,Trigger)</f>
        <v>52684</v>
      </c>
      <c r="S946" s="32">
        <f>_xll.qlDayCounterYearFraction(DayCounter,Q946,R946,,,Trigger)</f>
        <v>0.25277777777777777</v>
      </c>
      <c r="T946" s="33">
        <f>_xll.qlIndexFixing(Index,P946,,AllTriggers)</f>
        <v>1.394460996767429E-2</v>
      </c>
      <c r="U946" s="34">
        <f>_xll.qlYieldTSDiscount(OisCurve,Q946,,AllTriggers)</f>
        <v>0.71606226559607489</v>
      </c>
      <c r="V946" s="34">
        <f>_xll.qlYieldTSDiscount(OisCurve,R946,,AllTriggers)</f>
        <v>0.71363480270722113</v>
      </c>
      <c r="W946" s="33">
        <f t="shared" si="62"/>
        <v>1.3456672591555826E-2</v>
      </c>
      <c r="X946" s="35">
        <f t="shared" si="63"/>
        <v>1.2291404768499916E-4</v>
      </c>
      <c r="Y946" s="33">
        <f t="shared" si="64"/>
        <v>4.8793737611846355E-4</v>
      </c>
      <c r="Z946" s="54"/>
    </row>
    <row r="947" spans="15:26" x14ac:dyDescent="0.25">
      <c r="O947" s="37" t="s">
        <v>19</v>
      </c>
      <c r="P947" s="31">
        <f>_xll.qlCalendarAdvance(Calendar,P946,O946,"f",,Trigger)</f>
        <v>52621</v>
      </c>
      <c r="Q947" s="31">
        <f>_xll.qlInterestRateIndexValueDate(Index,P947,Trigger)</f>
        <v>52623</v>
      </c>
      <c r="R947" s="31">
        <f>_xll.qlInterestRateIndexMaturity(Index,Q947,Trigger)</f>
        <v>52714</v>
      </c>
      <c r="S947" s="32">
        <f>_xll.qlDayCounterYearFraction(DayCounter,Q947,R947,,,Trigger)</f>
        <v>0.25277777777777777</v>
      </c>
      <c r="T947" s="33">
        <f>_xll.qlIndexFixing(Index,P947,,AllTriggers)</f>
        <v>1.3948705034513764E-2</v>
      </c>
      <c r="U947" s="34">
        <f>_xll.qlYieldTSDiscount(OisCurve,Q947,,AllTriggers)</f>
        <v>0.71526140766917412</v>
      </c>
      <c r="V947" s="34">
        <f>_xll.qlYieldTSDiscount(OisCurve,R947,,AllTriggers)</f>
        <v>0.71283570984171796</v>
      </c>
      <c r="W947" s="33">
        <f t="shared" si="62"/>
        <v>1.346196198788599E-2</v>
      </c>
      <c r="X947" s="35">
        <f t="shared" si="63"/>
        <v>1.2261304473778326E-4</v>
      </c>
      <c r="Y947" s="33">
        <f t="shared" si="64"/>
        <v>4.8674304662777411E-4</v>
      </c>
      <c r="Z947" s="54"/>
    </row>
    <row r="948" spans="15:26" x14ac:dyDescent="0.25">
      <c r="O948" s="37" t="s">
        <v>19</v>
      </c>
      <c r="P948" s="31">
        <f>_xll.qlCalendarAdvance(Calendar,P947,O947,"f",,Trigger)</f>
        <v>52652</v>
      </c>
      <c r="Q948" s="31">
        <f>_xll.qlInterestRateIndexValueDate(Index,P948,Trigger)</f>
        <v>52656</v>
      </c>
      <c r="R948" s="31">
        <f>_xll.qlInterestRateIndexMaturity(Index,Q948,Trigger)</f>
        <v>52748</v>
      </c>
      <c r="S948" s="32">
        <f>_xll.qlDayCounterYearFraction(DayCounter,Q948,R948,,,Trigger)</f>
        <v>0.25555555555555554</v>
      </c>
      <c r="T948" s="33">
        <f>_xll.qlIndexFixing(Index,P948,,AllTriggers)</f>
        <v>1.3953593417104034E-2</v>
      </c>
      <c r="U948" s="34">
        <f>_xll.qlYieldTSDiscount(OisCurve,Q948,,AllTriggers)</f>
        <v>0.71438114243231143</v>
      </c>
      <c r="V948" s="34">
        <f>_xll.qlYieldTSDiscount(OisCurve,R948,,AllTriggers)</f>
        <v>0.71193076071773442</v>
      </c>
      <c r="W948" s="33">
        <f t="shared" si="62"/>
        <v>1.3468234154974114E-2</v>
      </c>
      <c r="X948" s="35">
        <f t="shared" si="63"/>
        <v>1.2360316288955836E-4</v>
      </c>
      <c r="Y948" s="33">
        <f t="shared" si="64"/>
        <v>4.8535926212991964E-4</v>
      </c>
      <c r="Z948" s="54"/>
    </row>
    <row r="949" spans="15:26" x14ac:dyDescent="0.25">
      <c r="O949" s="37" t="s">
        <v>19</v>
      </c>
      <c r="P949" s="31">
        <f>_xll.qlCalendarAdvance(Calendar,P948,O948,"f",,Trigger)</f>
        <v>52681</v>
      </c>
      <c r="Q949" s="31">
        <f>_xll.qlInterestRateIndexValueDate(Index,P949,Trigger)</f>
        <v>52685</v>
      </c>
      <c r="R949" s="31">
        <f>_xll.qlInterestRateIndexMaturity(Index,Q949,Trigger)</f>
        <v>52777</v>
      </c>
      <c r="S949" s="32">
        <f>_xll.qlDayCounterYearFraction(DayCounter,Q949,R949,,,Trigger)</f>
        <v>0.25555555555555554</v>
      </c>
      <c r="T949" s="33">
        <f>_xll.qlIndexFixing(Index,P949,,AllTriggers)</f>
        <v>1.3957629672443557E-2</v>
      </c>
      <c r="U949" s="34">
        <f>_xll.qlYieldTSDiscount(OisCurve,Q949,,AllTriggers)</f>
        <v>0.71360815702681368</v>
      </c>
      <c r="V949" s="34">
        <f>_xll.qlYieldTSDiscount(OisCurve,R949,,AllTriggers)</f>
        <v>0.71115946538351671</v>
      </c>
      <c r="W949" s="33">
        <f t="shared" si="62"/>
        <v>1.3473541914973457E-2</v>
      </c>
      <c r="X949" s="35">
        <f t="shared" si="63"/>
        <v>1.232792107146387E-4</v>
      </c>
      <c r="Y949" s="33">
        <f t="shared" si="64"/>
        <v>4.840877574700999E-4</v>
      </c>
      <c r="Z949" s="54"/>
    </row>
    <row r="950" spans="15:26" x14ac:dyDescent="0.25">
      <c r="O950" s="37" t="s">
        <v>19</v>
      </c>
      <c r="P950" s="31">
        <f>_xll.qlCalendarAdvance(Calendar,P949,O949,"f",,Trigger)</f>
        <v>52712</v>
      </c>
      <c r="Q950" s="31">
        <f>_xll.qlInterestRateIndexValueDate(Index,P950,Trigger)</f>
        <v>52714</v>
      </c>
      <c r="R950" s="31">
        <f>_xll.qlInterestRateIndexMaturity(Index,Q950,Trigger)</f>
        <v>52805</v>
      </c>
      <c r="S950" s="32">
        <f>_xll.qlDayCounterYearFraction(DayCounter,Q950,R950,,,Trigger)</f>
        <v>0.25277777777777777</v>
      </c>
      <c r="T950" s="33">
        <f>_xll.qlIndexFixing(Index,P950,,AllTriggers)</f>
        <v>1.3961360380714199E-2</v>
      </c>
      <c r="U950" s="34">
        <f>_xll.qlYieldTSDiscount(OisCurve,Q950,,AllTriggers)</f>
        <v>0.71283570984171796</v>
      </c>
      <c r="V950" s="34">
        <f>_xll.qlYieldTSDiscount(OisCurve,R950,,AllTriggers)</f>
        <v>0.71041526205254557</v>
      </c>
      <c r="W950" s="33">
        <f t="shared" si="62"/>
        <v>1.3478592534188703E-2</v>
      </c>
      <c r="X950" s="35">
        <f t="shared" si="63"/>
        <v>1.2161122306741058E-4</v>
      </c>
      <c r="Y950" s="33">
        <f t="shared" si="64"/>
        <v>4.827678465254958E-4</v>
      </c>
      <c r="Z950" s="54"/>
    </row>
    <row r="951" spans="15:26" x14ac:dyDescent="0.25">
      <c r="O951" s="37" t="s">
        <v>19</v>
      </c>
      <c r="P951" s="31">
        <f>_xll.qlCalendarAdvance(Calendar,P950,O950,"f",,Trigger)</f>
        <v>52742</v>
      </c>
      <c r="Q951" s="31">
        <f>_xll.qlInterestRateIndexValueDate(Index,P951,Trigger)</f>
        <v>52744</v>
      </c>
      <c r="R951" s="31">
        <f>_xll.qlInterestRateIndexMaturity(Index,Q951,Trigger)</f>
        <v>52838</v>
      </c>
      <c r="S951" s="32">
        <f>_xll.qlDayCounterYearFraction(DayCounter,Q951,R951,,,Trigger)</f>
        <v>0.26111111111111113</v>
      </c>
      <c r="T951" s="33">
        <f>_xll.qlIndexFixing(Index,P951,,AllTriggers)</f>
        <v>1.396663569950047E-2</v>
      </c>
      <c r="U951" s="34">
        <f>_xll.qlYieldTSDiscount(OisCurve,Q951,,AllTriggers)</f>
        <v>0.71203718754686529</v>
      </c>
      <c r="V951" s="34">
        <f>_xll.qlYieldTSDiscount(OisCurve,R951,,AllTriggers)</f>
        <v>0.70953878420212235</v>
      </c>
      <c r="W951" s="33">
        <f t="shared" si="62"/>
        <v>1.3485313908450328E-2</v>
      </c>
      <c r="X951" s="35">
        <f t="shared" si="63"/>
        <v>1.2522964421486432E-4</v>
      </c>
      <c r="Y951" s="33">
        <f t="shared" si="64"/>
        <v>4.8132179105014189E-4</v>
      </c>
      <c r="Z951" s="54"/>
    </row>
    <row r="952" spans="15:26" x14ac:dyDescent="0.25">
      <c r="O952" s="37" t="s">
        <v>19</v>
      </c>
      <c r="P952" s="31">
        <f>_xll.qlCalendarAdvance(Calendar,P951,O951,"f",,Trigger)</f>
        <v>52775</v>
      </c>
      <c r="Q952" s="31">
        <f>_xll.qlInterestRateIndexValueDate(Index,P952,Trigger)</f>
        <v>52777</v>
      </c>
      <c r="R952" s="31">
        <f>_xll.qlInterestRateIndexMaturity(Index,Q952,Trigger)</f>
        <v>52869</v>
      </c>
      <c r="S952" s="32">
        <f>_xll.qlDayCounterYearFraction(DayCounter,Q952,R952,,,Trigger)</f>
        <v>0.25555555555555554</v>
      </c>
      <c r="T952" s="33">
        <f>_xll.qlIndexFixing(Index,P952,,AllTriggers)</f>
        <v>1.3970670566537717E-2</v>
      </c>
      <c r="U952" s="34">
        <f>_xll.qlYieldTSDiscount(OisCurve,Q952,,AllTriggers)</f>
        <v>0.71115946538351671</v>
      </c>
      <c r="V952" s="34">
        <f>_xll.qlYieldTSDiscount(OisCurve,R952,,AllTriggers)</f>
        <v>0.70871603004620332</v>
      </c>
      <c r="W952" s="33">
        <f t="shared" si="62"/>
        <v>1.3490972838025366E-2</v>
      </c>
      <c r="X952" s="35">
        <f t="shared" si="63"/>
        <v>1.2216075905194777E-4</v>
      </c>
      <c r="Y952" s="33">
        <f t="shared" si="64"/>
        <v>4.7969772851235055E-4</v>
      </c>
      <c r="Z952" s="54"/>
    </row>
    <row r="953" spans="15:26" x14ac:dyDescent="0.25">
      <c r="O953" s="37" t="s">
        <v>19</v>
      </c>
      <c r="P953" s="31">
        <f>_xll.qlCalendarAdvance(Calendar,P952,O952,"f",,Trigger)</f>
        <v>52805</v>
      </c>
      <c r="Q953" s="31">
        <f>_xll.qlInterestRateIndexValueDate(Index,P953,Trigger)</f>
        <v>52807</v>
      </c>
      <c r="R953" s="31">
        <f>_xll.qlInterestRateIndexMaturity(Index,Q953,Trigger)</f>
        <v>52901</v>
      </c>
      <c r="S953" s="32">
        <f>_xll.qlDayCounterYearFraction(DayCounter,Q953,R953,,,Trigger)</f>
        <v>0.26111111111111113</v>
      </c>
      <c r="T953" s="33">
        <f>_xll.qlIndexFixing(Index,P953,,AllTriggers)</f>
        <v>1.3975688233630434E-2</v>
      </c>
      <c r="U953" s="34">
        <f>_xll.qlYieldTSDiscount(OisCurve,Q953,,AllTriggers)</f>
        <v>0.71036212318305869</v>
      </c>
      <c r="V953" s="34">
        <f>_xll.qlYieldTSDiscount(OisCurve,R953,,AllTriggers)</f>
        <v>0.70786734246306604</v>
      </c>
      <c r="W953" s="33">
        <f t="shared" si="62"/>
        <v>1.349755636404684E-2</v>
      </c>
      <c r="X953" s="35">
        <f t="shared" si="63"/>
        <v>1.2439935019831338E-4</v>
      </c>
      <c r="Y953" s="33">
        <f t="shared" si="64"/>
        <v>4.7813186958359406E-4</v>
      </c>
      <c r="Z953" s="54"/>
    </row>
    <row r="954" spans="15:26" x14ac:dyDescent="0.25">
      <c r="O954" s="37" t="s">
        <v>19</v>
      </c>
      <c r="P954" s="31">
        <f>_xll.qlCalendarAdvance(Calendar,P953,O953,"f",,Trigger)</f>
        <v>52838</v>
      </c>
      <c r="Q954" s="31">
        <f>_xll.qlInterestRateIndexValueDate(Index,P954,Trigger)</f>
        <v>52840</v>
      </c>
      <c r="R954" s="31">
        <f>_xll.qlInterestRateIndexMaturity(Index,Q954,Trigger)</f>
        <v>52931</v>
      </c>
      <c r="S954" s="32">
        <f>_xll.qlDayCounterYearFraction(DayCounter,Q954,R954,,,Trigger)</f>
        <v>0.25277777777777777</v>
      </c>
      <c r="T954" s="33">
        <f>_xll.qlIndexFixing(Index,P954,,AllTriggers)</f>
        <v>1.3979463345307941E-2</v>
      </c>
      <c r="U954" s="34">
        <f>_xll.qlYieldTSDiscount(OisCurve,Q954,,AllTriggers)</f>
        <v>0.70948568570539661</v>
      </c>
      <c r="V954" s="34">
        <f>_xll.qlYieldTSDiscount(OisCurve,R954,,AllTriggers)</f>
        <v>0.70707225209762659</v>
      </c>
      <c r="W954" s="33">
        <f t="shared" si="62"/>
        <v>1.3503074698530227E-2</v>
      </c>
      <c r="X954" s="35">
        <f t="shared" si="63"/>
        <v>1.2000363252425209E-4</v>
      </c>
      <c r="Y954" s="33">
        <f t="shared" si="64"/>
        <v>4.7638864677771418E-4</v>
      </c>
      <c r="Z954" s="54"/>
    </row>
    <row r="955" spans="15:26" x14ac:dyDescent="0.25">
      <c r="O955" s="37" t="s">
        <v>19</v>
      </c>
      <c r="P955" s="31">
        <f>_xll.qlCalendarAdvance(Calendar,P954,O954,"f",,Trigger)</f>
        <v>52869</v>
      </c>
      <c r="Q955" s="31">
        <f>_xll.qlInterestRateIndexValueDate(Index,P955,Trigger)</f>
        <v>52873</v>
      </c>
      <c r="R955" s="31">
        <f>_xll.qlInterestRateIndexMaturity(Index,Q955,Trigger)</f>
        <v>52965</v>
      </c>
      <c r="S955" s="32">
        <f>_xll.qlDayCounterYearFraction(DayCounter,Q955,R955,,,Trigger)</f>
        <v>0.25555555555555554</v>
      </c>
      <c r="T955" s="33">
        <f>_xll.qlIndexFixing(Index,P955,,AllTriggers)</f>
        <v>1.3984661439132091E-2</v>
      </c>
      <c r="U955" s="34">
        <f>_xll.qlYieldTSDiscount(OisCurve,Q955,,AllTriggers)</f>
        <v>0.70860991050647371</v>
      </c>
      <c r="V955" s="34">
        <f>_xll.qlYieldTSDiscount(OisCurve,R955,,AllTriggers)</f>
        <v>0.70617179110203188</v>
      </c>
      <c r="W955" s="33">
        <f t="shared" si="62"/>
        <v>1.3510122260595617E-2</v>
      </c>
      <c r="X955" s="35">
        <f t="shared" si="63"/>
        <v>1.208465627048638E-4</v>
      </c>
      <c r="Y955" s="33">
        <f t="shared" si="64"/>
        <v>4.7453917853647332E-4</v>
      </c>
      <c r="Z955" s="54"/>
    </row>
    <row r="956" spans="15:26" x14ac:dyDescent="0.25">
      <c r="O956" s="37" t="s">
        <v>19</v>
      </c>
      <c r="P956" s="31">
        <f>_xll.qlCalendarAdvance(Calendar,P955,O955,"f",,Trigger)</f>
        <v>52901</v>
      </c>
      <c r="Q956" s="31">
        <f>_xll.qlInterestRateIndexValueDate(Index,P956,Trigger)</f>
        <v>52903</v>
      </c>
      <c r="R956" s="31">
        <f>_xll.qlInterestRateIndexMaturity(Index,Q956,Trigger)</f>
        <v>52995</v>
      </c>
      <c r="S956" s="32">
        <f>_xll.qlDayCounterYearFraction(DayCounter,Q956,R956,,,Trigger)</f>
        <v>0.25555555555555554</v>
      </c>
      <c r="T956" s="33">
        <f>_xll.qlIndexFixing(Index,P956,,AllTriggers)</f>
        <v>1.3989113800015548E-2</v>
      </c>
      <c r="U956" s="34">
        <f>_xll.qlYieldTSDiscount(OisCurve,Q956,,AllTriggers)</f>
        <v>0.70781431981562593</v>
      </c>
      <c r="V956" s="34">
        <f>_xll.qlYieldTSDiscount(OisCurve,R956,,AllTriggers)</f>
        <v>0.70537782664347748</v>
      </c>
      <c r="W956" s="33">
        <f t="shared" si="62"/>
        <v>1.3516307653828875E-2</v>
      </c>
      <c r="X956" s="35">
        <f t="shared" si="63"/>
        <v>1.2040506407848539E-4</v>
      </c>
      <c r="Y956" s="33">
        <f t="shared" si="64"/>
        <v>4.728061461866731E-4</v>
      </c>
      <c r="Z956" s="54"/>
    </row>
    <row r="957" spans="15:26" x14ac:dyDescent="0.25">
      <c r="O957" s="37" t="s">
        <v>19</v>
      </c>
      <c r="P957" s="31">
        <f>_xll.qlCalendarAdvance(Calendar,P956,O956,"f",,Trigger)</f>
        <v>52931</v>
      </c>
      <c r="Q957" s="31">
        <f>_xll.qlInterestRateIndexValueDate(Index,P957,Trigger)</f>
        <v>52933</v>
      </c>
      <c r="R957" s="31">
        <f>_xll.qlInterestRateIndexMaturity(Index,Q957,Trigger)</f>
        <v>53023</v>
      </c>
      <c r="S957" s="32">
        <f>_xll.qlDayCounterYearFraction(DayCounter,Q957,R957,,,Trigger)</f>
        <v>0.25</v>
      </c>
      <c r="T957" s="33">
        <f>_xll.qlIndexFixing(Index,P957,,AllTriggers)</f>
        <v>1.3992910139525527E-2</v>
      </c>
      <c r="U957" s="34">
        <f>_xll.qlYieldTSDiscount(OisCurve,Q957,,AllTriggers)</f>
        <v>0.70701926500685275</v>
      </c>
      <c r="V957" s="34">
        <f>_xll.qlYieldTSDiscount(OisCurve,R957,,AllTriggers)</f>
        <v>0.7046372618214668</v>
      </c>
      <c r="W957" s="33">
        <f t="shared" si="62"/>
        <v>1.3521868992443231E-2</v>
      </c>
      <c r="X957" s="35">
        <f t="shared" si="63"/>
        <v>1.1735665659501872E-4</v>
      </c>
      <c r="Y957" s="33">
        <f t="shared" si="64"/>
        <v>4.7104114708229616E-4</v>
      </c>
      <c r="Z957" s="54"/>
    </row>
    <row r="958" spans="15:26" x14ac:dyDescent="0.25">
      <c r="O958" s="37" t="s">
        <v>19</v>
      </c>
      <c r="P958" s="31">
        <f>_xll.qlCalendarAdvance(Calendar,P957,O957,"f",,Trigger)</f>
        <v>52961</v>
      </c>
      <c r="Q958" s="31">
        <f>_xll.qlInterestRateIndexValueDate(Index,P958,Trigger)</f>
        <v>52965</v>
      </c>
      <c r="R958" s="31">
        <f>_xll.qlInterestRateIndexMaturity(Index,Q958,Trigger)</f>
        <v>53055</v>
      </c>
      <c r="S958" s="32">
        <f>_xll.qlDayCounterYearFraction(DayCounter,Q958,R958,,,Trigger)</f>
        <v>0.25</v>
      </c>
      <c r="T958" s="33">
        <f>_xll.qlIndexFixing(Index,P958,,AllTriggers)</f>
        <v>1.3997740436585637E-2</v>
      </c>
      <c r="U958" s="34">
        <f>_xll.qlYieldTSDiscount(OisCurve,Q958,,AllTriggers)</f>
        <v>0.70617179110203188</v>
      </c>
      <c r="V958" s="34">
        <f>_xll.qlYieldTSDiscount(OisCurve,R958,,AllTriggers)</f>
        <v>0.70379145042089031</v>
      </c>
      <c r="W958" s="33">
        <f t="shared" si="62"/>
        <v>1.3528670629448847E-2</v>
      </c>
      <c r="X958" s="35">
        <f t="shared" si="63"/>
        <v>1.168653414891091E-4</v>
      </c>
      <c r="Y958" s="33">
        <f t="shared" si="64"/>
        <v>4.6906980713679047E-4</v>
      </c>
      <c r="Z958" s="54"/>
    </row>
    <row r="959" spans="15:26" x14ac:dyDescent="0.25">
      <c r="O959" s="37" t="s">
        <v>19</v>
      </c>
      <c r="P959" s="31">
        <f>_xll.qlCalendarAdvance(Calendar,P958,O958,"f",,Trigger)</f>
        <v>52992</v>
      </c>
      <c r="Q959" s="31">
        <f>_xll.qlInterestRateIndexValueDate(Index,P959,Trigger)</f>
        <v>52994</v>
      </c>
      <c r="R959" s="31">
        <f>_xll.qlInterestRateIndexMaturity(Index,Q959,Trigger)</f>
        <v>53084</v>
      </c>
      <c r="S959" s="32">
        <f>_xll.qlDayCounterYearFraction(DayCounter,Q959,R959,,,Trigger)</f>
        <v>0.25</v>
      </c>
      <c r="T959" s="33">
        <f>_xll.qlIndexFixing(Index,P959,,AllTriggers)</f>
        <v>1.4002155429675867E-2</v>
      </c>
      <c r="U959" s="34">
        <f>_xll.qlYieldTSDiscount(OisCurve,Q959,,AllTriggers)</f>
        <v>0.7054042837284713</v>
      </c>
      <c r="V959" s="34">
        <f>_xll.qlYieldTSDiscount(OisCurve,R959,,AllTriggers)</f>
        <v>0.70302543393617889</v>
      </c>
      <c r="W959" s="33">
        <f t="shared" si="62"/>
        <v>1.3534928766223864E-2</v>
      </c>
      <c r="X959" s="35">
        <f t="shared" si="63"/>
        <v>1.1640598083297033E-4</v>
      </c>
      <c r="Y959" s="33">
        <f t="shared" si="64"/>
        <v>4.6722666345200281E-4</v>
      </c>
      <c r="Z959" s="54"/>
    </row>
    <row r="960" spans="15:26" x14ac:dyDescent="0.25">
      <c r="O960" s="37" t="s">
        <v>19</v>
      </c>
      <c r="P960" s="31">
        <f>_xll.qlCalendarAdvance(Calendar,P959,O959,"f",,Trigger)</f>
        <v>53021</v>
      </c>
      <c r="Q960" s="31">
        <f>_xll.qlInterestRateIndexValueDate(Index,P960,Trigger)</f>
        <v>53023</v>
      </c>
      <c r="R960" s="31">
        <f>_xll.qlInterestRateIndexMaturity(Index,Q960,Trigger)</f>
        <v>53115</v>
      </c>
      <c r="S960" s="32">
        <f>_xll.qlDayCounterYearFraction(DayCounter,Q960,R960,,,Trigger)</f>
        <v>0.25555555555555554</v>
      </c>
      <c r="T960" s="33">
        <f>_xll.qlIndexFixing(Index,P960,,AllTriggers)</f>
        <v>1.4007291587385675E-2</v>
      </c>
      <c r="U960" s="34">
        <f>_xll.qlYieldTSDiscount(OisCurve,Q960,,AllTriggers)</f>
        <v>0.7046372618214668</v>
      </c>
      <c r="V960" s="34">
        <f>_xll.qlYieldTSDiscount(OisCurve,R960,,AllTriggers)</f>
        <v>0.70220711175810779</v>
      </c>
      <c r="W960" s="33">
        <f t="shared" si="62"/>
        <v>1.3541991667976535E-2</v>
      </c>
      <c r="X960" s="35">
        <f t="shared" si="63"/>
        <v>1.184928626046128E-4</v>
      </c>
      <c r="Y960" s="33">
        <f t="shared" si="64"/>
        <v>4.6529991940913971E-4</v>
      </c>
      <c r="Z960" s="54"/>
    </row>
    <row r="961" spans="15:26" x14ac:dyDescent="0.25">
      <c r="O961" s="37" t="s">
        <v>19</v>
      </c>
      <c r="P961" s="31">
        <f>_xll.qlCalendarAdvance(Calendar,P960,O960,"f",,Trigger)</f>
        <v>53049</v>
      </c>
      <c r="Q961" s="31">
        <f>_xll.qlInterestRateIndexValueDate(Index,P961,Trigger)</f>
        <v>53051</v>
      </c>
      <c r="R961" s="31">
        <f>_xll.qlInterestRateIndexMaturity(Index,Q961,Trigger)</f>
        <v>53143</v>
      </c>
      <c r="S961" s="32">
        <f>_xll.qlDayCounterYearFraction(DayCounter,Q961,R961,,,Trigger)</f>
        <v>0.25555555555555554</v>
      </c>
      <c r="T961" s="33">
        <f>_xll.qlIndexFixing(Index,P961,,AllTriggers)</f>
        <v>1.401150797392298E-2</v>
      </c>
      <c r="U961" s="34">
        <f>_xll.qlYieldTSDiscount(OisCurve,Q961,,AllTriggers)</f>
        <v>0.70389714506240508</v>
      </c>
      <c r="V961" s="34">
        <f>_xll.qlYieldTSDiscount(OisCurve,R961,,AllTriggers)</f>
        <v>0.70146846069730096</v>
      </c>
      <c r="W961" s="33">
        <f t="shared" si="62"/>
        <v>1.3548075285064019E-2</v>
      </c>
      <c r="X961" s="35">
        <f t="shared" si="63"/>
        <v>1.1801720055750541E-4</v>
      </c>
      <c r="Y961" s="33">
        <f t="shared" si="64"/>
        <v>4.6343268885896093E-4</v>
      </c>
      <c r="Z961" s="54"/>
    </row>
    <row r="962" spans="15:26" x14ac:dyDescent="0.25">
      <c r="O962" s="37" t="s">
        <v>19</v>
      </c>
      <c r="P962" s="31">
        <f>_xll.qlCalendarAdvance(Calendar,P961,O961,"f",,Trigger)</f>
        <v>53080</v>
      </c>
      <c r="Q962" s="31">
        <f>_xll.qlInterestRateIndexValueDate(Index,P962,Trigger)</f>
        <v>53085</v>
      </c>
      <c r="R962" s="31">
        <f>_xll.qlInterestRateIndexMaturity(Index,Q962,Trigger)</f>
        <v>53177</v>
      </c>
      <c r="S962" s="32">
        <f>_xll.qlDayCounterYearFraction(DayCounter,Q962,R962,,,Trigger)</f>
        <v>0.25555555555555554</v>
      </c>
      <c r="T962" s="33">
        <f>_xll.qlIndexFixing(Index,P962,,AllTriggers)</f>
        <v>1.4016369253613077E-2</v>
      </c>
      <c r="U962" s="34">
        <f>_xll.qlYieldTSDiscount(OisCurve,Q962,,AllTriggers)</f>
        <v>0.70299902799478053</v>
      </c>
      <c r="V962" s="34">
        <f>_xll.qlYieldTSDiscount(OisCurve,R962,,AllTriggers)</f>
        <v>0.70057216660255828</v>
      </c>
      <c r="W962" s="33">
        <f t="shared" si="62"/>
        <v>1.3555226136846904E-2</v>
      </c>
      <c r="X962" s="35">
        <f t="shared" si="63"/>
        <v>1.1743396131819265E-4</v>
      </c>
      <c r="Y962" s="33">
        <f t="shared" si="64"/>
        <v>4.6114311676617378E-4</v>
      </c>
      <c r="Z962" s="54"/>
    </row>
    <row r="963" spans="15:26" x14ac:dyDescent="0.25">
      <c r="O963" s="37" t="s">
        <v>19</v>
      </c>
      <c r="P963" s="31">
        <f>_xll.qlCalendarAdvance(Calendar,P962,O962,"f",,Trigger)</f>
        <v>53111</v>
      </c>
      <c r="Q963" s="31">
        <f>_xll.qlInterestRateIndexValueDate(Index,P963,Trigger)</f>
        <v>53113</v>
      </c>
      <c r="R963" s="31">
        <f>_xll.qlInterestRateIndexMaturity(Index,Q963,Trigger)</f>
        <v>53205</v>
      </c>
      <c r="S963" s="32">
        <f>_xll.qlDayCounterYearFraction(DayCounter,Q963,R963,,,Trigger)</f>
        <v>0.25555555555555554</v>
      </c>
      <c r="T963" s="33">
        <f>_xll.qlIndexFixing(Index,P963,,AllTriggers)</f>
        <v>1.4020034026444366E-2</v>
      </c>
      <c r="U963" s="34">
        <f>_xll.qlYieldTSDiscount(OisCurve,Q963,,AllTriggers)</f>
        <v>0.70225989018577484</v>
      </c>
      <c r="V963" s="34">
        <f>_xll.qlYieldTSDiscount(OisCurve,R963,,AllTriggers)</f>
        <v>0.69983459126483516</v>
      </c>
      <c r="W963" s="33">
        <f t="shared" si="62"/>
        <v>1.3560775994602004E-2</v>
      </c>
      <c r="X963" s="35">
        <f t="shared" si="63"/>
        <v>1.1695377141420255E-4</v>
      </c>
      <c r="Y963" s="33">
        <f t="shared" si="64"/>
        <v>4.5925803184236266E-4</v>
      </c>
      <c r="Z963" s="54"/>
    </row>
    <row r="964" spans="15:26" x14ac:dyDescent="0.25">
      <c r="O964" s="37" t="s">
        <v>19</v>
      </c>
      <c r="P964" s="31">
        <f>_xll.qlCalendarAdvance(Calendar,P963,O963,"f",,Trigger)</f>
        <v>53142</v>
      </c>
      <c r="Q964" s="31">
        <f>_xll.qlInterestRateIndexValueDate(Index,P964,Trigger)</f>
        <v>53146</v>
      </c>
      <c r="R964" s="31">
        <f>_xll.qlInterestRateIndexMaturity(Index,Q964,Trigger)</f>
        <v>53238</v>
      </c>
      <c r="S964" s="32">
        <f>_xll.qlDayCounterYearFraction(DayCounter,Q964,R964,,,Trigger)</f>
        <v>0.25555555555555554</v>
      </c>
      <c r="T964" s="33">
        <f>_xll.qlIndexFixing(Index,P964,,AllTriggers)</f>
        <v>1.402391150989434E-2</v>
      </c>
      <c r="U964" s="34">
        <f>_xll.qlYieldTSDiscount(OisCurve,Q964,,AllTriggers)</f>
        <v>0.70138934729844737</v>
      </c>
      <c r="V964" s="34">
        <f>_xll.qlYieldTSDiscount(OisCurve,R964,,AllTriggers)</f>
        <v>0.6989659705435316</v>
      </c>
      <c r="W964" s="33">
        <f t="shared" ref="W964:W1027" si="65">(U964/V964-1)/S964</f>
        <v>1.3566867352381055E-2</v>
      </c>
      <c r="X964" s="35">
        <f t="shared" ref="X964:X1027" si="66">LN((1+T964*S964)/(1+W964*S964))</f>
        <v>1.1638984267710722E-4</v>
      </c>
      <c r="Y964" s="33">
        <f t="shared" ref="Y964:Y1027" si="67">T964-W964</f>
        <v>4.570441575132856E-4</v>
      </c>
      <c r="Z964" s="54"/>
    </row>
    <row r="965" spans="15:26" x14ac:dyDescent="0.25">
      <c r="O965" s="37" t="s">
        <v>19</v>
      </c>
      <c r="P965" s="31">
        <f>_xll.qlCalendarAdvance(Calendar,P964,O964,"f",,Trigger)</f>
        <v>53174</v>
      </c>
      <c r="Q965" s="31">
        <f>_xll.qlInterestRateIndexValueDate(Index,P965,Trigger)</f>
        <v>53176</v>
      </c>
      <c r="R965" s="31">
        <f>_xll.qlInterestRateIndexMaturity(Index,Q965,Trigger)</f>
        <v>53268</v>
      </c>
      <c r="S965" s="32">
        <f>_xll.qlDayCounterYearFraction(DayCounter,Q965,R965,,,Trigger)</f>
        <v>0.25555555555555554</v>
      </c>
      <c r="T965" s="33">
        <f>_xll.qlIndexFixing(Index,P965,,AllTriggers)</f>
        <v>1.402702164990422E-2</v>
      </c>
      <c r="U965" s="34">
        <f>_xll.qlYieldTSDiscount(OisCurve,Q965,,AllTriggers)</f>
        <v>0.70059851789222527</v>
      </c>
      <c r="V965" s="34">
        <f>_xll.qlYieldTSDiscount(OisCurve,R965,,AllTriggers)</f>
        <v>0.69817696399124463</v>
      </c>
      <c r="W965" s="33">
        <f t="shared" si="65"/>
        <v>1.357198273245884E-2</v>
      </c>
      <c r="X965" s="35">
        <f t="shared" si="66"/>
        <v>1.1587907136091137E-4</v>
      </c>
      <c r="Y965" s="33">
        <f t="shared" si="67"/>
        <v>4.5503891744537971E-4</v>
      </c>
      <c r="Z965" s="54"/>
    </row>
    <row r="966" spans="15:26" x14ac:dyDescent="0.25">
      <c r="O966" s="37" t="s">
        <v>19</v>
      </c>
      <c r="P966" s="31">
        <f>_xll.qlCalendarAdvance(Calendar,P965,O965,"f",,Trigger)</f>
        <v>53205</v>
      </c>
      <c r="Q966" s="31">
        <f>_xll.qlInterestRateIndexValueDate(Index,P966,Trigger)</f>
        <v>53209</v>
      </c>
      <c r="R966" s="31">
        <f>_xll.qlInterestRateIndexMaturity(Index,Q966,Trigger)</f>
        <v>53300</v>
      </c>
      <c r="S966" s="32">
        <f>_xll.qlDayCounterYearFraction(DayCounter,Q966,R966,,,Trigger)</f>
        <v>0.25277777777777777</v>
      </c>
      <c r="T966" s="33">
        <f>_xll.qlIndexFixing(Index,P966,,AllTriggers)</f>
        <v>1.4029675407442497E-2</v>
      </c>
      <c r="U966" s="34">
        <f>_xll.qlYieldTSDiscount(OisCurve,Q966,,AllTriggers)</f>
        <v>0.69972926507724043</v>
      </c>
      <c r="V966" s="34">
        <f>_xll.qlYieldTSDiscount(OisCurve,R966,,AllTriggers)</f>
        <v>0.69733606491215694</v>
      </c>
      <c r="W966" s="33">
        <f t="shared" si="65"/>
        <v>1.3576818301911339E-2</v>
      </c>
      <c r="X966" s="35">
        <f t="shared" si="66"/>
        <v>1.1407419048566059E-4</v>
      </c>
      <c r="Y966" s="33">
        <f t="shared" si="67"/>
        <v>4.5285710553115768E-4</v>
      </c>
      <c r="Z966" s="54"/>
    </row>
    <row r="967" spans="15:26" x14ac:dyDescent="0.25">
      <c r="O967" s="37" t="s">
        <v>19</v>
      </c>
      <c r="P967" s="31">
        <f>_xll.qlCalendarAdvance(Calendar,P966,O966,"f",,Trigger)</f>
        <v>53237</v>
      </c>
      <c r="Q967" s="31">
        <f>_xll.qlInterestRateIndexValueDate(Index,P967,Trigger)</f>
        <v>53239</v>
      </c>
      <c r="R967" s="31">
        <f>_xll.qlInterestRateIndexMaturity(Index,Q967,Trigger)</f>
        <v>53331</v>
      </c>
      <c r="S967" s="32">
        <f>_xll.qlDayCounterYearFraction(DayCounter,Q967,R967,,,Trigger)</f>
        <v>0.25555555555555554</v>
      </c>
      <c r="T967" s="33">
        <f>_xll.qlIndexFixing(Index,P967,,AllTriggers)</f>
        <v>1.4032266920455165E-2</v>
      </c>
      <c r="U967" s="34">
        <f>_xll.qlYieldTSDiscount(OisCurve,Q967,,AllTriggers)</f>
        <v>0.69893966023073306</v>
      </c>
      <c r="V967" s="34">
        <f>_xll.qlYieldTSDiscount(OisCurve,R967,,AllTriggers)</f>
        <v>0.69652216667245648</v>
      </c>
      <c r="W967" s="33">
        <f t="shared" si="65"/>
        <v>1.3581416148095306E-2</v>
      </c>
      <c r="X967" s="35">
        <f t="shared" si="66"/>
        <v>1.1481231423120526E-4</v>
      </c>
      <c r="Y967" s="33">
        <f t="shared" si="67"/>
        <v>4.5085077235985926E-4</v>
      </c>
      <c r="Z967" s="54"/>
    </row>
    <row r="968" spans="15:26" x14ac:dyDescent="0.25">
      <c r="O968" s="37" t="s">
        <v>19</v>
      </c>
      <c r="P968" s="31">
        <f>_xll.qlCalendarAdvance(Calendar,P967,O967,"f",,Trigger)</f>
        <v>53268</v>
      </c>
      <c r="Q968" s="31">
        <f>_xll.qlInterestRateIndexValueDate(Index,P968,Trigger)</f>
        <v>53272</v>
      </c>
      <c r="R968" s="31">
        <f>_xll.qlInterestRateIndexMaturity(Index,Q968,Trigger)</f>
        <v>53364</v>
      </c>
      <c r="S968" s="32">
        <f>_xll.qlDayCounterYearFraction(DayCounter,Q968,R968,,,Trigger)</f>
        <v>0.25555555555555554</v>
      </c>
      <c r="T968" s="33">
        <f>_xll.qlIndexFixing(Index,P968,,AllTriggers)</f>
        <v>1.4034319079890592E-2</v>
      </c>
      <c r="U968" s="34">
        <f>_xll.qlYieldTSDiscount(OisCurve,Q968,,AllTriggers)</f>
        <v>0.69807181109958027</v>
      </c>
      <c r="V968" s="34">
        <f>_xll.qlYieldTSDiscount(OisCurve,R968,,AllTriggers)</f>
        <v>0.69565656921979191</v>
      </c>
      <c r="W968" s="33">
        <f t="shared" si="65"/>
        <v>1.3585649736231019E-2</v>
      </c>
      <c r="X968" s="35">
        <f t="shared" si="66"/>
        <v>1.1425670665160973E-4</v>
      </c>
      <c r="Y968" s="33">
        <f t="shared" si="67"/>
        <v>4.4866934365957352E-4</v>
      </c>
      <c r="Z968" s="54"/>
    </row>
    <row r="969" spans="15:26" x14ac:dyDescent="0.25">
      <c r="O969" s="37" t="s">
        <v>19</v>
      </c>
      <c r="P969" s="31">
        <f>_xll.qlCalendarAdvance(Calendar,P968,O968,"f",,Trigger)</f>
        <v>53300</v>
      </c>
      <c r="Q969" s="31">
        <f>_xll.qlInterestRateIndexValueDate(Index,P969,Trigger)</f>
        <v>53302</v>
      </c>
      <c r="R969" s="31">
        <f>_xll.qlInterestRateIndexMaturity(Index,Q969,Trigger)</f>
        <v>53392</v>
      </c>
      <c r="S969" s="32">
        <f>_xll.qlDayCounterYearFraction(DayCounter,Q969,R969,,,Trigger)</f>
        <v>0.25</v>
      </c>
      <c r="T969" s="33">
        <f>_xll.qlIndexFixing(Index,P969,,AllTriggers)</f>
        <v>1.4035187936175753E-2</v>
      </c>
      <c r="U969" s="34">
        <f>_xll.qlYieldTSDiscount(OisCurve,Q969,,AllTriggers)</f>
        <v>0.69728353360389539</v>
      </c>
      <c r="V969" s="34">
        <f>_xll.qlYieldTSDiscount(OisCurve,R969,,AllTriggers)</f>
        <v>0.69492280042606314</v>
      </c>
      <c r="W969" s="33">
        <f t="shared" si="65"/>
        <v>1.3588462927881295E-2</v>
      </c>
      <c r="X969" s="35">
        <f t="shared" si="66"/>
        <v>1.1129694868241262E-4</v>
      </c>
      <c r="Y969" s="33">
        <f t="shared" si="67"/>
        <v>4.4672500829445738E-4</v>
      </c>
      <c r="Z969" s="54"/>
    </row>
    <row r="970" spans="15:26" x14ac:dyDescent="0.25">
      <c r="O970" s="37" t="s">
        <v>19</v>
      </c>
      <c r="P970" s="31">
        <f>_xll.qlCalendarAdvance(Calendar,P969,O969,"f",,Trigger)</f>
        <v>53331</v>
      </c>
      <c r="Q970" s="31">
        <f>_xll.qlInterestRateIndexValueDate(Index,P970,Trigger)</f>
        <v>53335</v>
      </c>
      <c r="R970" s="31">
        <f>_xll.qlInterestRateIndexMaturity(Index,Q970,Trigger)</f>
        <v>53426</v>
      </c>
      <c r="S970" s="32">
        <f>_xll.qlDayCounterYearFraction(DayCounter,Q970,R970,,,Trigger)</f>
        <v>0.25277777777777777</v>
      </c>
      <c r="T970" s="33">
        <f>_xll.qlIndexFixing(Index,P970,,AllTriggers)</f>
        <v>1.4036625644063449E-2</v>
      </c>
      <c r="U970" s="34">
        <f>_xll.qlYieldTSDiscount(OisCurve,Q970,,AllTriggers)</f>
        <v>0.69641720068662905</v>
      </c>
      <c r="V970" s="34">
        <f>_xll.qlYieldTSDiscount(OisCurve,R970,,AllTriggers)</f>
        <v>0.69403265980629292</v>
      </c>
      <c r="W970" s="33">
        <f t="shared" si="65"/>
        <v>1.3592081589108998E-2</v>
      </c>
      <c r="X970" s="35">
        <f t="shared" si="66"/>
        <v>1.1197982918874485E-4</v>
      </c>
      <c r="Y970" s="33">
        <f t="shared" si="67"/>
        <v>4.4454405495445055E-4</v>
      </c>
      <c r="Z970" s="54"/>
    </row>
    <row r="971" spans="15:26" x14ac:dyDescent="0.25">
      <c r="O971" s="37" t="s">
        <v>19</v>
      </c>
      <c r="P971" s="31">
        <f>_xll.qlCalendarAdvance(Calendar,P970,O970,"f",,Trigger)</f>
        <v>53363</v>
      </c>
      <c r="Q971" s="31">
        <f>_xll.qlInterestRateIndexValueDate(Index,P971,Trigger)</f>
        <v>53365</v>
      </c>
      <c r="R971" s="31">
        <f>_xll.qlInterestRateIndexMaturity(Index,Q971,Trigger)</f>
        <v>53454</v>
      </c>
      <c r="S971" s="32">
        <f>_xll.qlDayCounterYearFraction(DayCounter,Q971,R971,,,Trigger)</f>
        <v>0.24722222222222223</v>
      </c>
      <c r="T971" s="33">
        <f>_xll.qlIndexFixing(Index,P971,,AllTriggers)</f>
        <v>1.4036698602557842E-2</v>
      </c>
      <c r="U971" s="34">
        <f>_xll.qlYieldTSDiscount(OisCurve,Q971,,AllTriggers)</f>
        <v>0.69563035235177195</v>
      </c>
      <c r="V971" s="34">
        <f>_xll.qlYieldTSDiscount(OisCurve,R971,,AllTriggers)</f>
        <v>0.69330033649052525</v>
      </c>
      <c r="W971" s="33">
        <f t="shared" si="65"/>
        <v>1.3594084356981144E-2</v>
      </c>
      <c r="X971" s="35">
        <f t="shared" si="66"/>
        <v>1.0905161477407157E-4</v>
      </c>
      <c r="Y971" s="33">
        <f t="shared" si="67"/>
        <v>4.4261424557669876E-4</v>
      </c>
      <c r="Z971" s="54"/>
    </row>
    <row r="972" spans="15:26" x14ac:dyDescent="0.25">
      <c r="O972" s="37" t="s">
        <v>19</v>
      </c>
      <c r="P972" s="31">
        <f>_xll.qlCalendarAdvance(Calendar,P971,O971,"f",,Trigger)</f>
        <v>53391</v>
      </c>
      <c r="Q972" s="31">
        <f>_xll.qlInterestRateIndexValueDate(Index,P972,Trigger)</f>
        <v>53393</v>
      </c>
      <c r="R972" s="31">
        <f>_xll.qlInterestRateIndexMaturity(Index,Q972,Trigger)</f>
        <v>53485</v>
      </c>
      <c r="S972" s="32">
        <f>_xll.qlDayCounterYearFraction(DayCounter,Q972,R972,,,Trigger)</f>
        <v>0.25555555555555554</v>
      </c>
      <c r="T972" s="33">
        <f>_xll.qlIndexFixing(Index,P972,,AllTriggers)</f>
        <v>1.4037753563956434E-2</v>
      </c>
      <c r="U972" s="34">
        <f>_xll.qlYieldTSDiscount(OisCurve,Q972,,AllTriggers)</f>
        <v>0.6948966061544315</v>
      </c>
      <c r="V972" s="34">
        <f>_xll.qlYieldTSDiscount(OisCurve,R972,,AllTriggers)</f>
        <v>0.69249034661087594</v>
      </c>
      <c r="W972" s="33">
        <f t="shared" si="65"/>
        <v>1.3597010066630886E-2</v>
      </c>
      <c r="X972" s="35">
        <f t="shared" si="66"/>
        <v>1.1223812441861432E-4</v>
      </c>
      <c r="Y972" s="33">
        <f t="shared" si="67"/>
        <v>4.4074349732554745E-4</v>
      </c>
      <c r="Z972" s="54"/>
    </row>
    <row r="973" spans="15:26" x14ac:dyDescent="0.25">
      <c r="O973" s="37" t="s">
        <v>19</v>
      </c>
      <c r="P973" s="31">
        <f>_xll.qlCalendarAdvance(Calendar,P972,O972,"f",,Trigger)</f>
        <v>53422</v>
      </c>
      <c r="Q973" s="31">
        <f>_xll.qlInterestRateIndexValueDate(Index,P973,Trigger)</f>
        <v>53426</v>
      </c>
      <c r="R973" s="31">
        <f>_xll.qlInterestRateIndexMaturity(Index,Q973,Trigger)</f>
        <v>53517</v>
      </c>
      <c r="S973" s="32">
        <f>_xll.qlDayCounterYearFraction(DayCounter,Q973,R973,,,Trigger)</f>
        <v>0.25277777777777777</v>
      </c>
      <c r="T973" s="33">
        <f>_xll.qlIndexFixing(Index,P973,,AllTriggers)</f>
        <v>1.4037311025732231E-2</v>
      </c>
      <c r="U973" s="34">
        <f>_xll.qlYieldTSDiscount(OisCurve,Q973,,AllTriggers)</f>
        <v>0.69403265980629292</v>
      </c>
      <c r="V973" s="34">
        <f>_xll.qlYieldTSDiscount(OisCurve,R973,,AllTriggers)</f>
        <v>0.69165513154107028</v>
      </c>
      <c r="W973" s="33">
        <f t="shared" si="65"/>
        <v>1.3598693763756812E-2</v>
      </c>
      <c r="X973" s="35">
        <f t="shared" si="66"/>
        <v>1.1048677939279072E-4</v>
      </c>
      <c r="Y973" s="33">
        <f t="shared" si="67"/>
        <v>4.3861726197541931E-4</v>
      </c>
      <c r="Z973" s="54"/>
    </row>
    <row r="974" spans="15:26" x14ac:dyDescent="0.25">
      <c r="O974" s="37" t="s">
        <v>19</v>
      </c>
      <c r="P974" s="31">
        <f>_xll.qlCalendarAdvance(Calendar,P973,O973,"f",,Trigger)</f>
        <v>53454</v>
      </c>
      <c r="Q974" s="31">
        <f>_xll.qlInterestRateIndexValueDate(Index,P974,Trigger)</f>
        <v>53456</v>
      </c>
      <c r="R974" s="31">
        <f>_xll.qlInterestRateIndexMaturity(Index,Q974,Trigger)</f>
        <v>53548</v>
      </c>
      <c r="S974" s="32">
        <f>_xll.qlDayCounterYearFraction(DayCounter,Q974,R974,,,Trigger)</f>
        <v>0.25555555555555554</v>
      </c>
      <c r="T974" s="33">
        <f>_xll.qlIndexFixing(Index,P974,,AllTriggers)</f>
        <v>1.403699735773792E-2</v>
      </c>
      <c r="U974" s="34">
        <f>_xll.qlYieldTSDiscount(OisCurve,Q974,,AllTriggers)</f>
        <v>0.69324805357452746</v>
      </c>
      <c r="V974" s="34">
        <f>_xll.qlYieldTSDiscount(OisCurve,R974,,AllTriggers)</f>
        <v>0.6908469175369496</v>
      </c>
      <c r="W974" s="33">
        <f t="shared" si="65"/>
        <v>1.3600335289559199E-2</v>
      </c>
      <c r="X974" s="35">
        <f t="shared" si="66"/>
        <v>1.1119872624794252E-4</v>
      </c>
      <c r="Y974" s="33">
        <f t="shared" si="67"/>
        <v>4.3666206817872047E-4</v>
      </c>
      <c r="Z974" s="54"/>
    </row>
    <row r="975" spans="15:26" x14ac:dyDescent="0.25">
      <c r="O975" s="37" t="s">
        <v>19</v>
      </c>
      <c r="P975" s="31">
        <f>_xll.qlCalendarAdvance(Calendar,P974,O974,"f",,Trigger)</f>
        <v>53485</v>
      </c>
      <c r="Q975" s="31">
        <f>_xll.qlInterestRateIndexValueDate(Index,P975,Trigger)</f>
        <v>53489</v>
      </c>
      <c r="R975" s="31">
        <f>_xll.qlInterestRateIndexMaturity(Index,Q975,Trigger)</f>
        <v>53581</v>
      </c>
      <c r="S975" s="32">
        <f>_xll.qlDayCounterYearFraction(DayCounter,Q975,R975,,,Trigger)</f>
        <v>0.25555555555555554</v>
      </c>
      <c r="T975" s="33">
        <f>_xll.qlIndexFixing(Index,P975,,AllTriggers)</f>
        <v>1.4035905883466955E-2</v>
      </c>
      <c r="U975" s="34">
        <f>_xll.qlYieldTSDiscount(OisCurve,Q975,,AllTriggers)</f>
        <v>0.69238589399007433</v>
      </c>
      <c r="V975" s="34">
        <f>_xll.qlYieldTSDiscount(OisCurve,R975,,AllTriggers)</f>
        <v>0.68998756242873061</v>
      </c>
      <c r="W975" s="33">
        <f t="shared" si="65"/>
        <v>1.3601369337425662E-2</v>
      </c>
      <c r="X975" s="35">
        <f t="shared" si="66"/>
        <v>1.1065744955196256E-4</v>
      </c>
      <c r="Y975" s="33">
        <f t="shared" si="67"/>
        <v>4.3453654604129303E-4</v>
      </c>
      <c r="Z975" s="54"/>
    </row>
    <row r="976" spans="15:26" x14ac:dyDescent="0.25">
      <c r="O976" s="37" t="s">
        <v>19</v>
      </c>
      <c r="P976" s="31">
        <f>_xll.qlCalendarAdvance(Calendar,P975,O975,"f",,Trigger)</f>
        <v>53517</v>
      </c>
      <c r="Q976" s="31">
        <f>_xll.qlInterestRateIndexValueDate(Index,P976,Trigger)</f>
        <v>53519</v>
      </c>
      <c r="R976" s="31">
        <f>_xll.qlInterestRateIndexMaturity(Index,Q976,Trigger)</f>
        <v>53611</v>
      </c>
      <c r="S976" s="32">
        <f>_xll.qlDayCounterYearFraction(DayCounter,Q976,R976,,,Trigger)</f>
        <v>0.25555555555555554</v>
      </c>
      <c r="T976" s="33">
        <f>_xll.qlIndexFixing(Index,P976,,AllTriggers)</f>
        <v>1.40344987853359E-2</v>
      </c>
      <c r="U976" s="34">
        <f>_xll.qlYieldTSDiscount(OisCurve,Q976,,AllTriggers)</f>
        <v>0.69160296168508884</v>
      </c>
      <c r="V976" s="34">
        <f>_xll.qlYieldTSDiscount(OisCurve,R976,,AllTriggers)</f>
        <v>0.68920725120876447</v>
      </c>
      <c r="W976" s="33">
        <f t="shared" si="65"/>
        <v>1.3601887151856127E-2</v>
      </c>
      <c r="X976" s="35">
        <f t="shared" si="66"/>
        <v>1.1016727100093413E-4</v>
      </c>
      <c r="Y976" s="33">
        <f t="shared" si="67"/>
        <v>4.3261163347977326E-4</v>
      </c>
      <c r="Z976" s="54"/>
    </row>
    <row r="977" spans="15:26" x14ac:dyDescent="0.25">
      <c r="O977" s="37" t="s">
        <v>19</v>
      </c>
      <c r="P977" s="31">
        <f>_xll.qlCalendarAdvance(Calendar,P976,O976,"f",,Trigger)</f>
        <v>53548</v>
      </c>
      <c r="Q977" s="31">
        <f>_xll.qlInterestRateIndexValueDate(Index,P977,Trigger)</f>
        <v>53552</v>
      </c>
      <c r="R977" s="31">
        <f>_xll.qlInterestRateIndexMaturity(Index,Q977,Trigger)</f>
        <v>53644</v>
      </c>
      <c r="S977" s="32">
        <f>_xll.qlDayCounterYearFraction(DayCounter,Q977,R977,,,Trigger)</f>
        <v>0.25555555555555554</v>
      </c>
      <c r="T977" s="33">
        <f>_xll.qlIndexFixing(Index,P977,,AllTriggers)</f>
        <v>1.4032494644241082E-2</v>
      </c>
      <c r="U977" s="34">
        <f>_xll.qlYieldTSDiscount(OisCurve,Q977,,AllTriggers)</f>
        <v>0.69074269770625185</v>
      </c>
      <c r="V977" s="34">
        <f>_xll.qlYieldTSDiscount(OisCurve,R977,,AllTriggers)</f>
        <v>0.68834994874970534</v>
      </c>
      <c r="W977" s="33">
        <f t="shared" si="65"/>
        <v>1.3601992295541189E-2</v>
      </c>
      <c r="X977" s="35">
        <f t="shared" si="66"/>
        <v>1.096301548839628E-4</v>
      </c>
      <c r="Y977" s="33">
        <f t="shared" si="67"/>
        <v>4.3050234869989289E-4</v>
      </c>
      <c r="Z977" s="54"/>
    </row>
    <row r="978" spans="15:26" x14ac:dyDescent="0.25">
      <c r="O978" s="37" t="s">
        <v>19</v>
      </c>
      <c r="P978" s="31">
        <f>_xll.qlCalendarAdvance(Calendar,P977,O977,"f",,Trigger)</f>
        <v>53580</v>
      </c>
      <c r="Q978" s="31">
        <f>_xll.qlInterestRateIndexValueDate(Index,P978,Trigger)</f>
        <v>53582</v>
      </c>
      <c r="R978" s="31">
        <f>_xll.qlInterestRateIndexMaturity(Index,Q978,Trigger)</f>
        <v>53673</v>
      </c>
      <c r="S978" s="32">
        <f>_xll.qlDayCounterYearFraction(DayCounter,Q978,R978,,,Trigger)</f>
        <v>0.25277777777777777</v>
      </c>
      <c r="T978" s="33">
        <f>_xll.qlIndexFixing(Index,P978,,AllTriggers)</f>
        <v>1.4030028642684871E-2</v>
      </c>
      <c r="U978" s="34">
        <f>_xll.qlYieldTSDiscount(OisCurve,Q978,,AllTriggers)</f>
        <v>0.68996153779335323</v>
      </c>
      <c r="V978" s="34">
        <f>_xll.qlYieldTSDiscount(OisCurve,R978,,AllTriggers)</f>
        <v>0.68759748343631122</v>
      </c>
      <c r="W978" s="33">
        <f t="shared" si="65"/>
        <v>1.3601421145692053E-2</v>
      </c>
      <c r="X978" s="35">
        <f t="shared" si="66"/>
        <v>1.0796540227033086E-4</v>
      </c>
      <c r="Y978" s="33">
        <f t="shared" si="67"/>
        <v>4.2860749699281768E-4</v>
      </c>
      <c r="Z978" s="54"/>
    </row>
    <row r="979" spans="15:26" x14ac:dyDescent="0.25">
      <c r="O979" s="37" t="s">
        <v>19</v>
      </c>
      <c r="P979" s="31">
        <f>_xll.qlCalendarAdvance(Calendar,P978,O978,"f",,Trigger)</f>
        <v>53610</v>
      </c>
      <c r="Q979" s="31">
        <f>_xll.qlInterestRateIndexValueDate(Index,P979,Trigger)</f>
        <v>53612</v>
      </c>
      <c r="R979" s="31">
        <f>_xll.qlInterestRateIndexMaturity(Index,Q979,Trigger)</f>
        <v>53706</v>
      </c>
      <c r="S979" s="32">
        <f>_xll.qlDayCounterYearFraction(DayCounter,Q979,R979,,,Trigger)</f>
        <v>0.26111111111111113</v>
      </c>
      <c r="T979" s="33">
        <f>_xll.qlIndexFixing(Index,P979,,AllTriggers)</f>
        <v>1.4028070574771718E-2</v>
      </c>
      <c r="U979" s="34">
        <f>_xll.qlYieldTSDiscount(OisCurve,Q979,,AllTriggers)</f>
        <v>0.68918125620603266</v>
      </c>
      <c r="V979" s="34">
        <f>_xll.qlYieldTSDiscount(OisCurve,R979,,AllTriggers)</f>
        <v>0.68674230478182607</v>
      </c>
      <c r="W979" s="33">
        <f t="shared" si="65"/>
        <v>1.3601412005400918E-2</v>
      </c>
      <c r="X979" s="35">
        <f t="shared" si="66"/>
        <v>1.1100487837901405E-4</v>
      </c>
      <c r="Y979" s="33">
        <f t="shared" si="67"/>
        <v>4.2665856937080041E-4</v>
      </c>
      <c r="Z979" s="54"/>
    </row>
    <row r="980" spans="15:26" x14ac:dyDescent="0.25">
      <c r="O980" s="37" t="s">
        <v>19</v>
      </c>
      <c r="P980" s="31">
        <f>_xll.qlCalendarAdvance(Calendar,P979,O979,"f",,Trigger)</f>
        <v>53643</v>
      </c>
      <c r="Q980" s="31">
        <f>_xll.qlInterestRateIndexValueDate(Index,P980,Trigger)</f>
        <v>53645</v>
      </c>
      <c r="R980" s="31">
        <f>_xll.qlInterestRateIndexMaturity(Index,Q980,Trigger)</f>
        <v>53737</v>
      </c>
      <c r="S980" s="32">
        <f>_xll.qlDayCounterYearFraction(DayCounter,Q980,R980,,,Trigger)</f>
        <v>0.25555555555555554</v>
      </c>
      <c r="T980" s="33">
        <f>_xll.qlIndexFixing(Index,P980,,AllTriggers)</f>
        <v>1.4024274557592331E-2</v>
      </c>
      <c r="U980" s="34">
        <f>_xll.qlYieldTSDiscount(OisCurve,Q980,,AllTriggers)</f>
        <v>0.68832398718809795</v>
      </c>
      <c r="V980" s="34">
        <f>_xll.qlYieldTSDiscount(OisCurve,R980,,AllTriggers)</f>
        <v>0.68594002224239581</v>
      </c>
      <c r="W980" s="33">
        <f t="shared" si="65"/>
        <v>1.3599670788542378E-2</v>
      </c>
      <c r="X980" s="35">
        <f t="shared" si="66"/>
        <v>1.0812818927745893E-4</v>
      </c>
      <c r="Y980" s="33">
        <f t="shared" si="67"/>
        <v>4.2460376904995302E-4</v>
      </c>
      <c r="Z980" s="54"/>
    </row>
    <row r="981" spans="15:26" x14ac:dyDescent="0.25">
      <c r="O981" s="37" t="s">
        <v>19</v>
      </c>
      <c r="P981" s="31">
        <f>_xll.qlCalendarAdvance(Calendar,P980,O980,"f",,Trigger)</f>
        <v>53673</v>
      </c>
      <c r="Q981" s="31">
        <f>_xll.qlInterestRateIndexValueDate(Index,P981,Trigger)</f>
        <v>53675</v>
      </c>
      <c r="R981" s="31">
        <f>_xll.qlInterestRateIndexMaturity(Index,Q981,Trigger)</f>
        <v>53765</v>
      </c>
      <c r="S981" s="32">
        <f>_xll.qlDayCounterYearFraction(DayCounter,Q981,R981,,,Trigger)</f>
        <v>0.25</v>
      </c>
      <c r="T981" s="33">
        <f>_xll.qlIndexFixing(Index,P981,,AllTriggers)</f>
        <v>1.4020395979861711E-2</v>
      </c>
      <c r="U981" s="34">
        <f>_xll.qlYieldTSDiscount(OisCurve,Q981,,AllTriggers)</f>
        <v>0.68754562159391075</v>
      </c>
      <c r="V981" s="34">
        <f>_xll.qlYieldTSDiscount(OisCurve,R981,,AllTriggers)</f>
        <v>0.68521628873776819</v>
      </c>
      <c r="W981" s="33">
        <f t="shared" si="65"/>
        <v>1.3597650227687552E-2</v>
      </c>
      <c r="X981" s="35">
        <f t="shared" si="66"/>
        <v>1.0532283676956009E-4</v>
      </c>
      <c r="Y981" s="33">
        <f t="shared" si="67"/>
        <v>4.2274575217415844E-4</v>
      </c>
      <c r="Z981" s="54"/>
    </row>
    <row r="982" spans="15:26" x14ac:dyDescent="0.25">
      <c r="O982" s="37" t="s">
        <v>19</v>
      </c>
      <c r="P982" s="31">
        <f>_xll.qlCalendarAdvance(Calendar,P981,O981,"f",,Trigger)</f>
        <v>53706</v>
      </c>
      <c r="Q982" s="31">
        <f>_xll.qlInterestRateIndexValueDate(Index,P982,Trigger)</f>
        <v>53708</v>
      </c>
      <c r="R982" s="31">
        <f>_xll.qlInterestRateIndexMaturity(Index,Q982,Trigger)</f>
        <v>53798</v>
      </c>
      <c r="S982" s="32">
        <f>_xll.qlDayCounterYearFraction(DayCounter,Q982,R982,,,Trigger)</f>
        <v>0.25</v>
      </c>
      <c r="T982" s="33">
        <f>_xll.qlIndexFixing(Index,P982,,AllTriggers)</f>
        <v>1.4016146732878987E-2</v>
      </c>
      <c r="U982" s="34">
        <f>_xll.qlYieldTSDiscount(OisCurve,Q982,,AllTriggers)</f>
        <v>0.68669051315126384</v>
      </c>
      <c r="V982" s="34">
        <f>_xll.qlYieldTSDiscount(OisCurve,R982,,AllTriggers)</f>
        <v>0.68436444904354077</v>
      </c>
      <c r="W982" s="33">
        <f t="shared" si="65"/>
        <v>1.3595470138602295E-2</v>
      </c>
      <c r="X982" s="35">
        <f t="shared" si="66"/>
        <v>1.0480741090612881E-4</v>
      </c>
      <c r="Y982" s="33">
        <f t="shared" si="67"/>
        <v>4.2067659427669213E-4</v>
      </c>
      <c r="Z982" s="54"/>
    </row>
    <row r="983" spans="15:26" x14ac:dyDescent="0.25">
      <c r="O983" s="37" t="s">
        <v>19</v>
      </c>
      <c r="P983" s="31">
        <f>_xll.qlCalendarAdvance(Calendar,P982,O982,"f",,Trigger)</f>
        <v>53737</v>
      </c>
      <c r="Q983" s="31">
        <f>_xll.qlInterestRateIndexValueDate(Index,P983,Trigger)</f>
        <v>53741</v>
      </c>
      <c r="R983" s="31">
        <f>_xll.qlInterestRateIndexMaturity(Index,Q983,Trigger)</f>
        <v>53832</v>
      </c>
      <c r="S983" s="32">
        <f>_xll.qlDayCounterYearFraction(DayCounter,Q983,R983,,,Trigger)</f>
        <v>0.25277777777777777</v>
      </c>
      <c r="T983" s="33">
        <f>_xll.qlIndexFixing(Index,P983,,AllTriggers)</f>
        <v>1.4011613203339999E-2</v>
      </c>
      <c r="U983" s="34">
        <f>_xll.qlYieldTSDiscount(OisCurve,Q983,,AllTriggers)</f>
        <v>0.68583657848423363</v>
      </c>
      <c r="V983" s="34">
        <f>_xll.qlYieldTSDiscount(OisCurve,R983,,AllTriggers)</f>
        <v>0.68348810552706396</v>
      </c>
      <c r="W983" s="33">
        <f t="shared" si="65"/>
        <v>1.3593012333373955E-2</v>
      </c>
      <c r="X983" s="35">
        <f t="shared" si="66"/>
        <v>1.0544510845232072E-4</v>
      </c>
      <c r="Y983" s="33">
        <f t="shared" si="67"/>
        <v>4.1860086996604352E-4</v>
      </c>
      <c r="Z983" s="54"/>
    </row>
    <row r="984" spans="15:26" x14ac:dyDescent="0.25">
      <c r="O984" s="37" t="s">
        <v>19</v>
      </c>
      <c r="P984" s="31">
        <f>_xll.qlCalendarAdvance(Calendar,P983,O983,"f",,Trigger)</f>
        <v>53765</v>
      </c>
      <c r="Q984" s="31">
        <f>_xll.qlInterestRateIndexValueDate(Index,P984,Trigger)</f>
        <v>53769</v>
      </c>
      <c r="R984" s="31">
        <f>_xll.qlInterestRateIndexMaturity(Index,Q984,Trigger)</f>
        <v>53861</v>
      </c>
      <c r="S984" s="32">
        <f>_xll.qlDayCounterYearFraction(DayCounter,Q984,R984,,,Trigger)</f>
        <v>0.25555555555555554</v>
      </c>
      <c r="T984" s="33">
        <f>_xll.qlIndexFixing(Index,P984,,AllTriggers)</f>
        <v>1.4007408284058867E-2</v>
      </c>
      <c r="U984" s="34">
        <f>_xll.qlYieldTSDiscount(OisCurve,Q984,,AllTriggers)</f>
        <v>0.68511296972221214</v>
      </c>
      <c r="V984" s="34">
        <f>_xll.qlYieldTSDiscount(OisCurve,R984,,AllTriggers)</f>
        <v>0.68274170933079925</v>
      </c>
      <c r="W984" s="33">
        <f t="shared" si="65"/>
        <v>1.3590564166603232E-2</v>
      </c>
      <c r="X984" s="35">
        <f t="shared" si="66"/>
        <v>1.0615249315884942E-4</v>
      </c>
      <c r="Y984" s="33">
        <f t="shared" si="67"/>
        <v>4.1684411745563504E-4</v>
      </c>
      <c r="Z984" s="54"/>
    </row>
    <row r="985" spans="15:26" x14ac:dyDescent="0.25">
      <c r="O985" s="37" t="s">
        <v>19</v>
      </c>
      <c r="P985" s="31">
        <f>_xll.qlCalendarAdvance(Calendar,P984,O984,"f",,Trigger)</f>
        <v>53798</v>
      </c>
      <c r="Q985" s="31">
        <f>_xll.qlInterestRateIndexValueDate(Index,P985,Trigger)</f>
        <v>53800</v>
      </c>
      <c r="R985" s="31">
        <f>_xll.qlInterestRateIndexMaturity(Index,Q985,Trigger)</f>
        <v>53891</v>
      </c>
      <c r="S985" s="32">
        <f>_xll.qlDayCounterYearFraction(DayCounter,Q985,R985,,,Trigger)</f>
        <v>0.25277777777777777</v>
      </c>
      <c r="T985" s="33">
        <f>_xll.qlIndexFixing(Index,P985,,AllTriggers)</f>
        <v>1.4001956786448402E-2</v>
      </c>
      <c r="U985" s="34">
        <f>_xll.qlYieldTSDiscount(OisCurve,Q985,,AllTriggers)</f>
        <v>0.68431286233989974</v>
      </c>
      <c r="V985" s="34">
        <f>_xll.qlYieldTSDiscount(OisCurve,R985,,AllTriggers)</f>
        <v>0.68197063662863477</v>
      </c>
      <c r="W985" s="33">
        <f t="shared" si="65"/>
        <v>1.3587018811465727E-2</v>
      </c>
      <c r="X985" s="35">
        <f t="shared" si="66"/>
        <v>1.0452263517281858E-4</v>
      </c>
      <c r="Y985" s="33">
        <f t="shared" si="67"/>
        <v>4.149379749826751E-4</v>
      </c>
      <c r="Z985" s="54"/>
    </row>
    <row r="986" spans="15:26" x14ac:dyDescent="0.25">
      <c r="O986" s="37" t="s">
        <v>19</v>
      </c>
      <c r="P986" s="31">
        <f>_xll.qlCalendarAdvance(Calendar,P985,O985,"f",,Trigger)</f>
        <v>53828</v>
      </c>
      <c r="Q986" s="31">
        <f>_xll.qlInterestRateIndexValueDate(Index,P986,Trigger)</f>
        <v>53832</v>
      </c>
      <c r="R986" s="31">
        <f>_xll.qlInterestRateIndexMaturity(Index,Q986,Trigger)</f>
        <v>53924</v>
      </c>
      <c r="S986" s="32">
        <f>_xll.qlDayCounterYearFraction(DayCounter,Q986,R986,,,Trigger)</f>
        <v>0.25555555555555554</v>
      </c>
      <c r="T986" s="33">
        <f>_xll.qlIndexFixing(Index,P986,,AllTriggers)</f>
        <v>1.399625328872621E-2</v>
      </c>
      <c r="U986" s="34">
        <f>_xll.qlYieldTSDiscount(OisCurve,Q986,,AllTriggers)</f>
        <v>0.68348810552706396</v>
      </c>
      <c r="V986" s="34">
        <f>_xll.qlYieldTSDiscount(OisCurve,R986,,AllTriggers)</f>
        <v>0.68112372809047017</v>
      </c>
      <c r="W986" s="33">
        <f t="shared" si="65"/>
        <v>1.3583305538845247E-2</v>
      </c>
      <c r="X986" s="35">
        <f t="shared" si="66"/>
        <v>1.0516050037368676E-4</v>
      </c>
      <c r="Y986" s="33">
        <f t="shared" si="67"/>
        <v>4.1294774988096319E-4</v>
      </c>
      <c r="Z986" s="54"/>
    </row>
    <row r="987" spans="15:26" x14ac:dyDescent="0.25">
      <c r="O987" s="37" t="s">
        <v>19</v>
      </c>
      <c r="P987" s="31">
        <f>_xll.qlCalendarAdvance(Calendar,P986,O986,"f",,Trigger)</f>
        <v>53860</v>
      </c>
      <c r="Q987" s="31">
        <f>_xll.qlInterestRateIndexValueDate(Index,P987,Trigger)</f>
        <v>53862</v>
      </c>
      <c r="R987" s="31">
        <f>_xll.qlInterestRateIndexMaturity(Index,Q987,Trigger)</f>
        <v>53954</v>
      </c>
      <c r="S987" s="32">
        <f>_xll.qlDayCounterYearFraction(DayCounter,Q987,R987,,,Trigger)</f>
        <v>0.25555555555555554</v>
      </c>
      <c r="T987" s="33">
        <f>_xll.qlIndexFixing(Index,P987,,AllTriggers)</f>
        <v>1.3990329007969812E-2</v>
      </c>
      <c r="U987" s="34">
        <f>_xll.qlYieldTSDiscount(OisCurve,Q987,,AllTriggers)</f>
        <v>0.68271598940558997</v>
      </c>
      <c r="V987" s="34">
        <f>_xll.qlYieldTSDiscount(OisCurve,R987,,AllTriggers)</f>
        <v>0.68035498982565679</v>
      </c>
      <c r="W987" s="33">
        <f t="shared" si="65"/>
        <v>1.357922576683372E-2</v>
      </c>
      <c r="X987" s="35">
        <f t="shared" si="66"/>
        <v>1.0469091458749652E-4</v>
      </c>
      <c r="Y987" s="33">
        <f t="shared" si="67"/>
        <v>4.1110324113609147E-4</v>
      </c>
      <c r="Z987" s="54"/>
    </row>
    <row r="988" spans="15:26" x14ac:dyDescent="0.25">
      <c r="O988" s="37" t="s">
        <v>19</v>
      </c>
      <c r="P988" s="31">
        <f>_xll.qlCalendarAdvance(Calendar,P987,O987,"f",,Trigger)</f>
        <v>53890</v>
      </c>
      <c r="Q988" s="31">
        <f>_xll.qlInterestRateIndexValueDate(Index,P988,Trigger)</f>
        <v>53892</v>
      </c>
      <c r="R988" s="31">
        <f>_xll.qlInterestRateIndexMaturity(Index,Q988,Trigger)</f>
        <v>53986</v>
      </c>
      <c r="S988" s="32">
        <f>_xll.qlDayCounterYearFraction(DayCounter,Q988,R988,,,Trigger)</f>
        <v>0.26111111111111113</v>
      </c>
      <c r="T988" s="33">
        <f>_xll.qlIndexFixing(Index,P988,,AllTriggers)</f>
        <v>1.3984327945243803E-2</v>
      </c>
      <c r="U988" s="34">
        <f>_xll.qlYieldTSDiscount(OisCurve,Q988,,AllTriggers)</f>
        <v>0.68194495303495684</v>
      </c>
      <c r="V988" s="34">
        <f>_xll.qlYieldTSDiscount(OisCurve,R988,,AllTriggers)</f>
        <v>0.67953626381138299</v>
      </c>
      <c r="W988" s="33">
        <f t="shared" si="65"/>
        <v>1.3575091912651386E-2</v>
      </c>
      <c r="X988" s="35">
        <f t="shared" si="66"/>
        <v>1.0647298172367424E-4</v>
      </c>
      <c r="Y988" s="33">
        <f t="shared" si="67"/>
        <v>4.0923603259241693E-4</v>
      </c>
      <c r="Z988" s="54"/>
    </row>
    <row r="989" spans="15:26" x14ac:dyDescent="0.25">
      <c r="O989" s="37" t="s">
        <v>19</v>
      </c>
      <c r="P989" s="31">
        <f>_xll.qlCalendarAdvance(Calendar,P988,O988,"f",,Trigger)</f>
        <v>53923</v>
      </c>
      <c r="Q989" s="31">
        <f>_xll.qlInterestRateIndexValueDate(Index,P989,Trigger)</f>
        <v>53925</v>
      </c>
      <c r="R989" s="31">
        <f>_xll.qlInterestRateIndexMaturity(Index,Q989,Trigger)</f>
        <v>54017</v>
      </c>
      <c r="S989" s="32">
        <f>_xll.qlDayCounterYearFraction(DayCounter,Q989,R989,,,Trigger)</f>
        <v>0.25555555555555554</v>
      </c>
      <c r="T989" s="33">
        <f>_xll.qlIndexFixing(Index,P989,,AllTriggers)</f>
        <v>1.397660203421474E-2</v>
      </c>
      <c r="U989" s="34">
        <f>_xll.qlYieldTSDiscount(OisCurve,Q989,,AllTriggers)</f>
        <v>0.68109808527025528</v>
      </c>
      <c r="V989" s="34">
        <f>_xll.qlYieldTSDiscount(OisCurve,R989,,AllTriggers)</f>
        <v>0.67874438800682413</v>
      </c>
      <c r="W989" s="33">
        <f t="shared" si="65"/>
        <v>1.3569349359213289E-2</v>
      </c>
      <c r="X989" s="35">
        <f t="shared" si="66"/>
        <v>1.0371064707045623E-4</v>
      </c>
      <c r="Y989" s="33">
        <f t="shared" si="67"/>
        <v>4.0725267500145088E-4</v>
      </c>
      <c r="Z989" s="54"/>
    </row>
    <row r="990" spans="15:26" x14ac:dyDescent="0.25">
      <c r="O990" s="37" t="s">
        <v>19</v>
      </c>
      <c r="P990" s="31">
        <f>_xll.qlCalendarAdvance(Calendar,P989,O989,"f",,Trigger)</f>
        <v>53954</v>
      </c>
      <c r="Q990" s="31">
        <f>_xll.qlInterestRateIndexValueDate(Index,P990,Trigger)</f>
        <v>53958</v>
      </c>
      <c r="R990" s="31">
        <f>_xll.qlInterestRateIndexMaturity(Index,Q990,Trigger)</f>
        <v>54049</v>
      </c>
      <c r="S990" s="32">
        <f>_xll.qlDayCounterYearFraction(DayCounter,Q990,R990,,,Trigger)</f>
        <v>0.25277777777777777</v>
      </c>
      <c r="T990" s="33">
        <f>_xll.qlIndexFixing(Index,P990,,AllTriggers)</f>
        <v>1.3968572086410115E-2</v>
      </c>
      <c r="U990" s="34">
        <f>_xll.qlYieldTSDiscount(OisCurve,Q990,,AllTriggers)</f>
        <v>0.68025257737306666</v>
      </c>
      <c r="V990" s="34">
        <f>_xll.qlYieldTSDiscount(OisCurve,R990,,AllTriggers)</f>
        <v>0.6779282980598238</v>
      </c>
      <c r="W990" s="33">
        <f t="shared" si="65"/>
        <v>1.3563309210763638E-2</v>
      </c>
      <c r="X990" s="35">
        <f t="shared" si="66"/>
        <v>1.0208621736173882E-4</v>
      </c>
      <c r="Y990" s="33">
        <f t="shared" si="67"/>
        <v>4.0526287564647719E-4</v>
      </c>
      <c r="Z990" s="54"/>
    </row>
    <row r="991" spans="15:26" x14ac:dyDescent="0.25">
      <c r="O991" s="37" t="s">
        <v>19</v>
      </c>
      <c r="P991" s="31">
        <f>_xll.qlCalendarAdvance(Calendar,P990,O990,"f",,Trigger)</f>
        <v>53986</v>
      </c>
      <c r="Q991" s="31">
        <f>_xll.qlInterestRateIndexValueDate(Index,P991,Trigger)</f>
        <v>53988</v>
      </c>
      <c r="R991" s="31">
        <f>_xll.qlInterestRateIndexMaturity(Index,Q991,Trigger)</f>
        <v>54080</v>
      </c>
      <c r="S991" s="32">
        <f>_xll.qlDayCounterYearFraction(DayCounter,Q991,R991,,,Trigger)</f>
        <v>0.25555555555555554</v>
      </c>
      <c r="T991" s="33">
        <f>_xll.qlIndexFixing(Index,P991,,AllTriggers)</f>
        <v>1.3961132774662295E-2</v>
      </c>
      <c r="U991" s="34">
        <f>_xll.qlYieldTSDiscount(OisCurve,Q991,,AllTriggers)</f>
        <v>0.67948513722936477</v>
      </c>
      <c r="V991" s="34">
        <f>_xll.qlYieldTSDiscount(OisCurve,R991,,AllTriggers)</f>
        <v>0.67713902287289096</v>
      </c>
      <c r="W991" s="33">
        <f t="shared" si="65"/>
        <v>1.3557699632940937E-2</v>
      </c>
      <c r="X991" s="35">
        <f t="shared" si="66"/>
        <v>1.0273832247723599E-4</v>
      </c>
      <c r="Y991" s="33">
        <f t="shared" si="67"/>
        <v>4.0343314172135852E-4</v>
      </c>
      <c r="Z991" s="54"/>
    </row>
    <row r="992" spans="15:26" x14ac:dyDescent="0.25">
      <c r="O992" s="37" t="s">
        <v>19</v>
      </c>
      <c r="P992" s="31">
        <f>_xll.qlCalendarAdvance(Calendar,P991,O991,"f",,Trigger)</f>
        <v>54017</v>
      </c>
      <c r="Q992" s="31">
        <f>_xll.qlInterestRateIndexValueDate(Index,P992,Trigger)</f>
        <v>54021</v>
      </c>
      <c r="R992" s="31">
        <f>_xll.qlInterestRateIndexMaturity(Index,Q992,Trigger)</f>
        <v>54113</v>
      </c>
      <c r="S992" s="32">
        <f>_xll.qlDayCounterYearFraction(DayCounter,Q992,R992,,,Trigger)</f>
        <v>0.25555555555555554</v>
      </c>
      <c r="T992" s="33">
        <f>_xll.qlIndexFixing(Index,P992,,AllTriggers)</f>
        <v>1.3952334501989272E-2</v>
      </c>
      <c r="U992" s="34">
        <f>_xll.qlYieldTSDiscount(OisCurve,Q992,,AllTriggers)</f>
        <v>0.67864230236303968</v>
      </c>
      <c r="V992" s="34">
        <f>_xll.qlYieldTSDiscount(OisCurve,R992,,AllTriggers)</f>
        <v>0.67630027104764712</v>
      </c>
      <c r="W992" s="33">
        <f t="shared" si="65"/>
        <v>1.3550889681565955E-2</v>
      </c>
      <c r="X992" s="35">
        <f t="shared" si="66"/>
        <v>1.0223217956021752E-4</v>
      </c>
      <c r="Y992" s="33">
        <f t="shared" si="67"/>
        <v>4.0144482042331689E-4</v>
      </c>
      <c r="Z992" s="54"/>
    </row>
    <row r="993" spans="15:26" x14ac:dyDescent="0.25">
      <c r="O993" s="37" t="s">
        <v>19</v>
      </c>
      <c r="P993" s="31">
        <f>_xll.qlCalendarAdvance(Calendar,P992,O992,"f",,Trigger)</f>
        <v>54049</v>
      </c>
      <c r="Q993" s="31">
        <f>_xll.qlInterestRateIndexValueDate(Index,P993,Trigger)</f>
        <v>54053</v>
      </c>
      <c r="R993" s="31">
        <f>_xll.qlInterestRateIndexMaturity(Index,Q993,Trigger)</f>
        <v>54144</v>
      </c>
      <c r="S993" s="32">
        <f>_xll.qlDayCounterYearFraction(DayCounter,Q993,R993,,,Trigger)</f>
        <v>0.25277777777777777</v>
      </c>
      <c r="T993" s="33">
        <f>_xll.qlIndexFixing(Index,P993,,AllTriggers)</f>
        <v>1.3943223858492572E-2</v>
      </c>
      <c r="U993" s="34">
        <f>_xll.qlYieldTSDiscount(OisCurve,Q993,,AllTriggers)</f>
        <v>0.67782638305829113</v>
      </c>
      <c r="V993" s="34">
        <f>_xll.qlYieldTSDiscount(OisCurve,R993,,AllTriggers)</f>
        <v>0.67551373313355312</v>
      </c>
      <c r="W993" s="33">
        <f t="shared" si="65"/>
        <v>1.354368432269386E-2</v>
      </c>
      <c r="X993" s="35">
        <f t="shared" si="66"/>
        <v>1.0064507109773074E-4</v>
      </c>
      <c r="Y993" s="33">
        <f t="shared" si="67"/>
        <v>3.9953953579871179E-4</v>
      </c>
      <c r="Z993" s="54"/>
    </row>
    <row r="994" spans="15:26" x14ac:dyDescent="0.25">
      <c r="O994" s="37" t="s">
        <v>19</v>
      </c>
      <c r="P994" s="31">
        <f>_xll.qlCalendarAdvance(Calendar,P993,O993,"f",,Trigger)</f>
        <v>54080</v>
      </c>
      <c r="Q994" s="31">
        <f>_xll.qlInterestRateIndexValueDate(Index,P994,Trigger)</f>
        <v>54084</v>
      </c>
      <c r="R994" s="31">
        <f>_xll.qlInterestRateIndexMaturity(Index,Q994,Trigger)</f>
        <v>54175</v>
      </c>
      <c r="S994" s="32">
        <f>_xll.qlDayCounterYearFraction(DayCounter,Q994,R994,,,Trigger)</f>
        <v>0.25277777777777777</v>
      </c>
      <c r="T994" s="33">
        <f>_xll.qlIndexFixing(Index,P994,,AllTriggers)</f>
        <v>1.3934095066734009E-2</v>
      </c>
      <c r="U994" s="34">
        <f>_xll.qlYieldTSDiscount(OisCurve,Q994,,AllTriggers)</f>
        <v>0.67703727614471454</v>
      </c>
      <c r="V994" s="34">
        <f>_xll.qlYieldTSDiscount(OisCurve,R994,,AllTriggers)</f>
        <v>0.67472855535440612</v>
      </c>
      <c r="W994" s="33">
        <f t="shared" si="65"/>
        <v>1.3536407872785315E-2</v>
      </c>
      <c r="X994" s="35">
        <f t="shared" si="66"/>
        <v>1.00178668256468E-4</v>
      </c>
      <c r="Y994" s="33">
        <f t="shared" si="67"/>
        <v>3.9768719394869465E-4</v>
      </c>
      <c r="Z994" s="54"/>
    </row>
    <row r="995" spans="15:26" x14ac:dyDescent="0.25">
      <c r="O995" s="37" t="s">
        <v>19</v>
      </c>
      <c r="P995" s="31">
        <f>_xll.qlCalendarAdvance(Calendar,P994,O994,"f",,Trigger)</f>
        <v>54112</v>
      </c>
      <c r="Q995" s="31">
        <f>_xll.qlInterestRateIndexValueDate(Index,P995,Trigger)</f>
        <v>54114</v>
      </c>
      <c r="R995" s="31">
        <f>_xll.qlInterestRateIndexMaturity(Index,Q995,Trigger)</f>
        <v>54204</v>
      </c>
      <c r="S995" s="32">
        <f>_xll.qlDayCounterYearFraction(DayCounter,Q995,R995,,,Trigger)</f>
        <v>0.25</v>
      </c>
      <c r="T995" s="33">
        <f>_xll.qlIndexFixing(Index,P995,,AllTriggers)</f>
        <v>1.3924750604502378E-2</v>
      </c>
      <c r="U995" s="34">
        <f>_xll.qlYieldTSDiscount(OisCurve,Q995,,AllTriggers)</f>
        <v>0.67627487785515172</v>
      </c>
      <c r="V995" s="34">
        <f>_xll.qlYieldTSDiscount(OisCurve,R995,,AllTriggers)</f>
        <v>0.67399528522657637</v>
      </c>
      <c r="W995" s="33">
        <f t="shared" si="65"/>
        <v>1.3528834272536372E-2</v>
      </c>
      <c r="X995" s="35">
        <f t="shared" si="66"/>
        <v>9.8640578385405668E-5</v>
      </c>
      <c r="Y995" s="33">
        <f t="shared" si="67"/>
        <v>3.959163319660064E-4</v>
      </c>
      <c r="Z995" s="54"/>
    </row>
    <row r="996" spans="15:26" x14ac:dyDescent="0.25">
      <c r="O996" s="37" t="s">
        <v>19</v>
      </c>
      <c r="P996" s="31">
        <f>_xll.qlCalendarAdvance(Calendar,P995,O995,"f",,Trigger)</f>
        <v>54141</v>
      </c>
      <c r="Q996" s="31">
        <f>_xll.qlInterestRateIndexValueDate(Index,P996,Trigger)</f>
        <v>54143</v>
      </c>
      <c r="R996" s="31">
        <f>_xll.qlInterestRateIndexMaturity(Index,Q996,Trigger)</f>
        <v>54235</v>
      </c>
      <c r="S996" s="32">
        <f>_xll.qlDayCounterYearFraction(DayCounter,Q996,R996,,,Trigger)</f>
        <v>0.25555555555555554</v>
      </c>
      <c r="T996" s="33">
        <f>_xll.qlIndexFixing(Index,P996,,AllTriggers)</f>
        <v>1.3915657163774893E-2</v>
      </c>
      <c r="U996" s="34">
        <f>_xll.qlYieldTSDiscount(OisCurve,Q996,,AllTriggers)</f>
        <v>0.67553908421394915</v>
      </c>
      <c r="V996" s="34">
        <f>_xll.qlYieldTSDiscount(OisCurve,R996,,AllTriggers)</f>
        <v>0.67321280297871156</v>
      </c>
      <c r="W996" s="33">
        <f t="shared" si="65"/>
        <v>1.3521489157470675E-2</v>
      </c>
      <c r="X996" s="35">
        <f t="shared" si="66"/>
        <v>1.0037990626201307E-4</v>
      </c>
      <c r="Y996" s="33">
        <f t="shared" si="67"/>
        <v>3.9416800630421786E-4</v>
      </c>
      <c r="Z996" s="54"/>
    </row>
    <row r="997" spans="15:26" x14ac:dyDescent="0.25">
      <c r="O997" s="37" t="s">
        <v>19</v>
      </c>
      <c r="P997" s="31">
        <f>_xll.qlCalendarAdvance(Calendar,P996,O996,"f",,Trigger)</f>
        <v>54172</v>
      </c>
      <c r="Q997" s="31">
        <f>_xll.qlInterestRateIndexValueDate(Index,P997,Trigger)</f>
        <v>54176</v>
      </c>
      <c r="R997" s="31">
        <f>_xll.qlInterestRateIndexMaturity(Index,Q997,Trigger)</f>
        <v>54267</v>
      </c>
      <c r="S997" s="32">
        <f>_xll.qlDayCounterYearFraction(DayCounter,Q997,R997,,,Trigger)</f>
        <v>0.25277777777777777</v>
      </c>
      <c r="T997" s="33">
        <f>_xll.qlIndexFixing(Index,P997,,AllTriggers)</f>
        <v>1.3904519642942247E-2</v>
      </c>
      <c r="U997" s="34">
        <f>_xll.qlYieldTSDiscount(OisCurve,Q997,,AllTriggers)</f>
        <v>0.67470324993513364</v>
      </c>
      <c r="V997" s="34">
        <f>_xll.qlYieldTSDiscount(OisCurve,R997,,AllTriggers)</f>
        <v>0.67240657434690043</v>
      </c>
      <c r="W997" s="33">
        <f t="shared" si="65"/>
        <v>1.351228546307515E-2</v>
      </c>
      <c r="X997" s="35">
        <f t="shared" si="66"/>
        <v>9.8805704929298596E-5</v>
      </c>
      <c r="Y997" s="33">
        <f t="shared" si="67"/>
        <v>3.922341798670969E-4</v>
      </c>
      <c r="Z997" s="54"/>
    </row>
    <row r="998" spans="15:26" x14ac:dyDescent="0.25">
      <c r="O998" s="37" t="s">
        <v>19</v>
      </c>
      <c r="P998" s="31">
        <f>_xll.qlCalendarAdvance(Calendar,P997,O997,"f",,Trigger)</f>
        <v>54203</v>
      </c>
      <c r="Q998" s="31">
        <f>_xll.qlInterestRateIndexValueDate(Index,P998,Trigger)</f>
        <v>54205</v>
      </c>
      <c r="R998" s="31">
        <f>_xll.qlInterestRateIndexMaturity(Index,Q998,Trigger)</f>
        <v>54297</v>
      </c>
      <c r="S998" s="32">
        <f>_xll.qlDayCounterYearFraction(DayCounter,Q998,R998,,,Trigger)</f>
        <v>0.25555555555555554</v>
      </c>
      <c r="T998" s="33">
        <f>_xll.qlIndexFixing(Index,P998,,AllTriggers)</f>
        <v>1.3894514060495425E-2</v>
      </c>
      <c r="U998" s="34">
        <f>_xll.qlYieldTSDiscount(OisCurve,Q998,,AllTriggers)</f>
        <v>0.67397002184569721</v>
      </c>
      <c r="V998" s="34">
        <f>_xll.qlYieldTSDiscount(OisCurve,R998,,AllTriggers)</f>
        <v>0.67165213548849312</v>
      </c>
      <c r="W998" s="33">
        <f t="shared" si="65"/>
        <v>1.3503999487488837E-2</v>
      </c>
      <c r="X998" s="35">
        <f t="shared" si="66"/>
        <v>9.9450002121064654E-5</v>
      </c>
      <c r="Y998" s="33">
        <f t="shared" si="67"/>
        <v>3.9051457300658815E-4</v>
      </c>
      <c r="Z998" s="54"/>
    </row>
    <row r="999" spans="15:26" x14ac:dyDescent="0.25">
      <c r="O999" s="37" t="s">
        <v>19</v>
      </c>
      <c r="P999" s="31">
        <f>_xll.qlCalendarAdvance(Calendar,P998,O998,"f",,Trigger)</f>
        <v>54234</v>
      </c>
      <c r="Q999" s="31">
        <f>_xll.qlInterestRateIndexValueDate(Index,P999,Trigger)</f>
        <v>54238</v>
      </c>
      <c r="R999" s="31">
        <f>_xll.qlInterestRateIndexMaturity(Index,Q999,Trigger)</f>
        <v>54330</v>
      </c>
      <c r="S999" s="32">
        <f>_xll.qlDayCounterYearFraction(DayCounter,Q999,R999,,,Trigger)</f>
        <v>0.25555555555555554</v>
      </c>
      <c r="T999" s="33">
        <f>_xll.qlIndexFixing(Index,P999,,AllTriggers)</f>
        <v>1.3882572423641279E-2</v>
      </c>
      <c r="U999" s="34">
        <f>_xll.qlYieldTSDiscount(OisCurve,Q999,,AllTriggers)</f>
        <v>0.67313715416584918</v>
      </c>
      <c r="V999" s="34">
        <f>_xll.qlYieldTSDiscount(OisCurve,R999,,AllTriggers)</f>
        <v>0.67082384219440772</v>
      </c>
      <c r="W999" s="33">
        <f t="shared" si="65"/>
        <v>1.3493990156074694E-2</v>
      </c>
      <c r="X999" s="35">
        <f t="shared" si="66"/>
        <v>9.8958190087406655E-5</v>
      </c>
      <c r="Y999" s="33">
        <f t="shared" si="67"/>
        <v>3.8858226756658537E-4</v>
      </c>
      <c r="Z999" s="54"/>
    </row>
    <row r="1000" spans="15:26" x14ac:dyDescent="0.25">
      <c r="O1000" s="37" t="s">
        <v>19</v>
      </c>
      <c r="P1000" s="31">
        <f>_xll.qlCalendarAdvance(Calendar,P999,O999,"f",,Trigger)</f>
        <v>54266</v>
      </c>
      <c r="Q1000" s="31">
        <f>_xll.qlInterestRateIndexValueDate(Index,P1000,Trigger)</f>
        <v>54268</v>
      </c>
      <c r="R1000" s="31">
        <f>_xll.qlInterestRateIndexMaturity(Index,Q1000,Trigger)</f>
        <v>54360</v>
      </c>
      <c r="S1000" s="32">
        <f>_xll.qlDayCounterYearFraction(DayCounter,Q1000,R1000,,,Trigger)</f>
        <v>0.25555555555555554</v>
      </c>
      <c r="T1000" s="33">
        <f>_xll.qlIndexFixing(Index,P1000,,AllTriggers)</f>
        <v>1.3871301589833287E-2</v>
      </c>
      <c r="U1000" s="34">
        <f>_xll.qlYieldTSDiscount(OisCurve,Q1000,,AllTriggers)</f>
        <v>0.67238140443253014</v>
      </c>
      <c r="V1000" s="34">
        <f>_xll.qlYieldTSDiscount(OisCurve,R1000,,AllTriggers)</f>
        <v>0.6700723145603974</v>
      </c>
      <c r="W1000" s="33">
        <f t="shared" si="65"/>
        <v>1.3484468569328684E-2</v>
      </c>
      <c r="X1000" s="35">
        <f t="shared" si="66"/>
        <v>9.8512979410553088E-5</v>
      </c>
      <c r="Y1000" s="33">
        <f t="shared" si="67"/>
        <v>3.8683302050460285E-4</v>
      </c>
      <c r="Z1000" s="54"/>
    </row>
    <row r="1001" spans="15:26" x14ac:dyDescent="0.25">
      <c r="O1001" s="37" t="s">
        <v>19</v>
      </c>
      <c r="P1001" s="31">
        <f>_xll.qlCalendarAdvance(Calendar,P1000,O1000,"f",,Trigger)</f>
        <v>54297</v>
      </c>
      <c r="Q1001" s="31">
        <f>_xll.qlInterestRateIndexValueDate(Index,P1001,Trigger)</f>
        <v>54301</v>
      </c>
      <c r="R1001" s="31">
        <f>_xll.qlInterestRateIndexMaturity(Index,Q1001,Trigger)</f>
        <v>54392</v>
      </c>
      <c r="S1001" s="32">
        <f>_xll.qlDayCounterYearFraction(DayCounter,Q1001,R1001,,,Trigger)</f>
        <v>0.25277777777777777</v>
      </c>
      <c r="T1001" s="33">
        <f>_xll.qlIndexFixing(Index,P1001,,AllTriggers)</f>
        <v>1.3858382635314276E-2</v>
      </c>
      <c r="U1001" s="34">
        <f>_xll.qlYieldTSDiscount(OisCurve,Q1001,,AllTriggers)</f>
        <v>0.6715516471368792</v>
      </c>
      <c r="V1001" s="34">
        <f>_xll.qlYieldTSDiscount(OisCurve,R1001,,AllTriggers)</f>
        <v>0.66927224702193366</v>
      </c>
      <c r="W1001" s="33">
        <f t="shared" si="65"/>
        <v>1.3473451332041619E-2</v>
      </c>
      <c r="X1001" s="35">
        <f t="shared" si="66"/>
        <v>9.6967112430380024E-5</v>
      </c>
      <c r="Y1001" s="33">
        <f t="shared" si="67"/>
        <v>3.849313032726568E-4</v>
      </c>
      <c r="Z1001" s="54"/>
    </row>
    <row r="1002" spans="15:26" x14ac:dyDescent="0.25">
      <c r="O1002" s="37" t="s">
        <v>19</v>
      </c>
      <c r="P1002" s="31">
        <f>_xll.qlCalendarAdvance(Calendar,P1001,O1001,"f",,Trigger)</f>
        <v>54329</v>
      </c>
      <c r="Q1002" s="31">
        <f>_xll.qlInterestRateIndexValueDate(Index,P1002,Trigger)</f>
        <v>54331</v>
      </c>
      <c r="R1002" s="31">
        <f>_xll.qlInterestRateIndexMaturity(Index,Q1002,Trigger)</f>
        <v>54423</v>
      </c>
      <c r="S1002" s="32">
        <f>_xll.qlDayCounterYearFraction(DayCounter,Q1002,R1002,,,Trigger)</f>
        <v>0.25555555555555554</v>
      </c>
      <c r="T1002" s="33">
        <f>_xll.qlIndexFixing(Index,P1002,,AllTriggers)</f>
        <v>1.3846346973531227E-2</v>
      </c>
      <c r="U1002" s="34">
        <f>_xll.qlYieldTSDiscount(OisCurve,Q1002,,AllTriggers)</f>
        <v>0.67079876865569232</v>
      </c>
      <c r="V1002" s="34">
        <f>_xll.qlYieldTSDiscount(OisCurve,R1002,,AllTriggers)</f>
        <v>0.66849874093248052</v>
      </c>
      <c r="W1002" s="33">
        <f t="shared" si="65"/>
        <v>1.3463164447518534E-2</v>
      </c>
      <c r="X1002" s="35">
        <f t="shared" si="66"/>
        <v>9.758389962383199E-5</v>
      </c>
      <c r="Y1002" s="33">
        <f t="shared" si="67"/>
        <v>3.8318252601269275E-4</v>
      </c>
      <c r="Z1002" s="54"/>
    </row>
    <row r="1003" spans="15:26" x14ac:dyDescent="0.25">
      <c r="O1003" s="37" t="s">
        <v>19</v>
      </c>
      <c r="P1003" s="31">
        <f>_xll.qlCalendarAdvance(Calendar,P1002,O1002,"f",,Trigger)</f>
        <v>54359</v>
      </c>
      <c r="Q1003" s="31">
        <f>_xll.qlInterestRateIndexValueDate(Index,P1003,Trigger)</f>
        <v>54361</v>
      </c>
      <c r="R1003" s="31">
        <f>_xll.qlInterestRateIndexMaturity(Index,Q1003,Trigger)</f>
        <v>54452</v>
      </c>
      <c r="S1003" s="32">
        <f>_xll.qlDayCounterYearFraction(DayCounter,Q1003,R1003,,,Trigger)</f>
        <v>0.25277777777777777</v>
      </c>
      <c r="T1003" s="33">
        <f>_xll.qlIndexFixing(Index,P1003,,AllTriggers)</f>
        <v>1.3833800864201568E-2</v>
      </c>
      <c r="U1003" s="34">
        <f>_xll.qlYieldTSDiscount(OisCurve,Q1003,,AllTriggers)</f>
        <v>0.67004728792888124</v>
      </c>
      <c r="V1003" s="34">
        <f>_xll.qlYieldTSDiscount(OisCurve,R1003,,AllTriggers)</f>
        <v>0.6677765468594532</v>
      </c>
      <c r="W1003" s="33">
        <f t="shared" si="65"/>
        <v>1.3452331510741447E-2</v>
      </c>
      <c r="X1003" s="35">
        <f t="shared" si="66"/>
        <v>9.6095574189367027E-5</v>
      </c>
      <c r="Y1003" s="33">
        <f t="shared" si="67"/>
        <v>3.8146935346012115E-4</v>
      </c>
      <c r="Z1003" s="54"/>
    </row>
    <row r="1004" spans="15:26" x14ac:dyDescent="0.25">
      <c r="O1004" s="37" t="s">
        <v>19</v>
      </c>
      <c r="P1004" s="31">
        <f>_xll.qlCalendarAdvance(Calendar,P1003,O1003,"f",,Trigger)</f>
        <v>54392</v>
      </c>
      <c r="Q1004" s="31">
        <f>_xll.qlInterestRateIndexValueDate(Index,P1004,Trigger)</f>
        <v>54394</v>
      </c>
      <c r="R1004" s="31">
        <f>_xll.qlInterestRateIndexMaturity(Index,Q1004,Trigger)</f>
        <v>54484</v>
      </c>
      <c r="S1004" s="32">
        <f>_xll.qlDayCounterYearFraction(DayCounter,Q1004,R1004,,,Trigger)</f>
        <v>0.25</v>
      </c>
      <c r="T1004" s="33">
        <f>_xll.qlIndexFixing(Index,P1004,,AllTriggers)</f>
        <v>1.3819564362100856E-2</v>
      </c>
      <c r="U1004" s="34">
        <f>_xll.qlYieldTSDiscount(OisCurve,Q1004,,AllTriggers)</f>
        <v>0.66922229685803281</v>
      </c>
      <c r="V1004" s="34">
        <f>_xll.qlYieldTSDiscount(OisCurve,R1004,,AllTriggers)</f>
        <v>0.6669812444000931</v>
      </c>
      <c r="W1004" s="33">
        <f t="shared" si="65"/>
        <v>1.3439972873332096E-2</v>
      </c>
      <c r="X1004" s="35">
        <f t="shared" si="66"/>
        <v>9.457561133805999E-5</v>
      </c>
      <c r="Y1004" s="33">
        <f t="shared" si="67"/>
        <v>3.7959148876876014E-4</v>
      </c>
      <c r="Z1004" s="54"/>
    </row>
    <row r="1005" spans="15:26" x14ac:dyDescent="0.25">
      <c r="O1005" s="37" t="s">
        <v>19</v>
      </c>
      <c r="P1005" s="31">
        <f>_xll.qlCalendarAdvance(Calendar,P1004,O1004,"f",,Trigger)</f>
        <v>54422</v>
      </c>
      <c r="Q1005" s="31">
        <f>_xll.qlInterestRateIndexValueDate(Index,P1005,Trigger)</f>
        <v>54427</v>
      </c>
      <c r="R1005" s="31">
        <f>_xll.qlInterestRateIndexMaturity(Index,Q1005,Trigger)</f>
        <v>54518</v>
      </c>
      <c r="S1005" s="32">
        <f>_xll.qlDayCounterYearFraction(DayCounter,Q1005,R1005,,,Trigger)</f>
        <v>0.25277777777777777</v>
      </c>
      <c r="T1005" s="33">
        <f>_xll.qlIndexFixing(Index,P1005,,AllTriggers)</f>
        <v>1.380493593205598E-2</v>
      </c>
      <c r="U1005" s="34">
        <f>_xll.qlYieldTSDiscount(OisCurve,Q1005,,AllTriggers)</f>
        <v>0.6683990465974492</v>
      </c>
      <c r="V1005" s="34">
        <f>_xll.qlYieldTSDiscount(OisCurve,R1005,,AllTriggers)</f>
        <v>0.66613810164458354</v>
      </c>
      <c r="W1005" s="33">
        <f t="shared" si="65"/>
        <v>1.3427242179437061E-2</v>
      </c>
      <c r="X1005" s="35">
        <f t="shared" si="66"/>
        <v>9.5145112834013981E-5</v>
      </c>
      <c r="Y1005" s="33">
        <f t="shared" si="67"/>
        <v>3.776937526189187E-4</v>
      </c>
      <c r="Z1005" s="54"/>
    </row>
    <row r="1006" spans="15:26" x14ac:dyDescent="0.25">
      <c r="O1006" s="37" t="s">
        <v>19</v>
      </c>
      <c r="P1006" s="31">
        <f>_xll.qlCalendarAdvance(Calendar,P1005,O1005,"f",,Trigger)</f>
        <v>54455</v>
      </c>
      <c r="Q1006" s="31">
        <f>_xll.qlInterestRateIndexValueDate(Index,P1006,Trigger)</f>
        <v>54457</v>
      </c>
      <c r="R1006" s="31">
        <f>_xll.qlInterestRateIndexMaturity(Index,Q1006,Trigger)</f>
        <v>54546</v>
      </c>
      <c r="S1006" s="32">
        <f>_xll.qlDayCounterYearFraction(DayCounter,Q1006,R1006,,,Trigger)</f>
        <v>0.24722222222222223</v>
      </c>
      <c r="T1006" s="33">
        <f>_xll.qlIndexFixing(Index,P1006,,AllTriggers)</f>
        <v>1.3791127119042984E-2</v>
      </c>
      <c r="U1006" s="34">
        <f>_xll.qlYieldTSDiscount(OisCurve,Q1006,,AllTriggers)</f>
        <v>0.66765216955713091</v>
      </c>
      <c r="V1006" s="34">
        <f>_xll.qlYieldTSDiscount(OisCurve,R1006,,AllTriggers)</f>
        <v>0.66544521165080395</v>
      </c>
      <c r="W1006" s="33">
        <f t="shared" si="65"/>
        <v>1.3415110047223086E-2</v>
      </c>
      <c r="X1006" s="35">
        <f t="shared" si="66"/>
        <v>9.2648200885277811E-5</v>
      </c>
      <c r="Y1006" s="33">
        <f t="shared" si="67"/>
        <v>3.7601707181989831E-4</v>
      </c>
      <c r="Z1006" s="54"/>
    </row>
    <row r="1007" spans="15:26" x14ac:dyDescent="0.25">
      <c r="O1007" s="37" t="s">
        <v>19</v>
      </c>
      <c r="P1007" s="31">
        <f>_xll.qlCalendarAdvance(Calendar,P1006,O1006,"f",,Trigger)</f>
        <v>54483</v>
      </c>
      <c r="Q1007" s="31">
        <f>_xll.qlInterestRateIndexValueDate(Index,P1007,Trigger)</f>
        <v>54485</v>
      </c>
      <c r="R1007" s="31">
        <f>_xll.qlInterestRateIndexMaturity(Index,Q1007,Trigger)</f>
        <v>54577</v>
      </c>
      <c r="S1007" s="32">
        <f>_xll.qlDayCounterYearFraction(DayCounter,Q1007,R1007,,,Trigger)</f>
        <v>0.25555555555555554</v>
      </c>
      <c r="T1007" s="33">
        <f>_xll.qlIndexFixing(Index,P1007,,AllTriggers)</f>
        <v>1.377801279465494E-2</v>
      </c>
      <c r="U1007" s="34">
        <f>_xll.qlYieldTSDiscount(OisCurve,Q1007,,AllTriggers)</f>
        <v>0.66695641851249887</v>
      </c>
      <c r="V1007" s="34">
        <f>_xll.qlYieldTSDiscount(OisCurve,R1007,,AllTriggers)</f>
        <v>0.66467964459730966</v>
      </c>
      <c r="W1007" s="33">
        <f t="shared" si="65"/>
        <v>1.3403622922292633E-2</v>
      </c>
      <c r="X1007" s="35">
        <f t="shared" si="66"/>
        <v>9.5346254428620958E-5</v>
      </c>
      <c r="Y1007" s="33">
        <f t="shared" si="67"/>
        <v>3.7438987236230667E-4</v>
      </c>
      <c r="Z1007" s="54"/>
    </row>
    <row r="1008" spans="15:26" x14ac:dyDescent="0.25">
      <c r="O1008" s="37" t="s">
        <v>19</v>
      </c>
      <c r="P1008" s="31">
        <f>_xll.qlCalendarAdvance(Calendar,P1007,O1007,"f",,Trigger)</f>
        <v>54514</v>
      </c>
      <c r="Q1008" s="31">
        <f>_xll.qlInterestRateIndexValueDate(Index,P1008,Trigger)</f>
        <v>54518</v>
      </c>
      <c r="R1008" s="31">
        <f>_xll.qlInterestRateIndexMaturity(Index,Q1008,Trigger)</f>
        <v>54609</v>
      </c>
      <c r="S1008" s="32">
        <f>_xll.qlDayCounterYearFraction(DayCounter,Q1008,R1008,,,Trigger)</f>
        <v>0.25277777777777777</v>
      </c>
      <c r="T1008" s="33">
        <f>_xll.qlIndexFixing(Index,P1008,,AllTriggers)</f>
        <v>1.3762002042084836E-2</v>
      </c>
      <c r="U1008" s="34">
        <f>_xll.qlYieldTSDiscount(OisCurve,Q1008,,AllTriggers)</f>
        <v>0.66613810164458354</v>
      </c>
      <c r="V1008" s="34">
        <f>_xll.qlYieldTSDiscount(OisCurve,R1008,,AllTriggers)</f>
        <v>0.66389112398173045</v>
      </c>
      <c r="W1008" s="33">
        <f t="shared" si="65"/>
        <v>1.3389458122564781E-2</v>
      </c>
      <c r="X1008" s="35">
        <f t="shared" si="66"/>
        <v>9.3848768710970271E-5</v>
      </c>
      <c r="Y1008" s="33">
        <f t="shared" si="67"/>
        <v>3.7254391952005507E-4</v>
      </c>
      <c r="Z1008" s="54"/>
    </row>
    <row r="1009" spans="15:26" x14ac:dyDescent="0.25">
      <c r="O1009" s="37" t="s">
        <v>19</v>
      </c>
      <c r="P1009" s="31">
        <f>_xll.qlCalendarAdvance(Calendar,P1008,O1008,"f",,Trigger)</f>
        <v>54546</v>
      </c>
      <c r="Q1009" s="31">
        <f>_xll.qlInterestRateIndexValueDate(Index,P1009,Trigger)</f>
        <v>54548</v>
      </c>
      <c r="R1009" s="31">
        <f>_xll.qlInterestRateIndexMaturity(Index,Q1009,Trigger)</f>
        <v>54640</v>
      </c>
      <c r="S1009" s="32">
        <f>_xll.qlDayCounterYearFraction(DayCounter,Q1009,R1009,,,Trigger)</f>
        <v>0.25555555555555554</v>
      </c>
      <c r="T1009" s="33">
        <f>_xll.qlIndexFixing(Index,P1009,,AllTriggers)</f>
        <v>1.3747057723173191E-2</v>
      </c>
      <c r="U1009" s="34">
        <f>_xll.qlYieldTSDiscount(OisCurve,Q1009,,AllTriggers)</f>
        <v>0.66539577051847343</v>
      </c>
      <c r="V1009" s="34">
        <f>_xll.qlYieldTSDiscount(OisCurve,R1009,,AllTriggers)</f>
        <v>0.66312895363401969</v>
      </c>
      <c r="W1009" s="33">
        <f t="shared" si="65"/>
        <v>1.3376211334935269E-2</v>
      </c>
      <c r="X1009" s="35">
        <f t="shared" si="66"/>
        <v>9.444453360116833E-5</v>
      </c>
      <c r="Y1009" s="33">
        <f t="shared" si="67"/>
        <v>3.7084638823792204E-4</v>
      </c>
      <c r="Z1009" s="54"/>
    </row>
    <row r="1010" spans="15:26" x14ac:dyDescent="0.25">
      <c r="O1010" s="37" t="s">
        <v>19</v>
      </c>
      <c r="P1010" s="31">
        <f>_xll.qlCalendarAdvance(Calendar,P1009,O1009,"f",,Trigger)</f>
        <v>54577</v>
      </c>
      <c r="Q1010" s="31">
        <f>_xll.qlInterestRateIndexValueDate(Index,P1010,Trigger)</f>
        <v>54581</v>
      </c>
      <c r="R1010" s="31">
        <f>_xll.qlInterestRateIndexMaturity(Index,Q1010,Trigger)</f>
        <v>54673</v>
      </c>
      <c r="S1010" s="32">
        <f>_xll.qlDayCounterYearFraction(DayCounter,Q1010,R1010,,,Trigger)</f>
        <v>0.25555555555555554</v>
      </c>
      <c r="T1010" s="33">
        <f>_xll.qlIndexFixing(Index,P1010,,AllTriggers)</f>
        <v>1.3730147947135521E-2</v>
      </c>
      <c r="U1010" s="34">
        <f>_xll.qlYieldTSDiscount(OisCurve,Q1010,,AllTriggers)</f>
        <v>0.66458098227858731</v>
      </c>
      <c r="V1010" s="34">
        <f>_xll.qlYieldTSDiscount(OisCurve,R1010,,AllTriggers)</f>
        <v>0.66231948253580486</v>
      </c>
      <c r="W1010" s="33">
        <f t="shared" si="65"/>
        <v>1.3361145267390432E-2</v>
      </c>
      <c r="X1010" s="35">
        <f t="shared" si="66"/>
        <v>9.3975373608627035E-5</v>
      </c>
      <c r="Y1010" s="33">
        <f t="shared" si="67"/>
        <v>3.6900267974508856E-4</v>
      </c>
      <c r="Z1010" s="54"/>
    </row>
    <row r="1011" spans="15:26" x14ac:dyDescent="0.25">
      <c r="O1011" s="37" t="s">
        <v>19</v>
      </c>
      <c r="P1011" s="31">
        <f>_xll.qlCalendarAdvance(Calendar,P1010,O1010,"f",,Trigger)</f>
        <v>54609</v>
      </c>
      <c r="Q1011" s="31">
        <f>_xll.qlInterestRateIndexValueDate(Index,P1011,Trigger)</f>
        <v>54611</v>
      </c>
      <c r="R1011" s="31">
        <f>_xll.qlInterestRateIndexMaturity(Index,Q1011,Trigger)</f>
        <v>54703</v>
      </c>
      <c r="S1011" s="32">
        <f>_xll.qlDayCounterYearFraction(DayCounter,Q1011,R1011,,,Trigger)</f>
        <v>0.25555555555555554</v>
      </c>
      <c r="T1011" s="33">
        <f>_xll.qlIndexFixing(Index,P1011,,AllTriggers)</f>
        <v>1.37143606714175E-2</v>
      </c>
      <c r="U1011" s="34">
        <f>_xll.qlYieldTSDiscount(OisCurve,Q1011,,AllTriggers)</f>
        <v>0.66384190071944382</v>
      </c>
      <c r="V1011" s="34">
        <f>_xll.qlYieldTSDiscount(OisCurve,R1011,,AllTriggers)</f>
        <v>0.66158529492435891</v>
      </c>
      <c r="W1011" s="33">
        <f t="shared" si="65"/>
        <v>1.3347026690598406E-2</v>
      </c>
      <c r="X1011" s="35">
        <f t="shared" si="66"/>
        <v>9.3550755697431495E-5</v>
      </c>
      <c r="Y1011" s="33">
        <f t="shared" si="67"/>
        <v>3.6733398081909355E-4</v>
      </c>
      <c r="Z1011" s="54"/>
    </row>
    <row r="1012" spans="15:26" x14ac:dyDescent="0.25">
      <c r="O1012" s="37" t="s">
        <v>19</v>
      </c>
      <c r="P1012" s="31">
        <f>_xll.qlCalendarAdvance(Calendar,P1011,O1011,"f",,Trigger)</f>
        <v>54640</v>
      </c>
      <c r="Q1012" s="31">
        <f>_xll.qlInterestRateIndexValueDate(Index,P1012,Trigger)</f>
        <v>54644</v>
      </c>
      <c r="R1012" s="31">
        <f>_xll.qlInterestRateIndexMaturity(Index,Q1012,Trigger)</f>
        <v>54736</v>
      </c>
      <c r="S1012" s="32">
        <f>_xll.qlDayCounterYearFraction(DayCounter,Q1012,R1012,,,Trigger)</f>
        <v>0.25555555555555554</v>
      </c>
      <c r="T1012" s="33">
        <f>_xll.qlIndexFixing(Index,P1012,,AllTriggers)</f>
        <v>1.3696538446744051E-2</v>
      </c>
      <c r="U1012" s="34">
        <f>_xll.qlYieldTSDiscount(OisCurve,Q1012,,AllTriggers)</f>
        <v>0.66303073266552692</v>
      </c>
      <c r="V1012" s="34">
        <f>_xll.qlYieldTSDiscount(OisCurve,R1012,,AllTriggers)</f>
        <v>0.66077957607784843</v>
      </c>
      <c r="W1012" s="33">
        <f t="shared" si="65"/>
        <v>1.3331031894547296E-2</v>
      </c>
      <c r="X1012" s="35">
        <f t="shared" si="66"/>
        <v>9.3085756284350568E-5</v>
      </c>
      <c r="Y1012" s="33">
        <f t="shared" si="67"/>
        <v>3.6550655219675515E-4</v>
      </c>
      <c r="Z1012" s="54"/>
    </row>
    <row r="1013" spans="15:26" x14ac:dyDescent="0.25">
      <c r="O1013" s="37" t="s">
        <v>19</v>
      </c>
      <c r="P1013" s="31">
        <f>_xll.qlCalendarAdvance(Calendar,P1012,O1012,"f",,Trigger)</f>
        <v>54672</v>
      </c>
      <c r="Q1013" s="31">
        <f>_xll.qlInterestRateIndexValueDate(Index,P1013,Trigger)</f>
        <v>54674</v>
      </c>
      <c r="R1013" s="31">
        <f>_xll.qlInterestRateIndexMaturity(Index,Q1013,Trigger)</f>
        <v>54765</v>
      </c>
      <c r="S1013" s="32">
        <f>_xll.qlDayCounterYearFraction(DayCounter,Q1013,R1013,,,Trigger)</f>
        <v>0.25277777777777777</v>
      </c>
      <c r="T1013" s="33">
        <f>_xll.qlIndexFixing(Index,P1013,,AllTriggers)</f>
        <v>1.3679945590568161E-2</v>
      </c>
      <c r="U1013" s="34">
        <f>_xll.qlYieldTSDiscount(OisCurve,Q1013,,AllTriggers)</f>
        <v>0.6622949834914218</v>
      </c>
      <c r="V1013" s="34">
        <f>_xll.qlYieldTSDiscount(OisCurve,R1013,,AllTriggers)</f>
        <v>0.66007317133140297</v>
      </c>
      <c r="W1013" s="33">
        <f t="shared" si="65"/>
        <v>1.3316079108894178E-2</v>
      </c>
      <c r="X1013" s="35">
        <f t="shared" si="66"/>
        <v>9.1664601313172454E-5</v>
      </c>
      <c r="Y1013" s="33">
        <f t="shared" si="67"/>
        <v>3.6386648167398283E-4</v>
      </c>
      <c r="Z1013" s="54"/>
    </row>
    <row r="1014" spans="15:26" x14ac:dyDescent="0.25">
      <c r="O1014" s="37" t="s">
        <v>19</v>
      </c>
      <c r="P1014" s="31">
        <f>_xll.qlCalendarAdvance(Calendar,P1013,O1013,"f",,Trigger)</f>
        <v>54702</v>
      </c>
      <c r="Q1014" s="31">
        <f>_xll.qlInterestRateIndexValueDate(Index,P1014,Trigger)</f>
        <v>54704</v>
      </c>
      <c r="R1014" s="31">
        <f>_xll.qlInterestRateIndexMaturity(Index,Q1014,Trigger)</f>
        <v>54798</v>
      </c>
      <c r="S1014" s="32">
        <f>_xll.qlDayCounterYearFraction(DayCounter,Q1014,R1014,,,Trigger)</f>
        <v>0.26111111111111113</v>
      </c>
      <c r="T1014" s="33">
        <f>_xll.qlIndexFixing(Index,P1014,,AllTriggers)</f>
        <v>1.3662847176421125E-2</v>
      </c>
      <c r="U1014" s="34">
        <f>_xll.qlYieldTSDiscount(OisCurve,Q1014,,AllTriggers)</f>
        <v>0.66156085003586851</v>
      </c>
      <c r="V1014" s="34">
        <f>_xll.qlYieldTSDiscount(OisCurve,R1014,,AllTriggers)</f>
        <v>0.65927123239604113</v>
      </c>
      <c r="W1014" s="33">
        <f t="shared" si="65"/>
        <v>1.3300668946194999E-2</v>
      </c>
      <c r="X1014" s="35">
        <f t="shared" si="66"/>
        <v>9.4237023543719829E-5</v>
      </c>
      <c r="Y1014" s="33">
        <f t="shared" si="67"/>
        <v>3.6217823022612582E-4</v>
      </c>
      <c r="Z1014" s="54"/>
    </row>
    <row r="1015" spans="15:26" x14ac:dyDescent="0.25">
      <c r="O1015" s="37" t="s">
        <v>19</v>
      </c>
      <c r="P1015" s="31">
        <f>_xll.qlCalendarAdvance(Calendar,P1014,O1014,"f",,Trigger)</f>
        <v>54735</v>
      </c>
      <c r="Q1015" s="31">
        <f>_xll.qlInterestRateIndexValueDate(Index,P1015,Trigger)</f>
        <v>54737</v>
      </c>
      <c r="R1015" s="31">
        <f>_xll.qlInterestRateIndexMaturity(Index,Q1015,Trigger)</f>
        <v>54829</v>
      </c>
      <c r="S1015" s="32">
        <f>_xll.qlDayCounterYearFraction(DayCounter,Q1015,R1015,,,Trigger)</f>
        <v>0.25555555555555554</v>
      </c>
      <c r="T1015" s="33">
        <f>_xll.qlIndexFixing(Index,P1015,,AllTriggers)</f>
        <v>1.3643740803475371E-2</v>
      </c>
      <c r="U1015" s="34">
        <f>_xll.qlYieldTSDiscount(OisCurve,Q1015,,AllTriggers)</f>
        <v>0.66075519147149042</v>
      </c>
      <c r="V1015" s="34">
        <f>_xll.qlYieldTSDiscount(OisCurve,R1015,,AllTriggers)</f>
        <v>0.65851975993149214</v>
      </c>
      <c r="W1015" s="33">
        <f t="shared" si="65"/>
        <v>1.328333839154471E-2</v>
      </c>
      <c r="X1015" s="35">
        <f t="shared" si="66"/>
        <v>9.1787028660408147E-5</v>
      </c>
      <c r="Y1015" s="33">
        <f t="shared" si="67"/>
        <v>3.6040241193066071E-4</v>
      </c>
      <c r="Z1015" s="54"/>
    </row>
    <row r="1016" spans="15:26" x14ac:dyDescent="0.25">
      <c r="O1016" s="37" t="s">
        <v>19</v>
      </c>
      <c r="P1016" s="31">
        <f>_xll.qlCalendarAdvance(Calendar,P1015,O1015,"f",,Trigger)</f>
        <v>54765</v>
      </c>
      <c r="Q1016" s="31">
        <f>_xll.qlInterestRateIndexValueDate(Index,P1016,Trigger)</f>
        <v>54767</v>
      </c>
      <c r="R1016" s="31">
        <f>_xll.qlInterestRateIndexMaturity(Index,Q1016,Trigger)</f>
        <v>54857</v>
      </c>
      <c r="S1016" s="32">
        <f>_xll.qlDayCounterYearFraction(DayCounter,Q1016,R1016,,,Trigger)</f>
        <v>0.25</v>
      </c>
      <c r="T1016" s="33">
        <f>_xll.qlIndexFixing(Index,P1016,,AllTriggers)</f>
        <v>1.3625992153734501E-2</v>
      </c>
      <c r="U1016" s="34">
        <f>_xll.qlYieldTSDiscount(OisCurve,Q1016,,AllTriggers)</f>
        <v>0.66002451115032923</v>
      </c>
      <c r="V1016" s="34">
        <f>_xll.qlYieldTSDiscount(OisCurve,R1016,,AllTriggers)</f>
        <v>0.65784257980626448</v>
      </c>
      <c r="W1016" s="33">
        <f t="shared" si="65"/>
        <v>1.326719437776358E-2</v>
      </c>
      <c r="X1016" s="35">
        <f t="shared" si="66"/>
        <v>8.9398916335800302E-5</v>
      </c>
      <c r="Y1016" s="33">
        <f t="shared" si="67"/>
        <v>3.5879777597092044E-4</v>
      </c>
      <c r="Z1016" s="54"/>
    </row>
    <row r="1017" spans="15:26" x14ac:dyDescent="0.25">
      <c r="O1017" s="37" t="s">
        <v>19</v>
      </c>
      <c r="P1017" s="31">
        <f>_xll.qlCalendarAdvance(Calendar,P1016,O1016,"f",,Trigger)</f>
        <v>54798</v>
      </c>
      <c r="Q1017" s="31">
        <f>_xll.qlInterestRateIndexValueDate(Index,P1017,Trigger)</f>
        <v>54800</v>
      </c>
      <c r="R1017" s="31">
        <f>_xll.qlInterestRateIndexMaturity(Index,Q1017,Trigger)</f>
        <v>54890</v>
      </c>
      <c r="S1017" s="32">
        <f>_xll.qlDayCounterYearFraction(DayCounter,Q1017,R1017,,,Trigger)</f>
        <v>0.25</v>
      </c>
      <c r="T1017" s="33">
        <f>_xll.qlIndexFixing(Index,P1017,,AllTriggers)</f>
        <v>1.3605926634523868E-2</v>
      </c>
      <c r="U1017" s="34">
        <f>_xll.qlYieldTSDiscount(OisCurve,Q1017,,AllTriggers)</f>
        <v>0.65922269557846924</v>
      </c>
      <c r="V1017" s="34">
        <f>_xll.qlYieldTSDiscount(OisCurve,R1017,,AllTriggers)</f>
        <v>0.65704640740469611</v>
      </c>
      <c r="W1017" s="33">
        <f t="shared" si="65"/>
        <v>1.324891605370393E-2</v>
      </c>
      <c r="X1017" s="35">
        <f t="shared" si="66"/>
        <v>8.8954039421887483E-5</v>
      </c>
      <c r="Y1017" s="33">
        <f t="shared" si="67"/>
        <v>3.5701058081993864E-4</v>
      </c>
      <c r="Z1017" s="54"/>
    </row>
    <row r="1018" spans="15:26" x14ac:dyDescent="0.25">
      <c r="O1018" s="37" t="s">
        <v>19</v>
      </c>
      <c r="P1018" s="31">
        <f>_xll.qlCalendarAdvance(Calendar,P1017,O1017,"f",,Trigger)</f>
        <v>54829</v>
      </c>
      <c r="Q1018" s="31">
        <f>_xll.qlInterestRateIndexValueDate(Index,P1018,Trigger)</f>
        <v>54833</v>
      </c>
      <c r="R1018" s="31">
        <f>_xll.qlInterestRateIndexMaturity(Index,Q1018,Trigger)</f>
        <v>54924</v>
      </c>
      <c r="S1018" s="32">
        <f>_xll.qlDayCounterYearFraction(DayCounter,Q1018,R1018,,,Trigger)</f>
        <v>0.25277777777777777</v>
      </c>
      <c r="T1018" s="33">
        <f>_xll.qlIndexFixing(Index,P1018,,AllTriggers)</f>
        <v>1.3585321031906589E-2</v>
      </c>
      <c r="U1018" s="34">
        <f>_xll.qlYieldTSDiscount(OisCurve,Q1018,,AllTriggers)</f>
        <v>0.6584229283500046</v>
      </c>
      <c r="V1018" s="34">
        <f>_xll.qlYieldTSDiscount(OisCurve,R1018,,AllTriggers)</f>
        <v>0.65622831975029383</v>
      </c>
      <c r="W1018" s="33">
        <f t="shared" si="65"/>
        <v>1.3230102733255063E-2</v>
      </c>
      <c r="X1018" s="35">
        <f t="shared" si="66"/>
        <v>8.9488002022654106E-5</v>
      </c>
      <c r="Y1018" s="33">
        <f t="shared" si="67"/>
        <v>3.5521829865152628E-4</v>
      </c>
      <c r="Z1018" s="54"/>
    </row>
    <row r="1019" spans="15:26" x14ac:dyDescent="0.25">
      <c r="O1019" s="37" t="s">
        <v>19</v>
      </c>
      <c r="P1019" s="31">
        <f>_xll.qlCalendarAdvance(Calendar,P1018,O1018,"f",,Trigger)</f>
        <v>54857</v>
      </c>
      <c r="Q1019" s="31">
        <f>_xll.qlInterestRateIndexValueDate(Index,P1019,Trigger)</f>
        <v>54861</v>
      </c>
      <c r="R1019" s="31">
        <f>_xll.qlInterestRateIndexMaturity(Index,Q1019,Trigger)</f>
        <v>54953</v>
      </c>
      <c r="S1019" s="32">
        <f>_xll.qlDayCounterYearFraction(DayCounter,Q1019,R1019,,,Trigger)</f>
        <v>0.25555555555555554</v>
      </c>
      <c r="T1019" s="33">
        <f>_xll.qlIndexFixing(Index,P1019,,AllTriggers)</f>
        <v>1.3567439527006994E-2</v>
      </c>
      <c r="U1019" s="34">
        <f>_xll.qlYieldTSDiscount(OisCurve,Q1019,,AllTriggers)</f>
        <v>0.65774596227256288</v>
      </c>
      <c r="V1019" s="34">
        <f>_xll.qlYieldTSDiscount(OisCurve,R1019,,AllTriggers)</f>
        <v>0.65553233187439419</v>
      </c>
      <c r="W1019" s="33">
        <f t="shared" si="65"/>
        <v>1.3213737250863391E-2</v>
      </c>
      <c r="X1019" s="35">
        <f t="shared" si="66"/>
        <v>9.0082316519011314E-5</v>
      </c>
      <c r="Y1019" s="33">
        <f t="shared" si="67"/>
        <v>3.5370227614360365E-4</v>
      </c>
      <c r="Z1019" s="54"/>
    </row>
    <row r="1020" spans="15:26" x14ac:dyDescent="0.25">
      <c r="O1020" s="37" t="s">
        <v>19</v>
      </c>
      <c r="P1020" s="31">
        <f>_xll.qlCalendarAdvance(Calendar,P1019,O1019,"f",,Trigger)</f>
        <v>54890</v>
      </c>
      <c r="Q1020" s="31">
        <f>_xll.qlInterestRateIndexValueDate(Index,P1020,Trigger)</f>
        <v>54892</v>
      </c>
      <c r="R1020" s="31">
        <f>_xll.qlInterestRateIndexMaturity(Index,Q1020,Trigger)</f>
        <v>54983</v>
      </c>
      <c r="S1020" s="32">
        <f>_xll.qlDayCounterYearFraction(DayCounter,Q1020,R1020,,,Trigger)</f>
        <v>0.25277777777777777</v>
      </c>
      <c r="T1020" s="33">
        <f>_xll.qlIndexFixing(Index,P1020,,AllTriggers)</f>
        <v>1.3547386634693693E-2</v>
      </c>
      <c r="U1020" s="34">
        <f>_xll.qlYieldTSDiscount(OisCurve,Q1020,,AllTriggers)</f>
        <v>0.6569982222308629</v>
      </c>
      <c r="V1020" s="34">
        <f>_xll.qlYieldTSDiscount(OisCurve,R1020,,AllTriggers)</f>
        <v>0.6548140993339191</v>
      </c>
      <c r="W1020" s="33">
        <f t="shared" si="65"/>
        <v>1.3195327031749797E-2</v>
      </c>
      <c r="X1020" s="35">
        <f t="shared" si="66"/>
        <v>8.8693063190559664E-5</v>
      </c>
      <c r="Y1020" s="33">
        <f t="shared" si="67"/>
        <v>3.5205960294389625E-4</v>
      </c>
      <c r="Z1020" s="54"/>
    </row>
    <row r="1021" spans="15:26" x14ac:dyDescent="0.25">
      <c r="O1021" s="37" t="s">
        <v>19</v>
      </c>
      <c r="P1021" s="31">
        <f>_xll.qlCalendarAdvance(Calendar,P1020,O1020,"f",,Trigger)</f>
        <v>54920</v>
      </c>
      <c r="Q1021" s="31">
        <f>_xll.qlInterestRateIndexValueDate(Index,P1021,Trigger)</f>
        <v>54924</v>
      </c>
      <c r="R1021" s="31">
        <f>_xll.qlInterestRateIndexMaturity(Index,Q1021,Trigger)</f>
        <v>55016</v>
      </c>
      <c r="S1021" s="32">
        <f>_xll.qlDayCounterYearFraction(DayCounter,Q1021,R1021,,,Trigger)</f>
        <v>0.25555555555555554</v>
      </c>
      <c r="T1021" s="33">
        <f>_xll.qlIndexFixing(Index,P1021,,AllTriggers)</f>
        <v>1.3526088565508585E-2</v>
      </c>
      <c r="U1021" s="34">
        <f>_xll.qlYieldTSDiscount(OisCurve,Q1021,,AllTriggers)</f>
        <v>0.65622831975029383</v>
      </c>
      <c r="V1021" s="34">
        <f>_xll.qlYieldTSDiscount(OisCurve,R1021,,AllTriggers)</f>
        <v>0.65402612572706276</v>
      </c>
      <c r="W1021" s="33">
        <f t="shared" si="65"/>
        <v>1.317574424246404E-2</v>
      </c>
      <c r="X1021" s="35">
        <f t="shared" si="66"/>
        <v>8.9228001077335615E-5</v>
      </c>
      <c r="Y1021" s="33">
        <f t="shared" si="67"/>
        <v>3.5034432304454494E-4</v>
      </c>
      <c r="Z1021" s="54"/>
    </row>
    <row r="1022" spans="15:26" x14ac:dyDescent="0.25">
      <c r="O1022" s="37" t="s">
        <v>19</v>
      </c>
      <c r="P1022" s="31">
        <f>_xll.qlCalendarAdvance(Calendar,P1021,O1021,"f",,Trigger)</f>
        <v>54952</v>
      </c>
      <c r="Q1022" s="31">
        <f>_xll.qlInterestRateIndexValueDate(Index,P1022,Trigger)</f>
        <v>54954</v>
      </c>
      <c r="R1022" s="31">
        <f>_xll.qlInterestRateIndexMaturity(Index,Q1022,Trigger)</f>
        <v>55046</v>
      </c>
      <c r="S1022" s="32">
        <f>_xll.qlDayCounterYearFraction(DayCounter,Q1022,R1022,,,Trigger)</f>
        <v>0.25555555555555554</v>
      </c>
      <c r="T1022" s="33">
        <f>_xll.qlIndexFixing(Index,P1022,,AllTriggers)</f>
        <v>1.3505785470723184E-2</v>
      </c>
      <c r="U1022" s="34">
        <f>_xll.qlYieldTSDiscount(OisCurve,Q1022,,AllTriggers)</f>
        <v>0.65550836194151685</v>
      </c>
      <c r="V1022" s="34">
        <f>_xll.qlYieldTSDiscount(OisCurve,R1022,,AllTriggers)</f>
        <v>0.65331169810064516</v>
      </c>
      <c r="W1022" s="33">
        <f t="shared" si="65"/>
        <v>1.315702924261767E-2</v>
      </c>
      <c r="X1022" s="35">
        <f t="shared" si="66"/>
        <v>8.8823975930665071E-5</v>
      </c>
      <c r="Y1022" s="33">
        <f t="shared" si="67"/>
        <v>3.4875622810551406E-4</v>
      </c>
      <c r="Z1022" s="54"/>
    </row>
    <row r="1023" spans="15:26" x14ac:dyDescent="0.25">
      <c r="O1023" s="37" t="s">
        <v>19</v>
      </c>
      <c r="P1023" s="31">
        <f>_xll.qlCalendarAdvance(Calendar,P1022,O1022,"f",,Trigger)</f>
        <v>54982</v>
      </c>
      <c r="Q1023" s="31">
        <f>_xll.qlInterestRateIndexValueDate(Index,P1023,Trigger)</f>
        <v>54984</v>
      </c>
      <c r="R1023" s="31">
        <f>_xll.qlInterestRateIndexMaturity(Index,Q1023,Trigger)</f>
        <v>55078</v>
      </c>
      <c r="S1023" s="32">
        <f>_xll.qlDayCounterYearFraction(DayCounter,Q1023,R1023,,,Trigger)</f>
        <v>0.26111111111111113</v>
      </c>
      <c r="T1023" s="33">
        <f>_xll.qlIndexFixing(Index,P1023,,AllTriggers)</f>
        <v>1.348488841541888E-2</v>
      </c>
      <c r="U1023" s="34">
        <f>_xll.qlYieldTSDiscount(OisCurve,Q1023,,AllTriggers)</f>
        <v>0.65479018918860787</v>
      </c>
      <c r="V1023" s="34">
        <f>_xll.qlYieldTSDiscount(OisCurve,R1023,,AllTriggers)</f>
        <v>0.65255166947807186</v>
      </c>
      <c r="W1023" s="33">
        <f t="shared" si="65"/>
        <v>1.3137740061902768E-2</v>
      </c>
      <c r="X1023" s="35">
        <f t="shared" si="66"/>
        <v>9.0330328351163693E-5</v>
      </c>
      <c r="Y1023" s="33">
        <f t="shared" si="67"/>
        <v>3.4714835351611247E-4</v>
      </c>
      <c r="Z1023" s="54"/>
    </row>
    <row r="1024" spans="15:26" x14ac:dyDescent="0.25">
      <c r="O1024" s="37" t="s">
        <v>19</v>
      </c>
      <c r="P1024" s="31">
        <f>_xll.qlCalendarAdvance(Calendar,P1023,O1023,"f",,Trigger)</f>
        <v>55015</v>
      </c>
      <c r="Q1024" s="31">
        <f>_xll.qlInterestRateIndexValueDate(Index,P1024,Trigger)</f>
        <v>55017</v>
      </c>
      <c r="R1024" s="31">
        <f>_xll.qlInterestRateIndexMaturity(Index,Q1024,Trigger)</f>
        <v>55109</v>
      </c>
      <c r="S1024" s="32">
        <f>_xll.qlDayCounterYearFraction(DayCounter,Q1024,R1024,,,Trigger)</f>
        <v>0.25555555555555554</v>
      </c>
      <c r="T1024" s="33">
        <f>_xll.qlIndexFixing(Index,P1024,,AllTriggers)</f>
        <v>1.3461863468694733E-2</v>
      </c>
      <c r="U1024" s="34">
        <f>_xll.qlYieldTSDiscount(OisCurve,Q1024,,AllTriggers)</f>
        <v>0.65400228202805599</v>
      </c>
      <c r="V1024" s="34">
        <f>_xll.qlYieldTSDiscount(OisCurve,R1024,,AllTriggers)</f>
        <v>0.6518174071458076</v>
      </c>
      <c r="W1024" s="33">
        <f t="shared" si="65"/>
        <v>1.3116419284098237E-2</v>
      </c>
      <c r="X1024" s="35">
        <f t="shared" si="66"/>
        <v>8.7981385757140895E-5</v>
      </c>
      <c r="Y1024" s="33">
        <f t="shared" si="67"/>
        <v>3.4544418459649638E-4</v>
      </c>
      <c r="Z1024" s="54"/>
    </row>
    <row r="1025" spans="15:26" x14ac:dyDescent="0.25">
      <c r="O1025" s="37" t="s">
        <v>19</v>
      </c>
      <c r="P1025" s="31">
        <f>_xll.qlCalendarAdvance(Calendar,P1024,O1024,"f",,Trigger)</f>
        <v>55046</v>
      </c>
      <c r="Q1025" s="31">
        <f>_xll.qlInterestRateIndexValueDate(Index,P1025,Trigger)</f>
        <v>55050</v>
      </c>
      <c r="R1025" s="31">
        <f>_xll.qlInterestRateIndexMaturity(Index,Q1025,Trigger)</f>
        <v>55141</v>
      </c>
      <c r="S1025" s="32">
        <f>_xll.qlDayCounterYearFraction(DayCounter,Q1025,R1025,,,Trigger)</f>
        <v>0.25277777777777777</v>
      </c>
      <c r="T1025" s="33">
        <f>_xll.qlIndexFixing(Index,P1025,,AllTriggers)</f>
        <v>1.3438277136685689E-2</v>
      </c>
      <c r="U1025" s="34">
        <f>_xll.qlYieldTSDiscount(OisCurve,Q1025,,AllTriggers)</f>
        <v>0.65321657965538127</v>
      </c>
      <c r="V1025" s="34">
        <f>_xll.qlYieldTSDiscount(OisCurve,R1025,,AllTriggers)</f>
        <v>0.65106155986953274</v>
      </c>
      <c r="W1025" s="33">
        <f t="shared" si="65"/>
        <v>1.309454209010559E-2</v>
      </c>
      <c r="X1025" s="35">
        <f t="shared" si="66"/>
        <v>8.6598178305407779E-5</v>
      </c>
      <c r="Y1025" s="33">
        <f t="shared" si="67"/>
        <v>3.4373504658009868E-4</v>
      </c>
      <c r="Z1025" s="54"/>
    </row>
    <row r="1026" spans="15:26" x14ac:dyDescent="0.25">
      <c r="O1026" s="37" t="s">
        <v>19</v>
      </c>
      <c r="P1026" s="31">
        <f>_xll.qlCalendarAdvance(Calendar,P1025,O1025,"f",,Trigger)</f>
        <v>55078</v>
      </c>
      <c r="Q1026" s="31">
        <f>_xll.qlInterestRateIndexValueDate(Index,P1026,Trigger)</f>
        <v>55080</v>
      </c>
      <c r="R1026" s="31">
        <f>_xll.qlInterestRateIndexMaturity(Index,Q1026,Trigger)</f>
        <v>55172</v>
      </c>
      <c r="S1026" s="32">
        <f>_xll.qlDayCounterYearFraction(DayCounter,Q1026,R1026,,,Trigger)</f>
        <v>0.25555555555555554</v>
      </c>
      <c r="T1026" s="33">
        <f>_xll.qlIndexFixing(Index,P1026,,AllTriggers)</f>
        <v>1.3416199865968712E-2</v>
      </c>
      <c r="U1026" s="34">
        <f>_xll.qlYieldTSDiscount(OisCurve,Q1026,,AllTriggers)</f>
        <v>0.65250423764979537</v>
      </c>
      <c r="V1026" s="34">
        <f>_xll.qlYieldTSDiscount(OisCurve,R1026,,AllTriggers)</f>
        <v>0.65033138768649945</v>
      </c>
      <c r="W1026" s="33">
        <f t="shared" si="65"/>
        <v>1.3074036620562111E-2</v>
      </c>
      <c r="X1026" s="35">
        <f t="shared" si="66"/>
        <v>8.7146738507039344E-5</v>
      </c>
      <c r="Y1026" s="33">
        <f t="shared" si="67"/>
        <v>3.4216324540660079E-4</v>
      </c>
      <c r="Z1026" s="54"/>
    </row>
    <row r="1027" spans="15:26" x14ac:dyDescent="0.25">
      <c r="O1027" s="37" t="s">
        <v>19</v>
      </c>
      <c r="P1027" s="31">
        <f>_xll.qlCalendarAdvance(Calendar,P1026,O1026,"f",,Trigger)</f>
        <v>55109</v>
      </c>
      <c r="Q1027" s="31">
        <f>_xll.qlInterestRateIndexValueDate(Index,P1027,Trigger)</f>
        <v>55113</v>
      </c>
      <c r="R1027" s="31">
        <f>_xll.qlInterestRateIndexMaturity(Index,Q1027,Trigger)</f>
        <v>55205</v>
      </c>
      <c r="S1027" s="32">
        <f>_xll.qlDayCounterYearFraction(DayCounter,Q1027,R1027,,,Trigger)</f>
        <v>0.25555555555555554</v>
      </c>
      <c r="T1027" s="33">
        <f>_xll.qlIndexFixing(Index,P1027,,AllTriggers)</f>
        <v>1.3391585795685862E-2</v>
      </c>
      <c r="U1027" s="34">
        <f>_xll.qlYieldTSDiscount(OisCurve,Q1027,,AllTriggers)</f>
        <v>0.65172280909841784</v>
      </c>
      <c r="V1027" s="34">
        <f>_xll.qlYieldTSDiscount(OisCurve,R1027,,AllTriggers)</f>
        <v>0.64955635130139544</v>
      </c>
      <c r="W1027" s="33">
        <f t="shared" si="65"/>
        <v>1.305112872282946E-2</v>
      </c>
      <c r="X1027" s="35">
        <f t="shared" si="66"/>
        <v>8.6712712293227296E-5</v>
      </c>
      <c r="Y1027" s="33">
        <f t="shared" si="67"/>
        <v>3.4045707285640207E-4</v>
      </c>
      <c r="Z1027" s="54"/>
    </row>
    <row r="1028" spans="15:26" x14ac:dyDescent="0.25">
      <c r="O1028" s="37" t="s">
        <v>19</v>
      </c>
      <c r="P1028" s="31">
        <f>_xll.qlCalendarAdvance(Calendar,P1027,O1027,"f",,Trigger)</f>
        <v>55141</v>
      </c>
      <c r="Q1028" s="31">
        <f>_xll.qlInterestRateIndexValueDate(Index,P1028,Trigger)</f>
        <v>55143</v>
      </c>
      <c r="R1028" s="31">
        <f>_xll.qlInterestRateIndexMaturity(Index,Q1028,Trigger)</f>
        <v>55233</v>
      </c>
      <c r="S1028" s="32">
        <f>_xll.qlDayCounterYearFraction(DayCounter,Q1028,R1028,,,Trigger)</f>
        <v>0.25</v>
      </c>
      <c r="T1028" s="33">
        <f>_xll.qlIndexFixing(Index,P1028,,AllTriggers)</f>
        <v>1.3369071506831531E-2</v>
      </c>
      <c r="U1028" s="34">
        <f>_xll.qlYieldTSDiscount(OisCurve,Q1028,,AllTriggers)</f>
        <v>0.65101439075173106</v>
      </c>
      <c r="V1028" s="34">
        <f>_xll.qlYieldTSDiscount(OisCurve,R1028,,AllTriggers)</f>
        <v>0.64890057576361004</v>
      </c>
      <c r="W1028" s="33">
        <f t="shared" ref="W1028:W1091" si="68">(U1028/V1028-1)/S1028</f>
        <v>1.30301316847099E-2</v>
      </c>
      <c r="X1028" s="35">
        <f t="shared" ref="X1028:X1091" si="69">LN((1+T1028*S1028)/(1+W1028*S1028))</f>
        <v>8.4456258340184429E-5</v>
      </c>
      <c r="Y1028" s="33">
        <f t="shared" ref="Y1028:Y1091" si="70">T1028-W1028</f>
        <v>3.389398221216311E-4</v>
      </c>
      <c r="Z1028" s="54"/>
    </row>
    <row r="1029" spans="15:26" x14ac:dyDescent="0.25">
      <c r="O1029" s="37" t="s">
        <v>19</v>
      </c>
      <c r="P1029" s="31">
        <f>_xll.qlCalendarAdvance(Calendar,P1028,O1028,"f",,Trigger)</f>
        <v>55172</v>
      </c>
      <c r="Q1029" s="31">
        <f>_xll.qlInterestRateIndexValueDate(Index,P1029,Trigger)</f>
        <v>55176</v>
      </c>
      <c r="R1029" s="31">
        <f>_xll.qlInterestRateIndexMaturity(Index,Q1029,Trigger)</f>
        <v>55267</v>
      </c>
      <c r="S1029" s="32">
        <f>_xll.qlDayCounterYearFraction(DayCounter,Q1029,R1029,,,Trigger)</f>
        <v>0.25277777777777777</v>
      </c>
      <c r="T1029" s="33">
        <f>_xll.qlIndexFixing(Index,P1029,,AllTriggers)</f>
        <v>1.3343415103783406E-2</v>
      </c>
      <c r="U1029" s="34">
        <f>_xll.qlYieldTSDiscount(OisCurve,Q1029,,AllTriggers)</f>
        <v>0.65023732021993386</v>
      </c>
      <c r="V1029" s="34">
        <f>_xll.qlYieldTSDiscount(OisCurve,R1029,,AllTriggers)</f>
        <v>0.64810655786941662</v>
      </c>
      <c r="W1029" s="33">
        <f t="shared" si="68"/>
        <v>1.3006178407205587E-2</v>
      </c>
      <c r="X1029" s="35">
        <f t="shared" si="69"/>
        <v>8.4962990901703671E-5</v>
      </c>
      <c r="Y1029" s="33">
        <f t="shared" si="70"/>
        <v>3.3723669657781917E-4</v>
      </c>
      <c r="Z1029" s="54"/>
    </row>
    <row r="1030" spans="15:26" x14ac:dyDescent="0.25">
      <c r="O1030" s="37" t="s">
        <v>19</v>
      </c>
      <c r="P1030" s="31">
        <f>_xll.qlCalendarAdvance(Calendar,P1029,O1029,"f",,Trigger)</f>
        <v>55204</v>
      </c>
      <c r="Q1030" s="31">
        <f>_xll.qlInterestRateIndexValueDate(Index,P1030,Trigger)</f>
        <v>55206</v>
      </c>
      <c r="R1030" s="31">
        <f>_xll.qlInterestRateIndexMaturity(Index,Q1030,Trigger)</f>
        <v>55295</v>
      </c>
      <c r="S1030" s="32">
        <f>_xll.qlDayCounterYearFraction(DayCounter,Q1030,R1030,,,Trigger)</f>
        <v>0.24722222222222223</v>
      </c>
      <c r="T1030" s="33">
        <f>_xll.qlIndexFixing(Index,P1030,,AllTriggers)</f>
        <v>1.332010994028515E-2</v>
      </c>
      <c r="U1030" s="34">
        <f>_xll.qlYieldTSDiscount(OisCurve,Q1030,,AllTriggers)</f>
        <v>0.6495329017039031</v>
      </c>
      <c r="V1030" s="34">
        <f>_xll.qlYieldTSDiscount(OisCurve,R1030,,AllTriggers)</f>
        <v>0.64745455557745568</v>
      </c>
      <c r="W1030" s="33">
        <f t="shared" si="68"/>
        <v>1.2984375888688145E-2</v>
      </c>
      <c r="X1030" s="35">
        <f t="shared" si="69"/>
        <v>8.2731913332004879E-5</v>
      </c>
      <c r="Y1030" s="33">
        <f t="shared" si="70"/>
        <v>3.3573405159700517E-4</v>
      </c>
      <c r="Z1030" s="54"/>
    </row>
    <row r="1031" spans="15:26" x14ac:dyDescent="0.25">
      <c r="O1031" s="37" t="s">
        <v>19</v>
      </c>
      <c r="P1031" s="31">
        <f>_xll.qlCalendarAdvance(Calendar,P1030,O1030,"f",,Trigger)</f>
        <v>55232</v>
      </c>
      <c r="Q1031" s="31">
        <f>_xll.qlInterestRateIndexValueDate(Index,P1031,Trigger)</f>
        <v>55234</v>
      </c>
      <c r="R1031" s="31">
        <f>_xll.qlInterestRateIndexMaturity(Index,Q1031,Trigger)</f>
        <v>55326</v>
      </c>
      <c r="S1031" s="32">
        <f>_xll.qlDayCounterYearFraction(DayCounter,Q1031,R1031,,,Trigger)</f>
        <v>0.25555555555555554</v>
      </c>
      <c r="T1031" s="33">
        <f>_xll.qlIndexFixing(Index,P1031,,AllTriggers)</f>
        <v>1.3297246186307513E-2</v>
      </c>
      <c r="U1031" s="34">
        <f>_xll.qlYieldTSDiscount(OisCurve,Q1031,,AllTriggers)</f>
        <v>0.64887718648792669</v>
      </c>
      <c r="V1031" s="34">
        <f>_xll.qlYieldTSDiscount(OisCurve,R1031,,AllTriggers)</f>
        <v>0.64673470991848114</v>
      </c>
      <c r="W1031" s="33">
        <f t="shared" si="68"/>
        <v>1.2962972048388192E-2</v>
      </c>
      <c r="X1031" s="35">
        <f t="shared" si="69"/>
        <v>8.5139928401551138E-5</v>
      </c>
      <c r="Y1031" s="33">
        <f t="shared" si="70"/>
        <v>3.3427413791932079E-4</v>
      </c>
      <c r="Z1031" s="54"/>
    </row>
    <row r="1032" spans="15:26" x14ac:dyDescent="0.25">
      <c r="O1032" s="37" t="s">
        <v>19</v>
      </c>
      <c r="P1032" s="31">
        <f>_xll.qlCalendarAdvance(Calendar,P1031,O1031,"f",,Trigger)</f>
        <v>55263</v>
      </c>
      <c r="Q1032" s="31">
        <f>_xll.qlInterestRateIndexValueDate(Index,P1032,Trigger)</f>
        <v>55267</v>
      </c>
      <c r="R1032" s="31">
        <f>_xll.qlInterestRateIndexMaturity(Index,Q1032,Trigger)</f>
        <v>55358</v>
      </c>
      <c r="S1032" s="32">
        <f>_xll.qlDayCounterYearFraction(DayCounter,Q1032,R1032,,,Trigger)</f>
        <v>0.25277777777777777</v>
      </c>
      <c r="T1032" s="33">
        <f>_xll.qlIndexFixing(Index,P1032,,AllTriggers)</f>
        <v>1.3270571641288078E-2</v>
      </c>
      <c r="U1032" s="34">
        <f>_xll.qlYieldTSDiscount(OisCurve,Q1032,,AllTriggers)</f>
        <v>0.64810655786941662</v>
      </c>
      <c r="V1032" s="34">
        <f>_xll.qlYieldTSDiscount(OisCurve,R1032,,AllTriggers)</f>
        <v>0.64599388238808353</v>
      </c>
      <c r="W1032" s="33">
        <f t="shared" si="68"/>
        <v>1.2937950802433559E-2</v>
      </c>
      <c r="X1032" s="35">
        <f t="shared" si="69"/>
        <v>8.380156669438374E-5</v>
      </c>
      <c r="Y1032" s="33">
        <f t="shared" si="70"/>
        <v>3.3262083885451932E-4</v>
      </c>
      <c r="Z1032" s="54"/>
    </row>
    <row r="1033" spans="15:26" x14ac:dyDescent="0.25">
      <c r="O1033" s="37" t="s">
        <v>19</v>
      </c>
      <c r="P1033" s="31">
        <f>_xll.qlCalendarAdvance(Calendar,P1032,O1032,"f",,Trigger)</f>
        <v>55295</v>
      </c>
      <c r="Q1033" s="31">
        <f>_xll.qlInterestRateIndexValueDate(Index,P1033,Trigger)</f>
        <v>55297</v>
      </c>
      <c r="R1033" s="31">
        <f>_xll.qlInterestRateIndexMaturity(Index,Q1033,Trigger)</f>
        <v>55389</v>
      </c>
      <c r="S1033" s="32">
        <f>_xll.qlDayCounterYearFraction(DayCounter,Q1033,R1033,,,Trigger)</f>
        <v>0.25555555555555554</v>
      </c>
      <c r="T1033" s="33">
        <f>_xll.qlIndexFixing(Index,P1033,,AllTriggers)</f>
        <v>1.324558421637073E-2</v>
      </c>
      <c r="U1033" s="34">
        <f>_xll.qlYieldTSDiscount(OisCurve,Q1033,,AllTriggers)</f>
        <v>0.6474080498739706</v>
      </c>
      <c r="V1033" s="34">
        <f>_xll.qlYieldTSDiscount(OisCurve,R1033,,AllTriggers)</f>
        <v>0.64527839365028805</v>
      </c>
      <c r="W1033" s="33">
        <f t="shared" si="68"/>
        <v>1.291448385537442E-2</v>
      </c>
      <c r="X1033" s="35">
        <f t="shared" si="69"/>
        <v>8.4332640110676587E-5</v>
      </c>
      <c r="Y1033" s="33">
        <f t="shared" si="70"/>
        <v>3.3110036099631007E-4</v>
      </c>
      <c r="Z1033" s="54"/>
    </row>
    <row r="1034" spans="15:26" x14ac:dyDescent="0.25">
      <c r="O1034" s="37" t="s">
        <v>19</v>
      </c>
      <c r="P1034" s="31">
        <f>_xll.qlCalendarAdvance(Calendar,P1033,O1033,"f",,Trigger)</f>
        <v>55326</v>
      </c>
      <c r="Q1034" s="31">
        <f>_xll.qlInterestRateIndexValueDate(Index,P1034,Trigger)</f>
        <v>55330</v>
      </c>
      <c r="R1034" s="31">
        <f>_xll.qlInterestRateIndexMaturity(Index,Q1034,Trigger)</f>
        <v>55422</v>
      </c>
      <c r="S1034" s="32">
        <f>_xll.qlDayCounterYearFraction(DayCounter,Q1034,R1034,,,Trigger)</f>
        <v>0.25555555555555554</v>
      </c>
      <c r="T1034" s="33">
        <f>_xll.qlIndexFixing(Index,P1034,,AllTriggers)</f>
        <v>1.3217828234332766E-2</v>
      </c>
      <c r="U1034" s="34">
        <f>_xll.qlYieldTSDiscount(OisCurve,Q1034,,AllTriggers)</f>
        <v>0.64664198168532383</v>
      </c>
      <c r="V1034" s="34">
        <f>_xll.qlYieldTSDiscount(OisCurve,R1034,,AllTriggers)</f>
        <v>0.64451913122916571</v>
      </c>
      <c r="W1034" s="33">
        <f t="shared" si="68"/>
        <v>1.2888377908892471E-2</v>
      </c>
      <c r="X1034" s="35">
        <f t="shared" si="69"/>
        <v>8.3912944780747104E-5</v>
      </c>
      <c r="Y1034" s="33">
        <f t="shared" si="70"/>
        <v>3.2945032544029473E-4</v>
      </c>
      <c r="Z1034" s="54"/>
    </row>
    <row r="1035" spans="15:26" x14ac:dyDescent="0.25">
      <c r="O1035" s="37" t="s">
        <v>19</v>
      </c>
      <c r="P1035" s="31">
        <f>_xll.qlCalendarAdvance(Calendar,P1034,O1034,"f",,Trigger)</f>
        <v>55358</v>
      </c>
      <c r="Q1035" s="31">
        <f>_xll.qlInterestRateIndexValueDate(Index,P1035,Trigger)</f>
        <v>55360</v>
      </c>
      <c r="R1035" s="31">
        <f>_xll.qlInterestRateIndexMaturity(Index,Q1035,Trigger)</f>
        <v>55452</v>
      </c>
      <c r="S1035" s="32">
        <f>_xll.qlDayCounterYearFraction(DayCounter,Q1035,R1035,,,Trigger)</f>
        <v>0.25555555555555554</v>
      </c>
      <c r="T1035" s="33">
        <f>_xll.qlIndexFixing(Index,P1035,,AllTriggers)</f>
        <v>1.3192180933580907E-2</v>
      </c>
      <c r="U1035" s="34">
        <f>_xll.qlYieldTSDiscount(OisCurve,Q1035,,AllTriggers)</f>
        <v>0.64594765664437281</v>
      </c>
      <c r="V1035" s="34">
        <f>_xll.qlYieldTSDiscount(OisCurve,R1035,,AllTriggers)</f>
        <v>0.64383104680981129</v>
      </c>
      <c r="W1035" s="33">
        <f t="shared" si="68"/>
        <v>1.286422323091295E-2</v>
      </c>
      <c r="X1035" s="35">
        <f t="shared" si="69"/>
        <v>8.3533294743582298E-5</v>
      </c>
      <c r="Y1035" s="33">
        <f t="shared" si="70"/>
        <v>3.2795770266795705E-4</v>
      </c>
      <c r="Z1035" s="54"/>
    </row>
    <row r="1036" spans="15:26" x14ac:dyDescent="0.25">
      <c r="O1036" s="37" t="s">
        <v>19</v>
      </c>
      <c r="P1036" s="31">
        <f>_xll.qlCalendarAdvance(Calendar,P1035,O1035,"f",,Trigger)</f>
        <v>55389</v>
      </c>
      <c r="Q1036" s="31">
        <f>_xll.qlInterestRateIndexValueDate(Index,P1036,Trigger)</f>
        <v>55393</v>
      </c>
      <c r="R1036" s="31">
        <f>_xll.qlInterestRateIndexMaturity(Index,Q1036,Trigger)</f>
        <v>55485</v>
      </c>
      <c r="S1036" s="32">
        <f>_xll.qlDayCounterYearFraction(DayCounter,Q1036,R1036,,,Trigger)</f>
        <v>0.25555555555555554</v>
      </c>
      <c r="T1036" s="33">
        <f>_xll.qlIndexFixing(Index,P1036,,AllTriggers)</f>
        <v>1.3163512863502196E-2</v>
      </c>
      <c r="U1036" s="34">
        <f>_xll.qlYieldTSDiscount(OisCurve,Q1036,,AllTriggers)</f>
        <v>0.64518623032817946</v>
      </c>
      <c r="V1036" s="34">
        <f>_xll.qlYieldTSDiscount(OisCurve,R1036,,AllTriggers)</f>
        <v>0.6430765438110998</v>
      </c>
      <c r="W1036" s="33">
        <f t="shared" si="68"/>
        <v>1.2837188894979598E-2</v>
      </c>
      <c r="X1036" s="35">
        <f t="shared" si="69"/>
        <v>8.3117759992544778E-5</v>
      </c>
      <c r="Y1036" s="33">
        <f t="shared" si="70"/>
        <v>3.2632396852259708E-4</v>
      </c>
      <c r="Z1036" s="54"/>
    </row>
    <row r="1037" spans="15:26" x14ac:dyDescent="0.25">
      <c r="O1037" s="37" t="s">
        <v>19</v>
      </c>
      <c r="P1037" s="31">
        <f>_xll.qlCalendarAdvance(Calendar,P1036,O1036,"f",,Trigger)</f>
        <v>55421</v>
      </c>
      <c r="Q1037" s="31">
        <f>_xll.qlInterestRateIndexValueDate(Index,P1037,Trigger)</f>
        <v>55423</v>
      </c>
      <c r="R1037" s="31">
        <f>_xll.qlInterestRateIndexMaturity(Index,Q1037,Trigger)</f>
        <v>55514</v>
      </c>
      <c r="S1037" s="32">
        <f>_xll.qlDayCounterYearFraction(DayCounter,Q1037,R1037,,,Trigger)</f>
        <v>0.25277777777777777</v>
      </c>
      <c r="T1037" s="33">
        <f>_xll.qlIndexFixing(Index,P1037,,AllTriggers)</f>
        <v>1.3137244822730283E-2</v>
      </c>
      <c r="U1037" s="34">
        <f>_xll.qlYieldTSDiscount(OisCurve,Q1037,,AllTriggers)</f>
        <v>0.64449616192829717</v>
      </c>
      <c r="V1037" s="34">
        <f>_xll.qlYieldTSDiscount(OisCurve,R1037,,AllTriggers)</f>
        <v>0.64241557931618443</v>
      </c>
      <c r="W1037" s="33">
        <f t="shared" si="68"/>
        <v>1.2812385833575E-2</v>
      </c>
      <c r="X1037" s="35">
        <f t="shared" si="69"/>
        <v>8.1848690583087791E-5</v>
      </c>
      <c r="Y1037" s="33">
        <f t="shared" si="70"/>
        <v>3.2485898915528277E-4</v>
      </c>
      <c r="Z1037" s="54"/>
    </row>
    <row r="1038" spans="15:26" x14ac:dyDescent="0.25">
      <c r="O1038" s="37" t="s">
        <v>19</v>
      </c>
      <c r="P1038" s="31">
        <f>_xll.qlCalendarAdvance(Calendar,P1037,O1037,"f",,Trigger)</f>
        <v>55451</v>
      </c>
      <c r="Q1038" s="31">
        <f>_xll.qlInterestRateIndexValueDate(Index,P1038,Trigger)</f>
        <v>55453</v>
      </c>
      <c r="R1038" s="31">
        <f>_xll.qlInterestRateIndexMaturity(Index,Q1038,Trigger)</f>
        <v>55547</v>
      </c>
      <c r="S1038" s="32">
        <f>_xll.qlDayCounterYearFraction(DayCounter,Q1038,R1038,,,Trigger)</f>
        <v>0.26111111111111113</v>
      </c>
      <c r="T1038" s="33">
        <f>_xll.qlIndexFixing(Index,P1038,,AllTriggers)</f>
        <v>1.3109732667708289E-2</v>
      </c>
      <c r="U1038" s="34">
        <f>_xll.qlYieldTSDiscount(OisCurve,Q1038,,AllTriggers)</f>
        <v>0.64380814619710547</v>
      </c>
      <c r="V1038" s="34">
        <f>_xll.qlYieldTSDiscount(OisCurve,R1038,,AllTriggers)</f>
        <v>0.64166583788145481</v>
      </c>
      <c r="W1038" s="33">
        <f t="shared" si="68"/>
        <v>1.278638280908098E-2</v>
      </c>
      <c r="X1038" s="35">
        <f t="shared" si="69"/>
        <v>8.4145754069976167E-5</v>
      </c>
      <c r="Y1038" s="33">
        <f t="shared" si="70"/>
        <v>3.2334985862730869E-4</v>
      </c>
      <c r="Z1038" s="54"/>
    </row>
    <row r="1039" spans="15:26" x14ac:dyDescent="0.25">
      <c r="O1039" s="37" t="s">
        <v>19</v>
      </c>
      <c r="P1039" s="31">
        <f>_xll.qlCalendarAdvance(Calendar,P1038,O1038,"f",,Trigger)</f>
        <v>55484</v>
      </c>
      <c r="Q1039" s="31">
        <f>_xll.qlInterestRateIndexValueDate(Index,P1039,Trigger)</f>
        <v>55486</v>
      </c>
      <c r="R1039" s="31">
        <f>_xll.qlInterestRateIndexMaturity(Index,Q1039,Trigger)</f>
        <v>55578</v>
      </c>
      <c r="S1039" s="32">
        <f>_xll.qlDayCounterYearFraction(DayCounter,Q1039,R1039,,,Trigger)</f>
        <v>0.25555555555555554</v>
      </c>
      <c r="T1039" s="33">
        <f>_xll.qlIndexFixing(Index,P1039,,AllTriggers)</f>
        <v>1.3080150716041581E-2</v>
      </c>
      <c r="U1039" s="34">
        <f>_xll.qlYieldTSDiscount(OisCurve,Q1039,,AllTriggers)</f>
        <v>0.64305371938827283</v>
      </c>
      <c r="V1039" s="34">
        <f>_xll.qlYieldTSDiscount(OisCurve,R1039,,AllTriggers)</f>
        <v>0.64096387196619209</v>
      </c>
      <c r="W1039" s="33">
        <f t="shared" si="68"/>
        <v>1.2758384962397572E-2</v>
      </c>
      <c r="X1039" s="35">
        <f t="shared" si="69"/>
        <v>8.1958432780360028E-5</v>
      </c>
      <c r="Y1039" s="33">
        <f t="shared" si="70"/>
        <v>3.2176575364400821E-4</v>
      </c>
      <c r="Z1039" s="54"/>
    </row>
    <row r="1040" spans="15:26" x14ac:dyDescent="0.25">
      <c r="O1040" s="37" t="s">
        <v>19</v>
      </c>
      <c r="P1040" s="31">
        <f>_xll.qlCalendarAdvance(Calendar,P1039,O1039,"f",,Trigger)</f>
        <v>55514</v>
      </c>
      <c r="Q1040" s="31">
        <f>_xll.qlInterestRateIndexValueDate(Index,P1040,Trigger)</f>
        <v>55516</v>
      </c>
      <c r="R1040" s="31">
        <f>_xll.qlInterestRateIndexMaturity(Index,Q1040,Trigger)</f>
        <v>55607</v>
      </c>
      <c r="S1040" s="32">
        <f>_xll.qlDayCounterYearFraction(DayCounter,Q1040,R1040,,,Trigger)</f>
        <v>0.25277777777777777</v>
      </c>
      <c r="T1040" s="33">
        <f>_xll.qlIndexFixing(Index,P1040,,AllTriggers)</f>
        <v>1.3052682220518285E-2</v>
      </c>
      <c r="U1040" s="34">
        <f>_xll.qlYieldTSDiscount(OisCurve,Q1040,,AllTriggers)</f>
        <v>0.64237006780638395</v>
      </c>
      <c r="V1040" s="34">
        <f>_xll.qlYieldTSDiscount(OisCurve,R1040,,AllTriggers)</f>
        <v>0.64030925961015039</v>
      </c>
      <c r="W1040" s="33">
        <f t="shared" si="68"/>
        <v>1.2732359694812288E-2</v>
      </c>
      <c r="X1040" s="35">
        <f t="shared" si="69"/>
        <v>8.0707395478872088E-5</v>
      </c>
      <c r="Y1040" s="33">
        <f t="shared" si="70"/>
        <v>3.2032252570599745E-4</v>
      </c>
      <c r="Z1040" s="54"/>
    </row>
    <row r="1041" spans="15:26" x14ac:dyDescent="0.25">
      <c r="O1041" s="37" t="s">
        <v>19</v>
      </c>
      <c r="P1041" s="31">
        <f>_xll.qlCalendarAdvance(Calendar,P1040,O1040,"f",,Trigger)</f>
        <v>55547</v>
      </c>
      <c r="Q1041" s="31">
        <f>_xll.qlInterestRateIndexValueDate(Index,P1041,Trigger)</f>
        <v>55549</v>
      </c>
      <c r="R1041" s="31">
        <f>_xll.qlInterestRateIndexMaturity(Index,Q1041,Trigger)</f>
        <v>55639</v>
      </c>
      <c r="S1041" s="32">
        <f>_xll.qlDayCounterYearFraction(DayCounter,Q1041,R1041,,,Trigger)</f>
        <v>0.25</v>
      </c>
      <c r="T1041" s="33">
        <f>_xll.qlIndexFixing(Index,P1041,,AllTriggers)</f>
        <v>1.3022004233106621E-2</v>
      </c>
      <c r="U1041" s="34">
        <f>_xll.qlYieldTSDiscount(OisCurve,Q1041,,AllTriggers)</f>
        <v>0.64162048124555837</v>
      </c>
      <c r="V1041" s="34">
        <f>_xll.qlYieldTSDiscount(OisCurve,R1041,,AllTriggers)</f>
        <v>0.63958926367382152</v>
      </c>
      <c r="W1041" s="33">
        <f t="shared" si="68"/>
        <v>1.2703262466098764E-2</v>
      </c>
      <c r="X1041" s="35">
        <f t="shared" si="69"/>
        <v>7.9430021981453364E-5</v>
      </c>
      <c r="Y1041" s="33">
        <f t="shared" si="70"/>
        <v>3.1874176700785739E-4</v>
      </c>
      <c r="Z1041" s="54"/>
    </row>
    <row r="1042" spans="15:26" x14ac:dyDescent="0.25">
      <c r="O1042" s="37" t="s">
        <v>19</v>
      </c>
      <c r="P1042" s="31">
        <f>_xll.qlCalendarAdvance(Calendar,P1041,O1041,"f",,Trigger)</f>
        <v>55578</v>
      </c>
      <c r="Q1042" s="31">
        <f>_xll.qlInterestRateIndexValueDate(Index,P1042,Trigger)</f>
        <v>55582</v>
      </c>
      <c r="R1042" s="31">
        <f>_xll.qlInterestRateIndexMaturity(Index,Q1042,Trigger)</f>
        <v>55674</v>
      </c>
      <c r="S1042" s="32">
        <f>_xll.qlDayCounterYearFraction(DayCounter,Q1042,R1042,,,Trigger)</f>
        <v>0.25555555555555554</v>
      </c>
      <c r="T1042" s="33">
        <f>_xll.qlIndexFixing(Index,P1042,,AllTriggers)</f>
        <v>1.2990119829960515E-2</v>
      </c>
      <c r="U1042" s="34">
        <f>_xll.qlYieldTSDiscount(OisCurve,Q1042,,AllTriggers)</f>
        <v>0.64087346155487213</v>
      </c>
      <c r="V1042" s="34">
        <f>_xll.qlYieldTSDiscount(OisCurve,R1042,,AllTriggers)</f>
        <v>0.63880459543221735</v>
      </c>
      <c r="W1042" s="33">
        <f t="shared" si="68"/>
        <v>1.2672988182202489E-2</v>
      </c>
      <c r="X1042" s="35">
        <f t="shared" si="69"/>
        <v>8.0779863170276148E-5</v>
      </c>
      <c r="Y1042" s="33">
        <f t="shared" si="70"/>
        <v>3.1713164775802605E-4</v>
      </c>
      <c r="Z1042" s="54"/>
    </row>
    <row r="1043" spans="15:26" x14ac:dyDescent="0.25">
      <c r="O1043" s="37" t="s">
        <v>19</v>
      </c>
      <c r="P1043" s="31">
        <f>_xll.qlCalendarAdvance(Calendar,P1042,O1042,"f",,Trigger)</f>
        <v>55607</v>
      </c>
      <c r="Q1043" s="31">
        <f>_xll.qlInterestRateIndexValueDate(Index,P1043,Trigger)</f>
        <v>55611</v>
      </c>
      <c r="R1043" s="31">
        <f>_xll.qlInterestRateIndexMaturity(Index,Q1043,Trigger)</f>
        <v>55702</v>
      </c>
      <c r="S1043" s="32">
        <f>_xll.qlDayCounterYearFraction(DayCounter,Q1043,R1043,,,Trigger)</f>
        <v>0.25277777777777777</v>
      </c>
      <c r="T1043" s="33">
        <f>_xll.qlIndexFixing(Index,P1043,,AllTriggers)</f>
        <v>1.296238392317074E-2</v>
      </c>
      <c r="U1043" s="34">
        <f>_xll.qlYieldTSDiscount(OisCurve,Q1043,,AllTriggers)</f>
        <v>0.64021912577961104</v>
      </c>
      <c r="V1043" s="34">
        <f>_xll.qlYieldTSDiscount(OisCurve,R1043,,AllTriggers)</f>
        <v>0.6381790041625014</v>
      </c>
      <c r="W1043" s="33">
        <f t="shared" si="68"/>
        <v>1.2646625383034873E-2</v>
      </c>
      <c r="X1043" s="35">
        <f t="shared" si="69"/>
        <v>7.9559233220714891E-5</v>
      </c>
      <c r="Y1043" s="33">
        <f t="shared" si="70"/>
        <v>3.1575854013586764E-4</v>
      </c>
      <c r="Z1043" s="54"/>
    </row>
    <row r="1044" spans="15:26" x14ac:dyDescent="0.25">
      <c r="O1044" s="37" t="s">
        <v>19</v>
      </c>
      <c r="P1044" s="31">
        <f>_xll.qlCalendarAdvance(Calendar,P1043,O1043,"f",,Trigger)</f>
        <v>55638</v>
      </c>
      <c r="Q1044" s="31">
        <f>_xll.qlInterestRateIndexValueDate(Index,P1044,Trigger)</f>
        <v>55641</v>
      </c>
      <c r="R1044" s="31">
        <f>_xll.qlInterestRateIndexMaturity(Index,Q1044,Trigger)</f>
        <v>55733</v>
      </c>
      <c r="S1044" s="32">
        <f>_xll.qlDayCounterYearFraction(DayCounter,Q1044,R1044,,,Trigger)</f>
        <v>0.25555555555555554</v>
      </c>
      <c r="T1044" s="33">
        <f>_xll.qlIndexFixing(Index,P1044,,AllTriggers)</f>
        <v>1.2932782636186769E-2</v>
      </c>
      <c r="U1044" s="34">
        <f>_xll.qlYieldTSDiscount(OisCurve,Q1044,,AllTriggers)</f>
        <v>0.63954434569232577</v>
      </c>
      <c r="V1044" s="34">
        <f>_xll.qlYieldTSDiscount(OisCurve,R1044,,AllTriggers)</f>
        <v>0.63748862441755438</v>
      </c>
      <c r="W1044" s="33">
        <f t="shared" si="68"/>
        <v>1.2618463168210827E-2</v>
      </c>
      <c r="X1044" s="35">
        <f t="shared" si="69"/>
        <v>8.0064684603184592E-5</v>
      </c>
      <c r="Y1044" s="33">
        <f t="shared" si="70"/>
        <v>3.1431946797594139E-4</v>
      </c>
      <c r="Z1044" s="54"/>
    </row>
    <row r="1045" spans="15:26" x14ac:dyDescent="0.25">
      <c r="O1045" s="37" t="s">
        <v>19</v>
      </c>
      <c r="P1045" s="31">
        <f>_xll.qlCalendarAdvance(Calendar,P1044,O1044,"f",,Trigger)</f>
        <v>55668</v>
      </c>
      <c r="Q1045" s="31">
        <f>_xll.qlInterestRateIndexValueDate(Index,P1045,Trigger)</f>
        <v>55670</v>
      </c>
      <c r="R1045" s="31">
        <f>_xll.qlInterestRateIndexMaturity(Index,Q1045,Trigger)</f>
        <v>55761</v>
      </c>
      <c r="S1045" s="32">
        <f>_xll.qlDayCounterYearFraction(DayCounter,Q1045,R1045,,,Trigger)</f>
        <v>0.25277777777777777</v>
      </c>
      <c r="T1045" s="33">
        <f>_xll.qlIndexFixing(Index,P1045,,AllTriggers)</f>
        <v>1.2904311258448885E-2</v>
      </c>
      <c r="U1045" s="34">
        <f>_xll.qlYieldTSDiscount(OisCurve,Q1045,,AllTriggers)</f>
        <v>0.63889412152822056</v>
      </c>
      <c r="V1045" s="34">
        <f>_xll.qlYieldTSDiscount(OisCurve,R1045,,AllTriggers)</f>
        <v>0.63686709211632209</v>
      </c>
      <c r="W1045" s="33">
        <f t="shared" si="68"/>
        <v>1.2591351559737136E-2</v>
      </c>
      <c r="X1045" s="35">
        <f t="shared" si="69"/>
        <v>7.8855156842250711E-5</v>
      </c>
      <c r="Y1045" s="33">
        <f t="shared" si="70"/>
        <v>3.1295969871174972E-4</v>
      </c>
      <c r="Z1045" s="54"/>
    </row>
    <row r="1046" spans="15:26" x14ac:dyDescent="0.25">
      <c r="O1046" s="37" t="s">
        <v>19</v>
      </c>
      <c r="P1046" s="31">
        <f>_xll.qlCalendarAdvance(Calendar,P1045,O1045,"f",,Trigger)</f>
        <v>55701</v>
      </c>
      <c r="Q1046" s="31">
        <f>_xll.qlInterestRateIndexValueDate(Index,P1046,Trigger)</f>
        <v>55703</v>
      </c>
      <c r="R1046" s="31">
        <f>_xll.qlInterestRateIndexMaturity(Index,Q1046,Trigger)</f>
        <v>55795</v>
      </c>
      <c r="S1046" s="32">
        <f>_xll.qlDayCounterYearFraction(DayCounter,Q1046,R1046,,,Trigger)</f>
        <v>0.25555555555555554</v>
      </c>
      <c r="T1046" s="33">
        <f>_xll.qlIndexFixing(Index,P1046,,AllTriggers)</f>
        <v>1.2870884716454391E-2</v>
      </c>
      <c r="U1046" s="34">
        <f>_xll.qlYieldTSDiscount(OisCurve,Q1046,,AllTriggers)</f>
        <v>0.63815669703540367</v>
      </c>
      <c r="V1046" s="34">
        <f>_xll.qlYieldTSDiscount(OisCurve,R1046,,AllTriggers)</f>
        <v>0.63611499201490074</v>
      </c>
      <c r="W1046" s="33">
        <f t="shared" si="68"/>
        <v>1.2559490996597011E-2</v>
      </c>
      <c r="X1046" s="35">
        <f t="shared" si="69"/>
        <v>7.9320647677195736E-5</v>
      </c>
      <c r="Y1046" s="33">
        <f t="shared" si="70"/>
        <v>3.1139371985738039E-4</v>
      </c>
      <c r="Z1046" s="54"/>
    </row>
    <row r="1047" spans="15:26" x14ac:dyDescent="0.25">
      <c r="O1047" s="37" t="s">
        <v>19</v>
      </c>
      <c r="P1047" s="31">
        <f>_xll.qlCalendarAdvance(Calendar,P1046,O1046,"f",,Trigger)</f>
        <v>55732</v>
      </c>
      <c r="Q1047" s="31">
        <f>_xll.qlInterestRateIndexValueDate(Index,P1047,Trigger)</f>
        <v>55736</v>
      </c>
      <c r="R1047" s="31">
        <f>_xll.qlInterestRateIndexMaturity(Index,Q1047,Trigger)</f>
        <v>55828</v>
      </c>
      <c r="S1047" s="32">
        <f>_xll.qlDayCounterYearFraction(DayCounter,Q1047,R1047,,,Trigger)</f>
        <v>0.25555555555555554</v>
      </c>
      <c r="T1047" s="33">
        <f>_xll.qlIndexFixing(Index,P1047,,AllTriggers)</f>
        <v>1.2837251534573111E-2</v>
      </c>
      <c r="U1047" s="34">
        <f>_xll.qlYieldTSDiscount(OisCurve,Q1047,,AllTriggers)</f>
        <v>0.63742193896642574</v>
      </c>
      <c r="V1047" s="34">
        <f>_xll.qlYieldTSDiscount(OisCurve,R1047,,AllTriggers)</f>
        <v>0.635387778431174</v>
      </c>
      <c r="W1047" s="33">
        <f t="shared" si="68"/>
        <v>1.2527402771037734E-2</v>
      </c>
      <c r="X1047" s="35">
        <f t="shared" si="69"/>
        <v>7.8927764967460373E-5</v>
      </c>
      <c r="Y1047" s="33">
        <f t="shared" si="70"/>
        <v>3.0984876353537701E-4</v>
      </c>
      <c r="Z1047" s="54"/>
    </row>
    <row r="1048" spans="15:26" x14ac:dyDescent="0.25">
      <c r="O1048" s="37" t="s">
        <v>19</v>
      </c>
      <c r="P1048" s="31">
        <f>_xll.qlCalendarAdvance(Calendar,P1047,O1047,"f",,Trigger)</f>
        <v>55764</v>
      </c>
      <c r="Q1048" s="31">
        <f>_xll.qlInterestRateIndexValueDate(Index,P1048,Trigger)</f>
        <v>55766</v>
      </c>
      <c r="R1048" s="31">
        <f>_xll.qlInterestRateIndexMaturity(Index,Q1048,Trigger)</f>
        <v>55857</v>
      </c>
      <c r="S1048" s="32">
        <f>_xll.qlDayCounterYearFraction(DayCounter,Q1048,R1048,,,Trigger)</f>
        <v>0.25277777777777777</v>
      </c>
      <c r="T1048" s="33">
        <f>_xll.qlIndexFixing(Index,P1048,,AllTriggers)</f>
        <v>1.280655698169208E-2</v>
      </c>
      <c r="U1048" s="34">
        <f>_xll.qlYieldTSDiscount(OisCurve,Q1048,,AllTriggers)</f>
        <v>0.63675630863657717</v>
      </c>
      <c r="V1048" s="34">
        <f>_xll.qlYieldTSDiscount(OisCurve,R1048,,AllTriggers)</f>
        <v>0.63475097785155776</v>
      </c>
      <c r="W1048" s="33">
        <f t="shared" si="68"/>
        <v>1.2498092966782703E-2</v>
      </c>
      <c r="X1048" s="35">
        <f t="shared" si="69"/>
        <v>7.7724268430332734E-5</v>
      </c>
      <c r="Y1048" s="33">
        <f t="shared" si="70"/>
        <v>3.0846401490937717E-4</v>
      </c>
      <c r="Z1048" s="54"/>
    </row>
    <row r="1049" spans="15:26" x14ac:dyDescent="0.25">
      <c r="O1049" s="37" t="s">
        <v>19</v>
      </c>
      <c r="P1049" s="31">
        <f>_xll.qlCalendarAdvance(Calendar,P1048,O1048,"f",,Trigger)</f>
        <v>55794</v>
      </c>
      <c r="Q1049" s="31">
        <f>_xll.qlInterestRateIndexValueDate(Index,P1049,Trigger)</f>
        <v>55796</v>
      </c>
      <c r="R1049" s="31">
        <f>_xll.qlInterestRateIndexMaturity(Index,Q1049,Trigger)</f>
        <v>55890</v>
      </c>
      <c r="S1049" s="32">
        <f>_xll.qlDayCounterYearFraction(DayCounter,Q1049,R1049,,,Trigger)</f>
        <v>0.26111111111111113</v>
      </c>
      <c r="T1049" s="33">
        <f>_xll.qlIndexFixing(Index,P1049,,AllTriggers)</f>
        <v>1.2774269642145095E-2</v>
      </c>
      <c r="U1049" s="34">
        <f>_xll.qlYieldTSDiscount(OisCurve,Q1049,,AllTriggers)</f>
        <v>0.63609291509997756</v>
      </c>
      <c r="V1049" s="34">
        <f>_xll.qlYieldTSDiscount(OisCurve,R1049,,AllTriggers)</f>
        <v>0.6340289397965454</v>
      </c>
      <c r="W1049" s="33">
        <f t="shared" si="68"/>
        <v>1.2467232601401521E-2</v>
      </c>
      <c r="X1049" s="35">
        <f t="shared" si="69"/>
        <v>7.9907454411995058E-5</v>
      </c>
      <c r="Y1049" s="33">
        <f t="shared" si="70"/>
        <v>3.0703704074357477E-4</v>
      </c>
      <c r="Z1049" s="54"/>
    </row>
    <row r="1050" spans="15:26" x14ac:dyDescent="0.25">
      <c r="O1050" s="37" t="s">
        <v>19</v>
      </c>
      <c r="P1050" s="31">
        <f>_xll.qlCalendarAdvance(Calendar,P1049,O1049,"f",,Trigger)</f>
        <v>55827</v>
      </c>
      <c r="Q1050" s="31">
        <f>_xll.qlInterestRateIndexValueDate(Index,P1050,Trigger)</f>
        <v>55829</v>
      </c>
      <c r="R1050" s="31">
        <f>_xll.qlInterestRateIndexMaturity(Index,Q1050,Trigger)</f>
        <v>55921</v>
      </c>
      <c r="S1050" s="32">
        <f>_xll.qlDayCounterYearFraction(DayCounter,Q1050,R1050,,,Trigger)</f>
        <v>0.25555555555555554</v>
      </c>
      <c r="T1050" s="33">
        <f>_xll.qlIndexFixing(Index,P1050,,AllTriggers)</f>
        <v>1.2739897446164019E-2</v>
      </c>
      <c r="U1050" s="34">
        <f>_xll.qlYieldTSDiscount(OisCurve,Q1050,,AllTriggers)</f>
        <v>0.63536578441238978</v>
      </c>
      <c r="V1050" s="34">
        <f>_xll.qlYieldTSDiscount(OisCurve,R1050,,AllTriggers)</f>
        <v>0.63335319763429165</v>
      </c>
      <c r="W1050" s="33">
        <f t="shared" si="68"/>
        <v>1.2434356684211934E-2</v>
      </c>
      <c r="X1050" s="35">
        <f t="shared" si="69"/>
        <v>7.7832275327233475E-5</v>
      </c>
      <c r="Y1050" s="33">
        <f t="shared" si="70"/>
        <v>3.0554076195208474E-4</v>
      </c>
      <c r="Z1050" s="54"/>
    </row>
    <row r="1051" spans="15:26" x14ac:dyDescent="0.25">
      <c r="O1051" s="37" t="s">
        <v>19</v>
      </c>
      <c r="P1051" s="31">
        <f>_xll.qlCalendarAdvance(Calendar,P1050,O1050,"f",,Trigger)</f>
        <v>55857</v>
      </c>
      <c r="Q1051" s="31">
        <f>_xll.qlInterestRateIndexValueDate(Index,P1051,Trigger)</f>
        <v>55859</v>
      </c>
      <c r="R1051" s="31">
        <f>_xll.qlInterestRateIndexMaturity(Index,Q1051,Trigger)</f>
        <v>55949</v>
      </c>
      <c r="S1051" s="32">
        <f>_xll.qlDayCounterYearFraction(DayCounter,Q1051,R1051,,,Trigger)</f>
        <v>0.25</v>
      </c>
      <c r="T1051" s="33">
        <f>_xll.qlIndexFixing(Index,P1051,,AllTriggers)</f>
        <v>1.2708322400177607E-2</v>
      </c>
      <c r="U1051" s="34">
        <f>_xll.qlYieldTSDiscount(OisCurve,Q1051,,AllTriggers)</f>
        <v>0.63470713908585363</v>
      </c>
      <c r="V1051" s="34">
        <f>_xll.qlYieldTSDiscount(OisCurve,R1051,,AllTriggers)</f>
        <v>0.63274497596841273</v>
      </c>
      <c r="W1051" s="33">
        <f t="shared" si="68"/>
        <v>1.2404132419623792E-2</v>
      </c>
      <c r="X1051" s="35">
        <f t="shared" si="69"/>
        <v>7.5809524766642838E-5</v>
      </c>
      <c r="Y1051" s="33">
        <f t="shared" si="70"/>
        <v>3.0418998055381508E-4</v>
      </c>
      <c r="Z1051" s="54"/>
    </row>
    <row r="1052" spans="15:26" x14ac:dyDescent="0.25">
      <c r="O1052" s="37" t="s">
        <v>19</v>
      </c>
      <c r="P1052" s="31">
        <f>_xll.qlCalendarAdvance(Calendar,P1051,O1051,"f",,Trigger)</f>
        <v>55890</v>
      </c>
      <c r="Q1052" s="31">
        <f>_xll.qlInterestRateIndexValueDate(Index,P1052,Trigger)</f>
        <v>55892</v>
      </c>
      <c r="R1052" s="31">
        <f>_xll.qlInterestRateIndexMaturity(Index,Q1052,Trigger)</f>
        <v>55982</v>
      </c>
      <c r="S1052" s="32">
        <f>_xll.qlDayCounterYearFraction(DayCounter,Q1052,R1052,,,Trigger)</f>
        <v>0.25</v>
      </c>
      <c r="T1052" s="33">
        <f>_xll.qlIndexFixing(Index,P1052,,AllTriggers)</f>
        <v>1.2672448457594854E-2</v>
      </c>
      <c r="U1052" s="34">
        <f>_xll.qlYieldTSDiscount(OisCurve,Q1052,,AllTriggers)</f>
        <v>0.63398526919714659</v>
      </c>
      <c r="V1052" s="34">
        <f>_xll.qlYieldTSDiscount(OisCurve,R1052,,AllTriggers)</f>
        <v>0.63203075152400434</v>
      </c>
      <c r="W1052" s="33">
        <f t="shared" si="68"/>
        <v>1.2369763138450729E-2</v>
      </c>
      <c r="X1052" s="35">
        <f t="shared" si="69"/>
        <v>7.5435196801963776E-5</v>
      </c>
      <c r="Y1052" s="33">
        <f t="shared" si="70"/>
        <v>3.0268531914412478E-4</v>
      </c>
      <c r="Z1052" s="54"/>
    </row>
    <row r="1053" spans="15:26" x14ac:dyDescent="0.25">
      <c r="O1053" s="37" t="s">
        <v>19</v>
      </c>
      <c r="P1053" s="31">
        <f>_xll.qlCalendarAdvance(Calendar,P1052,O1052,"f",,Trigger)</f>
        <v>55921</v>
      </c>
      <c r="Q1053" s="31">
        <f>_xll.qlInterestRateIndexValueDate(Index,P1053,Trigger)</f>
        <v>55925</v>
      </c>
      <c r="R1053" s="31">
        <f>_xll.qlInterestRateIndexMaturity(Index,Q1053,Trigger)</f>
        <v>56016</v>
      </c>
      <c r="S1053" s="32">
        <f>_xll.qlDayCounterYearFraction(DayCounter,Q1053,R1053,,,Trigger)</f>
        <v>0.25277777777777777</v>
      </c>
      <c r="T1053" s="33">
        <f>_xll.qlIndexFixing(Index,P1053,,AllTriggers)</f>
        <v>1.2635760728501472E-2</v>
      </c>
      <c r="U1053" s="34">
        <f>_xll.qlYieldTSDiscount(OisCurve,Q1053,,AllTriggers)</f>
        <v>0.6332661849558141</v>
      </c>
      <c r="V1053" s="34">
        <f>_xll.qlYieldTSDiscount(OisCurve,R1053,,AllTriggers)</f>
        <v>0.63129785591475518</v>
      </c>
      <c r="W1053" s="33">
        <f t="shared" si="68"/>
        <v>1.2334583641352195E-2</v>
      </c>
      <c r="X1053" s="35">
        <f t="shared" si="69"/>
        <v>7.5891363667136724E-5</v>
      </c>
      <c r="Y1053" s="33">
        <f t="shared" si="70"/>
        <v>3.0117708714927707E-4</v>
      </c>
      <c r="Z1053" s="54"/>
    </row>
    <row r="1054" spans="15:26" x14ac:dyDescent="0.25">
      <c r="O1054" s="37" t="s">
        <v>19</v>
      </c>
      <c r="P1054" s="31">
        <f>_xll.qlCalendarAdvance(Calendar,P1053,O1053,"f",,Trigger)</f>
        <v>55949</v>
      </c>
      <c r="Q1054" s="31">
        <f>_xll.qlInterestRateIndexValueDate(Index,P1054,Trigger)</f>
        <v>55953</v>
      </c>
      <c r="R1054" s="31">
        <f>_xll.qlInterestRateIndexMaturity(Index,Q1054,Trigger)</f>
        <v>56045</v>
      </c>
      <c r="S1054" s="32">
        <f>_xll.qlDayCounterYearFraction(DayCounter,Q1054,R1054,,,Trigger)</f>
        <v>0.25555555555555554</v>
      </c>
      <c r="T1054" s="33">
        <f>_xll.qlIndexFixing(Index,P1054,,AllTriggers)</f>
        <v>1.2604191675980231E-2</v>
      </c>
      <c r="U1054" s="34">
        <f>_xll.qlYieldTSDiscount(OisCurve,Q1054,,AllTriggers)</f>
        <v>0.63265825265711439</v>
      </c>
      <c r="V1054" s="34">
        <f>_xll.qlYieldTSDiscount(OisCurve,R1054,,AllTriggers)</f>
        <v>0.63067513914375639</v>
      </c>
      <c r="W1054" s="33">
        <f t="shared" si="68"/>
        <v>1.2304289353520841E-2</v>
      </c>
      <c r="X1054" s="35">
        <f t="shared" si="69"/>
        <v>7.6398547162732003E-5</v>
      </c>
      <c r="Y1054" s="33">
        <f t="shared" si="70"/>
        <v>2.9990232245939025E-4</v>
      </c>
      <c r="Z1054" s="54"/>
    </row>
    <row r="1055" spans="15:26" x14ac:dyDescent="0.25">
      <c r="O1055" s="37" t="s">
        <v>19</v>
      </c>
      <c r="P1055" s="31">
        <f>_xll.qlCalendarAdvance(Calendar,P1054,O1054,"f",,Trigger)</f>
        <v>55982</v>
      </c>
      <c r="Q1055" s="31">
        <f>_xll.qlInterestRateIndexValueDate(Index,P1055,Trigger)</f>
        <v>55984</v>
      </c>
      <c r="R1055" s="31">
        <f>_xll.qlInterestRateIndexMaturity(Index,Q1055,Trigger)</f>
        <v>56075</v>
      </c>
      <c r="S1055" s="32">
        <f>_xll.qlDayCounterYearFraction(DayCounter,Q1055,R1055,,,Trigger)</f>
        <v>0.25277777777777777</v>
      </c>
      <c r="T1055" s="33">
        <f>_xll.qlIndexFixing(Index,P1055,,AllTriggers)</f>
        <v>1.2569563354162445E-2</v>
      </c>
      <c r="U1055" s="34">
        <f>_xll.qlYieldTSDiscount(OisCurve,Q1055,,AllTriggers)</f>
        <v>0.6319875563089834</v>
      </c>
      <c r="V1055" s="34">
        <f>_xll.qlYieldTSDiscount(OisCurve,R1055,,AllTriggers)</f>
        <v>0.63003328996675589</v>
      </c>
      <c r="W1055" s="33">
        <f t="shared" si="68"/>
        <v>1.2271039760576943E-2</v>
      </c>
      <c r="X1055" s="35">
        <f t="shared" si="69"/>
        <v>7.5223959282027356E-5</v>
      </c>
      <c r="Y1055" s="33">
        <f t="shared" si="70"/>
        <v>2.9852359358550212E-4</v>
      </c>
      <c r="Z1055" s="54"/>
    </row>
    <row r="1056" spans="15:26" x14ac:dyDescent="0.25">
      <c r="O1056" s="37" t="s">
        <v>19</v>
      </c>
      <c r="P1056" s="31">
        <f>_xll.qlCalendarAdvance(Calendar,P1055,O1055,"f",,Trigger)</f>
        <v>56012</v>
      </c>
      <c r="Q1056" s="31">
        <f>_xll.qlInterestRateIndexValueDate(Index,P1056,Trigger)</f>
        <v>56016</v>
      </c>
      <c r="R1056" s="31">
        <f>_xll.qlInterestRateIndexMaturity(Index,Q1056,Trigger)</f>
        <v>56108</v>
      </c>
      <c r="S1056" s="32">
        <f>_xll.qlDayCounterYearFraction(DayCounter,Q1056,R1056,,,Trigger)</f>
        <v>0.25555555555555554</v>
      </c>
      <c r="T1056" s="33">
        <f>_xll.qlIndexFixing(Index,P1056,,AllTriggers)</f>
        <v>1.2532661282414505E-2</v>
      </c>
      <c r="U1056" s="34">
        <f>_xll.qlYieldTSDiscount(OisCurve,Q1056,,AllTriggers)</f>
        <v>0.63129785591475518</v>
      </c>
      <c r="V1056" s="34">
        <f>_xll.qlYieldTSDiscount(OisCurve,R1056,,AllTriggers)</f>
        <v>0.62933002288004958</v>
      </c>
      <c r="W1056" s="33">
        <f t="shared" si="68"/>
        <v>1.2235577428074879E-2</v>
      </c>
      <c r="X1056" s="35">
        <f t="shared" si="69"/>
        <v>7.5681909064412067E-5</v>
      </c>
      <c r="Y1056" s="33">
        <f t="shared" si="70"/>
        <v>2.9708385433962689E-4</v>
      </c>
      <c r="Z1056" s="54"/>
    </row>
    <row r="1057" spans="15:26" x14ac:dyDescent="0.25">
      <c r="O1057" s="37" t="s">
        <v>19</v>
      </c>
      <c r="P1057" s="31">
        <f>_xll.qlCalendarAdvance(Calendar,P1056,O1056,"f",,Trigger)</f>
        <v>56044</v>
      </c>
      <c r="Q1057" s="31">
        <f>_xll.qlInterestRateIndexValueDate(Index,P1057,Trigger)</f>
        <v>56046</v>
      </c>
      <c r="R1057" s="31">
        <f>_xll.qlInterestRateIndexMaturity(Index,Q1057,Trigger)</f>
        <v>56138</v>
      </c>
      <c r="S1057" s="32">
        <f>_xll.qlDayCounterYearFraction(DayCounter,Q1057,R1057,,,Trigger)</f>
        <v>0.25555555555555554</v>
      </c>
      <c r="T1057" s="33">
        <f>_xll.qlIndexFixing(Index,P1057,,AllTriggers)</f>
        <v>1.2497987491709765E-2</v>
      </c>
      <c r="U1057" s="34">
        <f>_xll.qlYieldTSDiscount(OisCurve,Q1057,,AllTriggers)</f>
        <v>0.63065370574142199</v>
      </c>
      <c r="V1057" s="34">
        <f>_xll.qlYieldTSDiscount(OisCurve,R1057,,AllTriggers)</f>
        <v>0.62869322092886781</v>
      </c>
      <c r="W1057" s="33">
        <f t="shared" si="68"/>
        <v>1.2202234817579679E-2</v>
      </c>
      <c r="X1057" s="35">
        <f t="shared" si="69"/>
        <v>7.5343444557317513E-5</v>
      </c>
      <c r="Y1057" s="33">
        <f t="shared" si="70"/>
        <v>2.9575267413008664E-4</v>
      </c>
      <c r="Z1057" s="54"/>
    </row>
    <row r="1058" spans="15:26" x14ac:dyDescent="0.25">
      <c r="O1058" s="37" t="s">
        <v>19</v>
      </c>
      <c r="P1058" s="31">
        <f>_xll.qlCalendarAdvance(Calendar,P1057,O1057,"f",,Trigger)</f>
        <v>56074</v>
      </c>
      <c r="Q1058" s="31">
        <f>_xll.qlInterestRateIndexValueDate(Index,P1058,Trigger)</f>
        <v>56076</v>
      </c>
      <c r="R1058" s="31">
        <f>_xll.qlInterestRateIndexMaturity(Index,Q1058,Trigger)</f>
        <v>56170</v>
      </c>
      <c r="S1058" s="32">
        <f>_xll.qlDayCounterYearFraction(DayCounter,Q1058,R1058,,,Trigger)</f>
        <v>0.26111111111111113</v>
      </c>
      <c r="T1058" s="33">
        <f>_xll.qlIndexFixing(Index,P1058,,AllTriggers)</f>
        <v>1.2462167453122844E-2</v>
      </c>
      <c r="U1058" s="34">
        <f>_xll.qlYieldTSDiscount(OisCurve,Q1058,,AllTriggers)</f>
        <v>0.63001193616089379</v>
      </c>
      <c r="V1058" s="34">
        <f>_xll.qlYieldTSDiscount(OisCurve,R1058,,AllTriggers)</f>
        <v>0.62801664060639573</v>
      </c>
      <c r="W1058" s="33">
        <f t="shared" si="68"/>
        <v>1.2167762681224695E-2</v>
      </c>
      <c r="X1058" s="35">
        <f t="shared" si="69"/>
        <v>7.6625960681131941E-5</v>
      </c>
      <c r="Y1058" s="33">
        <f t="shared" si="70"/>
        <v>2.9440477189814941E-4</v>
      </c>
      <c r="Z1058" s="54"/>
    </row>
    <row r="1059" spans="15:26" x14ac:dyDescent="0.25">
      <c r="O1059" s="37" t="s">
        <v>19</v>
      </c>
      <c r="P1059" s="31">
        <f>_xll.qlCalendarAdvance(Calendar,P1058,O1058,"f",,Trigger)</f>
        <v>56107</v>
      </c>
      <c r="Q1059" s="31">
        <f>_xll.qlInterestRateIndexValueDate(Index,P1059,Trigger)</f>
        <v>56109</v>
      </c>
      <c r="R1059" s="31">
        <f>_xll.qlInterestRateIndexMaturity(Index,Q1059,Trigger)</f>
        <v>56201</v>
      </c>
      <c r="S1059" s="32">
        <f>_xll.qlDayCounterYearFraction(DayCounter,Q1059,R1059,,,Trigger)</f>
        <v>0.25555555555555554</v>
      </c>
      <c r="T1059" s="33">
        <f>_xll.qlIndexFixing(Index,P1059,,AllTriggers)</f>
        <v>1.2423888023346796E-2</v>
      </c>
      <c r="U1059" s="34">
        <f>_xll.qlYieldTSDiscount(OisCurve,Q1059,,AllTriggers)</f>
        <v>0.62930875720991408</v>
      </c>
      <c r="V1059" s="34">
        <f>_xll.qlYieldTSDiscount(OisCurve,R1059,,AllTriggers)</f>
        <v>0.62736385342128309</v>
      </c>
      <c r="W1059" s="33">
        <f t="shared" si="68"/>
        <v>1.2130907836726715E-2</v>
      </c>
      <c r="X1059" s="35">
        <f t="shared" si="69"/>
        <v>7.4638531726922515E-5</v>
      </c>
      <c r="Y1059" s="33">
        <f t="shared" si="70"/>
        <v>2.9298018662008048E-4</v>
      </c>
      <c r="Z1059" s="54"/>
    </row>
    <row r="1060" spans="15:26" x14ac:dyDescent="0.25">
      <c r="O1060" s="37" t="s">
        <v>19</v>
      </c>
      <c r="P1060" s="31">
        <f>_xll.qlCalendarAdvance(Calendar,P1059,O1059,"f",,Trigger)</f>
        <v>56138</v>
      </c>
      <c r="Q1060" s="31">
        <f>_xll.qlInterestRateIndexValueDate(Index,P1060,Trigger)</f>
        <v>56142</v>
      </c>
      <c r="R1060" s="31">
        <f>_xll.qlInterestRateIndexMaturity(Index,Q1060,Trigger)</f>
        <v>56233</v>
      </c>
      <c r="S1060" s="32">
        <f>_xll.qlDayCounterYearFraction(DayCounter,Q1060,R1060,,,Trigger)</f>
        <v>0.25277777777777777</v>
      </c>
      <c r="T1060" s="33">
        <f>_xll.qlIndexFixing(Index,P1060,,AllTriggers)</f>
        <v>1.2384772210870544E-2</v>
      </c>
      <c r="U1060" s="34">
        <f>_xll.qlYieldTSDiscount(OisCurve,Q1060,,AllTriggers)</f>
        <v>0.6286084970243192</v>
      </c>
      <c r="V1060" s="34">
        <f>_xll.qlYieldTSDiscount(OisCurve,R1060,,AllTriggers)</f>
        <v>0.62669276161901044</v>
      </c>
      <c r="W1060" s="33">
        <f t="shared" si="68"/>
        <v>1.2093220052473293E-2</v>
      </c>
      <c r="X1060" s="35">
        <f t="shared" si="69"/>
        <v>7.3470607323595792E-5</v>
      </c>
      <c r="Y1060" s="33">
        <f t="shared" si="70"/>
        <v>2.9155215839725065E-4</v>
      </c>
      <c r="Z1060" s="54"/>
    </row>
    <row r="1061" spans="15:26" x14ac:dyDescent="0.25">
      <c r="O1061" s="37" t="s">
        <v>19</v>
      </c>
      <c r="P1061" s="31">
        <f>_xll.qlCalendarAdvance(Calendar,P1060,O1060,"f",,Trigger)</f>
        <v>56170</v>
      </c>
      <c r="Q1061" s="31">
        <f>_xll.qlInterestRateIndexValueDate(Index,P1061,Trigger)</f>
        <v>56172</v>
      </c>
      <c r="R1061" s="31">
        <f>_xll.qlInterestRateIndexMaturity(Index,Q1061,Trigger)</f>
        <v>56264</v>
      </c>
      <c r="S1061" s="32">
        <f>_xll.qlDayCounterYearFraction(DayCounter,Q1061,R1061,,,Trigger)</f>
        <v>0.25555555555555554</v>
      </c>
      <c r="T1061" s="33">
        <f>_xll.qlIndexFixing(Index,P1061,,AllTriggers)</f>
        <v>1.2348048335614349E-2</v>
      </c>
      <c r="U1061" s="34">
        <f>_xll.qlYieldTSDiscount(OisCurve,Q1061,,AllTriggers)</f>
        <v>0.62797444642359135</v>
      </c>
      <c r="V1061" s="34">
        <f>_xll.qlYieldTSDiscount(OisCurve,R1061,,AllTriggers)</f>
        <v>0.62604532519031009</v>
      </c>
      <c r="W1061" s="33">
        <f t="shared" si="68"/>
        <v>1.2057809485872636E-2</v>
      </c>
      <c r="X1061" s="35">
        <f t="shared" si="69"/>
        <v>7.394156181973787E-5</v>
      </c>
      <c r="Y1061" s="33">
        <f t="shared" si="70"/>
        <v>2.9023884974171271E-4</v>
      </c>
      <c r="Z1061" s="54"/>
    </row>
    <row r="1062" spans="15:26" x14ac:dyDescent="0.25">
      <c r="O1062" s="37" t="s">
        <v>19</v>
      </c>
      <c r="P1062" s="31">
        <f>_xll.qlCalendarAdvance(Calendar,P1061,O1061,"f",,Trigger)</f>
        <v>56201</v>
      </c>
      <c r="Q1062" s="31">
        <f>_xll.qlInterestRateIndexValueDate(Index,P1062,Trigger)</f>
        <v>56205</v>
      </c>
      <c r="R1062" s="31">
        <f>_xll.qlInterestRateIndexMaturity(Index,Q1062,Trigger)</f>
        <v>56297</v>
      </c>
      <c r="S1062" s="32">
        <f>_xll.qlDayCounterYearFraction(DayCounter,Q1062,R1062,,,Trigger)</f>
        <v>0.25555555555555554</v>
      </c>
      <c r="T1062" s="33">
        <f>_xll.qlIndexFixing(Index,P1062,,AllTriggers)</f>
        <v>1.2307628309371779E-2</v>
      </c>
      <c r="U1062" s="34">
        <f>_xll.qlYieldTSDiscount(OisCurve,Q1062,,AllTriggers)</f>
        <v>0.62727981364127139</v>
      </c>
      <c r="V1062" s="34">
        <f>_xll.qlYieldTSDiscount(OisCurve,R1062,,AllTriggers)</f>
        <v>0.62535903934580417</v>
      </c>
      <c r="W1062" s="33">
        <f t="shared" si="68"/>
        <v>1.201881296535119E-2</v>
      </c>
      <c r="X1062" s="35">
        <f t="shared" si="69"/>
        <v>7.3579652310380836E-5</v>
      </c>
      <c r="Y1062" s="33">
        <f t="shared" si="70"/>
        <v>2.8881534402058935E-4</v>
      </c>
      <c r="Z1062" s="54"/>
    </row>
    <row r="1063" spans="15:26" x14ac:dyDescent="0.25">
      <c r="O1063" s="37" t="s">
        <v>19</v>
      </c>
      <c r="P1063" s="31">
        <f>_xll.qlCalendarAdvance(Calendar,P1062,O1062,"f",,Trigger)</f>
        <v>56233</v>
      </c>
      <c r="Q1063" s="31">
        <f>_xll.qlInterestRateIndexValueDate(Index,P1063,Trigger)</f>
        <v>56235</v>
      </c>
      <c r="R1063" s="31">
        <f>_xll.qlInterestRateIndexMaturity(Index,Q1063,Trigger)</f>
        <v>56325</v>
      </c>
      <c r="S1063" s="32">
        <f>_xll.qlDayCounterYearFraction(DayCounter,Q1063,R1063,,,Trigger)</f>
        <v>0.25</v>
      </c>
      <c r="T1063" s="33">
        <f>_xll.qlIndexFixing(Index,P1063,,AllTriggers)</f>
        <v>1.2271302327060418E-2</v>
      </c>
      <c r="U1063" s="34">
        <f>_xll.qlYieldTSDiscount(OisCurve,Q1063,,AllTriggers)</f>
        <v>0.62665091164536613</v>
      </c>
      <c r="V1063" s="34">
        <f>_xll.qlYieldTSDiscount(OisCurve,R1063,,AllTriggers)</f>
        <v>0.62477911241858231</v>
      </c>
      <c r="W1063" s="33">
        <f t="shared" si="68"/>
        <v>1.1983750350026412E-2</v>
      </c>
      <c r="X1063" s="35">
        <f t="shared" si="69"/>
        <v>7.1670697222289801E-5</v>
      </c>
      <c r="Y1063" s="33">
        <f t="shared" si="70"/>
        <v>2.8755197703400626E-4</v>
      </c>
      <c r="Z1063" s="54"/>
    </row>
    <row r="1064" spans="15:26" x14ac:dyDescent="0.25">
      <c r="O1064" s="37" t="s">
        <v>19</v>
      </c>
      <c r="P1064" s="31">
        <f>_xll.qlCalendarAdvance(Calendar,P1063,O1063,"f",,Trigger)</f>
        <v>56264</v>
      </c>
      <c r="Q1064" s="31">
        <f>_xll.qlInterestRateIndexValueDate(Index,P1064,Trigger)</f>
        <v>56268</v>
      </c>
      <c r="R1064" s="31">
        <f>_xll.qlInterestRateIndexMaturity(Index,Q1064,Trigger)</f>
        <v>56359</v>
      </c>
      <c r="S1064" s="32">
        <f>_xll.qlDayCounterYearFraction(DayCounter,Q1064,R1064,,,Trigger)</f>
        <v>0.25277777777777777</v>
      </c>
      <c r="T1064" s="33">
        <f>_xll.qlIndexFixing(Index,P1064,,AllTriggers)</f>
        <v>1.2229562681926168E-2</v>
      </c>
      <c r="U1064" s="34">
        <f>_xll.qlYieldTSDiscount(OisCurve,Q1064,,AllTriggers)</f>
        <v>0.62596197824315603</v>
      </c>
      <c r="V1064" s="34">
        <f>_xll.qlYieldTSDiscount(OisCurve,R1064,,AllTriggers)</f>
        <v>0.62407786620056216</v>
      </c>
      <c r="W1064" s="33">
        <f t="shared" si="68"/>
        <v>1.194342959796294E-2</v>
      </c>
      <c r="X1064" s="35">
        <f t="shared" si="69"/>
        <v>7.2107781620368085E-5</v>
      </c>
      <c r="Y1064" s="33">
        <f t="shared" si="70"/>
        <v>2.8613308396322791E-4</v>
      </c>
      <c r="Z1064" s="54"/>
    </row>
    <row r="1065" spans="15:26" x14ac:dyDescent="0.25">
      <c r="O1065" s="37" t="s">
        <v>19</v>
      </c>
      <c r="P1065" s="31">
        <f>_xll.qlCalendarAdvance(Calendar,P1064,O1064,"f",,Trigger)</f>
        <v>56296</v>
      </c>
      <c r="Q1065" s="31">
        <f>_xll.qlInterestRateIndexValueDate(Index,P1065,Trigger)</f>
        <v>56298</v>
      </c>
      <c r="R1065" s="31">
        <f>_xll.qlInterestRateIndexMaturity(Index,Q1065,Trigger)</f>
        <v>56387</v>
      </c>
      <c r="S1065" s="32">
        <f>_xll.qlDayCounterYearFraction(DayCounter,Q1065,R1065,,,Trigger)</f>
        <v>0.24722222222222223</v>
      </c>
      <c r="T1065" s="33">
        <f>_xll.qlIndexFixing(Index,P1065,,AllTriggers)</f>
        <v>1.2192448624538874E-2</v>
      </c>
      <c r="U1065" s="34">
        <f>_xll.qlYieldTSDiscount(OisCurve,Q1065,,AllTriggers)</f>
        <v>0.62533829002378816</v>
      </c>
      <c r="V1065" s="34">
        <f>_xll.qlYieldTSDiscount(OisCurve,R1065,,AllTriggers)</f>
        <v>0.62350281339504587</v>
      </c>
      <c r="W1065" s="33">
        <f t="shared" si="68"/>
        <v>1.1907564307803322E-2</v>
      </c>
      <c r="X1065" s="35">
        <f t="shared" si="69"/>
        <v>7.022054482270628E-5</v>
      </c>
      <c r="Y1065" s="33">
        <f t="shared" si="70"/>
        <v>2.8488431673555185E-4</v>
      </c>
      <c r="Z1065" s="54"/>
    </row>
    <row r="1066" spans="15:26" x14ac:dyDescent="0.25">
      <c r="O1066" s="37" t="s">
        <v>19</v>
      </c>
      <c r="P1066" s="31">
        <f>_xll.qlCalendarAdvance(Calendar,P1065,O1065,"f",,Trigger)</f>
        <v>56324</v>
      </c>
      <c r="Q1066" s="31">
        <f>_xll.qlInterestRateIndexValueDate(Index,P1066,Trigger)</f>
        <v>56326</v>
      </c>
      <c r="R1066" s="31">
        <f>_xll.qlInterestRateIndexMaturity(Index,Q1066,Trigger)</f>
        <v>56418</v>
      </c>
      <c r="S1066" s="32">
        <f>_xll.qlDayCounterYearFraction(DayCounter,Q1066,R1066,,,Trigger)</f>
        <v>0.25555555555555554</v>
      </c>
      <c r="T1066" s="33">
        <f>_xll.qlIndexFixing(Index,P1066,,AllTriggers)</f>
        <v>1.2155336958195909E-2</v>
      </c>
      <c r="U1066" s="34">
        <f>_xll.qlYieldTSDiscount(OisCurve,Q1066,,AllTriggers)</f>
        <v>0.62475844125048008</v>
      </c>
      <c r="V1066" s="34">
        <f>_xll.qlYieldTSDiscount(OisCurve,R1066,,AllTriggers)</f>
        <v>0.62286873802896581</v>
      </c>
      <c r="W1066" s="33">
        <f t="shared" si="68"/>
        <v>1.1871668002145013E-2</v>
      </c>
      <c r="X1066" s="35">
        <f t="shared" si="69"/>
        <v>7.2271296331774291E-5</v>
      </c>
      <c r="Y1066" s="33">
        <f t="shared" si="70"/>
        <v>2.8366895605089551E-4</v>
      </c>
      <c r="Z1066" s="54"/>
    </row>
    <row r="1067" spans="15:26" x14ac:dyDescent="0.25">
      <c r="O1067" s="37" t="s">
        <v>19</v>
      </c>
      <c r="P1067" s="31">
        <f>_xll.qlCalendarAdvance(Calendar,P1066,O1066,"f",,Trigger)</f>
        <v>56355</v>
      </c>
      <c r="Q1067" s="31">
        <f>_xll.qlInterestRateIndexValueDate(Index,P1067,Trigger)</f>
        <v>56359</v>
      </c>
      <c r="R1067" s="31">
        <f>_xll.qlInterestRateIndexMaturity(Index,Q1067,Trigger)</f>
        <v>56450</v>
      </c>
      <c r="S1067" s="32">
        <f>_xll.qlDayCounterYearFraction(DayCounter,Q1067,R1067,,,Trigger)</f>
        <v>0.25277777777777777</v>
      </c>
      <c r="T1067" s="33">
        <f>_xll.qlIndexFixing(Index,P1067,,AllTriggers)</f>
        <v>1.2113138545740369E-2</v>
      </c>
      <c r="U1067" s="34">
        <f>_xll.qlYieldTSDiscount(OisCurve,Q1067,,AllTriggers)</f>
        <v>0.62407786620056216</v>
      </c>
      <c r="V1067" s="34">
        <f>_xll.qlYieldTSDiscount(OisCurve,R1067,,AllTriggers)</f>
        <v>0.62221708005107035</v>
      </c>
      <c r="W1067" s="33">
        <f t="shared" si="68"/>
        <v>1.1830841737071936E-2</v>
      </c>
      <c r="X1067" s="35">
        <f t="shared" si="69"/>
        <v>7.1143063086543334E-5</v>
      </c>
      <c r="Y1067" s="33">
        <f t="shared" si="70"/>
        <v>2.8229680866843215E-4</v>
      </c>
      <c r="Z1067" s="54"/>
    </row>
    <row r="1068" spans="15:26" x14ac:dyDescent="0.25">
      <c r="O1068" s="37" t="s">
        <v>19</v>
      </c>
      <c r="P1068" s="31">
        <f>_xll.qlCalendarAdvance(Calendar,P1067,O1067,"f",,Trigger)</f>
        <v>56387</v>
      </c>
      <c r="Q1068" s="31">
        <f>_xll.qlInterestRateIndexValueDate(Index,P1068,Trigger)</f>
        <v>56389</v>
      </c>
      <c r="R1068" s="31">
        <f>_xll.qlInterestRateIndexMaturity(Index,Q1068,Trigger)</f>
        <v>56481</v>
      </c>
      <c r="S1068" s="32">
        <f>_xll.qlDayCounterYearFraction(DayCounter,Q1068,R1068,,,Trigger)</f>
        <v>0.25555555555555554</v>
      </c>
      <c r="T1068" s="33">
        <f>_xll.qlIndexFixing(Index,P1068,,AllTriggers)</f>
        <v>1.2073503968419249E-2</v>
      </c>
      <c r="U1068" s="34">
        <f>_xll.qlYieldTSDiscount(OisCurve,Q1068,,AllTriggers)</f>
        <v>0.62346182301152053</v>
      </c>
      <c r="V1068" s="34">
        <f>_xll.qlYieldTSDiscount(OisCurve,R1068,,AllTriggers)</f>
        <v>0.62158858439892295</v>
      </c>
      <c r="W1068" s="33">
        <f t="shared" si="68"/>
        <v>1.1792469038567248E-2</v>
      </c>
      <c r="X1068" s="35">
        <f t="shared" si="69"/>
        <v>7.1601685384589016E-5</v>
      </c>
      <c r="Y1068" s="33">
        <f t="shared" si="70"/>
        <v>2.810349298520004E-4</v>
      </c>
      <c r="Z1068" s="54"/>
    </row>
    <row r="1069" spans="15:26" x14ac:dyDescent="0.25">
      <c r="O1069" s="37" t="s">
        <v>19</v>
      </c>
      <c r="P1069" s="31">
        <f>_xll.qlCalendarAdvance(Calendar,P1068,O1068,"f",,Trigger)</f>
        <v>56418</v>
      </c>
      <c r="Q1069" s="31">
        <f>_xll.qlInterestRateIndexValueDate(Index,P1069,Trigger)</f>
        <v>56422</v>
      </c>
      <c r="R1069" s="31">
        <f>_xll.qlInterestRateIndexMaturity(Index,Q1069,Trigger)</f>
        <v>56514</v>
      </c>
      <c r="S1069" s="32">
        <f>_xll.qlDayCounterYearFraction(DayCounter,Q1069,R1069,,,Trigger)</f>
        <v>0.25555555555555554</v>
      </c>
      <c r="T1069" s="33">
        <f>_xll.qlIndexFixing(Index,P1069,,AllTriggers)</f>
        <v>1.2029944738775104E-2</v>
      </c>
      <c r="U1069" s="34">
        <f>_xll.qlYieldTSDiscount(OisCurve,Q1069,,AllTriggers)</f>
        <v>0.62278712090875932</v>
      </c>
      <c r="V1069" s="34">
        <f>_xll.qlYieldTSDiscount(OisCurve,R1069,,AllTriggers)</f>
        <v>0.62092258440001113</v>
      </c>
      <c r="W1069" s="33">
        <f t="shared" si="68"/>
        <v>1.1750277101913236E-2</v>
      </c>
      <c r="X1069" s="35">
        <f t="shared" si="69"/>
        <v>7.1254106757598983E-5</v>
      </c>
      <c r="Y1069" s="33">
        <f t="shared" si="70"/>
        <v>2.7966763686186787E-4</v>
      </c>
      <c r="Z1069" s="54"/>
    </row>
    <row r="1070" spans="15:26" x14ac:dyDescent="0.25">
      <c r="O1070" s="37" t="s">
        <v>19</v>
      </c>
      <c r="P1070" s="31">
        <f>_xll.qlCalendarAdvance(Calendar,P1069,O1069,"f",,Trigger)</f>
        <v>56450</v>
      </c>
      <c r="Q1070" s="31">
        <f>_xll.qlInterestRateIndexValueDate(Index,P1070,Trigger)</f>
        <v>56452</v>
      </c>
      <c r="R1070" s="31">
        <f>_xll.qlInterestRateIndexMaturity(Index,Q1070,Trigger)</f>
        <v>56544</v>
      </c>
      <c r="S1070" s="32">
        <f>_xll.qlDayCounterYearFraction(DayCounter,Q1070,R1070,,,Trigger)</f>
        <v>0.25555555555555554</v>
      </c>
      <c r="T1070" s="33">
        <f>_xll.qlIndexFixing(Index,P1070,,AllTriggers)</f>
        <v>1.198993122550799E-2</v>
      </c>
      <c r="U1070" s="34">
        <f>_xll.qlYieldTSDiscount(OisCurve,Q1070,,AllTriggers)</f>
        <v>0.62217644867443411</v>
      </c>
      <c r="V1070" s="34">
        <f>_xll.qlYieldTSDiscount(OisCurve,R1070,,AllTriggers)</f>
        <v>0.62031986934653893</v>
      </c>
      <c r="W1070" s="33">
        <f t="shared" si="68"/>
        <v>1.1711499163402543E-2</v>
      </c>
      <c r="X1070" s="35">
        <f t="shared" si="69"/>
        <v>7.0940017360598577E-5</v>
      </c>
      <c r="Y1070" s="33">
        <f t="shared" si="70"/>
        <v>2.7843206210544612E-4</v>
      </c>
      <c r="Z1070" s="54"/>
    </row>
    <row r="1071" spans="15:26" x14ac:dyDescent="0.25">
      <c r="O1071" s="37" t="s">
        <v>19</v>
      </c>
      <c r="P1071" s="31">
        <f>_xll.qlCalendarAdvance(Calendar,P1070,O1070,"f",,Trigger)</f>
        <v>56481</v>
      </c>
      <c r="Q1071" s="31">
        <f>_xll.qlInterestRateIndexValueDate(Index,P1071,Trigger)</f>
        <v>56485</v>
      </c>
      <c r="R1071" s="31">
        <f>_xll.qlInterestRateIndexMaturity(Index,Q1071,Trigger)</f>
        <v>56577</v>
      </c>
      <c r="S1071" s="32">
        <f>_xll.qlDayCounterYearFraction(DayCounter,Q1071,R1071,,,Trigger)</f>
        <v>0.25555555555555554</v>
      </c>
      <c r="T1071" s="33">
        <f>_xll.qlIndexFixing(Index,P1071,,AllTriggers)</f>
        <v>1.1945460740835889E-2</v>
      </c>
      <c r="U1071" s="34">
        <f>_xll.qlYieldTSDiscount(OisCurve,Q1071,,AllTriggers)</f>
        <v>0.62150768959137381</v>
      </c>
      <c r="V1071" s="34">
        <f>_xll.qlYieldTSDiscount(OisCurve,R1071,,AllTriggers)</f>
        <v>0.61965991376983565</v>
      </c>
      <c r="W1071" s="33">
        <f t="shared" si="68"/>
        <v>1.1668379650008767E-2</v>
      </c>
      <c r="X1071" s="35">
        <f t="shared" si="69"/>
        <v>7.0596599312681743E-5</v>
      </c>
      <c r="Y1071" s="33">
        <f t="shared" si="70"/>
        <v>2.7708109082712207E-4</v>
      </c>
      <c r="Z1071" s="54"/>
    </row>
    <row r="1072" spans="15:26" x14ac:dyDescent="0.25">
      <c r="O1072" s="37" t="s">
        <v>19</v>
      </c>
      <c r="P1072" s="31">
        <f>_xll.qlCalendarAdvance(Calendar,P1071,O1071,"f",,Trigger)</f>
        <v>56513</v>
      </c>
      <c r="Q1072" s="31">
        <f>_xll.qlInterestRateIndexValueDate(Index,P1072,Trigger)</f>
        <v>56515</v>
      </c>
      <c r="R1072" s="31">
        <f>_xll.qlInterestRateIndexMaturity(Index,Q1072,Trigger)</f>
        <v>56606</v>
      </c>
      <c r="S1072" s="32">
        <f>_xll.qlDayCounterYearFraction(DayCounter,Q1072,R1072,,,Trigger)</f>
        <v>0.25277777777777777</v>
      </c>
      <c r="T1072" s="33">
        <f>_xll.qlIndexFixing(Index,P1072,,AllTriggers)</f>
        <v>1.1905109462365513E-2</v>
      </c>
      <c r="U1072" s="34">
        <f>_xll.qlYieldTSDiscount(OisCurve,Q1072,,AllTriggers)</f>
        <v>0.62090245177689563</v>
      </c>
      <c r="V1072" s="34">
        <f>_xll.qlYieldTSDiscount(OisCurve,R1072,,AllTriggers)</f>
        <v>0.61908258860733256</v>
      </c>
      <c r="W1072" s="33">
        <f t="shared" si="68"/>
        <v>1.1629237884031677E-2</v>
      </c>
      <c r="X1072" s="35">
        <f t="shared" si="69"/>
        <v>6.9527396699699511E-5</v>
      </c>
      <c r="Y1072" s="33">
        <f t="shared" si="70"/>
        <v>2.7587157833383613E-4</v>
      </c>
      <c r="Z1072" s="54"/>
    </row>
    <row r="1073" spans="15:26" x14ac:dyDescent="0.25">
      <c r="O1073" s="37" t="s">
        <v>19</v>
      </c>
      <c r="P1073" s="31">
        <f>_xll.qlCalendarAdvance(Calendar,P1072,O1072,"f",,Trigger)</f>
        <v>56543</v>
      </c>
      <c r="Q1073" s="31">
        <f>_xll.qlInterestRateIndexValueDate(Index,P1073,Trigger)</f>
        <v>56545</v>
      </c>
      <c r="R1073" s="31">
        <f>_xll.qlInterestRateIndexMaturity(Index,Q1073,Trigger)</f>
        <v>56639</v>
      </c>
      <c r="S1073" s="32">
        <f>_xll.qlDayCounterYearFraction(DayCounter,Q1073,R1073,,,Trigger)</f>
        <v>0.26111111111111113</v>
      </c>
      <c r="T1073" s="33">
        <f>_xll.qlIndexFixing(Index,P1073,,AllTriggers)</f>
        <v>1.1862384817464159E-2</v>
      </c>
      <c r="U1073" s="34">
        <f>_xll.qlYieldTSDiscount(OisCurve,Q1073,,AllTriggers)</f>
        <v>0.62029982395274441</v>
      </c>
      <c r="V1073" s="34">
        <f>_xll.qlYieldTSDiscount(OisCurve,R1073,,AllTriggers)</f>
        <v>0.6184286487096905</v>
      </c>
      <c r="W1073" s="33">
        <f t="shared" si="68"/>
        <v>1.1587760485314291E-2</v>
      </c>
      <c r="X1073" s="35">
        <f t="shared" si="69"/>
        <v>7.1488598849118085E-5</v>
      </c>
      <c r="Y1073" s="33">
        <f t="shared" si="70"/>
        <v>2.7462433214986773E-4</v>
      </c>
      <c r="Z1073" s="54"/>
    </row>
    <row r="1074" spans="15:26" x14ac:dyDescent="0.25">
      <c r="O1074" s="37" t="s">
        <v>19</v>
      </c>
      <c r="P1074" s="31">
        <f>_xll.qlCalendarAdvance(Calendar,P1073,O1073,"f",,Trigger)</f>
        <v>56576</v>
      </c>
      <c r="Q1074" s="31">
        <f>_xll.qlInterestRateIndexValueDate(Index,P1074,Trigger)</f>
        <v>56578</v>
      </c>
      <c r="R1074" s="31">
        <f>_xll.qlInterestRateIndexMaturity(Index,Q1074,Trigger)</f>
        <v>56670</v>
      </c>
      <c r="S1074" s="32">
        <f>_xll.qlDayCounterYearFraction(DayCounter,Q1074,R1074,,,Trigger)</f>
        <v>0.25555555555555554</v>
      </c>
      <c r="T1074" s="33">
        <f>_xll.qlIndexFixing(Index,P1074,,AllTriggers)</f>
        <v>1.18175669273988E-2</v>
      </c>
      <c r="U1074" s="34">
        <f>_xll.qlYieldTSDiscount(OisCurve,Q1074,,AllTriggers)</f>
        <v>0.61963996487545825</v>
      </c>
      <c r="V1074" s="34">
        <f>_xll.qlYieldTSDiscount(OisCurve,R1074,,AllTriggers)</f>
        <v>0.61781728249959833</v>
      </c>
      <c r="W1074" s="33">
        <f t="shared" si="68"/>
        <v>1.1544247119381238E-2</v>
      </c>
      <c r="X1074" s="35">
        <f t="shared" si="69"/>
        <v>6.9640510083357013E-5</v>
      </c>
      <c r="Y1074" s="33">
        <f t="shared" si="70"/>
        <v>2.7331980801756188E-4</v>
      </c>
      <c r="Z1074" s="54"/>
    </row>
    <row r="1075" spans="15:26" x14ac:dyDescent="0.25">
      <c r="O1075" s="37" t="s">
        <v>19</v>
      </c>
      <c r="P1075" s="31">
        <f>_xll.qlCalendarAdvance(Calendar,P1074,O1074,"f",,Trigger)</f>
        <v>56606</v>
      </c>
      <c r="Q1075" s="31">
        <f>_xll.qlInterestRateIndexValueDate(Index,P1075,Trigger)</f>
        <v>56611</v>
      </c>
      <c r="R1075" s="31">
        <f>_xll.qlInterestRateIndexMaturity(Index,Q1075,Trigger)</f>
        <v>56702</v>
      </c>
      <c r="S1075" s="32">
        <f>_xll.qlDayCounterYearFraction(DayCounter,Q1075,R1075,,,Trigger)</f>
        <v>0.25277777777777777</v>
      </c>
      <c r="T1075" s="33">
        <f>_xll.qlIndexFixing(Index,P1075,,AllTriggers)</f>
        <v>1.1771790146982063E-2</v>
      </c>
      <c r="U1075" s="34">
        <f>_xll.qlYieldTSDiscount(OisCurve,Q1075,,AllTriggers)</f>
        <v>0.6189832999945506</v>
      </c>
      <c r="V1075" s="34">
        <f>_xll.qlYieldTSDiscount(OisCurve,R1075,,AllTriggers)</f>
        <v>0.61718919997668309</v>
      </c>
      <c r="W1075" s="33">
        <f t="shared" si="68"/>
        <v>1.1499777592496832E-2</v>
      </c>
      <c r="X1075" s="35">
        <f t="shared" si="69"/>
        <v>6.8557084347230712E-5</v>
      </c>
      <c r="Y1075" s="33">
        <f t="shared" si="70"/>
        <v>2.720125544852306E-4</v>
      </c>
      <c r="Z1075" s="54"/>
    </row>
    <row r="1076" spans="15:26" x14ac:dyDescent="0.25">
      <c r="O1076" s="37" t="s">
        <v>19</v>
      </c>
      <c r="P1076" s="31">
        <f>_xll.qlCalendarAdvance(Calendar,P1075,O1075,"f",,Trigger)</f>
        <v>56639</v>
      </c>
      <c r="Q1076" s="31">
        <f>_xll.qlInterestRateIndexValueDate(Index,P1076,Trigger)</f>
        <v>56641</v>
      </c>
      <c r="R1076" s="31">
        <f>_xll.qlInterestRateIndexMaturity(Index,Q1076,Trigger)</f>
        <v>56731</v>
      </c>
      <c r="S1076" s="32">
        <f>_xll.qlDayCounterYearFraction(DayCounter,Q1076,R1076,,,Trigger)</f>
        <v>0.25</v>
      </c>
      <c r="T1076" s="33">
        <f>_xll.qlIndexFixing(Index,P1076,,AllTriggers)</f>
        <v>1.1729823400725259E-2</v>
      </c>
      <c r="U1076" s="34">
        <f>_xll.qlYieldTSDiscount(OisCurve,Q1076,,AllTriggers)</f>
        <v>0.61838911957630271</v>
      </c>
      <c r="V1076" s="34">
        <f>_xll.qlYieldTSDiscount(OisCurve,R1076,,AllTriggers)</f>
        <v>0.61662265123477511</v>
      </c>
      <c r="W1076" s="33">
        <f t="shared" si="68"/>
        <v>1.1458990927370571E-2</v>
      </c>
      <c r="X1076" s="35">
        <f t="shared" si="69"/>
        <v>6.7512426723345895E-5</v>
      </c>
      <c r="Y1076" s="33">
        <f t="shared" si="70"/>
        <v>2.7083247335468741E-4</v>
      </c>
      <c r="Z1076" s="54"/>
    </row>
    <row r="1077" spans="15:26" x14ac:dyDescent="0.25">
      <c r="O1077" s="37" t="s">
        <v>19</v>
      </c>
      <c r="P1077" s="31">
        <f>_xll.qlCalendarAdvance(Calendar,P1076,O1076,"f",,Trigger)</f>
        <v>56670</v>
      </c>
      <c r="Q1077" s="31">
        <f>_xll.qlInterestRateIndexValueDate(Index,P1077,Trigger)</f>
        <v>56674</v>
      </c>
      <c r="R1077" s="31">
        <f>_xll.qlInterestRateIndexMaturity(Index,Q1077,Trigger)</f>
        <v>56766</v>
      </c>
      <c r="S1077" s="32">
        <f>_xll.qlDayCounterYearFraction(DayCounter,Q1077,R1077,,,Trigger)</f>
        <v>0.25555555555555554</v>
      </c>
      <c r="T1077" s="33">
        <f>_xll.qlIndexFixing(Index,P1077,,AllTriggers)</f>
        <v>1.1681591704674732E-2</v>
      </c>
      <c r="U1077" s="34">
        <f>_xll.qlYieldTSDiscount(OisCurve,Q1077,,AllTriggers)</f>
        <v>0.61773860489073051</v>
      </c>
      <c r="V1077" s="34">
        <f>_xll.qlYieldTSDiscount(OisCurve,R1077,,AllTriggers)</f>
        <v>0.61594225780570144</v>
      </c>
      <c r="W1077" s="33">
        <f t="shared" si="68"/>
        <v>1.1412083124167277E-2</v>
      </c>
      <c r="X1077" s="35">
        <f t="shared" si="69"/>
        <v>6.8671774359873973E-5</v>
      </c>
      <c r="Y1077" s="33">
        <f t="shared" si="70"/>
        <v>2.6950858050745451E-4</v>
      </c>
      <c r="Z1077" s="54"/>
    </row>
    <row r="1078" spans="15:26" x14ac:dyDescent="0.25">
      <c r="O1078" s="37" t="s">
        <v>19</v>
      </c>
      <c r="P1078" s="31">
        <f>_xll.qlCalendarAdvance(Calendar,P1077,O1077,"f",,Trigger)</f>
        <v>56698</v>
      </c>
      <c r="Q1078" s="31">
        <f>_xll.qlInterestRateIndexValueDate(Index,P1078,Trigger)</f>
        <v>56702</v>
      </c>
      <c r="R1078" s="31">
        <f>_xll.qlInterestRateIndexMaturity(Index,Q1078,Trigger)</f>
        <v>56794</v>
      </c>
      <c r="S1078" s="32">
        <f>_xll.qlDayCounterYearFraction(DayCounter,Q1078,R1078,,,Trigger)</f>
        <v>0.25555555555555554</v>
      </c>
      <c r="T1078" s="33">
        <f>_xll.qlIndexFixing(Index,P1078,,AllTriggers)</f>
        <v>1.1641380400836737E-2</v>
      </c>
      <c r="U1078" s="34">
        <f>_xll.qlYieldTSDiscount(OisCurve,Q1078,,AllTriggers)</f>
        <v>0.61718919997668309</v>
      </c>
      <c r="V1078" s="34">
        <f>_xll.qlYieldTSDiscount(OisCurve,R1078,,AllTriggers)</f>
        <v>0.61540058421443833</v>
      </c>
      <c r="W1078" s="33">
        <f t="shared" si="68"/>
        <v>1.1372968149681802E-2</v>
      </c>
      <c r="X1078" s="35">
        <f t="shared" si="69"/>
        <v>6.8393116823841556E-5</v>
      </c>
      <c r="Y1078" s="33">
        <f t="shared" si="70"/>
        <v>2.6841225115493451E-4</v>
      </c>
      <c r="Z1078" s="54"/>
    </row>
    <row r="1079" spans="15:26" x14ac:dyDescent="0.25">
      <c r="O1079" s="37" t="s">
        <v>19</v>
      </c>
      <c r="P1079" s="31">
        <f>_xll.qlCalendarAdvance(Calendar,P1078,O1078,"f",,Trigger)</f>
        <v>56730</v>
      </c>
      <c r="Q1079" s="31">
        <f>_xll.qlInterestRateIndexValueDate(Index,P1079,Trigger)</f>
        <v>56732</v>
      </c>
      <c r="R1079" s="31">
        <f>_xll.qlInterestRateIndexMaturity(Index,Q1079,Trigger)</f>
        <v>56823</v>
      </c>
      <c r="S1079" s="32">
        <f>_xll.qlDayCounterYearFraction(DayCounter,Q1079,R1079,,,Trigger)</f>
        <v>0.25277777777777777</v>
      </c>
      <c r="T1079" s="33">
        <f>_xll.qlIndexFixing(Index,P1079,,AllTriggers)</f>
        <v>1.1598934937334696E-2</v>
      </c>
      <c r="U1079" s="34">
        <f>_xll.qlYieldTSDiscount(OisCurve,Q1079,,AllTriggers)</f>
        <v>0.61660316018991879</v>
      </c>
      <c r="V1079" s="34">
        <f>_xll.qlYieldTSDiscount(OisCurve,R1079,,AllTriggers)</f>
        <v>0.61484200928852228</v>
      </c>
      <c r="W1079" s="33">
        <f t="shared" si="68"/>
        <v>1.1331675900306926E-2</v>
      </c>
      <c r="X1079" s="35">
        <f t="shared" si="69"/>
        <v>6.7361918905864521E-5</v>
      </c>
      <c r="Y1079" s="33">
        <f t="shared" si="70"/>
        <v>2.6725903702777033E-4</v>
      </c>
      <c r="Z1079" s="54"/>
    </row>
    <row r="1080" spans="15:26" x14ac:dyDescent="0.25">
      <c r="O1080" s="37" t="s">
        <v>19</v>
      </c>
      <c r="P1080" s="31">
        <f>_xll.qlCalendarAdvance(Calendar,P1079,O1079,"f",,Trigger)</f>
        <v>56760</v>
      </c>
      <c r="Q1080" s="31">
        <f>_xll.qlInterestRateIndexValueDate(Index,P1080,Trigger)</f>
        <v>56762</v>
      </c>
      <c r="R1080" s="31">
        <f>_xll.qlInterestRateIndexMaturity(Index,Q1080,Trigger)</f>
        <v>56856</v>
      </c>
      <c r="S1080" s="32">
        <f>_xll.qlDayCounterYearFraction(DayCounter,Q1080,R1080,,,Trigger)</f>
        <v>0.26111111111111113</v>
      </c>
      <c r="T1080" s="33">
        <f>_xll.qlIndexFixing(Index,P1080,,AllTriggers)</f>
        <v>1.1554819990486295E-2</v>
      </c>
      <c r="U1080" s="34">
        <f>_xll.qlYieldTSDiscount(OisCurve,Q1080,,AllTriggers)</f>
        <v>0.61601983061479071</v>
      </c>
      <c r="V1080" s="34">
        <f>_xll.qlYieldTSDiscount(OisCurve,R1080,,AllTriggers)</f>
        <v>0.61420937706552048</v>
      </c>
      <c r="W1080" s="33">
        <f t="shared" si="68"/>
        <v>1.1288743138290886E-2</v>
      </c>
      <c r="X1080" s="35">
        <f t="shared" si="69"/>
        <v>6.9269037748526585E-5</v>
      </c>
      <c r="Y1080" s="33">
        <f t="shared" si="70"/>
        <v>2.660768521954085E-4</v>
      </c>
      <c r="Z1080" s="54"/>
    </row>
    <row r="1081" spans="15:26" x14ac:dyDescent="0.25">
      <c r="O1081" s="37" t="s">
        <v>19</v>
      </c>
      <c r="P1081" s="31">
        <f>_xll.qlCalendarAdvance(Calendar,P1080,O1080,"f",,Trigger)</f>
        <v>56793</v>
      </c>
      <c r="Q1081" s="31">
        <f>_xll.qlInterestRateIndexValueDate(Index,P1081,Trigger)</f>
        <v>56795</v>
      </c>
      <c r="R1081" s="31">
        <f>_xll.qlInterestRateIndexMaturity(Index,Q1081,Trigger)</f>
        <v>56887</v>
      </c>
      <c r="S1081" s="32">
        <f>_xll.qlDayCounterYearFraction(DayCounter,Q1081,R1081,,,Trigger)</f>
        <v>0.25555555555555554</v>
      </c>
      <c r="T1081" s="33">
        <f>_xll.qlIndexFixing(Index,P1081,,AllTriggers)</f>
        <v>1.150964944691951E-2</v>
      </c>
      <c r="U1081" s="34">
        <f>_xll.qlYieldTSDiscount(OisCurve,Q1081,,AllTriggers)</f>
        <v>0.61538128177557561</v>
      </c>
      <c r="V1081" s="34">
        <f>_xll.qlYieldTSDiscount(OisCurve,R1081,,AllTriggers)</f>
        <v>0.61361794552909743</v>
      </c>
      <c r="W1081" s="33">
        <f t="shared" si="68"/>
        <v>1.1244800530259872E-2</v>
      </c>
      <c r="X1081" s="35">
        <f t="shared" si="69"/>
        <v>6.7487391589102778E-5</v>
      </c>
      <c r="Y1081" s="33">
        <f t="shared" si="70"/>
        <v>2.6484891665963864E-4</v>
      </c>
      <c r="Z1081" s="54"/>
    </row>
    <row r="1082" spans="15:26" x14ac:dyDescent="0.25">
      <c r="O1082" s="37" t="s">
        <v>19</v>
      </c>
      <c r="P1082" s="31">
        <f>_xll.qlCalendarAdvance(Calendar,P1081,O1081,"f",,Trigger)</f>
        <v>56823</v>
      </c>
      <c r="Q1082" s="31">
        <f>_xll.qlInterestRateIndexValueDate(Index,P1082,Trigger)</f>
        <v>56825</v>
      </c>
      <c r="R1082" s="31">
        <f>_xll.qlInterestRateIndexMaturity(Index,Q1082,Trigger)</f>
        <v>56916</v>
      </c>
      <c r="S1082" s="32">
        <f>_xll.qlDayCounterYearFraction(DayCounter,Q1082,R1082,,,Trigger)</f>
        <v>0.25277777777777777</v>
      </c>
      <c r="T1082" s="33">
        <f>_xll.qlIndexFixing(Index,P1082,,AllTriggers)</f>
        <v>1.1468713505658168E-2</v>
      </c>
      <c r="U1082" s="34">
        <f>_xll.qlYieldTSDiscount(OisCurve,Q1082,,AllTriggers)</f>
        <v>0.61480357780375228</v>
      </c>
      <c r="V1082" s="34">
        <f>_xll.qlYieldTSDiscount(OisCurve,R1082,,AllTriggers)</f>
        <v>0.6130671456675435</v>
      </c>
      <c r="W1082" s="33">
        <f t="shared" si="68"/>
        <v>1.1204974701505704E-2</v>
      </c>
      <c r="X1082" s="35">
        <f t="shared" si="69"/>
        <v>6.6476806118459452E-5</v>
      </c>
      <c r="Y1082" s="33">
        <f t="shared" si="70"/>
        <v>2.6373880415246458E-4</v>
      </c>
      <c r="Z1082" s="54"/>
    </row>
    <row r="1083" spans="15:26" x14ac:dyDescent="0.25">
      <c r="O1083" s="37" t="s">
        <v>19</v>
      </c>
      <c r="P1083" s="31">
        <f>_xll.qlCalendarAdvance(Calendar,P1082,O1082,"f",,Trigger)</f>
        <v>56856</v>
      </c>
      <c r="Q1083" s="31">
        <f>_xll.qlInterestRateIndexValueDate(Index,P1083,Trigger)</f>
        <v>56858</v>
      </c>
      <c r="R1083" s="31">
        <f>_xll.qlInterestRateIndexMaturity(Index,Q1083,Trigger)</f>
        <v>56949</v>
      </c>
      <c r="S1083" s="32">
        <f>_xll.qlDayCounterYearFraction(DayCounter,Q1083,R1083,,,Trigger)</f>
        <v>0.25277777777777777</v>
      </c>
      <c r="T1083" s="33">
        <f>_xll.qlIndexFixing(Index,P1083,,AllTriggers)</f>
        <v>1.1423748306509019E-2</v>
      </c>
      <c r="U1083" s="34">
        <f>_xll.qlYieldTSDiscount(OisCurve,Q1083,,AllTriggers)</f>
        <v>0.61417113701597137</v>
      </c>
      <c r="V1083" s="34">
        <f>_xll.qlYieldTSDiscount(OisCurve,R1083,,AllTriggers)</f>
        <v>0.61244324492869051</v>
      </c>
      <c r="W1083" s="33">
        <f t="shared" si="68"/>
        <v>1.1161225313831789E-2</v>
      </c>
      <c r="X1083" s="35">
        <f t="shared" si="69"/>
        <v>6.6171094021081706E-5</v>
      </c>
      <c r="Y1083" s="33">
        <f t="shared" si="70"/>
        <v>2.6252299267722976E-4</v>
      </c>
      <c r="Z1083" s="54"/>
    </row>
    <row r="1084" spans="15:26" x14ac:dyDescent="0.25">
      <c r="O1084" s="37" t="s">
        <v>19</v>
      </c>
      <c r="P1084" s="31">
        <f>_xll.qlCalendarAdvance(Calendar,P1083,O1083,"f",,Trigger)</f>
        <v>56887</v>
      </c>
      <c r="Q1084" s="31">
        <f>_xll.qlInterestRateIndexValueDate(Index,P1084,Trigger)</f>
        <v>56891</v>
      </c>
      <c r="R1084" s="31">
        <f>_xll.qlInterestRateIndexMaturity(Index,Q1084,Trigger)</f>
        <v>56983</v>
      </c>
      <c r="S1084" s="32">
        <f>_xll.qlDayCounterYearFraction(DayCounter,Q1084,R1084,,,Trigger)</f>
        <v>0.25555555555555554</v>
      </c>
      <c r="T1084" s="33">
        <f>_xll.qlIndexFixing(Index,P1084,,AllTriggers)</f>
        <v>1.137895226775678E-2</v>
      </c>
      <c r="U1084" s="34">
        <f>_xll.qlYieldTSDiscount(OisCurve,Q1084,,AllTriggers)</f>
        <v>0.61354183161410225</v>
      </c>
      <c r="V1084" s="34">
        <f>_xll.qlYieldTSDiscount(OisCurve,R1084,,AllTriggers)</f>
        <v>0.61180359115849037</v>
      </c>
      <c r="W1084" s="33">
        <f t="shared" si="68"/>
        <v>1.1117637386863777E-2</v>
      </c>
      <c r="X1084" s="35">
        <f t="shared" si="69"/>
        <v>6.6589055070118735E-5</v>
      </c>
      <c r="Y1084" s="33">
        <f t="shared" si="70"/>
        <v>2.6131488089300298E-4</v>
      </c>
      <c r="Z1084" s="54"/>
    </row>
    <row r="1085" spans="15:26" x14ac:dyDescent="0.25">
      <c r="O1085" s="37" t="s">
        <v>19</v>
      </c>
      <c r="P1085" s="31">
        <f>_xll.qlCalendarAdvance(Calendar,P1084,O1084,"f",,Trigger)</f>
        <v>56919</v>
      </c>
      <c r="Q1085" s="31">
        <f>_xll.qlInterestRateIndexValueDate(Index,P1085,Trigger)</f>
        <v>56921</v>
      </c>
      <c r="R1085" s="31">
        <f>_xll.qlInterestRateIndexMaturity(Index,Q1085,Trigger)</f>
        <v>57013</v>
      </c>
      <c r="S1085" s="32">
        <f>_xll.qlDayCounterYearFraction(DayCounter,Q1085,R1085,,,Trigger)</f>
        <v>0.25555555555555554</v>
      </c>
      <c r="T1085" s="33">
        <f>_xll.qlIndexFixing(Index,P1085,,AllTriggers)</f>
        <v>1.1339239887047683E-2</v>
      </c>
      <c r="U1085" s="34">
        <f>_xll.qlYieldTSDiscount(OisCurve,Q1085,,AllTriggers)</f>
        <v>0.61297241972679906</v>
      </c>
      <c r="V1085" s="34">
        <f>_xll.qlYieldTSDiscount(OisCurve,R1085,,AllTriggers)</f>
        <v>0.61124181092656504</v>
      </c>
      <c r="W1085" s="33">
        <f t="shared" si="68"/>
        <v>1.1078999109879775E-2</v>
      </c>
      <c r="X1085" s="35">
        <f t="shared" si="69"/>
        <v>6.6316010700167823E-5</v>
      </c>
      <c r="Y1085" s="33">
        <f t="shared" si="70"/>
        <v>2.6024077716790828E-4</v>
      </c>
      <c r="Z1085" s="54"/>
    </row>
    <row r="1086" spans="15:26" x14ac:dyDescent="0.25">
      <c r="O1086" s="37" t="s">
        <v>19</v>
      </c>
      <c r="P1086" s="31">
        <f>_xll.qlCalendarAdvance(Calendar,P1085,O1085,"f",,Trigger)</f>
        <v>56949</v>
      </c>
      <c r="Q1086" s="31">
        <f>_xll.qlInterestRateIndexValueDate(Index,P1086,Trigger)</f>
        <v>56951</v>
      </c>
      <c r="R1086" s="31">
        <f>_xll.qlInterestRateIndexMaturity(Index,Q1086,Trigger)</f>
        <v>57042</v>
      </c>
      <c r="S1086" s="32">
        <f>_xll.qlDayCounterYearFraction(DayCounter,Q1086,R1086,,,Trigger)</f>
        <v>0.25277777777777777</v>
      </c>
      <c r="T1086" s="33">
        <f>_xll.qlIndexFixing(Index,P1086,,AllTriggers)</f>
        <v>1.1300532541380467E-2</v>
      </c>
      <c r="U1086" s="34">
        <f>_xll.qlYieldTSDiscount(OisCurve,Q1086,,AllTriggers)</f>
        <v>0.61240553010239351</v>
      </c>
      <c r="V1086" s="34">
        <f>_xll.qlYieldTSDiscount(OisCurve,R1086,,AllTriggers)</f>
        <v>0.61070105983546208</v>
      </c>
      <c r="W1086" s="33">
        <f t="shared" si="68"/>
        <v>1.1041342059513837E-2</v>
      </c>
      <c r="X1086" s="35">
        <f t="shared" si="69"/>
        <v>6.5333108724221649E-5</v>
      </c>
      <c r="Y1086" s="33">
        <f t="shared" si="70"/>
        <v>2.5919048186662935E-4</v>
      </c>
      <c r="Z1086" s="54"/>
    </row>
    <row r="1087" spans="15:26" x14ac:dyDescent="0.25">
      <c r="O1087" s="37" t="s">
        <v>19</v>
      </c>
      <c r="P1087" s="31">
        <f>_xll.qlCalendarAdvance(Calendar,P1086,O1086,"f",,Trigger)</f>
        <v>56982</v>
      </c>
      <c r="Q1087" s="31">
        <f>_xll.qlInterestRateIndexValueDate(Index,P1087,Trigger)</f>
        <v>56984</v>
      </c>
      <c r="R1087" s="31">
        <f>_xll.qlInterestRateIndexMaturity(Index,Q1087,Trigger)</f>
        <v>57075</v>
      </c>
      <c r="S1087" s="32">
        <f>_xll.qlDayCounterYearFraction(DayCounter,Q1087,R1087,,,Trigger)</f>
        <v>0.25277777777777777</v>
      </c>
      <c r="T1087" s="33">
        <f>_xll.qlIndexFixing(Index,P1087,,AllTriggers)</f>
        <v>1.1258054228320904E-2</v>
      </c>
      <c r="U1087" s="34">
        <f>_xll.qlYieldTSDiscount(OisCurve,Q1087,,AllTriggers)</f>
        <v>0.61178482577878612</v>
      </c>
      <c r="V1087" s="34">
        <f>_xll.qlYieldTSDiscount(OisCurve,R1087,,AllTriggers)</f>
        <v>0.61008843898387577</v>
      </c>
      <c r="W1087" s="33">
        <f t="shared" si="68"/>
        <v>1.1000012946147924E-2</v>
      </c>
      <c r="X1087" s="35">
        <f t="shared" si="69"/>
        <v>6.5044121579474213E-5</v>
      </c>
      <c r="Y1087" s="33">
        <f t="shared" si="70"/>
        <v>2.5804128217297995E-4</v>
      </c>
      <c r="Z1087" s="54"/>
    </row>
    <row r="1088" spans="15:26" x14ac:dyDescent="0.25">
      <c r="O1088" s="37" t="s">
        <v>19</v>
      </c>
      <c r="P1088" s="31">
        <f>_xll.qlCalendarAdvance(Calendar,P1087,O1087,"f",,Trigger)</f>
        <v>57013</v>
      </c>
      <c r="Q1088" s="31">
        <f>_xll.qlInterestRateIndexValueDate(Index,P1088,Trigger)</f>
        <v>57017</v>
      </c>
      <c r="R1088" s="31">
        <f>_xll.qlInterestRateIndexMaturity(Index,Q1088,Trigger)</f>
        <v>57108</v>
      </c>
      <c r="S1088" s="32">
        <f>_xll.qlDayCounterYearFraction(DayCounter,Q1088,R1088,,,Trigger)</f>
        <v>0.25277777777777777</v>
      </c>
      <c r="T1088" s="33">
        <f>_xll.qlIndexFixing(Index,P1088,,AllTriggers)</f>
        <v>1.1216227191466175E-2</v>
      </c>
      <c r="U1088" s="34">
        <f>_xll.qlYieldTSDiscount(OisCurve,Q1088,,AllTriggers)</f>
        <v>0.61116709063984442</v>
      </c>
      <c r="V1088" s="34">
        <f>_xll.qlYieldTSDiscount(OisCurve,R1088,,AllTriggers)</f>
        <v>0.60947866896962111</v>
      </c>
      <c r="W1088" s="33">
        <f t="shared" si="68"/>
        <v>1.0959317665756686E-2</v>
      </c>
      <c r="X1088" s="35">
        <f t="shared" si="69"/>
        <v>6.4759514778666411E-5</v>
      </c>
      <c r="Y1088" s="33">
        <f t="shared" si="70"/>
        <v>2.5690952570948944E-4</v>
      </c>
      <c r="Z1088" s="54"/>
    </row>
    <row r="1089" spans="15:26" x14ac:dyDescent="0.25">
      <c r="O1089" s="37" t="s">
        <v>19</v>
      </c>
      <c r="P1089" s="31">
        <f>_xll.qlCalendarAdvance(Calendar,P1088,O1088,"f",,Trigger)</f>
        <v>57042</v>
      </c>
      <c r="Q1089" s="31">
        <f>_xll.qlInterestRateIndexValueDate(Index,P1089,Trigger)</f>
        <v>57046</v>
      </c>
      <c r="R1089" s="31">
        <f>_xll.qlInterestRateIndexMaturity(Index,Q1089,Trigger)</f>
        <v>57138</v>
      </c>
      <c r="S1089" s="32">
        <f>_xll.qlDayCounterYearFraction(DayCounter,Q1089,R1089,,,Trigger)</f>
        <v>0.25555555555555554</v>
      </c>
      <c r="T1089" s="33">
        <f>_xll.qlIndexFixing(Index,P1089,,AllTriggers)</f>
        <v>1.1179565642909615E-2</v>
      </c>
      <c r="U1089" s="34">
        <f>_xll.qlYieldTSDiscount(OisCurve,Q1089,,AllTriggers)</f>
        <v>0.61062664950287182</v>
      </c>
      <c r="V1089" s="34">
        <f>_xll.qlYieldTSDiscount(OisCurve,R1089,,AllTriggers)</f>
        <v>0.60892677062981326</v>
      </c>
      <c r="W1089" s="33">
        <f t="shared" si="68"/>
        <v>1.0923645106250523E-2</v>
      </c>
      <c r="X1089" s="35">
        <f t="shared" si="69"/>
        <v>6.5217720594338589E-5</v>
      </c>
      <c r="Y1089" s="33">
        <f t="shared" si="70"/>
        <v>2.5592053665909192E-4</v>
      </c>
      <c r="Z1089" s="54"/>
    </row>
    <row r="1090" spans="15:26" x14ac:dyDescent="0.25">
      <c r="O1090" s="37" t="s">
        <v>19</v>
      </c>
      <c r="P1090" s="31">
        <f>_xll.qlCalendarAdvance(Calendar,P1089,O1089,"f",,Trigger)</f>
        <v>57074</v>
      </c>
      <c r="Q1090" s="31">
        <f>_xll.qlInterestRateIndexValueDate(Index,P1090,Trigger)</f>
        <v>57076</v>
      </c>
      <c r="R1090" s="31">
        <f>_xll.qlInterestRateIndexMaturity(Index,Q1090,Trigger)</f>
        <v>57167</v>
      </c>
      <c r="S1090" s="32">
        <f>_xll.qlDayCounterYearFraction(DayCounter,Q1090,R1090,,,Trigger)</f>
        <v>0.25277777777777777</v>
      </c>
      <c r="T1090" s="33">
        <f>_xll.qlIndexFixing(Index,P1090,,AllTriggers)</f>
        <v>1.1143068562022485E-2</v>
      </c>
      <c r="U1090" s="34">
        <f>_xll.qlYieldTSDiscount(OisCurve,Q1090,,AllTriggers)</f>
        <v>0.61006991943435651</v>
      </c>
      <c r="V1090" s="34">
        <f>_xll.qlYieldTSDiscount(OisCurve,R1090,,AllTriggers)</f>
        <v>0.6083954450722614</v>
      </c>
      <c r="W1090" s="33">
        <f t="shared" si="68"/>
        <v>1.088813901118277E-2</v>
      </c>
      <c r="X1090" s="35">
        <f t="shared" si="69"/>
        <v>6.4261588988710262E-5</v>
      </c>
      <c r="Y1090" s="33">
        <f t="shared" si="70"/>
        <v>2.5492955083971508E-4</v>
      </c>
      <c r="Z1090" s="54"/>
    </row>
    <row r="1091" spans="15:26" x14ac:dyDescent="0.25">
      <c r="O1091" s="37" t="s">
        <v>19</v>
      </c>
      <c r="P1091" s="31">
        <f>_xll.qlCalendarAdvance(Calendar,P1090,O1090,"f",,Trigger)</f>
        <v>57104</v>
      </c>
      <c r="Q1091" s="31">
        <f>_xll.qlInterestRateIndexValueDate(Index,P1091,Trigger)</f>
        <v>57108</v>
      </c>
      <c r="R1091" s="31">
        <f>_xll.qlInterestRateIndexMaturity(Index,Q1091,Trigger)</f>
        <v>57200</v>
      </c>
      <c r="S1091" s="32">
        <f>_xll.qlDayCounterYearFraction(DayCounter,Q1091,R1091,,,Trigger)</f>
        <v>0.25555555555555554</v>
      </c>
      <c r="T1091" s="33">
        <f>_xll.qlIndexFixing(Index,P1091,,AllTriggers)</f>
        <v>1.1103834108831027E-2</v>
      </c>
      <c r="U1091" s="34">
        <f>_xll.qlYieldTSDiscount(OisCurve,Q1091,,AllTriggers)</f>
        <v>0.60947866896962111</v>
      </c>
      <c r="V1091" s="34">
        <f>_xll.qlYieldTSDiscount(OisCurve,R1091,,AllTriggers)</f>
        <v>0.60779339860090009</v>
      </c>
      <c r="W1091" s="33">
        <f t="shared" si="68"/>
        <v>1.0849963557699353E-2</v>
      </c>
      <c r="X1091" s="35">
        <f t="shared" si="69"/>
        <v>6.4696542531156331E-5</v>
      </c>
      <c r="Y1091" s="33">
        <f t="shared" si="70"/>
        <v>2.5387055113167481E-4</v>
      </c>
      <c r="Z1091" s="54"/>
    </row>
    <row r="1092" spans="15:26" x14ac:dyDescent="0.25">
      <c r="O1092" s="37" t="s">
        <v>19</v>
      </c>
      <c r="P1092" s="31">
        <f>_xll.qlCalendarAdvance(Calendar,P1091,O1091,"f",,Trigger)</f>
        <v>57136</v>
      </c>
      <c r="Q1092" s="31">
        <f>_xll.qlInterestRateIndexValueDate(Index,P1092,Trigger)</f>
        <v>57138</v>
      </c>
      <c r="R1092" s="31">
        <f>_xll.qlInterestRateIndexMaturity(Index,Q1092,Trigger)</f>
        <v>57230</v>
      </c>
      <c r="S1092" s="32">
        <f>_xll.qlDayCounterYearFraction(DayCounter,Q1092,R1092,,,Trigger)</f>
        <v>0.25555555555555554</v>
      </c>
      <c r="T1092" s="33">
        <f>_xll.qlIndexFixing(Index,P1092,,AllTriggers)</f>
        <v>1.1068015069628512E-2</v>
      </c>
      <c r="U1092" s="34">
        <f>_xll.qlYieldTSDiscount(OisCurve,Q1092,,AllTriggers)</f>
        <v>0.60892677062981326</v>
      </c>
      <c r="V1092" s="34">
        <f>_xll.qlYieldTSDiscount(OisCurve,R1092,,AllTriggers)</f>
        <v>0.60724841946166619</v>
      </c>
      <c r="W1092" s="33">
        <f t="shared" ref="W1092:W1127" si="71">(U1092/V1092-1)/S1092</f>
        <v>1.0815114345742305E-2</v>
      </c>
      <c r="X1092" s="35">
        <f t="shared" ref="X1092:X1127" si="72">LN((1+T1092*S1092)/(1+W1092*S1092))</f>
        <v>6.4449971445866721E-5</v>
      </c>
      <c r="Y1092" s="33">
        <f t="shared" ref="Y1092:Y1155" si="73">T1092-W1092</f>
        <v>2.5290072388620653E-4</v>
      </c>
      <c r="Z1092" s="54"/>
    </row>
    <row r="1093" spans="15:26" x14ac:dyDescent="0.25">
      <c r="O1093" s="37" t="s">
        <v>19</v>
      </c>
      <c r="P1093" s="31">
        <f>_xll.qlCalendarAdvance(Calendar,P1092,O1092,"f",,Trigger)</f>
        <v>57166</v>
      </c>
      <c r="Q1093" s="31">
        <f>_xll.qlInterestRateIndexValueDate(Index,P1093,Trigger)</f>
        <v>57168</v>
      </c>
      <c r="R1093" s="31">
        <f>_xll.qlInterestRateIndexMaturity(Index,Q1093,Trigger)</f>
        <v>57262</v>
      </c>
      <c r="S1093" s="32">
        <f>_xll.qlDayCounterYearFraction(DayCounter,Q1093,R1093,,,Trigger)</f>
        <v>0.26111111111111113</v>
      </c>
      <c r="T1093" s="33">
        <f>_xll.qlIndexFixing(Index,P1093,,AllTriggers)</f>
        <v>1.103191445447467E-2</v>
      </c>
      <c r="U1093" s="34">
        <f>_xll.qlYieldTSDiscount(OisCurve,Q1093,,AllTriggers)</f>
        <v>0.60837716130443031</v>
      </c>
      <c r="V1093" s="34">
        <f>_xll.qlYieldTSDiscount(OisCurve,R1093,,AllTriggers)</f>
        <v>0.6066695237463916</v>
      </c>
      <c r="W1093" s="33">
        <f t="shared" si="71"/>
        <v>1.0779985254182877E-2</v>
      </c>
      <c r="X1093" s="35">
        <f t="shared" si="72"/>
        <v>6.5594721660845715E-5</v>
      </c>
      <c r="Y1093" s="33">
        <f t="shared" si="73"/>
        <v>2.5192920029179326E-4</v>
      </c>
      <c r="Z1093" s="54"/>
    </row>
    <row r="1094" spans="15:26" x14ac:dyDescent="0.25">
      <c r="O1094" s="37" t="s">
        <v>19</v>
      </c>
      <c r="P1094" s="31">
        <f>_xll.qlCalendarAdvance(Calendar,P1093,O1093,"f",,Trigger)</f>
        <v>57199</v>
      </c>
      <c r="Q1094" s="31">
        <f>_xll.qlInterestRateIndexValueDate(Index,P1094,Trigger)</f>
        <v>57201</v>
      </c>
      <c r="R1094" s="31">
        <f>_xll.qlInterestRateIndexMaturity(Index,Q1094,Trigger)</f>
        <v>57293</v>
      </c>
      <c r="S1094" s="32">
        <f>_xll.qlDayCounterYearFraction(DayCounter,Q1094,R1094,,,Trigger)</f>
        <v>0.25555555555555554</v>
      </c>
      <c r="T1094" s="33">
        <f>_xll.qlIndexFixing(Index,P1094,,AllTriggers)</f>
        <v>1.0994546870101877E-2</v>
      </c>
      <c r="U1094" s="34">
        <f>_xll.qlYieldTSDiscount(OisCurve,Q1094,,AllTriggers)</f>
        <v>0.60777519698079352</v>
      </c>
      <c r="V1094" s="34">
        <f>_xll.qlYieldTSDiscount(OisCurve,R1094,,AllTriggers)</f>
        <v>0.60611106097705625</v>
      </c>
      <c r="W1094" s="33">
        <f t="shared" si="71"/>
        <v>1.0743635870736467E-2</v>
      </c>
      <c r="X1094" s="35">
        <f t="shared" si="72"/>
        <v>6.3944085144214063E-5</v>
      </c>
      <c r="Y1094" s="33">
        <f t="shared" si="73"/>
        <v>2.5091099936540989E-4</v>
      </c>
      <c r="Z1094" s="54"/>
    </row>
    <row r="1095" spans="15:26" x14ac:dyDescent="0.25">
      <c r="O1095" s="37" t="s">
        <v>19</v>
      </c>
      <c r="P1095" s="31">
        <f>_xll.qlCalendarAdvance(Calendar,P1094,O1094,"f",,Trigger)</f>
        <v>57230</v>
      </c>
      <c r="Q1095" s="31">
        <f>_xll.qlInterestRateIndexValueDate(Index,P1095,Trigger)</f>
        <v>57234</v>
      </c>
      <c r="R1095" s="31">
        <f>_xll.qlInterestRateIndexMaturity(Index,Q1095,Trigger)</f>
        <v>57325</v>
      </c>
      <c r="S1095" s="32">
        <f>_xll.qlDayCounterYearFraction(DayCounter,Q1095,R1095,,,Trigger)</f>
        <v>0.25277777777777777</v>
      </c>
      <c r="T1095" s="33">
        <f>_xll.qlIndexFixing(Index,P1095,,AllTriggers)</f>
        <v>1.0957403403032967E-2</v>
      </c>
      <c r="U1095" s="34">
        <f>_xll.qlYieldTSDiscount(OisCurve,Q1095,,AllTriggers)</f>
        <v>0.60717592188467362</v>
      </c>
      <c r="V1095" s="34">
        <f>_xll.qlYieldTSDiscount(OisCurve,R1095,,AllTriggers)</f>
        <v>0.60553696435407112</v>
      </c>
      <c r="W1095" s="33">
        <f t="shared" si="71"/>
        <v>1.0707501630505616E-2</v>
      </c>
      <c r="X1095" s="35">
        <f t="shared" si="72"/>
        <v>6.299711583416765E-5</v>
      </c>
      <c r="Y1095" s="33">
        <f t="shared" si="73"/>
        <v>2.4990177252735141E-4</v>
      </c>
      <c r="Z1095" s="54"/>
    </row>
    <row r="1096" spans="15:26" x14ac:dyDescent="0.25">
      <c r="O1096" s="37" t="s">
        <v>19</v>
      </c>
      <c r="P1096" s="31">
        <f>_xll.qlCalendarAdvance(Calendar,P1095,O1095,"f",,Trigger)</f>
        <v>57262</v>
      </c>
      <c r="Q1096" s="31">
        <f>_xll.qlInterestRateIndexValueDate(Index,P1096,Trigger)</f>
        <v>57264</v>
      </c>
      <c r="R1096" s="31">
        <f>_xll.qlInterestRateIndexMaturity(Index,Q1096,Trigger)</f>
        <v>57356</v>
      </c>
      <c r="S1096" s="32">
        <f>_xll.qlDayCounterYearFraction(DayCounter,Q1096,R1096,,,Trigger)</f>
        <v>0.25555555555555554</v>
      </c>
      <c r="T1096" s="33">
        <f>_xll.qlIndexFixing(Index,P1096,,AllTriggers)</f>
        <v>1.0923451944201558E-2</v>
      </c>
      <c r="U1096" s="34">
        <f>_xll.qlYieldTSDiscount(OisCurve,Q1096,,AllTriggers)</f>
        <v>0.60663342470542425</v>
      </c>
      <c r="V1096" s="34">
        <f>_xll.qlYieldTSDiscount(OisCurve,R1096,,AllTriggers)</f>
        <v>0.60498307964146969</v>
      </c>
      <c r="W1096" s="33">
        <f t="shared" si="71"/>
        <v>1.0674467116029996E-2</v>
      </c>
      <c r="X1096" s="35">
        <f t="shared" si="72"/>
        <v>6.345433900629563E-5</v>
      </c>
      <c r="Y1096" s="33">
        <f t="shared" si="73"/>
        <v>2.4898482817156155E-4</v>
      </c>
      <c r="Z1096" s="54"/>
    </row>
    <row r="1097" spans="15:26" x14ac:dyDescent="0.25">
      <c r="O1097" s="37" t="s">
        <v>19</v>
      </c>
      <c r="P1097" s="31">
        <f>_xll.qlCalendarAdvance(Calendar,P1096,O1096,"f",,Trigger)</f>
        <v>57293</v>
      </c>
      <c r="Q1097" s="31">
        <f>_xll.qlInterestRateIndexValueDate(Index,P1097,Trigger)</f>
        <v>57297</v>
      </c>
      <c r="R1097" s="31">
        <f>_xll.qlInterestRateIndexMaturity(Index,Q1097,Trigger)</f>
        <v>57389</v>
      </c>
      <c r="S1097" s="32">
        <f>_xll.qlDayCounterYearFraction(DayCounter,Q1097,R1097,,,Trigger)</f>
        <v>0.25555555555555554</v>
      </c>
      <c r="T1097" s="33">
        <f>_xll.qlIndexFixing(Index,P1097,,AllTriggers)</f>
        <v>1.0887158858276296E-2</v>
      </c>
      <c r="U1097" s="34">
        <f>_xll.qlYieldTSDiscount(OisCurve,Q1097,,AllTriggers)</f>
        <v>0.60603916737186081</v>
      </c>
      <c r="V1097" s="34">
        <f>_xll.qlYieldTSDiscount(OisCurve,R1097,,AllTriggers)</f>
        <v>0.60439587793659788</v>
      </c>
      <c r="W1097" s="33">
        <f t="shared" si="71"/>
        <v>1.0639157615540443E-2</v>
      </c>
      <c r="X1097" s="35">
        <f t="shared" si="72"/>
        <v>6.3204246741402361E-5</v>
      </c>
      <c r="Y1097" s="33">
        <f t="shared" si="73"/>
        <v>2.4800124273585342E-4</v>
      </c>
      <c r="Z1097" s="54"/>
    </row>
    <row r="1098" spans="15:26" x14ac:dyDescent="0.25">
      <c r="O1098" s="37" t="s">
        <v>19</v>
      </c>
      <c r="P1098" s="31">
        <f>_xll.qlCalendarAdvance(Calendar,P1097,O1097,"f",,Trigger)</f>
        <v>57325</v>
      </c>
      <c r="Q1098" s="31">
        <f>_xll.qlInterestRateIndexValueDate(Index,P1098,Trigger)</f>
        <v>57327</v>
      </c>
      <c r="R1098" s="31">
        <f>_xll.qlInterestRateIndexMaturity(Index,Q1098,Trigger)</f>
        <v>57417</v>
      </c>
      <c r="S1098" s="32">
        <f>_xll.qlDayCounterYearFraction(DayCounter,Q1098,R1098,,,Trigger)</f>
        <v>0.25</v>
      </c>
      <c r="T1098" s="33">
        <f>_xll.qlIndexFixing(Index,P1098,,AllTriggers)</f>
        <v>1.0855466339116937E-2</v>
      </c>
      <c r="U1098" s="34">
        <f>_xll.qlYieldTSDiscount(OisCurve,Q1098,,AllTriggers)</f>
        <v>0.60550116277910071</v>
      </c>
      <c r="V1098" s="34">
        <f>_xll.qlYieldTSDiscount(OisCurve,R1098,,AllTriggers)</f>
        <v>0.60389957129063487</v>
      </c>
      <c r="W1098" s="33">
        <f t="shared" si="71"/>
        <v>1.0608330024430401E-2</v>
      </c>
      <c r="X1098" s="35">
        <f t="shared" si="72"/>
        <v>6.1618757134164885E-5</v>
      </c>
      <c r="Y1098" s="33">
        <f t="shared" si="73"/>
        <v>2.4713631468653574E-4</v>
      </c>
      <c r="Z1098" s="54"/>
    </row>
    <row r="1099" spans="15:26" x14ac:dyDescent="0.25">
      <c r="O1099" s="37" t="s">
        <v>19</v>
      </c>
      <c r="P1099" s="31">
        <f>_xll.qlCalendarAdvance(Calendar,P1098,O1098,"f",,Trigger)</f>
        <v>57356</v>
      </c>
      <c r="Q1099" s="31">
        <f>_xll.qlInterestRateIndexValueDate(Index,P1099,Trigger)</f>
        <v>57360</v>
      </c>
      <c r="R1099" s="31">
        <f>_xll.qlInterestRateIndexMaturity(Index,Q1099,Trigger)</f>
        <v>57451</v>
      </c>
      <c r="S1099" s="32">
        <f>_xll.qlDayCounterYearFraction(DayCounter,Q1099,R1099,,,Trigger)</f>
        <v>0.25277777777777777</v>
      </c>
      <c r="T1099" s="33">
        <f>_xll.qlIndexFixing(Index,P1099,,AllTriggers)</f>
        <v>1.0820039294634707E-2</v>
      </c>
      <c r="U1099" s="34">
        <f>_xll.qlYieldTSDiscount(OisCurve,Q1099,,AllTriggers)</f>
        <v>0.60491177167308863</v>
      </c>
      <c r="V1099" s="34">
        <f>_xll.qlYieldTSDiscount(OisCurve,R1099,,AllTriggers)</f>
        <v>0.60329925112902216</v>
      </c>
      <c r="W1099" s="33">
        <f t="shared" si="71"/>
        <v>1.0573860551646521E-2</v>
      </c>
      <c r="X1099" s="35">
        <f t="shared" si="72"/>
        <v>6.2060706484988145E-5</v>
      </c>
      <c r="Y1099" s="33">
        <f t="shared" si="73"/>
        <v>2.4617874298818627E-4</v>
      </c>
      <c r="Z1099" s="54"/>
    </row>
    <row r="1100" spans="15:26" x14ac:dyDescent="0.25">
      <c r="O1100" s="37" t="s">
        <v>19</v>
      </c>
      <c r="P1100" s="31">
        <f>_xll.qlCalendarAdvance(Calendar,P1099,O1099,"f",,Trigger)</f>
        <v>57388</v>
      </c>
      <c r="Q1100" s="31">
        <f>_xll.qlInterestRateIndexValueDate(Index,P1100,Trigger)</f>
        <v>57390</v>
      </c>
      <c r="R1100" s="31">
        <f>_xll.qlInterestRateIndexMaturity(Index,Q1100,Trigger)</f>
        <v>57479</v>
      </c>
      <c r="S1100" s="32">
        <f>_xll.qlDayCounterYearFraction(DayCounter,Q1100,R1100,,,Trigger)</f>
        <v>0.24722222222222223</v>
      </c>
      <c r="T1100" s="33">
        <f>_xll.qlIndexFixing(Index,P1100,,AllTriggers)</f>
        <v>1.0789435403682933E-2</v>
      </c>
      <c r="U1100" s="34">
        <f>_xll.qlYieldTSDiscount(OisCurve,Q1100,,AllTriggers)</f>
        <v>0.60437812244197131</v>
      </c>
      <c r="V1100" s="34">
        <f>_xll.qlYieldTSDiscount(OisCurve,R1100,,AllTriggers)</f>
        <v>0.60280676558847779</v>
      </c>
      <c r="W1100" s="33">
        <f t="shared" si="71"/>
        <v>1.054409233065141E-2</v>
      </c>
      <c r="X1100" s="35">
        <f t="shared" si="72"/>
        <v>6.0494731439099502E-5</v>
      </c>
      <c r="Y1100" s="33">
        <f t="shared" si="73"/>
        <v>2.453430730315221E-4</v>
      </c>
      <c r="Z1100" s="54"/>
    </row>
    <row r="1101" spans="15:26" x14ac:dyDescent="0.25">
      <c r="O1101" s="37" t="s">
        <v>19</v>
      </c>
      <c r="P1101" s="31">
        <f>_xll.qlCalendarAdvance(Calendar,P1100,O1100,"f",,Trigger)</f>
        <v>57416</v>
      </c>
      <c r="Q1101" s="31">
        <f>_xll.qlInterestRateIndexValueDate(Index,P1101,Trigger)</f>
        <v>57418</v>
      </c>
      <c r="R1101" s="31">
        <f>_xll.qlInterestRateIndexMaturity(Index,Q1101,Trigger)</f>
        <v>57510</v>
      </c>
      <c r="S1101" s="32">
        <f>_xll.qlDayCounterYearFraction(DayCounter,Q1101,R1101,,,Trigger)</f>
        <v>0.25555555555555554</v>
      </c>
      <c r="T1101" s="33">
        <f>_xll.qlIndexFixing(Index,P1101,,AllTriggers)</f>
        <v>1.0759654742002444E-2</v>
      </c>
      <c r="U1101" s="34">
        <f>_xll.qlYieldTSDiscount(OisCurve,Q1101,,AllTriggers)</f>
        <v>0.60388187839759611</v>
      </c>
      <c r="V1101" s="34">
        <f>_xll.qlYieldTSDiscount(OisCurve,R1101,,AllTriggers)</f>
        <v>0.60226347899535215</v>
      </c>
      <c r="W1101" s="33">
        <f t="shared" si="71"/>
        <v>1.0515110822817517E-2</v>
      </c>
      <c r="X1101" s="35">
        <f t="shared" si="72"/>
        <v>6.2325129877907363E-5</v>
      </c>
      <c r="Y1101" s="33">
        <f t="shared" si="73"/>
        <v>2.4454391918492767E-4</v>
      </c>
      <c r="Z1101" s="54"/>
    </row>
    <row r="1102" spans="15:26" x14ac:dyDescent="0.25">
      <c r="O1102" s="37" t="s">
        <v>19</v>
      </c>
      <c r="P1102" s="31">
        <f>_xll.qlCalendarAdvance(Calendar,P1101,O1101,"f",,Trigger)</f>
        <v>57447</v>
      </c>
      <c r="Q1102" s="31">
        <f>_xll.qlInterestRateIndexValueDate(Index,P1102,Trigger)</f>
        <v>57451</v>
      </c>
      <c r="R1102" s="31">
        <f>_xll.qlInterestRateIndexMaturity(Index,Q1102,Trigger)</f>
        <v>57542</v>
      </c>
      <c r="S1102" s="32">
        <f>_xll.qlDayCounterYearFraction(DayCounter,Q1102,R1102,,,Trigger)</f>
        <v>0.25277777777777777</v>
      </c>
      <c r="T1102" s="33">
        <f>_xll.qlIndexFixing(Index,P1102,,AllTriggers)</f>
        <v>1.072673483004675E-2</v>
      </c>
      <c r="U1102" s="34">
        <f>_xll.qlYieldTSDiscount(OisCurve,Q1102,,AllTriggers)</f>
        <v>0.60329925112902216</v>
      </c>
      <c r="V1102" s="34">
        <f>_xll.qlYieldTSDiscount(OisCurve,R1102,,AllTriggers)</f>
        <v>0.60170479875216176</v>
      </c>
      <c r="W1102" s="33">
        <f t="shared" si="71"/>
        <v>1.0483086892043922E-2</v>
      </c>
      <c r="X1102" s="35">
        <f t="shared" si="72"/>
        <v>6.1424125566596915E-5</v>
      </c>
      <c r="Y1102" s="33">
        <f t="shared" si="73"/>
        <v>2.436479380028278E-4</v>
      </c>
      <c r="Z1102" s="54"/>
    </row>
    <row r="1103" spans="15:26" x14ac:dyDescent="0.25">
      <c r="O1103" s="37" t="s">
        <v>19</v>
      </c>
      <c r="P1103" s="31">
        <f>_xll.qlCalendarAdvance(Calendar,P1102,O1102,"f",,Trigger)</f>
        <v>57479</v>
      </c>
      <c r="Q1103" s="31">
        <f>_xll.qlInterestRateIndexValueDate(Index,P1103,Trigger)</f>
        <v>57481</v>
      </c>
      <c r="R1103" s="31">
        <f>_xll.qlInterestRateIndexMaturity(Index,Q1103,Trigger)</f>
        <v>57573</v>
      </c>
      <c r="S1103" s="32">
        <f>_xll.qlDayCounterYearFraction(DayCounter,Q1103,R1103,,,Trigger)</f>
        <v>0.25555555555555554</v>
      </c>
      <c r="T1103" s="33">
        <f>_xll.qlIndexFixing(Index,P1103,,AllTriggers)</f>
        <v>1.0696733465113661E-2</v>
      </c>
      <c r="U1103" s="34">
        <f>_xll.qlYieldTSDiscount(OisCurve,Q1103,,AllTriggers)</f>
        <v>0.60277165284715495</v>
      </c>
      <c r="V1103" s="34">
        <f>_xll.qlYieldTSDiscount(OisCurve,R1103,,AllTriggers)</f>
        <v>0.60116560801320917</v>
      </c>
      <c r="W1103" s="33">
        <f t="shared" si="71"/>
        <v>1.0453896862190145E-2</v>
      </c>
      <c r="X1103" s="35">
        <f t="shared" si="72"/>
        <v>6.1890977637173966E-5</v>
      </c>
      <c r="Y1103" s="33">
        <f t="shared" si="73"/>
        <v>2.4283660292351641E-4</v>
      </c>
      <c r="Z1103" s="54"/>
    </row>
    <row r="1104" spans="15:26" x14ac:dyDescent="0.25">
      <c r="O1104" s="37" t="s">
        <v>19</v>
      </c>
      <c r="P1104" s="31">
        <f>_xll.qlCalendarAdvance(Calendar,P1103,O1103,"f",,Trigger)</f>
        <v>57510</v>
      </c>
      <c r="Q1104" s="31">
        <f>_xll.qlInterestRateIndexValueDate(Index,P1104,Trigger)</f>
        <v>57514</v>
      </c>
      <c r="R1104" s="31">
        <f>_xll.qlInterestRateIndexMaturity(Index,Q1104,Trigger)</f>
        <v>57606</v>
      </c>
      <c r="S1104" s="32">
        <f>_xll.qlDayCounterYearFraction(DayCounter,Q1104,R1104,,,Trigger)</f>
        <v>0.25555555555555554</v>
      </c>
      <c r="T1104" s="33">
        <f>_xll.qlIndexFixing(Index,P1104,,AllTriggers)</f>
        <v>1.0664721649342446E-2</v>
      </c>
      <c r="U1104" s="34">
        <f>_xll.qlYieldTSDiscount(OisCurve,Q1104,,AllTriggers)</f>
        <v>0.60219352627083889</v>
      </c>
      <c r="V1104" s="34">
        <f>_xll.qlYieldTSDiscount(OisCurve,R1104,,AllTriggers)</f>
        <v>0.60059378904499039</v>
      </c>
      <c r="W1104" s="33">
        <f t="shared" si="71"/>
        <v>1.0422754002320947E-2</v>
      </c>
      <c r="X1104" s="35">
        <f t="shared" si="72"/>
        <v>6.1670005984833164E-5</v>
      </c>
      <c r="Y1104" s="33">
        <f t="shared" si="73"/>
        <v>2.419676470214998E-4</v>
      </c>
      <c r="Z1104" s="54"/>
    </row>
    <row r="1105" spans="15:26" x14ac:dyDescent="0.25">
      <c r="O1105" s="37" t="s">
        <v>19</v>
      </c>
      <c r="P1105" s="31">
        <f>_xll.qlCalendarAdvance(Calendar,P1104,O1104,"f",,Trigger)</f>
        <v>57542</v>
      </c>
      <c r="Q1105" s="31">
        <f>_xll.qlInterestRateIndexValueDate(Index,P1105,Trigger)</f>
        <v>57544</v>
      </c>
      <c r="R1105" s="31">
        <f>_xll.qlInterestRateIndexMaturity(Index,Q1105,Trigger)</f>
        <v>57636</v>
      </c>
      <c r="S1105" s="32">
        <f>_xll.qlDayCounterYearFraction(DayCounter,Q1105,R1105,,,Trigger)</f>
        <v>0.25555555555555554</v>
      </c>
      <c r="T1105" s="33">
        <f>_xll.qlIndexFixing(Index,P1105,,AllTriggers)</f>
        <v>1.0636184921711088E-2</v>
      </c>
      <c r="U1105" s="34">
        <f>_xll.qlYieldTSDiscount(OisCurve,Q1105,,AllTriggers)</f>
        <v>0.60166995231234743</v>
      </c>
      <c r="V1105" s="34">
        <f>_xll.qlYieldTSDiscount(OisCurve,R1105,,AllTriggers)</f>
        <v>0.6000758520213445</v>
      </c>
      <c r="W1105" s="33">
        <f t="shared" si="71"/>
        <v>1.0394992110399095E-2</v>
      </c>
      <c r="X1105" s="35">
        <f t="shared" si="72"/>
        <v>6.1472965560784062E-5</v>
      </c>
      <c r="Y1105" s="33">
        <f t="shared" si="73"/>
        <v>2.4119281131199273E-4</v>
      </c>
      <c r="Z1105" s="54"/>
    </row>
    <row r="1106" spans="15:26" x14ac:dyDescent="0.25">
      <c r="O1106" s="37" t="s">
        <v>19</v>
      </c>
      <c r="P1106" s="31">
        <f>_xll.qlCalendarAdvance(Calendar,P1105,O1105,"f",,Trigger)</f>
        <v>57573</v>
      </c>
      <c r="Q1106" s="31">
        <f>_xll.qlInterestRateIndexValueDate(Index,P1106,Trigger)</f>
        <v>57577</v>
      </c>
      <c r="R1106" s="31">
        <f>_xll.qlInterestRateIndexMaturity(Index,Q1106,Trigger)</f>
        <v>57669</v>
      </c>
      <c r="S1106" s="32">
        <f>_xll.qlDayCounterYearFraction(DayCounter,Q1106,R1106,,,Trigger)</f>
        <v>0.25555555555555554</v>
      </c>
      <c r="T1106" s="33">
        <f>_xll.qlIndexFixing(Index,P1106,,AllTriggers)</f>
        <v>1.0605415922237574E-2</v>
      </c>
      <c r="U1106" s="34">
        <f>_xll.qlYieldTSDiscount(OisCurve,Q1106,,AllTriggers)</f>
        <v>0.6010961788373258</v>
      </c>
      <c r="V1106" s="34">
        <f>_xll.qlYieldTSDiscount(OisCurve,R1106,,AllTriggers)</f>
        <v>0.59950817259839684</v>
      </c>
      <c r="W1106" s="33">
        <f t="shared" si="71"/>
        <v>1.0365058794354995E-2</v>
      </c>
      <c r="X1106" s="35">
        <f t="shared" si="72"/>
        <v>6.1260448279773782E-5</v>
      </c>
      <c r="Y1106" s="33">
        <f t="shared" si="73"/>
        <v>2.403571278825796E-4</v>
      </c>
      <c r="Z1106" s="54"/>
    </row>
    <row r="1107" spans="15:26" x14ac:dyDescent="0.25">
      <c r="O1107" s="37" t="s">
        <v>19</v>
      </c>
      <c r="P1107" s="31">
        <f>_xll.qlCalendarAdvance(Calendar,P1106,O1106,"f",,Trigger)</f>
        <v>57605</v>
      </c>
      <c r="Q1107" s="31">
        <f>_xll.qlInterestRateIndexValueDate(Index,P1107,Trigger)</f>
        <v>57607</v>
      </c>
      <c r="R1107" s="31">
        <f>_xll.qlInterestRateIndexMaturity(Index,Q1107,Trigger)</f>
        <v>57698</v>
      </c>
      <c r="S1107" s="32">
        <f>_xll.qlDayCounterYearFraction(DayCounter,Q1107,R1107,,,Trigger)</f>
        <v>0.25277777777777777</v>
      </c>
      <c r="T1107" s="33">
        <f>_xll.qlIndexFixing(Index,P1107,,AllTriggers)</f>
        <v>1.0578301538624242E-2</v>
      </c>
      <c r="U1107" s="34">
        <f>_xll.qlYieldTSDiscount(OisCurve,Q1107,,AllTriggers)</f>
        <v>0.60057649553143755</v>
      </c>
      <c r="V1107" s="34">
        <f>_xll.qlYieldTSDiscount(OisCurve,R1107,,AllTriggers)</f>
        <v>0.59901104634555147</v>
      </c>
      <c r="W1107" s="33">
        <f t="shared" si="71"/>
        <v>1.0338683782378965E-2</v>
      </c>
      <c r="X1107" s="35">
        <f t="shared" si="72"/>
        <v>6.0410338684306348E-5</v>
      </c>
      <c r="Y1107" s="33">
        <f t="shared" si="73"/>
        <v>2.3961775624527747E-4</v>
      </c>
      <c r="Z1107" s="54"/>
    </row>
    <row r="1108" spans="15:26" x14ac:dyDescent="0.25">
      <c r="O1108" s="37" t="s">
        <v>19</v>
      </c>
      <c r="P1108" s="31">
        <f>_xll.qlCalendarAdvance(Calendar,P1107,O1107,"f",,Trigger)</f>
        <v>57635</v>
      </c>
      <c r="Q1108" s="31">
        <f>_xll.qlInterestRateIndexValueDate(Index,P1108,Trigger)</f>
        <v>57637</v>
      </c>
      <c r="R1108" s="31">
        <f>_xll.qlInterestRateIndexMaturity(Index,Q1108,Trigger)</f>
        <v>57731</v>
      </c>
      <c r="S1108" s="32">
        <f>_xll.qlDayCounterYearFraction(DayCounter,Q1108,R1108,,,Trigger)</f>
        <v>0.26111111111111113</v>
      </c>
      <c r="T1108" s="33">
        <f>_xll.qlIndexFixing(Index,P1108,,AllTriggers)</f>
        <v>1.0550571881242594E-2</v>
      </c>
      <c r="U1108" s="34">
        <f>_xll.qlYieldTSDiscount(OisCurve,Q1108,,AllTriggers)</f>
        <v>0.60005861822415585</v>
      </c>
      <c r="V1108" s="34">
        <f>_xll.qlYieldTSDiscount(OisCurve,R1108,,AllTriggers)</f>
        <v>0.59844729927363582</v>
      </c>
      <c r="W1108" s="33">
        <f t="shared" si="71"/>
        <v>1.0311699550089875E-2</v>
      </c>
      <c r="X1108" s="35">
        <f t="shared" si="72"/>
        <v>6.2202798963424769E-5</v>
      </c>
      <c r="Y1108" s="33">
        <f t="shared" si="73"/>
        <v>2.3887233115271918E-4</v>
      </c>
      <c r="Z1108" s="54"/>
    </row>
    <row r="1109" spans="15:26" x14ac:dyDescent="0.25">
      <c r="O1109" s="37" t="s">
        <v>19</v>
      </c>
      <c r="P1109" s="31">
        <f>_xll.qlCalendarAdvance(Calendar,P1108,O1108,"f",,Trigger)</f>
        <v>57668</v>
      </c>
      <c r="Q1109" s="31">
        <f>_xll.qlInterestRateIndexValueDate(Index,P1109,Trigger)</f>
        <v>57670</v>
      </c>
      <c r="R1109" s="31">
        <f>_xll.qlInterestRateIndexMaturity(Index,Q1109,Trigger)</f>
        <v>57762</v>
      </c>
      <c r="S1109" s="32">
        <f>_xll.qlDayCounterYearFraction(DayCounter,Q1109,R1109,,,Trigger)</f>
        <v>0.25555555555555554</v>
      </c>
      <c r="T1109" s="33">
        <f>_xll.qlIndexFixing(Index,P1109,,AllTriggers)</f>
        <v>1.0522205600415106E-2</v>
      </c>
      <c r="U1109" s="34">
        <f>_xll.qlYieldTSDiscount(OisCurve,Q1109,,AllTriggers)</f>
        <v>0.5994910033370916</v>
      </c>
      <c r="V1109" s="34">
        <f>_xll.qlYieldTSDiscount(OisCurve,R1109,,AllTriggers)</f>
        <v>0.59791957419259611</v>
      </c>
      <c r="W1109" s="33">
        <f t="shared" si="71"/>
        <v>1.0284109821492788E-2</v>
      </c>
      <c r="X1109" s="35">
        <f t="shared" si="72"/>
        <v>6.0685361899063464E-5</v>
      </c>
      <c r="Y1109" s="33">
        <f t="shared" si="73"/>
        <v>2.3809577892231794E-4</v>
      </c>
      <c r="Z1109" s="54"/>
    </row>
    <row r="1110" spans="15:26" x14ac:dyDescent="0.25">
      <c r="O1110" s="37" t="s">
        <v>19</v>
      </c>
      <c r="P1110" s="31">
        <f>_xll.qlCalendarAdvance(Calendar,P1109,O1109,"f",,Trigger)</f>
        <v>57698</v>
      </c>
      <c r="Q1110" s="31">
        <f>_xll.qlInterestRateIndexValueDate(Index,P1110,Trigger)</f>
        <v>57700</v>
      </c>
      <c r="R1110" s="31">
        <f>_xll.qlInterestRateIndexMaturity(Index,Q1110,Trigger)</f>
        <v>57790</v>
      </c>
      <c r="S1110" s="32">
        <f>_xll.qlDayCounterYearFraction(DayCounter,Q1110,R1110,,,Trigger)</f>
        <v>0.25</v>
      </c>
      <c r="T1110" s="33">
        <f>_xll.qlIndexFixing(Index,P1110,,AllTriggers)</f>
        <v>1.0497000830712366E-2</v>
      </c>
      <c r="U1110" s="34">
        <f>_xll.qlYieldTSDiscount(OisCurve,Q1110,,AllTriggers)</f>
        <v>0.59897682116884898</v>
      </c>
      <c r="V1110" s="34">
        <f>_xll.qlYieldTSDiscount(OisCurve,R1110,,AllTriggers)</f>
        <v>0.59744443655927959</v>
      </c>
      <c r="W1110" s="33">
        <f t="shared" si="71"/>
        <v>1.0259595810412137E-2</v>
      </c>
      <c r="X1110" s="35">
        <f t="shared" si="72"/>
        <v>5.9197662342486009E-5</v>
      </c>
      <c r="Y1110" s="33">
        <f t="shared" si="73"/>
        <v>2.3740502030022981E-4</v>
      </c>
      <c r="Z1110" s="54"/>
    </row>
    <row r="1111" spans="15:26" x14ac:dyDescent="0.25">
      <c r="O1111" s="37" t="s">
        <v>19</v>
      </c>
      <c r="P1111" s="31">
        <f>_xll.qlCalendarAdvance(Calendar,P1110,O1110,"f",,Trigger)</f>
        <v>57731</v>
      </c>
      <c r="Q1111" s="31">
        <f>_xll.qlInterestRateIndexValueDate(Index,P1111,Trigger)</f>
        <v>57733</v>
      </c>
      <c r="R1111" s="31">
        <f>_xll.qlInterestRateIndexMaturity(Index,Q1111,Trigger)</f>
        <v>57823</v>
      </c>
      <c r="S1111" s="32">
        <f>_xll.qlDayCounterYearFraction(DayCounter,Q1111,R1111,,,Trigger)</f>
        <v>0.25</v>
      </c>
      <c r="T1111" s="33">
        <f>_xll.qlIndexFixing(Index,P1111,,AllTriggers)</f>
        <v>1.0469290932827668E-2</v>
      </c>
      <c r="U1111" s="34">
        <f>_xll.qlYieldTSDiscount(OisCurve,Q1111,,AllTriggers)</f>
        <v>0.59841319862165099</v>
      </c>
      <c r="V1111" s="34">
        <f>_xll.qlYieldTSDiscount(OisCurve,R1111,,AllTriggers)</f>
        <v>0.59688626809556633</v>
      </c>
      <c r="W1111" s="33">
        <f t="shared" si="71"/>
        <v>1.023263966823329E-2</v>
      </c>
      <c r="X1111" s="35">
        <f t="shared" si="72"/>
        <v>5.9010113257187773E-5</v>
      </c>
      <c r="Y1111" s="33">
        <f t="shared" si="73"/>
        <v>2.3665126459437857E-4</v>
      </c>
      <c r="Z1111" s="54"/>
    </row>
    <row r="1112" spans="15:26" x14ac:dyDescent="0.25">
      <c r="O1112" s="37" t="s">
        <v>19</v>
      </c>
      <c r="P1112" s="31">
        <f>_xll.qlCalendarAdvance(Calendar,P1111,O1111,"f",,Trigger)</f>
        <v>57762</v>
      </c>
      <c r="Q1112" s="31">
        <f>_xll.qlInterestRateIndexValueDate(Index,P1112,Trigger)</f>
        <v>57766</v>
      </c>
      <c r="R1112" s="31">
        <f>_xll.qlInterestRateIndexMaturity(Index,Q1112,Trigger)</f>
        <v>57857</v>
      </c>
      <c r="S1112" s="32">
        <f>_xll.qlDayCounterYearFraction(DayCounter,Q1112,R1112,,,Trigger)</f>
        <v>0.25277777777777777</v>
      </c>
      <c r="T1112" s="33">
        <f>_xll.qlIndexFixing(Index,P1112,,AllTriggers)</f>
        <v>1.0441982731242716E-2</v>
      </c>
      <c r="U1112" s="34">
        <f>_xll.qlYieldTSDiscount(OisCurve,Q1112,,AllTriggers)</f>
        <v>0.59785160982843466</v>
      </c>
      <c r="V1112" s="34">
        <f>_xll.qlYieldTSDiscount(OisCurve,R1112,,AllTriggers)</f>
        <v>0.59631320037364732</v>
      </c>
      <c r="W1112" s="33">
        <f t="shared" si="71"/>
        <v>1.0206071946283854E-2</v>
      </c>
      <c r="X1112" s="35">
        <f t="shared" si="72"/>
        <v>5.9477785726634323E-5</v>
      </c>
      <c r="Y1112" s="33">
        <f t="shared" si="73"/>
        <v>2.3591078495886243E-4</v>
      </c>
      <c r="Z1112" s="54"/>
    </row>
    <row r="1113" spans="15:26" x14ac:dyDescent="0.25">
      <c r="O1113" s="37" t="s">
        <v>19</v>
      </c>
      <c r="P1113" s="31">
        <f>_xll.qlCalendarAdvance(Calendar,P1112,O1112,"f",,Trigger)</f>
        <v>57790</v>
      </c>
      <c r="Q1113" s="31">
        <f>_xll.qlInterestRateIndexValueDate(Index,P1113,Trigger)</f>
        <v>57794</v>
      </c>
      <c r="R1113" s="31">
        <f>_xll.qlInterestRateIndexMaturity(Index,Q1113,Trigger)</f>
        <v>57886</v>
      </c>
      <c r="S1113" s="32">
        <f>_xll.qlDayCounterYearFraction(DayCounter,Q1113,R1113,,,Trigger)</f>
        <v>0.25555555555555554</v>
      </c>
      <c r="T1113" s="33">
        <f>_xll.qlIndexFixing(Index,P1113,,AllTriggers)</f>
        <v>1.0419300401739778E-2</v>
      </c>
      <c r="U1113" s="34">
        <f>_xll.qlYieldTSDiscount(OisCurve,Q1113,,AllTriggers)</f>
        <v>0.59737667584903487</v>
      </c>
      <c r="V1113" s="34">
        <f>_xll.qlYieldTSDiscount(OisCurve,R1113,,AllTriggers)</f>
        <v>0.59582599168141848</v>
      </c>
      <c r="W1113" s="33">
        <f t="shared" si="71"/>
        <v>1.0184004480586569E-2</v>
      </c>
      <c r="X1113" s="35">
        <f t="shared" si="72"/>
        <v>5.9973291511463504E-5</v>
      </c>
      <c r="Y1113" s="33">
        <f t="shared" si="73"/>
        <v>2.3529592115320921E-4</v>
      </c>
      <c r="Z1113" s="54"/>
    </row>
    <row r="1114" spans="15:26" x14ac:dyDescent="0.25">
      <c r="O1114" s="37" t="s">
        <v>19</v>
      </c>
      <c r="P1114" s="31">
        <f>_xll.qlCalendarAdvance(Calendar,P1113,O1113,"f",,Trigger)</f>
        <v>57822</v>
      </c>
      <c r="Q1114" s="31">
        <f>_xll.qlInterestRateIndexValueDate(Index,P1114,Trigger)</f>
        <v>57824</v>
      </c>
      <c r="R1114" s="31">
        <f>_xll.qlInterestRateIndexMaturity(Index,Q1114,Trigger)</f>
        <v>57915</v>
      </c>
      <c r="S1114" s="32">
        <f>_xll.qlDayCounterYearFraction(DayCounter,Q1114,R1114,,,Trigger)</f>
        <v>0.25277777777777777</v>
      </c>
      <c r="T1114" s="33">
        <f>_xll.qlIndexFixing(Index,P1114,,AllTriggers)</f>
        <v>1.039601765998582E-2</v>
      </c>
      <c r="U1114" s="34">
        <f>_xll.qlYieldTSDiscount(OisCurve,Q1114,,AllTriggers)</f>
        <v>0.59686938417624547</v>
      </c>
      <c r="V1114" s="34">
        <f>_xll.qlYieldTSDiscount(OisCurve,R1114,,AllTriggers)</f>
        <v>0.59534021378195212</v>
      </c>
      <c r="W1114" s="33">
        <f t="shared" si="71"/>
        <v>1.0161358423405738E-2</v>
      </c>
      <c r="X1114" s="35">
        <f t="shared" si="72"/>
        <v>5.9162921856100428E-5</v>
      </c>
      <c r="Y1114" s="33">
        <f t="shared" si="73"/>
        <v>2.3465923658008182E-4</v>
      </c>
      <c r="Z1114" s="54"/>
    </row>
    <row r="1115" spans="15:26" x14ac:dyDescent="0.25">
      <c r="O1115" s="37" t="s">
        <v>19</v>
      </c>
      <c r="P1115" s="31">
        <f>_xll.qlCalendarAdvance(Calendar,P1114,O1114,"f",,Trigger)</f>
        <v>57852</v>
      </c>
      <c r="Q1115" s="31">
        <f>_xll.qlInterestRateIndexValueDate(Index,P1115,Trigger)</f>
        <v>57854</v>
      </c>
      <c r="R1115" s="31">
        <f>_xll.qlInterestRateIndexMaturity(Index,Q1115,Trigger)</f>
        <v>57948</v>
      </c>
      <c r="S1115" s="32">
        <f>_xll.qlDayCounterYearFraction(DayCounter,Q1115,R1115,,,Trigger)</f>
        <v>0.26111111111111113</v>
      </c>
      <c r="T1115" s="33">
        <f>_xll.qlIndexFixing(Index,P1115,,AllTriggers)</f>
        <v>1.0372358026854787E-2</v>
      </c>
      <c r="U1115" s="34">
        <f>_xll.qlYieldTSDiscount(OisCurve,Q1115,,AllTriggers)</f>
        <v>0.59636368398741224</v>
      </c>
      <c r="V1115" s="34">
        <f>_xll.qlYieldTSDiscount(OisCurve,R1115,,AllTriggers)</f>
        <v>0.59478913909863795</v>
      </c>
      <c r="W1115" s="33">
        <f t="shared" si="71"/>
        <v>1.0138335618556878E-2</v>
      </c>
      <c r="X1115" s="35">
        <f t="shared" si="72"/>
        <v>6.0942659734239651E-5</v>
      </c>
      <c r="Y1115" s="33">
        <f t="shared" si="73"/>
        <v>2.3402240829790977E-4</v>
      </c>
      <c r="Z1115" s="54"/>
    </row>
    <row r="1116" spans="15:26" x14ac:dyDescent="0.25">
      <c r="O1116" s="37" t="s">
        <v>19</v>
      </c>
      <c r="P1116" s="31">
        <f>_xll.qlCalendarAdvance(Calendar,P1115,O1115,"f",,Trigger)</f>
        <v>57885</v>
      </c>
      <c r="Q1116" s="31">
        <f>_xll.qlInterestRateIndexValueDate(Index,P1116,Trigger)</f>
        <v>57887</v>
      </c>
      <c r="R1116" s="31">
        <f>_xll.qlInterestRateIndexMaturity(Index,Q1116,Trigger)</f>
        <v>57979</v>
      </c>
      <c r="S1116" s="32">
        <f>_xll.qlDayCounterYearFraction(DayCounter,Q1116,R1116,,,Trigger)</f>
        <v>0.25555555555555554</v>
      </c>
      <c r="T1116" s="33">
        <f>_xll.qlIndexFixing(Index,P1116,,AllTriggers)</f>
        <v>1.0348152530162922E-2</v>
      </c>
      <c r="U1116" s="34">
        <f>_xll.qlYieldTSDiscount(OisCurve,Q1116,,AllTriggers)</f>
        <v>0.5958092170519661</v>
      </c>
      <c r="V1116" s="34">
        <f>_xll.qlYieldTSDiscount(OisCurve,R1116,,AllTriggers)</f>
        <v>0.59427308526474887</v>
      </c>
      <c r="W1116" s="33">
        <f t="shared" si="71"/>
        <v>1.0114795067728471E-2</v>
      </c>
      <c r="X1116" s="35">
        <f t="shared" si="72"/>
        <v>5.9480272311993992E-5</v>
      </c>
      <c r="Y1116" s="33">
        <f t="shared" si="73"/>
        <v>2.3335746243445012E-4</v>
      </c>
      <c r="Z1116" s="54"/>
    </row>
    <row r="1117" spans="15:26" x14ac:dyDescent="0.25">
      <c r="O1117" s="37" t="s">
        <v>19</v>
      </c>
      <c r="P1117" s="31">
        <f>_xll.qlCalendarAdvance(Calendar,P1116,O1116,"f",,Trigger)</f>
        <v>57915</v>
      </c>
      <c r="Q1117" s="31">
        <f>_xll.qlInterestRateIndexValueDate(Index,P1117,Trigger)</f>
        <v>57917</v>
      </c>
      <c r="R1117" s="31">
        <f>_xll.qlInterestRateIndexMaturity(Index,Q1117,Trigger)</f>
        <v>58011</v>
      </c>
      <c r="S1117" s="32">
        <f>_xll.qlDayCounterYearFraction(DayCounter,Q1117,R1117,,,Trigger)</f>
        <v>0.26111111111111113</v>
      </c>
      <c r="T1117" s="33">
        <f>_xll.qlIndexFixing(Index,P1117,,AllTriggers)</f>
        <v>1.0325890451372034E-2</v>
      </c>
      <c r="U1117" s="34">
        <f>_xll.qlYieldTSDiscount(OisCurve,Q1117,,AllTriggers)</f>
        <v>0.59530676393091664</v>
      </c>
      <c r="V1117" s="34">
        <f>_xll.qlYieldTSDiscount(OisCurve,R1117,,AllTriggers)</f>
        <v>0.59374199864247801</v>
      </c>
      <c r="W1117" s="33">
        <f t="shared" si="71"/>
        <v>1.009313496373272E-2</v>
      </c>
      <c r="X1117" s="35">
        <f t="shared" si="72"/>
        <v>6.0613459609615405E-5</v>
      </c>
      <c r="Y1117" s="33">
        <f t="shared" si="73"/>
        <v>2.3275548763931377E-4</v>
      </c>
      <c r="Z1117" s="54"/>
    </row>
    <row r="1118" spans="15:26" x14ac:dyDescent="0.25">
      <c r="O1118" s="37" t="s">
        <v>19</v>
      </c>
      <c r="P1118" s="31">
        <f>_xll.qlCalendarAdvance(Calendar,P1117,O1117,"f",,Trigger)</f>
        <v>57948</v>
      </c>
      <c r="Q1118" s="31">
        <f>_xll.qlInterestRateIndexValueDate(Index,P1118,Trigger)</f>
        <v>57950</v>
      </c>
      <c r="R1118" s="31">
        <f>_xll.qlInterestRateIndexMaturity(Index,Q1118,Trigger)</f>
        <v>58042</v>
      </c>
      <c r="S1118" s="32">
        <f>_xll.qlDayCounterYearFraction(DayCounter,Q1118,R1118,,,Trigger)</f>
        <v>0.25555555555555554</v>
      </c>
      <c r="T1118" s="33">
        <f>_xll.qlIndexFixing(Index,P1118,,AllTriggers)</f>
        <v>1.0302892489094904E-2</v>
      </c>
      <c r="U1118" s="34">
        <f>_xll.qlYieldTSDiscount(OisCurve,Q1118,,AllTriggers)</f>
        <v>0.5947557982362236</v>
      </c>
      <c r="V1118" s="34">
        <f>_xll.qlYieldTSDiscount(OisCurve,R1118,,AllTriggers)</f>
        <v>0.59322903959131501</v>
      </c>
      <c r="W1118" s="33">
        <f t="shared" si="71"/>
        <v>1.0070769567271931E-2</v>
      </c>
      <c r="X1118" s="35">
        <f t="shared" si="72"/>
        <v>5.9166274623412311E-5</v>
      </c>
      <c r="Y1118" s="33">
        <f t="shared" si="73"/>
        <v>2.3212292182297339E-4</v>
      </c>
      <c r="Z1118" s="54"/>
    </row>
    <row r="1119" spans="15:26" x14ac:dyDescent="0.25">
      <c r="O1119" s="37" t="s">
        <v>19</v>
      </c>
      <c r="P1119" s="31">
        <f>_xll.qlCalendarAdvance(Calendar,P1118,O1118,"f",,Trigger)</f>
        <v>57979</v>
      </c>
      <c r="Q1119" s="31">
        <f>_xll.qlInterestRateIndexValueDate(Index,P1119,Trigger)</f>
        <v>57983</v>
      </c>
      <c r="R1119" s="31">
        <f>_xll.qlInterestRateIndexMaturity(Index,Q1119,Trigger)</f>
        <v>58075</v>
      </c>
      <c r="S1119" s="32">
        <f>_xll.qlDayCounterYearFraction(DayCounter,Q1119,R1119,,,Trigger)</f>
        <v>0.25555555555555554</v>
      </c>
      <c r="T1119" s="33">
        <f>_xll.qlIndexFixing(Index,P1119,,AllTriggers)</f>
        <v>1.0280131509761438E-2</v>
      </c>
      <c r="U1119" s="34">
        <f>_xll.qlYieldTSDiscount(OisCurve,Q1119,,AllTriggers)</f>
        <v>0.59420661046049184</v>
      </c>
      <c r="V1119" s="34">
        <f>_xll.qlYieldTSDiscount(OisCurve,R1119,,AllTriggers)</f>
        <v>0.59268460634823728</v>
      </c>
      <c r="W1119" s="33">
        <f t="shared" si="71"/>
        <v>1.0048629914718058E-2</v>
      </c>
      <c r="X1119" s="35">
        <f t="shared" si="72"/>
        <v>5.9008241070239036E-5</v>
      </c>
      <c r="Y1119" s="33">
        <f t="shared" si="73"/>
        <v>2.3150159504337943E-4</v>
      </c>
      <c r="Z1119" s="54"/>
    </row>
    <row r="1120" spans="15:26" x14ac:dyDescent="0.25">
      <c r="O1120" s="37" t="s">
        <v>19</v>
      </c>
      <c r="P1120" s="31">
        <f>_xll.qlCalendarAdvance(Calendar,P1119,O1119,"f",,Trigger)</f>
        <v>58011</v>
      </c>
      <c r="Q1120" s="31">
        <f>_xll.qlInterestRateIndexValueDate(Index,P1120,Trigger)</f>
        <v>58013</v>
      </c>
      <c r="R1120" s="31">
        <f>_xll.qlInterestRateIndexMaturity(Index,Q1120,Trigger)</f>
        <v>58105</v>
      </c>
      <c r="S1120" s="32">
        <f>_xll.qlDayCounterYearFraction(DayCounter,Q1120,R1120,,,Trigger)</f>
        <v>0.25555555555555554</v>
      </c>
      <c r="T1120" s="33">
        <f>_xll.qlIndexFixing(Index,P1120,,AllTriggers)</f>
        <v>1.0260004467250535E-2</v>
      </c>
      <c r="U1120" s="34">
        <f>_xll.qlYieldTSDiscount(OisCurve,Q1120,,AllTriggers)</f>
        <v>0.59370885938832652</v>
      </c>
      <c r="V1120" s="34">
        <f>_xll.qlYieldTSDiscount(OisCurve,R1120,,AllTriggers)</f>
        <v>0.59219108541583931</v>
      </c>
      <c r="W1120" s="33">
        <f t="shared" si="71"/>
        <v>1.0029052599372682E-2</v>
      </c>
      <c r="X1120" s="35">
        <f t="shared" si="72"/>
        <v>5.886841709966351E-5</v>
      </c>
      <c r="Y1120" s="33">
        <f t="shared" si="73"/>
        <v>2.3095186787785299E-4</v>
      </c>
      <c r="Z1120" s="54"/>
    </row>
    <row r="1121" spans="15:26" x14ac:dyDescent="0.25">
      <c r="O1121" s="37" t="s">
        <v>19</v>
      </c>
      <c r="P1121" s="31">
        <f>_xll.qlCalendarAdvance(Calendar,P1120,O1120,"f",,Trigger)</f>
        <v>58042</v>
      </c>
      <c r="Q1121" s="31">
        <f>_xll.qlInterestRateIndexValueDate(Index,P1121,Trigger)</f>
        <v>58046</v>
      </c>
      <c r="R1121" s="31">
        <f>_xll.qlInterestRateIndexMaturity(Index,Q1121,Trigger)</f>
        <v>58137</v>
      </c>
      <c r="S1121" s="32">
        <f>_xll.qlDayCounterYearFraction(DayCounter,Q1121,R1121,,,Trigger)</f>
        <v>0.25277777777777777</v>
      </c>
      <c r="T1121" s="33">
        <f>_xll.qlIndexFixing(Index,P1121,,AllTriggers)</f>
        <v>1.0238657096283658E-2</v>
      </c>
      <c r="U1121" s="34">
        <f>_xll.qlYieldTSDiscount(OisCurve,Q1121,,AllTriggers)</f>
        <v>0.59316295942513542</v>
      </c>
      <c r="V1121" s="34">
        <f>_xll.qlYieldTSDiscount(OisCurve,R1121,,AllTriggers)</f>
        <v>0.59166611893849941</v>
      </c>
      <c r="W1121" s="33">
        <f t="shared" si="71"/>
        <v>1.0008291113478044E-2</v>
      </c>
      <c r="X1121" s="35">
        <f t="shared" si="72"/>
        <v>5.8082768044349613E-5</v>
      </c>
      <c r="Y1121" s="33">
        <f t="shared" si="73"/>
        <v>2.3036598280561441E-4</v>
      </c>
      <c r="Z1121" s="54"/>
    </row>
    <row r="1122" spans="15:26" x14ac:dyDescent="0.25">
      <c r="O1122" s="37" t="s">
        <v>19</v>
      </c>
      <c r="P1122" s="31">
        <f>_xll.qlCalendarAdvance(Calendar,P1121,O1121,"f",,Trigger)</f>
        <v>58074</v>
      </c>
      <c r="Q1122" s="31">
        <f>_xll.qlInterestRateIndexValueDate(Index,P1122,Trigger)</f>
        <v>58077</v>
      </c>
      <c r="R1122" s="31">
        <f>_xll.qlInterestRateIndexMaturity(Index,Q1122,Trigger)</f>
        <v>58167</v>
      </c>
      <c r="S1122" s="32">
        <f>_xll.qlDayCounterYearFraction(DayCounter,Q1122,R1122,,,Trigger)</f>
        <v>0.25</v>
      </c>
      <c r="T1122" s="33">
        <f>_xll.qlIndexFixing(Index,P1122,,AllTriggers)</f>
        <v>1.0219189477600921E-2</v>
      </c>
      <c r="U1122" s="34">
        <f>_xll.qlYieldTSDiscount(OisCurve,Q1122,,AllTriggers)</f>
        <v>0.59265166327117835</v>
      </c>
      <c r="V1122" s="34">
        <f>_xll.qlYieldTSDiscount(OisCurve,R1122,,AllTriggers)</f>
        <v>0.59117529780284239</v>
      </c>
      <c r="W1122" s="33">
        <f t="shared" si="71"/>
        <v>9.9893583092729443E-3</v>
      </c>
      <c r="X1122" s="35">
        <f t="shared" si="72"/>
        <v>5.7313015496111567E-5</v>
      </c>
      <c r="Y1122" s="33">
        <f t="shared" si="73"/>
        <v>2.2983116832797634E-4</v>
      </c>
      <c r="Z1122" s="54"/>
    </row>
    <row r="1123" spans="15:26" x14ac:dyDescent="0.25">
      <c r="O1123" s="37" t="s">
        <v>19</v>
      </c>
      <c r="P1123" s="31">
        <f>_xll.qlCalendarAdvance(Calendar,P1122,O1122,"f",,Trigger)</f>
        <v>58105</v>
      </c>
      <c r="Q1123" s="31">
        <f>_xll.qlInterestRateIndexValueDate(Index,P1123,Trigger)</f>
        <v>58109</v>
      </c>
      <c r="R1123" s="31">
        <f>_xll.qlInterestRateIndexMaturity(Index,Q1123,Trigger)</f>
        <v>58200</v>
      </c>
      <c r="S1123" s="32">
        <f>_xll.qlDayCounterYearFraction(DayCounter,Q1123,R1123,,,Trigger)</f>
        <v>0.25277777777777777</v>
      </c>
      <c r="T1123" s="33">
        <f>_xll.qlIndexFixing(Index,P1123,,AllTriggers)</f>
        <v>1.0199365721422271E-2</v>
      </c>
      <c r="U1123" s="34">
        <f>_xll.qlYieldTSDiscount(OisCurve,Q1123,,AllTriggers)</f>
        <v>0.59212538308801443</v>
      </c>
      <c r="V1123" s="34">
        <f>_xll.qlYieldTSDiscount(OisCurve,R1123,,AllTriggers)</f>
        <v>0.5906368522502744</v>
      </c>
      <c r="W1123" s="33">
        <f t="shared" si="71"/>
        <v>9.9700745078660797E-3</v>
      </c>
      <c r="X1123" s="35">
        <f t="shared" si="72"/>
        <v>5.7812348600425742E-5</v>
      </c>
      <c r="Y1123" s="33">
        <f t="shared" si="73"/>
        <v>2.2929121355619135E-4</v>
      </c>
      <c r="Z1123" s="54"/>
    </row>
    <row r="1124" spans="15:26" x14ac:dyDescent="0.25">
      <c r="O1124" s="37" t="s">
        <v>19</v>
      </c>
      <c r="P1124" s="31">
        <f>_xll.qlCalendarAdvance(Calendar,P1123,O1123,"f",,Trigger)</f>
        <v>58134</v>
      </c>
      <c r="Q1124" s="31">
        <f>_xll.qlInterestRateIndexValueDate(Index,P1124,Trigger)</f>
        <v>58138</v>
      </c>
      <c r="R1124" s="31">
        <f>_xll.qlInterestRateIndexMaturity(Index,Q1124,Trigger)</f>
        <v>58230</v>
      </c>
      <c r="S1124" s="32">
        <f>_xll.qlDayCounterYearFraction(DayCounter,Q1124,R1124,,,Trigger)</f>
        <v>0.25555555555555554</v>
      </c>
      <c r="T1124" s="33">
        <f>_xll.qlIndexFixing(Index,P1124,,AllTriggers)</f>
        <v>1.0181931112922055E-2</v>
      </c>
      <c r="U1124" s="34">
        <f>_xll.qlYieldTSDiscount(OisCurve,Q1124,,AllTriggers)</f>
        <v>0.59164973758750206</v>
      </c>
      <c r="V1124" s="34">
        <f>_xll.qlYieldTSDiscount(OisCurve,R1124,,AllTriggers)</f>
        <v>0.59014865094648739</v>
      </c>
      <c r="W1124" s="33">
        <f t="shared" si="71"/>
        <v>9.9531148321808996E-3</v>
      </c>
      <c r="X1124" s="35">
        <f t="shared" si="72"/>
        <v>5.8325211989698847E-5</v>
      </c>
      <c r="Y1124" s="33">
        <f t="shared" si="73"/>
        <v>2.2881628074115576E-4</v>
      </c>
      <c r="Z1124" s="54"/>
    </row>
    <row r="1125" spans="15:26" x14ac:dyDescent="0.25">
      <c r="O1125" s="37" t="s">
        <v>19</v>
      </c>
      <c r="P1125" s="31">
        <f>_xll.qlCalendarAdvance(Calendar,P1124,O1124,"f",,Trigger)</f>
        <v>58166</v>
      </c>
      <c r="Q1125" s="31">
        <f>_xll.qlInterestRateIndexValueDate(Index,P1125,Trigger)</f>
        <v>58168</v>
      </c>
      <c r="R1125" s="31">
        <f>_xll.qlInterestRateIndexMaturity(Index,Q1125,Trigger)</f>
        <v>58259</v>
      </c>
      <c r="S1125" s="32">
        <f>_xll.qlDayCounterYearFraction(DayCounter,Q1125,R1125,,,Trigger)</f>
        <v>0.25277777777777777</v>
      </c>
      <c r="T1125" s="33">
        <f>_xll.qlIndexFixing(Index,P1125,,AllTriggers)</f>
        <v>1.0164719697537735E-2</v>
      </c>
      <c r="U1125" s="34">
        <f>_xll.qlYieldTSDiscount(OisCurve,Q1125,,AllTriggers)</f>
        <v>0.59115895900662896</v>
      </c>
      <c r="V1125" s="34">
        <f>_xll.qlYieldTSDiscount(OisCurve,R1125,,AllTriggers)</f>
        <v>0.58967786781093656</v>
      </c>
      <c r="W1125" s="33">
        <f t="shared" si="71"/>
        <v>9.9363774577804279E-3</v>
      </c>
      <c r="X1125" s="35">
        <f t="shared" si="72"/>
        <v>5.7573575101309293E-5</v>
      </c>
      <c r="Y1125" s="33">
        <f t="shared" si="73"/>
        <v>2.2834223975730719E-4</v>
      </c>
      <c r="Z1125" s="54"/>
    </row>
    <row r="1126" spans="15:26" x14ac:dyDescent="0.25">
      <c r="O1126" s="37" t="s">
        <v>19</v>
      </c>
      <c r="P1126" s="31">
        <f>_xll.qlCalendarAdvance(Calendar,P1125,O1125,"f",,Trigger)</f>
        <v>58197</v>
      </c>
      <c r="Q1126" s="31">
        <f>_xll.qlInterestRateIndexValueDate(Index,P1126,Trigger)</f>
        <v>58201</v>
      </c>
      <c r="R1126" s="31">
        <f>_xll.qlInterestRateIndexMaturity(Index,Q1126,Trigger)</f>
        <v>58293</v>
      </c>
      <c r="S1126" s="32">
        <f>_xll.qlDayCounterYearFraction(DayCounter,Q1126,R1126,,,Trigger)</f>
        <v>0.25555555555555554</v>
      </c>
      <c r="T1126" s="33">
        <f>_xll.qlIndexFixing(Index,P1126,,AllTriggers)</f>
        <v>1.0146121052204452E-2</v>
      </c>
      <c r="U1126" s="34">
        <f>_xll.qlYieldTSDiscount(OisCurve,Q1126,,AllTriggers)</f>
        <v>0.59062055917937084</v>
      </c>
      <c r="V1126" s="34">
        <f>_xll.qlYieldTSDiscount(OisCurve,R1126,,AllTriggers)</f>
        <v>0.58912731397096563</v>
      </c>
      <c r="W1126" s="33">
        <f t="shared" si="71"/>
        <v>9.9182863968894572E-3</v>
      </c>
      <c r="X1126" s="35">
        <f t="shared" si="72"/>
        <v>5.8075518763221964E-5</v>
      </c>
      <c r="Y1126" s="33">
        <f t="shared" si="73"/>
        <v>2.2783465531499465E-4</v>
      </c>
      <c r="Z1126" s="54"/>
    </row>
    <row r="1127" spans="15:26" x14ac:dyDescent="0.25">
      <c r="O1127" s="37" t="s">
        <v>19</v>
      </c>
      <c r="P1127" s="31">
        <f>_xll.qlCalendarAdvance(Calendar,P1126,O1126,"f",,Trigger)</f>
        <v>58228</v>
      </c>
      <c r="Q1127" s="31">
        <f>_xll.qlInterestRateIndexValueDate(Index,P1127,Trigger)</f>
        <v>58230</v>
      </c>
      <c r="R1127" s="31">
        <f>_xll.qlInterestRateIndexMaturity(Index,Q1127,Trigger)</f>
        <v>58322</v>
      </c>
      <c r="S1127" s="32">
        <f>_xll.qlDayCounterYearFraction(DayCounter,Q1127,R1127,,,Trigger)</f>
        <v>0.25555555555555554</v>
      </c>
      <c r="T1127" s="33">
        <f>_xll.qlIndexFixing(Index,P1127,,AllTriggers)</f>
        <v>1.013043421128604E-2</v>
      </c>
      <c r="U1127" s="34">
        <f>_xll.qlYieldTSDiscount(OisCurve,Q1127,,AllTriggers)</f>
        <v>0.59014865094648739</v>
      </c>
      <c r="V1127" s="34">
        <f>_xll.qlYieldTSDiscount(OisCurve,R1127,,AllTriggers)</f>
        <v>0.58865888812898381</v>
      </c>
      <c r="W1127" s="33">
        <f t="shared" si="71"/>
        <v>9.9030300820171623E-3</v>
      </c>
      <c r="X1127" s="35">
        <f t="shared" si="72"/>
        <v>5.796600539793965E-5</v>
      </c>
      <c r="Y1127" s="33">
        <f t="shared" si="73"/>
        <v>2.2740412926887735E-4</v>
      </c>
      <c r="Z1127" s="54"/>
    </row>
    <row r="1128" spans="15:26" x14ac:dyDescent="0.25">
      <c r="O1128" s="37" t="s">
        <v>19</v>
      </c>
      <c r="P1128" s="31">
        <f>_xll.qlCalendarAdvance(Calendar,P1127,O1127,"f",,Trigger)</f>
        <v>58258</v>
      </c>
      <c r="Q1128" s="31">
        <f>_xll.qlInterestRateIndexValueDate(Index,P1128,Trigger)</f>
        <v>58260</v>
      </c>
      <c r="R1128" s="31">
        <f>_xll.qlInterestRateIndexMaturity(Index,Q1128,Trigger)</f>
        <v>58354</v>
      </c>
      <c r="S1128" s="32">
        <f>_xll.qlDayCounterYearFraction(DayCounter,Q1128,R1128,,,Trigger)</f>
        <v>0.26111111111111113</v>
      </c>
      <c r="T1128" s="33">
        <f>_xll.qlIndexFixing(Index,P1128,,AllTriggers)</f>
        <v>1.0114514429655448E-2</v>
      </c>
      <c r="U1128" s="34">
        <f>_xll.qlYieldTSDiscount(OisCurve,Q1128,,AllTriggers)</f>
        <v>0.58966165367126222</v>
      </c>
      <c r="V1128" s="34">
        <f>_xll.qlYieldTSDiscount(OisCurve,R1128,,AllTriggers)</f>
        <v>0.58814321651723067</v>
      </c>
      <c r="W1128" s="33">
        <f t="shared" ref="W1128:W1135" si="74">(U1128/V1128-1)/S1128</f>
        <v>9.88754280401654E-3</v>
      </c>
      <c r="X1128" s="35">
        <f t="shared" ref="X1128:X1135" si="75">LN((1+T1128*S1128)/(1+W1128*S1128))</f>
        <v>5.9110453540451094E-5</v>
      </c>
      <c r="Y1128" s="33">
        <f t="shared" si="73"/>
        <v>2.2697162563890816E-4</v>
      </c>
      <c r="Z1128" s="54"/>
    </row>
    <row r="1129" spans="15:26" x14ac:dyDescent="0.25">
      <c r="O1129" s="37" t="s">
        <v>19</v>
      </c>
      <c r="P1129" s="31">
        <f>_xll.qlCalendarAdvance(Calendar,P1128,O1128,"f",,Trigger)</f>
        <v>58291</v>
      </c>
      <c r="Q1129" s="31">
        <f>_xll.qlInterestRateIndexValueDate(Index,P1129,Trigger)</f>
        <v>58293</v>
      </c>
      <c r="R1129" s="31">
        <f>_xll.qlInterestRateIndexMaturity(Index,Q1129,Trigger)</f>
        <v>58385</v>
      </c>
      <c r="S1129" s="32">
        <f>_xll.qlDayCounterYearFraction(DayCounter,Q1129,R1129,,,Trigger)</f>
        <v>0.25555555555555554</v>
      </c>
      <c r="T1129" s="33">
        <f>_xll.qlIndexFixing(Index,P1129,,AllTriggers)</f>
        <v>1.0098087615839539E-2</v>
      </c>
      <c r="U1129" s="34">
        <f>_xll.qlYieldTSDiscount(OisCurve,Q1129,,AllTriggers)</f>
        <v>0.58912731397096563</v>
      </c>
      <c r="V1129" s="34">
        <f>_xll.qlYieldTSDiscount(OisCurve,R1129,,AllTriggers)</f>
        <v>0.58764484165841002</v>
      </c>
      <c r="W1129" s="33">
        <f t="shared" si="74"/>
        <v>9.8715724245564927E-3</v>
      </c>
      <c r="X1129" s="35">
        <f t="shared" si="75"/>
        <v>5.7739881934514822E-5</v>
      </c>
      <c r="Y1129" s="33">
        <f t="shared" si="73"/>
        <v>2.2651519128304674E-4</v>
      </c>
      <c r="Z1129" s="54"/>
    </row>
    <row r="1130" spans="15:26" x14ac:dyDescent="0.25">
      <c r="O1130" s="37" t="s">
        <v>19</v>
      </c>
      <c r="P1130" s="31">
        <f>_xll.qlCalendarAdvance(Calendar,P1129,O1129,"f",,Trigger)</f>
        <v>58322</v>
      </c>
      <c r="Q1130" s="31">
        <f>_xll.qlInterestRateIndexValueDate(Index,P1130,Trigger)</f>
        <v>58326</v>
      </c>
      <c r="R1130" s="31">
        <f>_xll.qlInterestRateIndexMaturity(Index,Q1130,Trigger)</f>
        <v>58417</v>
      </c>
      <c r="S1130" s="32">
        <f>_xll.qlDayCounterYearFraction(DayCounter,Q1130,R1130,,,Trigger)</f>
        <v>0.25277777777777777</v>
      </c>
      <c r="T1130" s="33">
        <f>_xll.qlIndexFixing(Index,P1130,,AllTriggers)</f>
        <v>1.0082182577107157E-2</v>
      </c>
      <c r="U1130" s="34">
        <f>_xll.qlYieldTSDiscount(OisCurve,Q1130,,AllTriggers)</f>
        <v>0.58859436026431711</v>
      </c>
      <c r="V1130" s="34">
        <f>_xll.qlYieldTSDiscount(OisCurve,R1130,,AllTriggers)</f>
        <v>0.58713157774087243</v>
      </c>
      <c r="W1130" s="33">
        <f t="shared" si="74"/>
        <v>9.8561075238815486E-3</v>
      </c>
      <c r="X1130" s="35">
        <f t="shared" si="75"/>
        <v>5.7003102996455246E-5</v>
      </c>
      <c r="Y1130" s="33">
        <f t="shared" si="73"/>
        <v>2.2607505322560888E-4</v>
      </c>
      <c r="Z1130" s="54"/>
    </row>
    <row r="1131" spans="15:26" x14ac:dyDescent="0.25">
      <c r="O1131" s="37" t="s">
        <v>19</v>
      </c>
      <c r="P1131" s="31">
        <f>_xll.qlCalendarAdvance(Calendar,P1130,O1130,"f",,Trigger)</f>
        <v>58354</v>
      </c>
      <c r="Q1131" s="31">
        <f>_xll.qlInterestRateIndexValueDate(Index,P1131,Trigger)</f>
        <v>58356</v>
      </c>
      <c r="R1131" s="31">
        <f>_xll.qlInterestRateIndexMaturity(Index,Q1131,Trigger)</f>
        <v>58448</v>
      </c>
      <c r="S1131" s="32">
        <f>_xll.qlDayCounterYearFraction(DayCounter,Q1131,R1131,,,Trigger)</f>
        <v>0.25555555555555554</v>
      </c>
      <c r="T1131" s="33">
        <f>_xll.qlIndexFixing(Index,P1131,,AllTriggers)</f>
        <v>1.0068112668205089E-2</v>
      </c>
      <c r="U1131" s="34">
        <f>_xll.qlYieldTSDiscount(OisCurve,Q1131,,AllTriggers)</f>
        <v>0.58811102853333574</v>
      </c>
      <c r="V1131" s="34">
        <f>_xll.qlYieldTSDiscount(OisCurve,R1131,,AllTriggers)</f>
        <v>0.58663547262143412</v>
      </c>
      <c r="W1131" s="33">
        <f t="shared" si="74"/>
        <v>9.8424229480613117E-3</v>
      </c>
      <c r="X1131" s="35">
        <f t="shared" si="75"/>
        <v>5.752989863482762E-5</v>
      </c>
      <c r="Y1131" s="33">
        <f t="shared" si="73"/>
        <v>2.2568972014377735E-4</v>
      </c>
      <c r="Z1131" s="54"/>
    </row>
    <row r="1132" spans="15:26" x14ac:dyDescent="0.25">
      <c r="O1132" s="37" t="s">
        <v>19</v>
      </c>
      <c r="P1132" s="31">
        <f>_xll.qlCalendarAdvance(Calendar,P1131,O1131,"f",,Trigger)</f>
        <v>58385</v>
      </c>
      <c r="Q1132" s="31">
        <f>_xll.qlInterestRateIndexValueDate(Index,P1132,Trigger)</f>
        <v>58389</v>
      </c>
      <c r="R1132" s="31">
        <f>_xll.qlInterestRateIndexMaturity(Index,Q1132,Trigger)</f>
        <v>58481</v>
      </c>
      <c r="S1132" s="32">
        <f>_xll.qlDayCounterYearFraction(DayCounter,Q1132,R1132,,,Trigger)</f>
        <v>0.25555555555555554</v>
      </c>
      <c r="T1132" s="33">
        <f>_xll.qlIndexFixing(Index,P1132,,AllTriggers)</f>
        <v>1.0053357994706453E-2</v>
      </c>
      <c r="U1132" s="34">
        <f>_xll.qlYieldTSDiscount(OisCurve,Q1132,,AllTriggers)</f>
        <v>0.58758061835968101</v>
      </c>
      <c r="V1132" s="34">
        <f>_xll.qlYieldTSDiscount(OisCurve,R1132,,AllTriggers)</f>
        <v>0.58610853687439013</v>
      </c>
      <c r="W1132" s="33">
        <f t="shared" si="74"/>
        <v>9.8280753360202588E-3</v>
      </c>
      <c r="X1132" s="35">
        <f t="shared" si="75"/>
        <v>5.742634880845158E-5</v>
      </c>
      <c r="Y1132" s="33">
        <f t="shared" si="73"/>
        <v>2.2528265868619439E-4</v>
      </c>
      <c r="Z1132" s="54"/>
    </row>
    <row r="1133" spans="15:26" x14ac:dyDescent="0.25">
      <c r="O1133" s="37" t="s">
        <v>19</v>
      </c>
      <c r="P1133" s="31">
        <f>_xll.qlCalendarAdvance(Calendar,P1132,O1132,"f",,Trigger)</f>
        <v>58417</v>
      </c>
      <c r="Q1133" s="31">
        <f>_xll.qlInterestRateIndexValueDate(Index,P1133,Trigger)</f>
        <v>58419</v>
      </c>
      <c r="R1133" s="31">
        <f>_xll.qlInterestRateIndexMaturity(Index,Q1133,Trigger)</f>
        <v>58510</v>
      </c>
      <c r="S1133" s="32">
        <f>_xll.qlDayCounterYearFraction(DayCounter,Q1133,R1133,,,Trigger)</f>
        <v>0.25277777777777777</v>
      </c>
      <c r="T1133" s="33">
        <f>_xll.qlIndexFixing(Index,P1133,,AllTriggers)</f>
        <v>1.0040574595041681E-2</v>
      </c>
      <c r="U1133" s="34">
        <f>_xll.qlYieldTSDiscount(OisCurve,Q1133,,AllTriggers)</f>
        <v>0.58709953805198623</v>
      </c>
      <c r="V1133" s="34">
        <f>_xll.qlYieldTSDiscount(OisCurve,R1133,,AllTriggers)</f>
        <v>0.58564644524705833</v>
      </c>
      <c r="W1133" s="33">
        <f t="shared" si="74"/>
        <v>9.8156474015319226E-3</v>
      </c>
      <c r="X1133" s="35">
        <f t="shared" si="75"/>
        <v>5.6714265700220844E-5</v>
      </c>
      <c r="Y1133" s="33">
        <f t="shared" si="73"/>
        <v>2.2492719350975833E-4</v>
      </c>
      <c r="Z1133" s="54"/>
    </row>
    <row r="1134" spans="15:26" x14ac:dyDescent="0.25">
      <c r="O1134" s="37" t="s">
        <v>19</v>
      </c>
      <c r="P1134" s="31">
        <f>_xll.qlCalendarAdvance(Calendar,P1133,O1133,"f",,Trigger)</f>
        <v>58448</v>
      </c>
      <c r="Q1134" s="31">
        <f>_xll.qlInterestRateIndexValueDate(Index,P1134,Trigger)</f>
        <v>58452</v>
      </c>
      <c r="R1134" s="31">
        <f>_xll.qlInterestRateIndexMaturity(Index,Q1134,Trigger)</f>
        <v>58543</v>
      </c>
      <c r="S1134" s="32">
        <f>_xll.qlDayCounterYearFraction(DayCounter,Q1134,R1134,,,Trigger)</f>
        <v>0.25277777777777777</v>
      </c>
      <c r="T1134" s="33">
        <f>_xll.qlIndexFixing(Index,P1134,,AllTriggers)</f>
        <v>1.0027052681980779E-2</v>
      </c>
      <c r="U1134" s="34">
        <f>_xll.qlYieldTSDiscount(OisCurve,Q1134,,AllTriggers)</f>
        <v>0.5865715377074574</v>
      </c>
      <c r="V1134" s="34">
        <f>_xll.qlYieldTSDiscount(OisCurve,R1134,,AllTriggers)</f>
        <v>0.58512169155211979</v>
      </c>
      <c r="W1134" s="33">
        <f t="shared" si="74"/>
        <v>9.8024995532167911E-3</v>
      </c>
      <c r="X1134" s="35">
        <f t="shared" si="75"/>
        <v>5.6620137522700174E-5</v>
      </c>
      <c r="Y1134" s="33">
        <f t="shared" si="73"/>
        <v>2.2455312876398792E-4</v>
      </c>
      <c r="Z1134" s="54"/>
    </row>
    <row r="1135" spans="15:26" x14ac:dyDescent="0.25">
      <c r="O1135" s="37" t="s">
        <v>19</v>
      </c>
      <c r="P1135" s="31">
        <f>_xll.qlCalendarAdvance(Calendar,P1134,O1134,"f",,Trigger)</f>
        <v>58480</v>
      </c>
      <c r="Q1135" s="31">
        <f>_xll.qlInterestRateIndexValueDate(Index,P1135,Trigger)</f>
        <v>58482</v>
      </c>
      <c r="R1135" s="31">
        <f>_xll.qlInterestRateIndexMaturity(Index,Q1135,Trigger)</f>
        <v>58572</v>
      </c>
      <c r="S1135" s="32">
        <f>_xll.qlDayCounterYearFraction(DayCounter,Q1135,R1135,,,Trigger)</f>
        <v>0.25</v>
      </c>
      <c r="T1135" s="33">
        <f>_xll.qlIndexFixing(Index,P1135,,AllTriggers)</f>
        <v>1.0015372018470359E-2</v>
      </c>
      <c r="U1135" s="34">
        <f>_xll.qlYieldTSDiscount(OisCurve,Q1135,,AllTriggers)</f>
        <v>0.58609258768618588</v>
      </c>
      <c r="V1135" s="34">
        <f>_xll.qlYieldTSDiscount(OisCurve,R1135,,AllTriggers)</f>
        <v>0.58466146142584441</v>
      </c>
      <c r="W1135" s="33">
        <f t="shared" si="74"/>
        <v>9.7911448232030907E-3</v>
      </c>
      <c r="X1135" s="35">
        <f t="shared" si="75"/>
        <v>5.5918355350446133E-5</v>
      </c>
      <c r="Y1135" s="33">
        <f t="shared" si="73"/>
        <v>2.2422719526726809E-4</v>
      </c>
      <c r="Z1135" s="54"/>
    </row>
    <row r="1136" spans="15:26" x14ac:dyDescent="0.25">
      <c r="O1136" s="37" t="s">
        <v>19</v>
      </c>
      <c r="P1136" s="31">
        <f>_xll.qlCalendarAdvance(Calendar,P1135,O1135,"f",,Trigger)</f>
        <v>58509</v>
      </c>
      <c r="Q1136" s="31">
        <f>_xll.qlInterestRateIndexValueDate(Index,P1136,Trigger)</f>
        <v>58511</v>
      </c>
      <c r="R1136" s="31">
        <f>_xll.qlInterestRateIndexMaturity(Index,Q1136,Trigger)</f>
        <v>58603</v>
      </c>
      <c r="S1136" s="32">
        <f>_xll.qlDayCounterYearFraction(DayCounter,Q1136,R1136,,,Trigger)</f>
        <v>0.25555555555555554</v>
      </c>
      <c r="T1136" s="33">
        <f>_xll.qlIndexFixing(Index,P1136,,AllTriggers)</f>
        <v>1.0004459934555928E-2</v>
      </c>
      <c r="U1136" s="34">
        <f>_xll.qlYieldTSDiscount(OisCurve,Q1136,,AllTriggers)</f>
        <v>0.58563052697211604</v>
      </c>
      <c r="V1136" s="34">
        <f>_xll.qlYieldTSDiscount(OisCurve,R1136,,AllTriggers)</f>
        <v>0.58417041112059909</v>
      </c>
      <c r="W1136" s="33">
        <f t="shared" ref="W1136:W1185" si="76">(U1136/V1136-1)/S1136</f>
        <v>9.7805309915023689E-3</v>
      </c>
      <c r="X1136" s="35">
        <f t="shared" ref="X1136:X1185" si="77">LN((1+T1136*S1136)/(1+W1136*S1136))</f>
        <v>5.7081977532648521E-5</v>
      </c>
      <c r="Y1136" s="33">
        <f t="shared" si="73"/>
        <v>2.2392894305355883E-4</v>
      </c>
      <c r="Z1136" s="54"/>
    </row>
    <row r="1137" spans="15:26" x14ac:dyDescent="0.25">
      <c r="O1137" s="37" t="s">
        <v>19</v>
      </c>
      <c r="P1137" s="31">
        <f>_xll.qlCalendarAdvance(Calendar,P1136,O1136,"f",,Trigger)</f>
        <v>58540</v>
      </c>
      <c r="Q1137" s="31">
        <f>_xll.qlInterestRateIndexValueDate(Index,P1137,Trigger)</f>
        <v>58544</v>
      </c>
      <c r="R1137" s="31">
        <f>_xll.qlInterestRateIndexMaturity(Index,Q1137,Trigger)</f>
        <v>58635</v>
      </c>
      <c r="S1137" s="32">
        <f>_xll.qlDayCounterYearFraction(DayCounter,Q1137,R1137,,,Trigger)</f>
        <v>0.25277777777777777</v>
      </c>
      <c r="T1137" s="33">
        <f>_xll.qlIndexFixing(Index,P1137,,AllTriggers)</f>
        <v>9.9927907946429917E-3</v>
      </c>
      <c r="U1137" s="34">
        <f>_xll.qlYieldTSDiscount(OisCurve,Q1137,,AllTriggers)</f>
        <v>0.58510580742556118</v>
      </c>
      <c r="V1137" s="34">
        <f>_xll.qlYieldTSDiscount(OisCurve,R1137,,AllTriggers)</f>
        <v>0.583664486625735</v>
      </c>
      <c r="W1137" s="33">
        <f t="shared" si="76"/>
        <v>9.7691885827020895E-3</v>
      </c>
      <c r="X1137" s="35">
        <f t="shared" si="77"/>
        <v>5.6380848114911585E-5</v>
      </c>
      <c r="Y1137" s="33">
        <f t="shared" si="73"/>
        <v>2.2360221194090216E-4</v>
      </c>
      <c r="Z1137" s="54"/>
    </row>
    <row r="1138" spans="15:26" x14ac:dyDescent="0.25">
      <c r="O1138" s="37" t="s">
        <v>19</v>
      </c>
      <c r="P1138" s="31">
        <f>_xll.qlCalendarAdvance(Calendar,P1137,O1137,"f",,Trigger)</f>
        <v>58571</v>
      </c>
      <c r="Q1138" s="31">
        <f>_xll.qlInterestRateIndexValueDate(Index,P1138,Trigger)</f>
        <v>58573</v>
      </c>
      <c r="R1138" s="31">
        <f>_xll.qlInterestRateIndexMaturity(Index,Q1138,Trigger)</f>
        <v>58665</v>
      </c>
      <c r="S1138" s="32">
        <f>_xll.qlDayCounterYearFraction(DayCounter,Q1138,R1138,,,Trigger)</f>
        <v>0.25555555555555554</v>
      </c>
      <c r="T1138" s="33">
        <f>_xll.qlIndexFixing(Index,P1138,,AllTriggers)</f>
        <v>9.9830182613850401E-3</v>
      </c>
      <c r="U1138" s="34">
        <f>_xll.qlYieldTSDiscount(OisCurve,Q1138,,AllTriggers)</f>
        <v>0.5846456064073221</v>
      </c>
      <c r="V1138" s="34">
        <f>_xll.qlYieldTSDiscount(OisCurve,R1138,,AllTriggers)</f>
        <v>0.58319104512963416</v>
      </c>
      <c r="W1138" s="33">
        <f t="shared" si="76"/>
        <v>9.7596860735793076E-3</v>
      </c>
      <c r="X1138" s="35">
        <f t="shared" si="77"/>
        <v>5.693016481877557E-5</v>
      </c>
      <c r="Y1138" s="33">
        <f t="shared" si="73"/>
        <v>2.2333218780573247E-4</v>
      </c>
      <c r="Z1138" s="54"/>
    </row>
    <row r="1139" spans="15:26" x14ac:dyDescent="0.25">
      <c r="O1139" s="37" t="s">
        <v>19</v>
      </c>
      <c r="P1139" s="31">
        <f>_xll.qlCalendarAdvance(Calendar,P1138,O1138,"f",,Trigger)</f>
        <v>58602</v>
      </c>
      <c r="Q1139" s="31">
        <f>_xll.qlInterestRateIndexValueDate(Index,P1139,Trigger)</f>
        <v>58606</v>
      </c>
      <c r="R1139" s="31">
        <f>_xll.qlInterestRateIndexMaturity(Index,Q1139,Trigger)</f>
        <v>58698</v>
      </c>
      <c r="S1139" s="32">
        <f>_xll.qlDayCounterYearFraction(DayCounter,Q1139,R1139,,,Trigger)</f>
        <v>0.25555555555555554</v>
      </c>
      <c r="T1139" s="33">
        <f>_xll.qlIndexFixing(Index,P1139,,AllTriggers)</f>
        <v>9.9725423262517574E-3</v>
      </c>
      <c r="U1139" s="34">
        <f>_xll.qlYieldTSDiscount(OisCurve,Q1139,,AllTriggers)</f>
        <v>0.58412293949647254</v>
      </c>
      <c r="V1139" s="34">
        <f>_xll.qlYieldTSDiscount(OisCurve,R1139,,AllTriggers)</f>
        <v>0.58267119116143973</v>
      </c>
      <c r="W1139" s="33">
        <f t="shared" si="76"/>
        <v>9.7495027052098837E-3</v>
      </c>
      <c r="X1139" s="35">
        <f t="shared" si="77"/>
        <v>5.6855735605543807E-5</v>
      </c>
      <c r="Y1139" s="33">
        <f t="shared" si="73"/>
        <v>2.2303962104187371E-4</v>
      </c>
      <c r="Z1139" s="54"/>
    </row>
    <row r="1140" spans="15:26" x14ac:dyDescent="0.25">
      <c r="O1140" s="37" t="s">
        <v>19</v>
      </c>
      <c r="P1140" s="31">
        <f>_xll.qlCalendarAdvance(Calendar,P1139,O1139,"f",,Trigger)</f>
        <v>58634</v>
      </c>
      <c r="Q1140" s="31">
        <f>_xll.qlInterestRateIndexValueDate(Index,P1140,Trigger)</f>
        <v>58636</v>
      </c>
      <c r="R1140" s="31">
        <f>_xll.qlInterestRateIndexMaturity(Index,Q1140,Trigger)</f>
        <v>58728</v>
      </c>
      <c r="S1140" s="32">
        <f>_xll.qlDayCounterYearFraction(DayCounter,Q1140,R1140,,,Trigger)</f>
        <v>0.25555555555555554</v>
      </c>
      <c r="T1140" s="33">
        <f>_xll.qlIndexFixing(Index,P1140,,AllTriggers)</f>
        <v>9.963583372770075E-3</v>
      </c>
      <c r="U1140" s="34">
        <f>_xll.qlYieldTSDiscount(OisCurve,Q1140,,AllTriggers)</f>
        <v>0.58364869194986591</v>
      </c>
      <c r="V1140" s="34">
        <f>_xll.qlYieldTSDiscount(OisCurve,R1140,,AllTriggers)</f>
        <v>0.58219941469189951</v>
      </c>
      <c r="W1140" s="33">
        <f t="shared" si="76"/>
        <v>9.7407946132658293E-3</v>
      </c>
      <c r="X1140" s="35">
        <f t="shared" si="77"/>
        <v>5.6791915580003766E-5</v>
      </c>
      <c r="Y1140" s="33">
        <f t="shared" si="73"/>
        <v>2.2278875950424576E-4</v>
      </c>
      <c r="Z1140" s="54"/>
    </row>
    <row r="1141" spans="15:26" x14ac:dyDescent="0.25">
      <c r="O1141" s="37" t="s">
        <v>19</v>
      </c>
      <c r="P1141" s="31">
        <f>_xll.qlCalendarAdvance(Calendar,P1140,O1140,"f",,Trigger)</f>
        <v>58665</v>
      </c>
      <c r="Q1141" s="31">
        <f>_xll.qlInterestRateIndexValueDate(Index,P1141,Trigger)</f>
        <v>58669</v>
      </c>
      <c r="R1141" s="31">
        <f>_xll.qlInterestRateIndexMaturity(Index,Q1141,Trigger)</f>
        <v>58761</v>
      </c>
      <c r="S1141" s="32">
        <f>_xll.qlDayCounterYearFraction(DayCounter,Q1141,R1141,,,Trigger)</f>
        <v>0.25555555555555554</v>
      </c>
      <c r="T1141" s="33">
        <f>_xll.qlIndexFixing(Index,P1141,,AllTriggers)</f>
        <v>9.9543496057051973E-3</v>
      </c>
      <c r="U1141" s="34">
        <f>_xll.qlYieldTSDiscount(OisCurve,Q1141,,AllTriggers)</f>
        <v>0.58312798119371634</v>
      </c>
      <c r="V1141" s="34">
        <f>_xll.qlYieldTSDiscount(OisCurve,R1141,,AllTriggers)</f>
        <v>0.58168132768432812</v>
      </c>
      <c r="W1141" s="33">
        <f t="shared" si="76"/>
        <v>9.7318201750610771E-3</v>
      </c>
      <c r="X1141" s="35">
        <f t="shared" si="77"/>
        <v>5.672594073817716E-5</v>
      </c>
      <c r="Y1141" s="33">
        <f t="shared" si="73"/>
        <v>2.2252943064412015E-4</v>
      </c>
      <c r="Z1141" s="54"/>
    </row>
    <row r="1142" spans="15:26" x14ac:dyDescent="0.25">
      <c r="O1142" s="37" t="s">
        <v>19</v>
      </c>
      <c r="P1142" s="31">
        <f>_xll.qlCalendarAdvance(Calendar,P1141,O1141,"f",,Trigger)</f>
        <v>58697</v>
      </c>
      <c r="Q1142" s="31">
        <f>_xll.qlInterestRateIndexValueDate(Index,P1142,Trigger)</f>
        <v>58699</v>
      </c>
      <c r="R1142" s="31">
        <f>_xll.qlInterestRateIndexMaturity(Index,Q1142,Trigger)</f>
        <v>58790</v>
      </c>
      <c r="S1142" s="32">
        <f>_xll.qlDayCounterYearFraction(DayCounter,Q1142,R1142,,,Trigger)</f>
        <v>0.25277777777777777</v>
      </c>
      <c r="T1142" s="33">
        <f>_xll.qlIndexFixing(Index,P1142,,AllTriggers)</f>
        <v>9.9465041282408555E-3</v>
      </c>
      <c r="U1142" s="34">
        <f>_xll.qlYieldTSDiscount(OisCurve,Q1142,,AllTriggers)</f>
        <v>0.58265545288910237</v>
      </c>
      <c r="V1142" s="34">
        <f>_xll.qlYieldTSDiscount(OisCurve,R1142,,AllTriggers)</f>
        <v>0.58122676196387935</v>
      </c>
      <c r="W1142" s="33">
        <f t="shared" si="76"/>
        <v>9.7241979716939497E-3</v>
      </c>
      <c r="X1142" s="35">
        <f t="shared" si="77"/>
        <v>5.6054695413270658E-5</v>
      </c>
      <c r="Y1142" s="33">
        <f t="shared" si="73"/>
        <v>2.2230615654690589E-4</v>
      </c>
      <c r="Z1142" s="54"/>
    </row>
    <row r="1143" spans="15:26" x14ac:dyDescent="0.25">
      <c r="O1143" s="37" t="s">
        <v>19</v>
      </c>
      <c r="P1143" s="31">
        <f>_xll.qlCalendarAdvance(Calendar,P1142,O1142,"f",,Trigger)</f>
        <v>58727</v>
      </c>
      <c r="Q1143" s="31">
        <f>_xll.qlInterestRateIndexValueDate(Index,P1143,Trigger)</f>
        <v>58729</v>
      </c>
      <c r="R1143" s="31">
        <f>_xll.qlInterestRateIndexMaturity(Index,Q1143,Trigger)</f>
        <v>58823</v>
      </c>
      <c r="S1143" s="32">
        <f>_xll.qlDayCounterYearFraction(DayCounter,Q1143,R1143,,,Trigger)</f>
        <v>0.26111111111111113</v>
      </c>
      <c r="T1143" s="33">
        <f>_xll.qlIndexFixing(Index,P1143,,AllTriggers)</f>
        <v>9.9392775240478935E-3</v>
      </c>
      <c r="U1143" s="34">
        <f>_xll.qlYieldTSDiscount(OisCurve,Q1143,,AllTriggers)</f>
        <v>0.58218370190152213</v>
      </c>
      <c r="V1143" s="34">
        <f>_xll.qlYieldTSDiscount(OisCurve,R1143,,AllTriggers)</f>
        <v>0.58071028841366346</v>
      </c>
      <c r="W1143" s="33">
        <f t="shared" si="76"/>
        <v>9.7171692646982472E-3</v>
      </c>
      <c r="X1143" s="35">
        <f t="shared" si="77"/>
        <v>5.7846485376974007E-5</v>
      </c>
      <c r="Y1143" s="33">
        <f t="shared" si="73"/>
        <v>2.221082593496463E-4</v>
      </c>
      <c r="Z1143" s="54"/>
    </row>
    <row r="1144" spans="15:26" x14ac:dyDescent="0.25">
      <c r="O1144" s="37" t="s">
        <v>19</v>
      </c>
      <c r="P1144" s="31">
        <f>_xll.qlCalendarAdvance(Calendar,P1143,O1143,"f",,Trigger)</f>
        <v>58760</v>
      </c>
      <c r="Q1144" s="31">
        <f>_xll.qlInterestRateIndexValueDate(Index,P1144,Trigger)</f>
        <v>58762</v>
      </c>
      <c r="R1144" s="31">
        <f>_xll.qlInterestRateIndexMaturity(Index,Q1144,Trigger)</f>
        <v>58854</v>
      </c>
      <c r="S1144" s="32">
        <f>_xll.qlDayCounterYearFraction(DayCounter,Q1144,R1144,,,Trigger)</f>
        <v>0.25555555555555554</v>
      </c>
      <c r="T1144" s="33">
        <f>_xll.qlIndexFixing(Index,P1144,,AllTriggers)</f>
        <v>9.9318277762863848E-3</v>
      </c>
      <c r="U1144" s="34">
        <f>_xll.qlYieldTSDiscount(OisCurve,Q1144,,AllTriggers)</f>
        <v>0.5816656419026851</v>
      </c>
      <c r="V1144" s="34">
        <f>_xll.qlYieldTSDiscount(OisCurve,R1144,,AllTriggers)</f>
        <v>0.58022585324463971</v>
      </c>
      <c r="W1144" s="33">
        <f t="shared" si="76"/>
        <v>9.7099355137883359E-3</v>
      </c>
      <c r="X1144" s="35">
        <f t="shared" si="77"/>
        <v>5.6563837594078128E-5</v>
      </c>
      <c r="Y1144" s="33">
        <f t="shared" si="73"/>
        <v>2.2189226249804891E-4</v>
      </c>
      <c r="Z1144" s="54"/>
    </row>
    <row r="1145" spans="15:26" x14ac:dyDescent="0.25">
      <c r="O1145" s="37" t="s">
        <v>19</v>
      </c>
      <c r="P1145" s="31">
        <f>_xll.qlCalendarAdvance(Calendar,P1144,O1144,"f",,Trigger)</f>
        <v>58790</v>
      </c>
      <c r="Q1145" s="31">
        <f>_xll.qlInterestRateIndexValueDate(Index,P1145,Trigger)</f>
        <v>58792</v>
      </c>
      <c r="R1145" s="31">
        <f>_xll.qlInterestRateIndexMaturity(Index,Q1145,Trigger)</f>
        <v>58882</v>
      </c>
      <c r="S1145" s="32">
        <f>_xll.qlDayCounterYearFraction(DayCounter,Q1145,R1145,,,Trigger)</f>
        <v>0.25</v>
      </c>
      <c r="T1145" s="33">
        <f>_xll.qlIndexFixing(Index,P1145,,AllTriggers)</f>
        <v>9.9255792640544627E-3</v>
      </c>
      <c r="U1145" s="34">
        <f>_xll.qlYieldTSDiscount(OisCurve,Q1145,,AllTriggers)</f>
        <v>0.58119543688292141</v>
      </c>
      <c r="V1145" s="34">
        <f>_xll.qlYieldTSDiscount(OisCurve,R1145,,AllTriggers)</f>
        <v>0.57978888792382666</v>
      </c>
      <c r="W1145" s="33">
        <f t="shared" si="76"/>
        <v>9.7038697249374195E-3</v>
      </c>
      <c r="X1145" s="35">
        <f t="shared" si="77"/>
        <v>5.5291716552265429E-5</v>
      </c>
      <c r="Y1145" s="33">
        <f t="shared" si="73"/>
        <v>2.2170953911704316E-4</v>
      </c>
      <c r="Z1145" s="54"/>
    </row>
    <row r="1146" spans="15:26" x14ac:dyDescent="0.25">
      <c r="O1146" s="37" t="s">
        <v>19</v>
      </c>
      <c r="P1146" s="31">
        <f>_xll.qlCalendarAdvance(Calendar,P1145,O1145,"f",,Trigger)</f>
        <v>58823</v>
      </c>
      <c r="Q1146" s="31">
        <f>_xll.qlInterestRateIndexValueDate(Index,P1146,Trigger)</f>
        <v>58825</v>
      </c>
      <c r="R1146" s="31">
        <f>_xll.qlInterestRateIndexMaturity(Index,Q1146,Trigger)</f>
        <v>58915</v>
      </c>
      <c r="S1146" s="32">
        <f>_xll.qlDayCounterYearFraction(DayCounter,Q1146,R1146,,,Trigger)</f>
        <v>0.25</v>
      </c>
      <c r="T1146" s="33">
        <f>_xll.qlIndexFixing(Index,P1146,,AllTriggers)</f>
        <v>9.9194018982968757E-3</v>
      </c>
      <c r="U1146" s="34">
        <f>_xll.qlYieldTSDiscount(OisCurve,Q1146,,AllTriggers)</f>
        <v>0.58067901331694693</v>
      </c>
      <c r="V1146" s="34">
        <f>_xll.qlYieldTSDiscount(OisCurve,R1146,,AllTriggers)</f>
        <v>0.57927458093655981</v>
      </c>
      <c r="W1146" s="33">
        <f t="shared" si="76"/>
        <v>9.6978698987033596E-3</v>
      </c>
      <c r="X1146" s="35">
        <f t="shared" si="77"/>
        <v>5.5247524200114713E-5</v>
      </c>
      <c r="Y1146" s="33">
        <f t="shared" si="73"/>
        <v>2.215319995935161E-4</v>
      </c>
      <c r="Z1146" s="54"/>
    </row>
    <row r="1147" spans="15:26" x14ac:dyDescent="0.25">
      <c r="O1147" s="37" t="s">
        <v>19</v>
      </c>
      <c r="P1147" s="31">
        <f>_xll.qlCalendarAdvance(Calendar,P1146,O1146,"f",,Trigger)</f>
        <v>58854</v>
      </c>
      <c r="Q1147" s="31">
        <f>_xll.qlInterestRateIndexValueDate(Index,P1147,Trigger)</f>
        <v>58858</v>
      </c>
      <c r="R1147" s="31">
        <f>_xll.qlInterestRateIndexMaturity(Index,Q1147,Trigger)</f>
        <v>58949</v>
      </c>
      <c r="S1147" s="32">
        <f>_xll.qlDayCounterYearFraction(DayCounter,Q1147,R1147,,,Trigger)</f>
        <v>0.25277777777777777</v>
      </c>
      <c r="T1147" s="33">
        <f>_xll.qlIndexFixing(Index,P1147,,AllTriggers)</f>
        <v>9.9139372954376043E-3</v>
      </c>
      <c r="U1147" s="34">
        <f>_xll.qlYieldTSDiscount(OisCurve,Q1147,,AllTriggers)</f>
        <v>0.58016339594133748</v>
      </c>
      <c r="V1147" s="34">
        <f>_xll.qlYieldTSDiscount(OisCurve,R1147,,AllTriggers)</f>
        <v>0.57874543248962462</v>
      </c>
      <c r="W1147" s="33">
        <f t="shared" si="76"/>
        <v>9.6925615791192982E-3</v>
      </c>
      <c r="X1147" s="35">
        <f t="shared" si="77"/>
        <v>5.5820535917312261E-5</v>
      </c>
      <c r="Y1147" s="33">
        <f t="shared" si="73"/>
        <v>2.213757163183061E-4</v>
      </c>
      <c r="Z1147" s="54"/>
    </row>
    <row r="1148" spans="15:26" x14ac:dyDescent="0.25">
      <c r="O1148" s="37" t="s">
        <v>19</v>
      </c>
      <c r="P1148" s="31">
        <f>_xll.qlCalendarAdvance(Calendar,P1147,O1147,"f",,Trigger)</f>
        <v>58882</v>
      </c>
      <c r="Q1148" s="31">
        <f>_xll.qlInterestRateIndexValueDate(Index,P1148,Trigger)</f>
        <v>58886</v>
      </c>
      <c r="R1148" s="31">
        <f>_xll.qlInterestRateIndexMaturity(Index,Q1148,Trigger)</f>
        <v>58978</v>
      </c>
      <c r="S1148" s="32">
        <f>_xll.qlDayCounterYearFraction(DayCounter,Q1148,R1148,,,Trigger)</f>
        <v>0.25555555555555554</v>
      </c>
      <c r="T1148" s="33">
        <f>_xll.qlIndexFixing(Index,P1148,,AllTriggers)</f>
        <v>9.909836979685293E-3</v>
      </c>
      <c r="U1148" s="34">
        <f>_xll.qlYieldTSDiscount(OisCurve,Q1148,,AllTriggers)</f>
        <v>0.57972650864301889</v>
      </c>
      <c r="V1148" s="34">
        <f>_xll.qlYieldTSDiscount(OisCurve,R1148,,AllTriggers)</f>
        <v>0.57829466825561882</v>
      </c>
      <c r="W1148" s="33">
        <f t="shared" si="76"/>
        <v>9.6885791922084619E-3</v>
      </c>
      <c r="X1148" s="35">
        <f t="shared" si="77"/>
        <v>5.6402411522967998E-5</v>
      </c>
      <c r="Y1148" s="33">
        <f t="shared" si="73"/>
        <v>2.2125778747683102E-4</v>
      </c>
      <c r="Z1148" s="54"/>
    </row>
    <row r="1149" spans="15:26" x14ac:dyDescent="0.25">
      <c r="O1149" s="37" t="s">
        <v>19</v>
      </c>
      <c r="P1149" s="31">
        <f>_xll.qlCalendarAdvance(Calendar,P1148,O1148,"f",,Trigger)</f>
        <v>58914</v>
      </c>
      <c r="Q1149" s="31">
        <f>_xll.qlInterestRateIndexValueDate(Index,P1149,Trigger)</f>
        <v>58916</v>
      </c>
      <c r="R1149" s="31">
        <f>_xll.qlInterestRateIndexMaturity(Index,Q1149,Trigger)</f>
        <v>59007</v>
      </c>
      <c r="S1149" s="32">
        <f>_xll.qlDayCounterYearFraction(DayCounter,Q1149,R1149,,,Trigger)</f>
        <v>0.25277777777777777</v>
      </c>
      <c r="T1149" s="33">
        <f>_xll.qlIndexFixing(Index,P1149,,AllTriggers)</f>
        <v>9.9058172921261053E-3</v>
      </c>
      <c r="U1149" s="34">
        <f>_xll.qlYieldTSDiscount(OisCurve,Q1149,,AllTriggers)</f>
        <v>0.57925900715501866</v>
      </c>
      <c r="V1149" s="34">
        <f>_xll.qlYieldTSDiscount(OisCurve,R1149,,AllTriggers)</f>
        <v>0.57784440246094193</v>
      </c>
      <c r="W1149" s="33">
        <f t="shared" si="76"/>
        <v>9.6846803851695345E-3</v>
      </c>
      <c r="X1149" s="35">
        <f t="shared" si="77"/>
        <v>5.5760431926201485E-5</v>
      </c>
      <c r="Y1149" s="33">
        <f t="shared" si="73"/>
        <v>2.2113690695657086E-4</v>
      </c>
      <c r="Z1149" s="54"/>
    </row>
    <row r="1150" spans="15:26" x14ac:dyDescent="0.25">
      <c r="O1150" s="37" t="s">
        <v>19</v>
      </c>
      <c r="P1150" s="31">
        <f>_xll.qlCalendarAdvance(Calendar,P1149,O1149,"f",,Trigger)</f>
        <v>58944</v>
      </c>
      <c r="Q1150" s="31">
        <f>_xll.qlInterestRateIndexValueDate(Index,P1150,Trigger)</f>
        <v>58946</v>
      </c>
      <c r="R1150" s="31">
        <f>_xll.qlInterestRateIndexMaturity(Index,Q1150,Trigger)</f>
        <v>59040</v>
      </c>
      <c r="S1150" s="32">
        <f>_xll.qlDayCounterYearFraction(DayCounter,Q1150,R1150,,,Trigger)</f>
        <v>0.26111111111111113</v>
      </c>
      <c r="T1150" s="33">
        <f>_xll.qlIndexFixing(Index,P1150,,AllTriggers)</f>
        <v>9.9026715036151496E-3</v>
      </c>
      <c r="U1150" s="34">
        <f>_xll.qlYieldTSDiscount(OisCurve,Q1150,,AllTriggers)</f>
        <v>0.57879209265574205</v>
      </c>
      <c r="V1150" s="34">
        <f>_xll.qlYieldTSDiscount(OisCurve,R1150,,AllTriggers)</f>
        <v>0.57733260769482353</v>
      </c>
      <c r="W1150" s="33">
        <f t="shared" si="76"/>
        <v>9.6816233781091918E-3</v>
      </c>
      <c r="X1150" s="35">
        <f t="shared" si="77"/>
        <v>5.7570922125667809E-5</v>
      </c>
      <c r="Y1150" s="33">
        <f t="shared" si="73"/>
        <v>2.2104812550595779E-4</v>
      </c>
      <c r="Z1150" s="54"/>
    </row>
    <row r="1151" spans="15:26" x14ac:dyDescent="0.25">
      <c r="O1151" s="37" t="s">
        <v>19</v>
      </c>
      <c r="P1151" s="31">
        <f>_xll.qlCalendarAdvance(Calendar,P1150,O1150,"f",,Trigger)</f>
        <v>58977</v>
      </c>
      <c r="Q1151" s="31">
        <f>_xll.qlInterestRateIndexValueDate(Index,P1151,Trigger)</f>
        <v>58979</v>
      </c>
      <c r="R1151" s="31">
        <f>_xll.qlInterestRateIndexMaturity(Index,Q1151,Trigger)</f>
        <v>59071</v>
      </c>
      <c r="S1151" s="32">
        <f>_xll.qlDayCounterYearFraction(DayCounter,Q1151,R1151,,,Trigger)</f>
        <v>0.25555555555555554</v>
      </c>
      <c r="T1151" s="33">
        <f>_xll.qlIndexFixing(Index,P1151,,AllTriggers)</f>
        <v>9.8993725297152665E-3</v>
      </c>
      <c r="U1151" s="34">
        <f>_xll.qlYieldTSDiscount(OisCurve,Q1151,,AllTriggers)</f>
        <v>0.57827913368545025</v>
      </c>
      <c r="V1151" s="34">
        <f>_xll.qlYieldTSDiscount(OisCurve,R1151,,AllTriggers)</f>
        <v>0.57685236068499712</v>
      </c>
      <c r="W1151" s="33">
        <f t="shared" si="76"/>
        <v>9.678429291252226E-3</v>
      </c>
      <c r="X1151" s="35">
        <f t="shared" si="77"/>
        <v>5.6322375560753226E-5</v>
      </c>
      <c r="Y1151" s="33">
        <f t="shared" si="73"/>
        <v>2.2094323846304047E-4</v>
      </c>
      <c r="Z1151" s="54"/>
    </row>
    <row r="1152" spans="15:26" x14ac:dyDescent="0.25">
      <c r="O1152" s="37" t="s">
        <v>19</v>
      </c>
      <c r="P1152" s="31">
        <f>_xll.qlCalendarAdvance(Calendar,P1151,O1151,"f",,Trigger)</f>
        <v>59007</v>
      </c>
      <c r="Q1152" s="31">
        <f>_xll.qlInterestRateIndexValueDate(Index,P1152,Trigger)</f>
        <v>59009</v>
      </c>
      <c r="R1152" s="31">
        <f>_xll.qlInterestRateIndexMaturity(Index,Q1152,Trigger)</f>
        <v>59103</v>
      </c>
      <c r="S1152" s="32">
        <f>_xll.qlDayCounterYearFraction(DayCounter,Q1152,R1152,,,Trigger)</f>
        <v>0.26111111111111113</v>
      </c>
      <c r="T1152" s="33">
        <f>_xll.qlIndexFixing(Index,P1152,,AllTriggers)</f>
        <v>9.8973138080326439E-3</v>
      </c>
      <c r="U1152" s="34">
        <f>_xll.qlYieldTSDiscount(OisCurve,Q1152,,AllTriggers)</f>
        <v>0.57781336742752076</v>
      </c>
      <c r="V1152" s="34">
        <f>_xll.qlYieldTSDiscount(OisCurve,R1152,,AllTriggers)</f>
        <v>0.57635712965425712</v>
      </c>
      <c r="W1152" s="33">
        <f t="shared" si="76"/>
        <v>9.6764324527770611E-3</v>
      </c>
      <c r="X1152" s="35">
        <f t="shared" si="77"/>
        <v>5.7527566639165643E-5</v>
      </c>
      <c r="Y1152" s="33">
        <f t="shared" si="73"/>
        <v>2.2088135525558279E-4</v>
      </c>
      <c r="Z1152" s="54"/>
    </row>
    <row r="1153" spans="15:26" x14ac:dyDescent="0.25">
      <c r="O1153" s="37" t="s">
        <v>19</v>
      </c>
      <c r="P1153" s="31">
        <f>_xll.qlCalendarAdvance(Calendar,P1152,O1152,"f",,Trigger)</f>
        <v>59040</v>
      </c>
      <c r="Q1153" s="31">
        <f>_xll.qlInterestRateIndexValueDate(Index,P1153,Trigger)</f>
        <v>59042</v>
      </c>
      <c r="R1153" s="31">
        <f>_xll.qlInterestRateIndexMaturity(Index,Q1153,Trigger)</f>
        <v>59134</v>
      </c>
      <c r="S1153" s="32">
        <f>_xll.qlDayCounterYearFraction(DayCounter,Q1153,R1153,,,Trigger)</f>
        <v>0.25555555555555554</v>
      </c>
      <c r="T1153" s="33">
        <f>_xll.qlIndexFixing(Index,P1153,,AllTriggers)</f>
        <v>9.8952195906895513E-3</v>
      </c>
      <c r="U1153" s="34">
        <f>_xll.qlYieldTSDiscount(OisCurve,Q1153,,AllTriggers)</f>
        <v>0.57730160884768</v>
      </c>
      <c r="V1153" s="34">
        <f>_xll.qlYieldTSDiscount(OisCurve,R1153,,AllTriggers)</f>
        <v>0.57587783759433231</v>
      </c>
      <c r="W1153" s="33">
        <f t="shared" si="76"/>
        <v>9.6744108797808259E-3</v>
      </c>
      <c r="X1153" s="35">
        <f t="shared" si="77"/>
        <v>5.6288140710330351E-5</v>
      </c>
      <c r="Y1153" s="33">
        <f t="shared" si="73"/>
        <v>2.2080871090872541E-4</v>
      </c>
      <c r="Z1153" s="54"/>
    </row>
    <row r="1154" spans="15:26" x14ac:dyDescent="0.25">
      <c r="O1154" s="37" t="s">
        <v>19</v>
      </c>
      <c r="P1154" s="31">
        <f>_xll.qlCalendarAdvance(Calendar,P1153,O1153,"f",,Trigger)</f>
        <v>59071</v>
      </c>
      <c r="Q1154" s="31">
        <f>_xll.qlInterestRateIndexValueDate(Index,P1154,Trigger)</f>
        <v>59075</v>
      </c>
      <c r="R1154" s="31">
        <f>_xll.qlInterestRateIndexMaturity(Index,Q1154,Trigger)</f>
        <v>59167</v>
      </c>
      <c r="S1154" s="32">
        <f>_xll.qlDayCounterYearFraction(DayCounter,Q1154,R1154,,,Trigger)</f>
        <v>0.25555555555555554</v>
      </c>
      <c r="T1154" s="33">
        <f>_xll.qlIndexFixing(Index,P1154,,AllTriggers)</f>
        <v>9.8939906031317425E-3</v>
      </c>
      <c r="U1154" s="34">
        <f>_xll.qlYieldTSDiscount(OisCurve,Q1154,,AllTriggers)</f>
        <v>0.57679042921312074</v>
      </c>
      <c r="V1154" s="34">
        <f>_xll.qlYieldTSDiscount(OisCurve,R1154,,AllTriggers)</f>
        <v>0.57536809229863906</v>
      </c>
      <c r="W1154" s="33">
        <f t="shared" si="76"/>
        <v>9.6732270377850888E-3</v>
      </c>
      <c r="X1154" s="35">
        <f t="shared" si="77"/>
        <v>5.6276649595775684E-5</v>
      </c>
      <c r="Y1154" s="33">
        <f t="shared" si="73"/>
        <v>2.2076356534665373E-4</v>
      </c>
      <c r="Z1154" s="54"/>
    </row>
    <row r="1155" spans="15:26" x14ac:dyDescent="0.25">
      <c r="O1155" s="37" t="s">
        <v>19</v>
      </c>
      <c r="P1155" s="31">
        <f>_xll.qlCalendarAdvance(Calendar,P1154,O1154,"f",,Trigger)</f>
        <v>59103</v>
      </c>
      <c r="Q1155" s="31">
        <f>_xll.qlInterestRateIndexValueDate(Index,P1155,Trigger)</f>
        <v>59105</v>
      </c>
      <c r="R1155" s="31">
        <f>_xll.qlInterestRateIndexMaturity(Index,Q1155,Trigger)</f>
        <v>59197</v>
      </c>
      <c r="S1155" s="32">
        <f>_xll.qlDayCounterYearFraction(DayCounter,Q1155,R1155,,,Trigger)</f>
        <v>0.25555555555555554</v>
      </c>
      <c r="T1155" s="33">
        <f>_xll.qlIndexFixing(Index,P1155,,AllTriggers)</f>
        <v>9.8934379315910367E-3</v>
      </c>
      <c r="U1155" s="34">
        <f>_xll.qlYieldTSDiscount(OisCurve,Q1155,,AllTriggers)</f>
        <v>0.57632619414612829</v>
      </c>
      <c r="V1155" s="34">
        <f>_xll.qlYieldTSDiscount(OisCurve,R1155,,AllTriggers)</f>
        <v>0.57490507920994682</v>
      </c>
      <c r="W1155" s="33">
        <f t="shared" si="76"/>
        <v>9.6727003012845852E-3</v>
      </c>
      <c r="X1155" s="35">
        <f t="shared" si="77"/>
        <v>5.6270046023999101E-5</v>
      </c>
      <c r="Y1155" s="33">
        <f t="shared" si="73"/>
        <v>2.2073763030645149E-4</v>
      </c>
      <c r="Z1155" s="54"/>
    </row>
    <row r="1156" spans="15:26" x14ac:dyDescent="0.25">
      <c r="O1156" s="37" t="s">
        <v>19</v>
      </c>
      <c r="P1156" s="31">
        <f>_xll.qlCalendarAdvance(Calendar,P1155,O1155,"f",,Trigger)</f>
        <v>59134</v>
      </c>
      <c r="Q1156" s="31">
        <f>_xll.qlInterestRateIndexValueDate(Index,P1156,Trigger)</f>
        <v>59138</v>
      </c>
      <c r="R1156" s="31">
        <f>_xll.qlInterestRateIndexMaturity(Index,Q1156,Trigger)</f>
        <v>59230</v>
      </c>
      <c r="S1156" s="32">
        <f>_xll.qlDayCounterYearFraction(DayCounter,Q1156,R1156,,,Trigger)</f>
        <v>0.25555555555555554</v>
      </c>
      <c r="T1156" s="33">
        <f>_xll.qlIndexFixing(Index,P1156,,AllTriggers)</f>
        <v>9.8934510414781258E-3</v>
      </c>
      <c r="U1156" s="34">
        <f>_xll.qlYieldTSDiscount(OisCurve,Q1156,,AllTriggers)</f>
        <v>0.57581602517239006</v>
      </c>
      <c r="V1156" s="34">
        <f>_xll.qlYieldTSDiscount(OisCurve,R1156,,AllTriggers)</f>
        <v>0.57439616455570253</v>
      </c>
      <c r="W1156" s="33">
        <f t="shared" si="76"/>
        <v>9.6727253227155991E-3</v>
      </c>
      <c r="X1156" s="35">
        <f t="shared" si="77"/>
        <v>5.6267009280823406E-5</v>
      </c>
      <c r="Y1156" s="33">
        <f t="shared" ref="Y1156:Y1219" si="78">T1156-W1156</f>
        <v>2.2072571876252667E-4</v>
      </c>
      <c r="Z1156" s="54"/>
    </row>
    <row r="1157" spans="15:26" x14ac:dyDescent="0.25">
      <c r="O1157" s="37" t="s">
        <v>19</v>
      </c>
      <c r="P1157" s="31">
        <f>_xll.qlCalendarAdvance(Calendar,P1156,O1156,"f",,Trigger)</f>
        <v>59167</v>
      </c>
      <c r="Q1157" s="31">
        <f>_xll.qlInterestRateIndexValueDate(Index,P1157,Trigger)</f>
        <v>59169</v>
      </c>
      <c r="R1157" s="31">
        <f>_xll.qlInterestRateIndexMaturity(Index,Q1157,Trigger)</f>
        <v>59259</v>
      </c>
      <c r="S1157" s="32">
        <f>_xll.qlDayCounterYearFraction(DayCounter,Q1157,R1157,,,Trigger)</f>
        <v>0.25</v>
      </c>
      <c r="T1157" s="33">
        <f>_xll.qlIndexFixing(Index,P1157,,AllTriggers)</f>
        <v>9.8937468006194962E-3</v>
      </c>
      <c r="U1157" s="34">
        <f>_xll.qlYieldTSDiscount(OisCurve,Q1157,,AllTriggers)</f>
        <v>0.57533721345915967</v>
      </c>
      <c r="V1157" s="34">
        <f>_xll.qlYieldTSDiscount(OisCurve,R1157,,AllTriggers)</f>
        <v>0.57394925650435535</v>
      </c>
      <c r="W1157" s="33">
        <f t="shared" si="76"/>
        <v>9.6730290287867504E-3</v>
      </c>
      <c r="X1157" s="35">
        <f t="shared" si="77"/>
        <v>5.5044811785546157E-5</v>
      </c>
      <c r="Y1157" s="33">
        <f t="shared" si="78"/>
        <v>2.2071777183274577E-4</v>
      </c>
      <c r="Z1157" s="54"/>
    </row>
    <row r="1158" spans="15:26" x14ac:dyDescent="0.25">
      <c r="O1158" s="37" t="s">
        <v>19</v>
      </c>
      <c r="P1158" s="31">
        <f>_xll.qlCalendarAdvance(Calendar,P1157,O1157,"f",,Trigger)</f>
        <v>59198</v>
      </c>
      <c r="Q1158" s="31">
        <f>_xll.qlInterestRateIndexValueDate(Index,P1158,Trigger)</f>
        <v>59202</v>
      </c>
      <c r="R1158" s="31">
        <f>_xll.qlInterestRateIndexMaturity(Index,Q1158,Trigger)</f>
        <v>59289</v>
      </c>
      <c r="S1158" s="32">
        <f>_xll.qlDayCounterYearFraction(DayCounter,Q1158,R1158,,,Trigger)</f>
        <v>0.24166666666666667</v>
      </c>
      <c r="T1158" s="33">
        <f>_xll.qlIndexFixing(Index,P1158,,AllTriggers)</f>
        <v>9.8945099468532739E-3</v>
      </c>
      <c r="U1158" s="34">
        <f>_xll.qlYieldTSDiscount(OisCurve,Q1158,,AllTriggers)</f>
        <v>0.57482794477375898</v>
      </c>
      <c r="V1158" s="34">
        <f>_xll.qlYieldTSDiscount(OisCurve,R1158,,AllTriggers)</f>
        <v>0.57348722757337134</v>
      </c>
      <c r="W1158" s="33">
        <f t="shared" si="76"/>
        <v>9.6737905313491225E-3</v>
      </c>
      <c r="X1158" s="35">
        <f t="shared" si="77"/>
        <v>5.3214699111839718E-5</v>
      </c>
      <c r="Y1158" s="33">
        <f t="shared" si="78"/>
        <v>2.2071941550415135E-4</v>
      </c>
      <c r="Z1158" s="54"/>
    </row>
    <row r="1159" spans="15:26" x14ac:dyDescent="0.25">
      <c r="O1159" s="37" t="s">
        <v>19</v>
      </c>
      <c r="P1159" s="31">
        <f>_xll.qlCalendarAdvance(Calendar,P1158,O1158,"f",,Trigger)</f>
        <v>59229</v>
      </c>
      <c r="Q1159" s="31">
        <f>_xll.qlInterestRateIndexValueDate(Index,P1159,Trigger)</f>
        <v>59231</v>
      </c>
      <c r="R1159" s="31">
        <f>_xll.qlInterestRateIndexMaturity(Index,Q1159,Trigger)</f>
        <v>59323</v>
      </c>
      <c r="S1159" s="32">
        <f>_xll.qlDayCounterYearFraction(DayCounter,Q1159,R1159,,,Trigger)</f>
        <v>0.25555555555555554</v>
      </c>
      <c r="T1159" s="33">
        <f>_xll.qlIndexFixing(Index,P1159,,AllTriggers)</f>
        <v>9.8969884445442458E-3</v>
      </c>
      <c r="U1159" s="34">
        <f>_xll.qlYieldTSDiscount(OisCurve,Q1159,,AllTriggers)</f>
        <v>0.57438074909812742</v>
      </c>
      <c r="V1159" s="34">
        <f>_xll.qlYieldTSDiscount(OisCurve,R1159,,AllTriggers)</f>
        <v>0.57296391971184668</v>
      </c>
      <c r="W1159" s="33">
        <f t="shared" si="76"/>
        <v>9.676202635206594E-3</v>
      </c>
      <c r="X1159" s="35">
        <f t="shared" si="77"/>
        <v>5.6282277142337976E-5</v>
      </c>
      <c r="Y1159" s="33">
        <f t="shared" si="78"/>
        <v>2.2078580933765184E-4</v>
      </c>
      <c r="Z1159" s="54"/>
    </row>
    <row r="1160" spans="15:26" x14ac:dyDescent="0.25">
      <c r="O1160" s="37" t="s">
        <v>19</v>
      </c>
      <c r="P1160" s="31">
        <f>_xll.qlCalendarAdvance(Calendar,P1159,O1159,"f",,Trigger)</f>
        <v>59258</v>
      </c>
      <c r="Q1160" s="31">
        <f>_xll.qlInterestRateIndexValueDate(Index,P1160,Trigger)</f>
        <v>59260</v>
      </c>
      <c r="R1160" s="31">
        <f>_xll.qlInterestRateIndexMaturity(Index,Q1160,Trigger)</f>
        <v>59352</v>
      </c>
      <c r="S1160" s="32">
        <f>_xll.qlDayCounterYearFraction(DayCounter,Q1160,R1160,,,Trigger)</f>
        <v>0.25555555555555554</v>
      </c>
      <c r="T1160" s="33">
        <f>_xll.qlIndexFixing(Index,P1160,,AllTriggers)</f>
        <v>9.8991483955648951E-3</v>
      </c>
      <c r="U1160" s="34">
        <f>_xll.qlYieldTSDiscount(OisCurve,Q1160,,AllTriggers)</f>
        <v>0.5739338509274784</v>
      </c>
      <c r="V1160" s="34">
        <f>_xll.qlYieldTSDiscount(OisCurve,R1160,,AllTriggers)</f>
        <v>0.57251781552721648</v>
      </c>
      <c r="W1160" s="33">
        <f t="shared" si="76"/>
        <v>9.6783155697591338E-3</v>
      </c>
      <c r="X1160" s="35">
        <f t="shared" si="77"/>
        <v>5.6294231827669603E-5</v>
      </c>
      <c r="Y1160" s="33">
        <f t="shared" si="78"/>
        <v>2.2083282580576125E-4</v>
      </c>
      <c r="Z1160" s="54"/>
    </row>
    <row r="1161" spans="15:26" x14ac:dyDescent="0.25">
      <c r="O1161" s="37" t="s">
        <v>19</v>
      </c>
      <c r="P1161" s="31">
        <f>_xll.qlCalendarAdvance(Calendar,P1160,O1160,"f",,Trigger)</f>
        <v>59289</v>
      </c>
      <c r="Q1161" s="31">
        <f>_xll.qlInterestRateIndexValueDate(Index,P1161,Trigger)</f>
        <v>59294</v>
      </c>
      <c r="R1161" s="31">
        <f>_xll.qlInterestRateIndexMaturity(Index,Q1161,Trigger)</f>
        <v>59386</v>
      </c>
      <c r="S1161" s="32">
        <f>_xll.qlDayCounterYearFraction(DayCounter,Q1161,R1161,,,Trigger)</f>
        <v>0.25555555555555554</v>
      </c>
      <c r="T1161" s="33">
        <f>_xll.qlIndexFixing(Index,P1161,,AllTriggers)</f>
        <v>9.9023206230369042E-3</v>
      </c>
      <c r="U1161" s="34">
        <f>_xll.qlYieldTSDiscount(OisCurve,Q1161,,AllTriggers)</f>
        <v>0.57341024966608889</v>
      </c>
      <c r="V1161" s="34">
        <f>_xll.qlYieldTSDiscount(OisCurve,R1161,,AllTriggers)</f>
        <v>0.57199505409155738</v>
      </c>
      <c r="W1161" s="33">
        <f t="shared" si="76"/>
        <v>9.6814155538094623E-3</v>
      </c>
      <c r="X1161" s="35">
        <f t="shared" si="77"/>
        <v>5.6312602947081971E-5</v>
      </c>
      <c r="Y1161" s="33">
        <f t="shared" si="78"/>
        <v>2.2090506922744189E-4</v>
      </c>
      <c r="Z1161" s="54"/>
    </row>
    <row r="1162" spans="15:26" x14ac:dyDescent="0.25">
      <c r="O1162" s="37" t="s">
        <v>19</v>
      </c>
      <c r="P1162" s="31">
        <f>_xll.qlCalendarAdvance(Calendar,P1161,O1161,"f",,Trigger)</f>
        <v>59320</v>
      </c>
      <c r="Q1162" s="31">
        <f>_xll.qlInterestRateIndexValueDate(Index,P1162,Trigger)</f>
        <v>59322</v>
      </c>
      <c r="R1162" s="31">
        <f>_xll.qlInterestRateIndexMaturity(Index,Q1162,Trigger)</f>
        <v>59414</v>
      </c>
      <c r="S1162" s="32">
        <f>_xll.qlDayCounterYearFraction(DayCounter,Q1162,R1162,,,Trigger)</f>
        <v>0.25555555555555554</v>
      </c>
      <c r="T1162" s="33">
        <f>_xll.qlIndexFixing(Index,P1162,,AllTriggers)</f>
        <v>9.9054516351282373E-3</v>
      </c>
      <c r="U1162" s="34">
        <f>_xll.qlYieldTSDiscount(OisCurve,Q1162,,AllTriggers)</f>
        <v>0.57297930651240514</v>
      </c>
      <c r="V1162" s="34">
        <f>_xll.qlYieldTSDiscount(OisCurve,R1162,,AllTriggers)</f>
        <v>0.5715647290030107</v>
      </c>
      <c r="W1162" s="33">
        <f t="shared" si="76"/>
        <v>9.6844731956882823E-3</v>
      </c>
      <c r="X1162" s="35">
        <f t="shared" si="77"/>
        <v>5.6331261875929016E-5</v>
      </c>
      <c r="Y1162" s="33">
        <f t="shared" si="78"/>
        <v>2.2097843943995506E-4</v>
      </c>
      <c r="Z1162" s="54"/>
    </row>
    <row r="1163" spans="15:26" x14ac:dyDescent="0.25">
      <c r="O1163" s="37" t="s">
        <v>19</v>
      </c>
      <c r="P1163" s="31">
        <f>_xll.qlCalendarAdvance(Calendar,P1162,O1162,"f",,Trigger)</f>
        <v>59351</v>
      </c>
      <c r="Q1163" s="31">
        <f>_xll.qlInterestRateIndexValueDate(Index,P1163,Trigger)</f>
        <v>59355</v>
      </c>
      <c r="R1163" s="31">
        <f>_xll.qlInterestRateIndexMaturity(Index,Q1163,Trigger)</f>
        <v>59447</v>
      </c>
      <c r="S1163" s="32">
        <f>_xll.qlDayCounterYearFraction(DayCounter,Q1163,R1163,,,Trigger)</f>
        <v>0.25555555555555554</v>
      </c>
      <c r="T1163" s="33">
        <f>_xll.qlIndexFixing(Index,P1163,,AllTriggers)</f>
        <v>9.9097430948966534E-3</v>
      </c>
      <c r="U1163" s="34">
        <f>_xll.qlYieldTSDiscount(OisCurve,Q1163,,AllTriggers)</f>
        <v>0.57247167880456584</v>
      </c>
      <c r="V1163" s="34">
        <f>_xll.qlYieldTSDiscount(OisCurve,R1163,,AllTriggers)</f>
        <v>0.57105774472604853</v>
      </c>
      <c r="W1163" s="33">
        <f t="shared" si="76"/>
        <v>9.688662093685449E-3</v>
      </c>
      <c r="X1163" s="35">
        <f t="shared" si="77"/>
        <v>5.6357345745432131E-5</v>
      </c>
      <c r="Y1163" s="33">
        <f t="shared" si="78"/>
        <v>2.2108100121120446E-4</v>
      </c>
      <c r="Z1163" s="54"/>
    </row>
    <row r="1164" spans="15:26" x14ac:dyDescent="0.25">
      <c r="O1164" s="37" t="s">
        <v>19</v>
      </c>
      <c r="P1164" s="31">
        <f>_xll.qlCalendarAdvance(Calendar,P1163,O1163,"f",,Trigger)</f>
        <v>59383</v>
      </c>
      <c r="Q1164" s="31">
        <f>_xll.qlInterestRateIndexValueDate(Index,P1164,Trigger)</f>
        <v>59385</v>
      </c>
      <c r="R1164" s="31">
        <f>_xll.qlInterestRateIndexMaturity(Index,Q1164,Trigger)</f>
        <v>59477</v>
      </c>
      <c r="S1164" s="32">
        <f>_xll.qlDayCounterYearFraction(DayCounter,Q1164,R1164,,,Trigger)</f>
        <v>0.25555555555555554</v>
      </c>
      <c r="T1164" s="33">
        <f>_xll.qlIndexFixing(Index,P1164,,AllTriggers)</f>
        <v>9.9142090185640498E-3</v>
      </c>
      <c r="U1164" s="34">
        <f>_xll.qlYieldTSDiscount(OisCurve,Q1164,,AllTriggers)</f>
        <v>0.57201042577776162</v>
      </c>
      <c r="V1164" s="34">
        <f>_xll.qlYieldTSDiscount(OisCurve,R1164,,AllTriggers)</f>
        <v>0.57059699708762002</v>
      </c>
      <c r="W1164" s="33">
        <f t="shared" si="76"/>
        <v>9.6930196726848251E-3</v>
      </c>
      <c r="X1164" s="35">
        <f t="shared" si="77"/>
        <v>5.6384901250688561E-5</v>
      </c>
      <c r="Y1164" s="33">
        <f t="shared" si="78"/>
        <v>2.2118934587922467E-4</v>
      </c>
      <c r="Z1164" s="54"/>
    </row>
    <row r="1165" spans="15:26" x14ac:dyDescent="0.25">
      <c r="O1165" s="37" t="s">
        <v>19</v>
      </c>
      <c r="P1165" s="31">
        <f>_xll.qlCalendarAdvance(Calendar,P1164,O1164,"f",,Trigger)</f>
        <v>59414</v>
      </c>
      <c r="Q1165" s="31">
        <f>_xll.qlInterestRateIndexValueDate(Index,P1165,Trigger)</f>
        <v>59418</v>
      </c>
      <c r="R1165" s="31">
        <f>_xll.qlInterestRateIndexMaturity(Index,Q1165,Trigger)</f>
        <v>59509</v>
      </c>
      <c r="S1165" s="32">
        <f>_xll.qlDayCounterYearFraction(DayCounter,Q1165,R1165,,,Trigger)</f>
        <v>0.25277777777777777</v>
      </c>
      <c r="T1165" s="33">
        <f>_xll.qlIndexFixing(Index,P1165,,AllTriggers)</f>
        <v>9.9195127918362391E-3</v>
      </c>
      <c r="U1165" s="34">
        <f>_xll.qlYieldTSDiscount(OisCurve,Q1165,,AllTriggers)</f>
        <v>0.57150326629210446</v>
      </c>
      <c r="V1165" s="34">
        <f>_xll.qlYieldTSDiscount(OisCurve,R1165,,AllTriggers)</f>
        <v>0.57010565886628939</v>
      </c>
      <c r="W1165" s="33">
        <f t="shared" si="76"/>
        <v>9.698195981447737E-3</v>
      </c>
      <c r="X1165" s="35">
        <f t="shared" si="77"/>
        <v>5.5805603743914873E-5</v>
      </c>
      <c r="Y1165" s="33">
        <f t="shared" si="78"/>
        <v>2.2131681038850201E-4</v>
      </c>
      <c r="Z1165" s="54"/>
    </row>
    <row r="1166" spans="15:26" x14ac:dyDescent="0.25">
      <c r="O1166" s="37" t="s">
        <v>19</v>
      </c>
      <c r="P1166" s="31">
        <f>_xll.qlCalendarAdvance(Calendar,P1165,O1165,"f",,Trigger)</f>
        <v>59446</v>
      </c>
      <c r="Q1166" s="31">
        <f>_xll.qlInterestRateIndexValueDate(Index,P1166,Trigger)</f>
        <v>59448</v>
      </c>
      <c r="R1166" s="31">
        <f>_xll.qlInterestRateIndexMaturity(Index,Q1166,Trigger)</f>
        <v>59540</v>
      </c>
      <c r="S1166" s="32">
        <f>_xll.qlDayCounterYearFraction(DayCounter,Q1166,R1166,,,Trigger)</f>
        <v>0.25555555555555554</v>
      </c>
      <c r="T1166" s="33">
        <f>_xll.qlIndexFixing(Index,P1166,,AllTriggers)</f>
        <v>9.9253377163603853E-3</v>
      </c>
      <c r="U1166" s="34">
        <f>_xll.qlYieldTSDiscount(OisCurve,Q1166,,AllTriggers)</f>
        <v>0.57104238436305099</v>
      </c>
      <c r="V1166" s="34">
        <f>_xll.qlYieldTSDiscount(OisCurve,R1166,,AllTriggers)</f>
        <v>0.56962977150330241</v>
      </c>
      <c r="W1166" s="33">
        <f t="shared" si="76"/>
        <v>9.703874015500687E-3</v>
      </c>
      <c r="X1166" s="35">
        <f t="shared" si="77"/>
        <v>5.6454680788629076E-5</v>
      </c>
      <c r="Y1166" s="33">
        <f t="shared" si="78"/>
        <v>2.2146370085969827E-4</v>
      </c>
      <c r="Z1166" s="54"/>
    </row>
    <row r="1167" spans="15:26" x14ac:dyDescent="0.25">
      <c r="O1167" s="37" t="s">
        <v>19</v>
      </c>
      <c r="P1167" s="31">
        <f>_xll.qlCalendarAdvance(Calendar,P1166,O1166,"f",,Trigger)</f>
        <v>59477</v>
      </c>
      <c r="Q1167" s="31">
        <f>_xll.qlInterestRateIndexValueDate(Index,P1167,Trigger)</f>
        <v>59481</v>
      </c>
      <c r="R1167" s="31">
        <f>_xll.qlInterestRateIndexMaturity(Index,Q1167,Trigger)</f>
        <v>59573</v>
      </c>
      <c r="S1167" s="32">
        <f>_xll.qlDayCounterYearFraction(DayCounter,Q1167,R1167,,,Trigger)</f>
        <v>0.25555555555555554</v>
      </c>
      <c r="T1167" s="33">
        <f>_xll.qlIndexFixing(Index,P1167,,AllTriggers)</f>
        <v>9.9321134157497725E-3</v>
      </c>
      <c r="U1167" s="34">
        <f>_xll.qlYieldTSDiscount(OisCurve,Q1167,,AllTriggers)</f>
        <v>0.57053557327700921</v>
      </c>
      <c r="V1167" s="34">
        <f>_xll.qlYieldTSDiscount(OisCurve,R1167,,AllTriggers)</f>
        <v>0.56912325562435551</v>
      </c>
      <c r="W1167" s="33">
        <f t="shared" si="76"/>
        <v>9.710480682934685E-3</v>
      </c>
      <c r="X1167" s="35">
        <f t="shared" si="77"/>
        <v>5.6497673401585048E-5</v>
      </c>
      <c r="Y1167" s="33">
        <f t="shared" si="78"/>
        <v>2.2163273281508751E-4</v>
      </c>
      <c r="Z1167" s="54"/>
    </row>
    <row r="1168" spans="15:26" x14ac:dyDescent="0.25">
      <c r="O1168" s="37" t="s">
        <v>19</v>
      </c>
      <c r="P1168" s="31">
        <f>_xll.qlCalendarAdvance(Calendar,P1167,O1167,"f",,Trigger)</f>
        <v>59509</v>
      </c>
      <c r="Q1168" s="31">
        <f>_xll.qlInterestRateIndexValueDate(Index,P1168,Trigger)</f>
        <v>59511</v>
      </c>
      <c r="R1168" s="31">
        <f>_xll.qlInterestRateIndexMaturity(Index,Q1168,Trigger)</f>
        <v>59601</v>
      </c>
      <c r="S1168" s="32">
        <f>_xll.qlDayCounterYearFraction(DayCounter,Q1168,R1168,,,Trigger)</f>
        <v>0.25</v>
      </c>
      <c r="T1168" s="33">
        <f>_xll.qlIndexFixing(Index,P1168,,AllTriggers)</f>
        <v>9.9383217396757928E-3</v>
      </c>
      <c r="U1168" s="34">
        <f>_xll.qlYieldTSDiscount(OisCurve,Q1168,,AllTriggers)</f>
        <v>0.57007495388595797</v>
      </c>
      <c r="V1168" s="34">
        <f>_xll.qlYieldTSDiscount(OisCurve,R1168,,AllTriggers)</f>
        <v>0.5686935207738093</v>
      </c>
      <c r="W1168" s="33">
        <f t="shared" si="76"/>
        <v>9.7165384284245704E-3</v>
      </c>
      <c r="X1168" s="35">
        <f t="shared" si="77"/>
        <v>5.5309939186883702E-5</v>
      </c>
      <c r="Y1168" s="33">
        <f t="shared" si="78"/>
        <v>2.2178331125122241E-4</v>
      </c>
      <c r="Z1168" s="54"/>
    </row>
    <row r="1169" spans="15:26" x14ac:dyDescent="0.25">
      <c r="O1169" s="37" t="s">
        <v>19</v>
      </c>
      <c r="P1169" s="31">
        <f>_xll.qlCalendarAdvance(Calendar,P1168,O1168,"f",,Trigger)</f>
        <v>59540</v>
      </c>
      <c r="Q1169" s="31">
        <f>_xll.qlInterestRateIndexValueDate(Index,P1169,Trigger)</f>
        <v>59544</v>
      </c>
      <c r="R1169" s="31">
        <f>_xll.qlInterestRateIndexMaturity(Index,Q1169,Trigger)</f>
        <v>59635</v>
      </c>
      <c r="S1169" s="32">
        <f>_xll.qlDayCounterYearFraction(DayCounter,Q1169,R1169,,,Trigger)</f>
        <v>0.25277777777777777</v>
      </c>
      <c r="T1169" s="33">
        <f>_xll.qlIndexFixing(Index,P1169,,AllTriggers)</f>
        <v>9.9465873973414807E-3</v>
      </c>
      <c r="U1169" s="34">
        <f>_xll.qlYieldTSDiscount(OisCurve,Q1169,,AllTriggers)</f>
        <v>0.56956837219029488</v>
      </c>
      <c r="V1169" s="34">
        <f>_xll.qlYieldTSDiscount(OisCurve,R1169,,AllTriggers)</f>
        <v>0.56817171463560667</v>
      </c>
      <c r="W1169" s="33">
        <f t="shared" si="76"/>
        <v>9.7245929981415458E-3</v>
      </c>
      <c r="X1169" s="35">
        <f t="shared" si="77"/>
        <v>5.5976082145018707E-5</v>
      </c>
      <c r="Y1169" s="33">
        <f t="shared" si="78"/>
        <v>2.2199439919993492E-4</v>
      </c>
      <c r="Z1169" s="54"/>
    </row>
    <row r="1170" spans="15:26" x14ac:dyDescent="0.25">
      <c r="O1170" s="37" t="s">
        <v>19</v>
      </c>
      <c r="P1170" s="31">
        <f>_xll.qlCalendarAdvance(Calendar,P1169,O1169,"f",,Trigger)</f>
        <v>59572</v>
      </c>
      <c r="Q1170" s="31">
        <f>_xll.qlInterestRateIndexValueDate(Index,P1170,Trigger)</f>
        <v>59574</v>
      </c>
      <c r="R1170" s="31">
        <f>_xll.qlInterestRateIndexMaturity(Index,Q1170,Trigger)</f>
        <v>59663</v>
      </c>
      <c r="S1170" s="32">
        <f>_xll.qlDayCounterYearFraction(DayCounter,Q1170,R1170,,,Trigger)</f>
        <v>0.24722222222222223</v>
      </c>
      <c r="T1170" s="33">
        <f>_xll.qlIndexFixing(Index,P1170,,AllTriggers)</f>
        <v>9.9538776685887658E-3</v>
      </c>
      <c r="U1170" s="34">
        <f>_xll.qlYieldTSDiscount(OisCurve,Q1170,,AllTriggers)</f>
        <v>0.56910790751630258</v>
      </c>
      <c r="V1170" s="34">
        <f>_xll.qlYieldTSDiscount(OisCurve,R1170,,AllTriggers)</f>
        <v>0.5677419808146088</v>
      </c>
      <c r="W1170" s="33">
        <f t="shared" si="76"/>
        <v>9.7317037626293342E-3</v>
      </c>
      <c r="X1170" s="35">
        <f t="shared" si="77"/>
        <v>5.4792995866992345E-5</v>
      </c>
      <c r="Y1170" s="33">
        <f t="shared" si="78"/>
        <v>2.2217390595943159E-4</v>
      </c>
      <c r="Z1170" s="54"/>
    </row>
    <row r="1171" spans="15:26" x14ac:dyDescent="0.25">
      <c r="O1171" s="37" t="s">
        <v>19</v>
      </c>
      <c r="P1171" s="31">
        <f>_xll.qlCalendarAdvance(Calendar,P1170,O1170,"f",,Trigger)</f>
        <v>59600</v>
      </c>
      <c r="Q1171" s="31">
        <f>_xll.qlInterestRateIndexValueDate(Index,P1171,Trigger)</f>
        <v>59602</v>
      </c>
      <c r="R1171" s="31">
        <f>_xll.qlInterestRateIndexMaturity(Index,Q1171,Trigger)</f>
        <v>59694</v>
      </c>
      <c r="S1171" s="32">
        <f>_xll.qlDayCounterYearFraction(DayCounter,Q1171,R1171,,,Trigger)</f>
        <v>0.25555555555555554</v>
      </c>
      <c r="T1171" s="33">
        <f>_xll.qlIndexFixing(Index,P1171,,AllTriggers)</f>
        <v>9.9625242761170879E-3</v>
      </c>
      <c r="U1171" s="34">
        <f>_xll.qlYieldTSDiscount(OisCurve,Q1171,,AllTriggers)</f>
        <v>0.56867817344627369</v>
      </c>
      <c r="V1171" s="34">
        <f>_xll.qlYieldTSDiscount(OisCurve,R1171,,AllTriggers)</f>
        <v>0.56726616712287148</v>
      </c>
      <c r="W1171" s="33">
        <f t="shared" si="76"/>
        <v>9.7401228123222602E-3</v>
      </c>
      <c r="X1171" s="35">
        <f t="shared" si="77"/>
        <v>5.6693201090262566E-5</v>
      </c>
      <c r="Y1171" s="33">
        <f t="shared" si="78"/>
        <v>2.2240146379482774E-4</v>
      </c>
      <c r="Z1171" s="54"/>
    </row>
    <row r="1172" spans="15:26" x14ac:dyDescent="0.25">
      <c r="O1172" s="37" t="s">
        <v>19</v>
      </c>
      <c r="P1172" s="31">
        <f>_xll.qlCalendarAdvance(Calendar,P1171,O1171,"f",,Trigger)</f>
        <v>59631</v>
      </c>
      <c r="Q1172" s="31">
        <f>_xll.qlInterestRateIndexValueDate(Index,P1172,Trigger)</f>
        <v>59635</v>
      </c>
      <c r="R1172" s="31">
        <f>_xll.qlInterestRateIndexMaturity(Index,Q1172,Trigger)</f>
        <v>59726</v>
      </c>
      <c r="S1172" s="32">
        <f>_xll.qlDayCounterYearFraction(DayCounter,Q1172,R1172,,,Trigger)</f>
        <v>0.25277777777777777</v>
      </c>
      <c r="T1172" s="33">
        <f>_xll.qlIndexFixing(Index,P1172,,AllTriggers)</f>
        <v>9.9720402604606285E-3</v>
      </c>
      <c r="U1172" s="34">
        <f>_xll.qlYieldTSDiscount(OisCurve,Q1172,,AllTriggers)</f>
        <v>0.56817171463560667</v>
      </c>
      <c r="V1172" s="34">
        <f>_xll.qlYieldTSDiscount(OisCurve,R1172,,AllTriggers)</f>
        <v>0.56677493672641943</v>
      </c>
      <c r="W1172" s="33">
        <f t="shared" si="76"/>
        <v>9.7493986545900187E-3</v>
      </c>
      <c r="X1172" s="35">
        <f t="shared" si="77"/>
        <v>5.6138920157131971E-5</v>
      </c>
      <c r="Y1172" s="33">
        <f t="shared" si="78"/>
        <v>2.2264160587060974E-4</v>
      </c>
      <c r="Z1172" s="54"/>
    </row>
    <row r="1173" spans="15:26" x14ac:dyDescent="0.25">
      <c r="O1173" s="37" t="s">
        <v>19</v>
      </c>
      <c r="P1173" s="31">
        <f>_xll.qlCalendarAdvance(Calendar,P1172,O1172,"f",,Trigger)</f>
        <v>59663</v>
      </c>
      <c r="Q1173" s="31">
        <f>_xll.qlInterestRateIndexValueDate(Index,P1173,Trigger)</f>
        <v>59665</v>
      </c>
      <c r="R1173" s="31">
        <f>_xll.qlInterestRateIndexMaturity(Index,Q1173,Trigger)</f>
        <v>59757</v>
      </c>
      <c r="S1173" s="32">
        <f>_xll.qlDayCounterYearFraction(DayCounter,Q1173,R1173,,,Trigger)</f>
        <v>0.25555555555555554</v>
      </c>
      <c r="T1173" s="33">
        <f>_xll.qlIndexFixing(Index,P1173,,AllTriggers)</f>
        <v>9.9818210157806442E-3</v>
      </c>
      <c r="U1173" s="34">
        <f>_xll.qlYieldTSDiscount(OisCurve,Q1173,,AllTriggers)</f>
        <v>0.56771128458697462</v>
      </c>
      <c r="V1173" s="34">
        <f>_xll.qlYieldTSDiscount(OisCurve,R1173,,AllTriggers)</f>
        <v>0.56629896446255656</v>
      </c>
      <c r="W1173" s="33">
        <f t="shared" si="76"/>
        <v>9.7589266427767149E-3</v>
      </c>
      <c r="X1173" s="35">
        <f t="shared" si="77"/>
        <v>5.6818574525876672E-5</v>
      </c>
      <c r="Y1173" s="33">
        <f t="shared" si="78"/>
        <v>2.2289437300392935E-4</v>
      </c>
      <c r="Z1173" s="54"/>
    </row>
    <row r="1174" spans="15:26" x14ac:dyDescent="0.25">
      <c r="O1174" s="37" t="s">
        <v>19</v>
      </c>
      <c r="P1174" s="31">
        <f>_xll.qlCalendarAdvance(Calendar,P1173,O1173,"f",,Trigger)</f>
        <v>59694</v>
      </c>
      <c r="Q1174" s="31">
        <f>_xll.qlInterestRateIndexValueDate(Index,P1174,Trigger)</f>
        <v>59698</v>
      </c>
      <c r="R1174" s="31">
        <f>_xll.qlInterestRateIndexMaturity(Index,Q1174,Trigger)</f>
        <v>59790</v>
      </c>
      <c r="S1174" s="32">
        <f>_xll.qlDayCounterYearFraction(DayCounter,Q1174,R1174,,,Trigger)</f>
        <v>0.25555555555555554</v>
      </c>
      <c r="T1174" s="33">
        <f>_xll.qlIndexFixing(Index,P1174,,AllTriggers)</f>
        <v>9.9928752532303967E-3</v>
      </c>
      <c r="U1174" s="34">
        <f>_xll.qlYieldTSDiscount(OisCurve,Q1174,,AllTriggers)</f>
        <v>0.56720476767301009</v>
      </c>
      <c r="V1174" s="34">
        <f>_xll.qlYieldTSDiscount(OisCurve,R1174,,AllTriggers)</f>
        <v>0.56579215415401063</v>
      </c>
      <c r="W1174" s="33">
        <f t="shared" si="76"/>
        <v>9.7696973654382985E-3</v>
      </c>
      <c r="X1174" s="35">
        <f t="shared" si="77"/>
        <v>5.689068775101203E-5</v>
      </c>
      <c r="Y1174" s="33">
        <f t="shared" si="78"/>
        <v>2.2317788779209827E-4</v>
      </c>
      <c r="Z1174" s="54"/>
    </row>
    <row r="1175" spans="15:26" x14ac:dyDescent="0.25">
      <c r="O1175" s="37" t="s">
        <v>19</v>
      </c>
      <c r="P1175" s="31">
        <f>_xll.qlCalendarAdvance(Calendar,P1174,O1174,"f",,Trigger)</f>
        <v>59726</v>
      </c>
      <c r="Q1175" s="31">
        <f>_xll.qlInterestRateIndexValueDate(Index,P1175,Trigger)</f>
        <v>59728</v>
      </c>
      <c r="R1175" s="31">
        <f>_xll.qlInterestRateIndexMaturity(Index,Q1175,Trigger)</f>
        <v>59820</v>
      </c>
      <c r="S1175" s="32">
        <f>_xll.qlDayCounterYearFraction(DayCounter,Q1175,R1175,,,Trigger)</f>
        <v>0.25555555555555554</v>
      </c>
      <c r="T1175" s="33">
        <f>_xll.qlIndexFixing(Index,P1175,,AllTriggers)</f>
        <v>1.0003489192413605E-2</v>
      </c>
      <c r="U1175" s="34">
        <f>_xll.qlYieldTSDiscount(OisCurve,Q1175,,AllTriggers)</f>
        <v>0.56674423188508138</v>
      </c>
      <c r="V1175" s="34">
        <f>_xll.qlYieldTSDiscount(OisCurve,R1175,,AllTriggers)</f>
        <v>0.56533127502924041</v>
      </c>
      <c r="W1175" s="33">
        <f t="shared" si="76"/>
        <v>9.780038455375702E-3</v>
      </c>
      <c r="X1175" s="35">
        <f t="shared" si="77"/>
        <v>5.696008812521019E-5</v>
      </c>
      <c r="Y1175" s="33">
        <f t="shared" si="78"/>
        <v>2.2345073703790297E-4</v>
      </c>
      <c r="Z1175" s="54"/>
    </row>
    <row r="1176" spans="15:26" x14ac:dyDescent="0.25">
      <c r="O1176" s="37" t="s">
        <v>19</v>
      </c>
      <c r="P1176" s="31">
        <f>_xll.qlCalendarAdvance(Calendar,P1175,O1175,"f",,Trigger)</f>
        <v>59757</v>
      </c>
      <c r="Q1176" s="31">
        <f>_xll.qlInterestRateIndexValueDate(Index,P1176,Trigger)</f>
        <v>59761</v>
      </c>
      <c r="R1176" s="31">
        <f>_xll.qlInterestRateIndexMaturity(Index,Q1176,Trigger)</f>
        <v>59853</v>
      </c>
      <c r="S1176" s="32">
        <f>_xll.qlDayCounterYearFraction(DayCounter,Q1176,R1176,,,Trigger)</f>
        <v>0.25555555555555554</v>
      </c>
      <c r="T1176" s="33">
        <f>_xll.qlIndexFixing(Index,P1176,,AllTriggers)</f>
        <v>1.001578562654192E-2</v>
      </c>
      <c r="U1176" s="34">
        <f>_xll.qlYieldTSDiscount(OisCurve,Q1176,,AllTriggers)</f>
        <v>0.5662375406540332</v>
      </c>
      <c r="V1176" s="34">
        <f>_xll.qlYieldTSDiscount(OisCurve,R1176,,AllTriggers)</f>
        <v>0.5648241221529825</v>
      </c>
      <c r="W1176" s="33">
        <f t="shared" si="76"/>
        <v>9.7920181356765008E-3</v>
      </c>
      <c r="X1176" s="35">
        <f t="shared" si="77"/>
        <v>5.7040655722061179E-5</v>
      </c>
      <c r="Y1176" s="33">
        <f t="shared" si="78"/>
        <v>2.2376749086541921E-4</v>
      </c>
      <c r="Z1176" s="54"/>
    </row>
    <row r="1177" spans="15:26" x14ac:dyDescent="0.25">
      <c r="O1177" s="37" t="s">
        <v>19</v>
      </c>
      <c r="P1177" s="31">
        <f>_xll.qlCalendarAdvance(Calendar,P1176,O1176,"f",,Trigger)</f>
        <v>59789</v>
      </c>
      <c r="Q1177" s="31">
        <f>_xll.qlInterestRateIndexValueDate(Index,P1177,Trigger)</f>
        <v>59791</v>
      </c>
      <c r="R1177" s="31">
        <f>_xll.qlInterestRateIndexMaturity(Index,Q1177,Trigger)</f>
        <v>59882</v>
      </c>
      <c r="S1177" s="32">
        <f>_xll.qlDayCounterYearFraction(DayCounter,Q1177,R1177,,,Trigger)</f>
        <v>0.25277777777777777</v>
      </c>
      <c r="T1177" s="33">
        <f>_xll.qlIndexFixing(Index,P1177,,AllTriggers)</f>
        <v>1.0027184634159194E-2</v>
      </c>
      <c r="U1177" s="34">
        <f>_xll.qlYieldTSDiscount(OisCurve,Q1177,,AllTriggers)</f>
        <v>0.56577679384679314</v>
      </c>
      <c r="V1177" s="34">
        <f>_xll.qlYieldTSDiscount(OisCurve,R1177,,AllTriggers)</f>
        <v>0.56437825759002724</v>
      </c>
      <c r="W1177" s="33">
        <f t="shared" si="76"/>
        <v>9.8031255305834359E-3</v>
      </c>
      <c r="X1177" s="35">
        <f t="shared" si="77"/>
        <v>5.6495565727613661E-5</v>
      </c>
      <c r="Y1177" s="33">
        <f t="shared" si="78"/>
        <v>2.2405910357575776E-4</v>
      </c>
      <c r="Z1177" s="54"/>
    </row>
    <row r="1178" spans="15:26" x14ac:dyDescent="0.25">
      <c r="O1178" s="37" t="s">
        <v>19</v>
      </c>
      <c r="P1178" s="31">
        <f>_xll.qlCalendarAdvance(Calendar,P1177,O1177,"f",,Trigger)</f>
        <v>59819</v>
      </c>
      <c r="Q1178" s="31">
        <f>_xll.qlInterestRateIndexValueDate(Index,P1178,Trigger)</f>
        <v>59821</v>
      </c>
      <c r="R1178" s="31">
        <f>_xll.qlInterestRateIndexMaturity(Index,Q1178,Trigger)</f>
        <v>59915</v>
      </c>
      <c r="S1178" s="32">
        <f>_xll.qlDayCounterYearFraction(DayCounter,Q1178,R1178,,,Trigger)</f>
        <v>0.26111111111111113</v>
      </c>
      <c r="T1178" s="33">
        <f>_xll.qlIndexFixing(Index,P1178,,AllTriggers)</f>
        <v>1.0040517495557849E-2</v>
      </c>
      <c r="U1178" s="34">
        <f>_xll.qlYieldTSDiscount(OisCurve,Q1178,,AllTriggers)</f>
        <v>0.56531590976512736</v>
      </c>
      <c r="V1178" s="34">
        <f>_xll.qlYieldTSDiscount(OisCurve,R1178,,AllTriggers)</f>
        <v>0.56387065606942421</v>
      </c>
      <c r="W1178" s="33">
        <f t="shared" si="76"/>
        <v>9.8161060416582287E-3</v>
      </c>
      <c r="X1178" s="35">
        <f t="shared" si="77"/>
        <v>5.8444812196565562E-5</v>
      </c>
      <c r="Y1178" s="33">
        <f t="shared" si="78"/>
        <v>2.2441145389962003E-4</v>
      </c>
      <c r="Z1178" s="54"/>
    </row>
    <row r="1179" spans="15:26" x14ac:dyDescent="0.25">
      <c r="O1179" s="37" t="s">
        <v>19</v>
      </c>
      <c r="P1179" s="31">
        <f>_xll.qlCalendarAdvance(Calendar,P1178,O1178,"f",,Trigger)</f>
        <v>59852</v>
      </c>
      <c r="Q1179" s="31">
        <f>_xll.qlInterestRateIndexValueDate(Index,P1179,Trigger)</f>
        <v>59854</v>
      </c>
      <c r="R1179" s="31">
        <f>_xll.qlInterestRateIndexMaturity(Index,Q1179,Trigger)</f>
        <v>59946</v>
      </c>
      <c r="S1179" s="32">
        <f>_xll.qlDayCounterYearFraction(DayCounter,Q1179,R1179,,,Trigger)</f>
        <v>0.25555555555555554</v>
      </c>
      <c r="T1179" s="33">
        <f>_xll.qlIndexFixing(Index,P1179,,AllTriggers)</f>
        <v>1.0053940018061182E-2</v>
      </c>
      <c r="U1179" s="34">
        <f>_xll.qlYieldTSDiscount(OisCurve,Q1179,,AllTriggers)</f>
        <v>0.56480875052827739</v>
      </c>
      <c r="V1179" s="34">
        <f>_xll.qlYieldTSDiscount(OisCurve,R1179,,AllTriggers)</f>
        <v>0.56339356047751976</v>
      </c>
      <c r="W1179" s="33">
        <f t="shared" si="76"/>
        <v>9.8291861801247868E-3</v>
      </c>
      <c r="X1179" s="35">
        <f t="shared" si="77"/>
        <v>5.7291535814821302E-5</v>
      </c>
      <c r="Y1179" s="33">
        <f t="shared" si="78"/>
        <v>2.2475383793639503E-4</v>
      </c>
      <c r="Z1179" s="54"/>
    </row>
    <row r="1180" spans="15:26" x14ac:dyDescent="0.25">
      <c r="O1180" s="37" t="s">
        <v>19</v>
      </c>
      <c r="P1180" s="31">
        <f>_xll.qlCalendarAdvance(Calendar,P1179,O1179,"f",,Trigger)</f>
        <v>59882</v>
      </c>
      <c r="Q1180" s="31">
        <f>_xll.qlInterestRateIndexValueDate(Index,P1180,Trigger)</f>
        <v>59884</v>
      </c>
      <c r="R1180" s="31">
        <f>_xll.qlInterestRateIndexMaturity(Index,Q1180,Trigger)</f>
        <v>59975</v>
      </c>
      <c r="S1180" s="32">
        <f>_xll.qlDayCounterYearFraction(DayCounter,Q1180,R1180,,,Trigger)</f>
        <v>0.25277777777777777</v>
      </c>
      <c r="T1180" s="33">
        <f>_xll.qlIndexFixing(Index,P1180,,AllTriggers)</f>
        <v>1.0066977203099348E-2</v>
      </c>
      <c r="U1180" s="34">
        <f>_xll.qlYieldTSDiscount(OisCurve,Q1180,,AllTriggers)</f>
        <v>0.5643475013635173</v>
      </c>
      <c r="V1180" s="34">
        <f>_xll.qlYieldTSDiscount(OisCurve,R1180,,AllTriggers)</f>
        <v>0.56294699588104846</v>
      </c>
      <c r="W1180" s="33">
        <f t="shared" si="76"/>
        <v>9.8418879394784105E-3</v>
      </c>
      <c r="X1180" s="35">
        <f t="shared" si="77"/>
        <v>5.6754754194447263E-5</v>
      </c>
      <c r="Y1180" s="33">
        <f t="shared" si="78"/>
        <v>2.2508926362093708E-4</v>
      </c>
      <c r="Z1180" s="54"/>
    </row>
    <row r="1181" spans="15:26" x14ac:dyDescent="0.25">
      <c r="O1181" s="37" t="s">
        <v>19</v>
      </c>
      <c r="P1181" s="31">
        <f>_xll.qlCalendarAdvance(Calendar,P1180,O1180,"f",,Trigger)</f>
        <v>59915</v>
      </c>
      <c r="Q1181" s="31">
        <f>_xll.qlInterestRateIndexValueDate(Index,P1181,Trigger)</f>
        <v>59917</v>
      </c>
      <c r="R1181" s="31">
        <f>_xll.qlInterestRateIndexMaturity(Index,Q1181,Trigger)</f>
        <v>60008</v>
      </c>
      <c r="S1181" s="32">
        <f>_xll.qlDayCounterYearFraction(DayCounter,Q1181,R1181,,,Trigger)</f>
        <v>0.25277777777777777</v>
      </c>
      <c r="T1181" s="33">
        <f>_xll.qlIndexFixing(Index,P1181,,AllTriggers)</f>
        <v>1.0082339364883765E-2</v>
      </c>
      <c r="U1181" s="34">
        <f>_xll.qlYieldTSDiscount(OisCurve,Q1181,,AllTriggers)</f>
        <v>0.5638398835375551</v>
      </c>
      <c r="V1181" s="34">
        <f>_xll.qlYieldTSDiscount(OisCurve,R1181,,AllTriggers)</f>
        <v>0.56243851568433234</v>
      </c>
      <c r="W1181" s="33">
        <f t="shared" si="76"/>
        <v>9.8568513203450905E-3</v>
      </c>
      <c r="X1181" s="35">
        <f t="shared" si="77"/>
        <v>5.6855086771033552E-5</v>
      </c>
      <c r="Y1181" s="33">
        <f t="shared" si="78"/>
        <v>2.2548804453867421E-4</v>
      </c>
      <c r="Z1181" s="54"/>
    </row>
    <row r="1182" spans="15:26" x14ac:dyDescent="0.25">
      <c r="O1182" s="37" t="s">
        <v>19</v>
      </c>
      <c r="P1182" s="31">
        <f>_xll.qlCalendarAdvance(Calendar,P1181,O1181,"f",,Trigger)</f>
        <v>59946</v>
      </c>
      <c r="Q1182" s="31">
        <f>_xll.qlInterestRateIndexValueDate(Index,P1182,Trigger)</f>
        <v>59950</v>
      </c>
      <c r="R1182" s="31">
        <f>_xll.qlInterestRateIndexMaturity(Index,Q1182,Trigger)</f>
        <v>60041</v>
      </c>
      <c r="S1182" s="32">
        <f>_xll.qlDayCounterYearFraction(DayCounter,Q1182,R1182,,,Trigger)</f>
        <v>0.25277777777777777</v>
      </c>
      <c r="T1182" s="33">
        <f>_xll.qlIndexFixing(Index,P1182,,AllTriggers)</f>
        <v>1.0098352224179881E-2</v>
      </c>
      <c r="U1182" s="34">
        <f>_xll.qlYieldTSDiscount(OisCurve,Q1182,,AllTriggers)</f>
        <v>0.56333198019444675</v>
      </c>
      <c r="V1182" s="34">
        <f>_xll.qlYieldTSDiscount(OisCurve,R1182,,AllTriggers)</f>
        <v>0.56192966478810802</v>
      </c>
      <c r="W1182" s="33">
        <f t="shared" si="76"/>
        <v>9.8724479865383661E-3</v>
      </c>
      <c r="X1182" s="35">
        <f t="shared" si="77"/>
        <v>5.6959799693041402E-5</v>
      </c>
      <c r="Y1182" s="33">
        <f t="shared" si="78"/>
        <v>2.2590423764151484E-4</v>
      </c>
      <c r="Z1182" s="54"/>
    </row>
    <row r="1183" spans="15:26" x14ac:dyDescent="0.25">
      <c r="O1183" s="37" t="s">
        <v>19</v>
      </c>
      <c r="P1183" s="31">
        <f>_xll.qlCalendarAdvance(Calendar,P1182,O1182,"f",,Trigger)</f>
        <v>59975</v>
      </c>
      <c r="Q1183" s="31">
        <f>_xll.qlInterestRateIndexValueDate(Index,P1183,Trigger)</f>
        <v>59979</v>
      </c>
      <c r="R1183" s="31">
        <f>_xll.qlInterestRateIndexMaturity(Index,Q1183,Trigger)</f>
        <v>60071</v>
      </c>
      <c r="S1183" s="32">
        <f>_xll.qlDayCounterYearFraction(DayCounter,Q1183,R1183,,,Trigger)</f>
        <v>0.25555555555555554</v>
      </c>
      <c r="T1183" s="33">
        <f>_xll.qlIndexFixing(Index,P1183,,AllTriggers)</f>
        <v>1.0113364081462467E-2</v>
      </c>
      <c r="U1183" s="34">
        <f>_xll.qlYieldTSDiscount(OisCurve,Q1183,,AllTriggers)</f>
        <v>0.56288538063542815</v>
      </c>
      <c r="V1183" s="34">
        <f>_xll.qlYieldTSDiscount(OisCurve,R1183,,AllTriggers)</f>
        <v>0.56146672557331911</v>
      </c>
      <c r="W1183" s="33">
        <f t="shared" si="76"/>
        <v>9.8870666521139912E-3</v>
      </c>
      <c r="X1183" s="35">
        <f t="shared" si="77"/>
        <v>5.7684147076578325E-5</v>
      </c>
      <c r="Y1183" s="33">
        <f t="shared" si="78"/>
        <v>2.2629742934847548E-4</v>
      </c>
      <c r="Z1183" s="54"/>
    </row>
    <row r="1184" spans="15:26" x14ac:dyDescent="0.25">
      <c r="O1184" s="37" t="s">
        <v>19</v>
      </c>
      <c r="P1184" s="31">
        <f>_xll.qlCalendarAdvance(Calendar,P1183,O1183,"f",,Trigger)</f>
        <v>60006</v>
      </c>
      <c r="Q1184" s="31">
        <f>_xll.qlInterestRateIndexValueDate(Index,P1184,Trigger)</f>
        <v>60008</v>
      </c>
      <c r="R1184" s="31">
        <f>_xll.qlInterestRateIndexMaturity(Index,Q1184,Trigger)</f>
        <v>60099</v>
      </c>
      <c r="S1184" s="32">
        <f>_xll.qlDayCounterYearFraction(DayCounter,Q1184,R1184,,,Trigger)</f>
        <v>0.25277777777777777</v>
      </c>
      <c r="T1184" s="33">
        <f>_xll.qlIndexFixing(Index,P1184,,AllTriggers)</f>
        <v>1.0128072912586047E-2</v>
      </c>
      <c r="U1184" s="34">
        <f>_xll.qlYieldTSDiscount(OisCurve,Q1184,,AllTriggers)</f>
        <v>0.56243851568433234</v>
      </c>
      <c r="V1184" s="34">
        <f>_xll.qlYieldTSDiscount(OisCurve,R1184,,AllTriggers)</f>
        <v>0.56103432944195752</v>
      </c>
      <c r="W1184" s="33">
        <f t="shared" si="76"/>
        <v>9.9013949874199383E-3</v>
      </c>
      <c r="X1184" s="35">
        <f t="shared" si="77"/>
        <v>5.7154455580742797E-5</v>
      </c>
      <c r="Y1184" s="33">
        <f t="shared" si="78"/>
        <v>2.2667792516610843E-4</v>
      </c>
      <c r="Z1184" s="54"/>
    </row>
    <row r="1185" spans="15:26" x14ac:dyDescent="0.25">
      <c r="O1185" s="37" t="s">
        <v>19</v>
      </c>
      <c r="P1185" s="31">
        <f>_xll.qlCalendarAdvance(Calendar,P1184,O1184,"f",,Trigger)</f>
        <v>60036</v>
      </c>
      <c r="Q1185" s="31">
        <f>_xll.qlInterestRateIndexValueDate(Index,P1185,Trigger)</f>
        <v>60038</v>
      </c>
      <c r="R1185" s="31">
        <f>_xll.qlInterestRateIndexMaturity(Index,Q1185,Trigger)</f>
        <v>60132</v>
      </c>
      <c r="S1185" s="32">
        <f>_xll.qlDayCounterYearFraction(DayCounter,Q1185,R1185,,,Trigger)</f>
        <v>0.26111111111111113</v>
      </c>
      <c r="T1185" s="33">
        <f>_xll.qlIndexFixing(Index,P1185,,AllTriggers)</f>
        <v>1.014549893000557E-2</v>
      </c>
      <c r="U1185" s="34">
        <f>_xll.qlYieldTSDiscount(OisCurve,Q1185,,AllTriggers)</f>
        <v>0.56197594008597729</v>
      </c>
      <c r="V1185" s="34">
        <f>_xll.qlYieldTSDiscount(OisCurve,R1185,,AllTriggers)</f>
        <v>0.56052429777794177</v>
      </c>
      <c r="W1185" s="33">
        <f t="shared" si="76"/>
        <v>9.918358939567112E-3</v>
      </c>
      <c r="X1185" s="35">
        <f t="shared" si="77"/>
        <v>5.9153824923499377E-5</v>
      </c>
      <c r="Y1185" s="33">
        <f t="shared" si="78"/>
        <v>2.2713999043845814E-4</v>
      </c>
      <c r="Z1185" s="54"/>
    </row>
    <row r="1186" spans="15:26" x14ac:dyDescent="0.25">
      <c r="O1186" s="37" t="s">
        <v>19</v>
      </c>
      <c r="P1186" s="31">
        <f>_xll.qlCalendarAdvance(Calendar,P1185,O1185,"f",,Trigger)</f>
        <v>60069</v>
      </c>
      <c r="Q1186" s="31">
        <f>_xll.qlInterestRateIndexValueDate(Index,P1186,Trigger)</f>
        <v>60071</v>
      </c>
      <c r="R1186" s="31">
        <f>_xll.qlInterestRateIndexMaturity(Index,Q1186,Trigger)</f>
        <v>60163</v>
      </c>
      <c r="S1186" s="32">
        <f>_xll.qlDayCounterYearFraction(DayCounter,Q1186,R1186,,,Trigger)</f>
        <v>0.25555555555555554</v>
      </c>
      <c r="T1186" s="33">
        <f>_xll.qlIndexFixing(Index,P1186,,AllTriggers)</f>
        <v>1.0163064911366272E-2</v>
      </c>
      <c r="U1186" s="34">
        <f>_xll.qlYieldTSDiscount(OisCurve,Q1186,,AllTriggers)</f>
        <v>0.56146672557331911</v>
      </c>
      <c r="V1186" s="34">
        <f>_xll.qlYieldTSDiscount(OisCurve,R1186,,AllTriggers)</f>
        <v>0.56004473558084777</v>
      </c>
      <c r="W1186" s="33">
        <f t="shared" ref="W1186:W1196" si="79">(U1186/V1186-1)/S1186</f>
        <v>9.9354717805195288E-3</v>
      </c>
      <c r="X1186" s="35">
        <f t="shared" ref="X1186:X1196" si="80">LN((1+T1186*S1186)/(1+W1186*S1186))</f>
        <v>5.8013701334744405E-5</v>
      </c>
      <c r="Y1186" s="33">
        <f t="shared" si="78"/>
        <v>2.2759313084674306E-4</v>
      </c>
      <c r="Z1186" s="54"/>
    </row>
    <row r="1187" spans="15:26" x14ac:dyDescent="0.25">
      <c r="O1187" s="37" t="s">
        <v>19</v>
      </c>
      <c r="P1187" s="31">
        <f>_xll.qlCalendarAdvance(Calendar,P1186,O1186,"f",,Trigger)</f>
        <v>60099</v>
      </c>
      <c r="Q1187" s="31">
        <f>_xll.qlInterestRateIndexValueDate(Index,P1187,Trigger)</f>
        <v>60101</v>
      </c>
      <c r="R1187" s="31">
        <f>_xll.qlInterestRateIndexMaturity(Index,Q1187,Trigger)</f>
        <v>60195</v>
      </c>
      <c r="S1187" s="32">
        <f>_xll.qlDayCounterYearFraction(DayCounter,Q1187,R1187,,,Trigger)</f>
        <v>0.26111111111111113</v>
      </c>
      <c r="T1187" s="33">
        <f>_xll.qlIndexFixing(Index,P1187,,AllTriggers)</f>
        <v>1.0181248131634322E-2</v>
      </c>
      <c r="U1187" s="34">
        <f>_xll.qlYieldTSDiscount(OisCurve,Q1187,,AllTriggers)</f>
        <v>0.56100343168982081</v>
      </c>
      <c r="V1187" s="34">
        <f>_xll.qlYieldTSDiscount(OisCurve,R1187,,AllTriggers)</f>
        <v>0.55954922783805117</v>
      </c>
      <c r="W1187" s="33">
        <f t="shared" si="79"/>
        <v>9.9531749310441571E-3</v>
      </c>
      <c r="X1187" s="35">
        <f t="shared" si="80"/>
        <v>5.9396314076549001E-5</v>
      </c>
      <c r="Y1187" s="33">
        <f t="shared" si="78"/>
        <v>2.2807320059016478E-4</v>
      </c>
      <c r="Z1187" s="54"/>
    </row>
    <row r="1188" spans="15:26" x14ac:dyDescent="0.25">
      <c r="O1188" s="37" t="s">
        <v>19</v>
      </c>
      <c r="P1188" s="31">
        <f>_xll.qlCalendarAdvance(Calendar,P1187,O1187,"f",,Trigger)</f>
        <v>60132</v>
      </c>
      <c r="Q1188" s="31">
        <f>_xll.qlInterestRateIndexValueDate(Index,P1188,Trigger)</f>
        <v>60134</v>
      </c>
      <c r="R1188" s="31">
        <f>_xll.qlInterestRateIndexMaturity(Index,Q1188,Trigger)</f>
        <v>60226</v>
      </c>
      <c r="S1188" s="32">
        <f>_xll.qlDayCounterYearFraction(DayCounter,Q1188,R1188,,,Trigger)</f>
        <v>0.25555555555555554</v>
      </c>
      <c r="T1188" s="33">
        <f>_xll.qlIndexFixing(Index,P1188,,AllTriggers)</f>
        <v>1.0200016811590301E-2</v>
      </c>
      <c r="U1188" s="34">
        <f>_xll.qlYieldTSDiscount(OisCurve,Q1188,,AllTriggers)</f>
        <v>0.56049337147447875</v>
      </c>
      <c r="V1188" s="34">
        <f>_xll.qlYieldTSDiscount(OisCurve,R1188,,AllTriggers)</f>
        <v>0.5590687181436701</v>
      </c>
      <c r="W1188" s="33">
        <f t="shared" si="79"/>
        <v>9.9714583270083465E-3</v>
      </c>
      <c r="X1188" s="35">
        <f t="shared" si="80"/>
        <v>5.825922932250057E-5</v>
      </c>
      <c r="Y1188" s="33">
        <f t="shared" si="78"/>
        <v>2.2855848458195466E-4</v>
      </c>
      <c r="Z1188" s="54"/>
    </row>
    <row r="1189" spans="15:26" x14ac:dyDescent="0.25">
      <c r="O1189" s="37" t="s">
        <v>19</v>
      </c>
      <c r="P1189" s="31">
        <f>_xll.qlCalendarAdvance(Calendar,P1188,O1188,"f",,Trigger)</f>
        <v>60163</v>
      </c>
      <c r="Q1189" s="31">
        <f>_xll.qlInterestRateIndexValueDate(Index,P1189,Trigger)</f>
        <v>60167</v>
      </c>
      <c r="R1189" s="31">
        <f>_xll.qlInterestRateIndexMaturity(Index,Q1189,Trigger)</f>
        <v>60258</v>
      </c>
      <c r="S1189" s="32">
        <f>_xll.qlDayCounterYearFraction(DayCounter,Q1189,R1189,,,Trigger)</f>
        <v>0.25277777777777777</v>
      </c>
      <c r="T1189" s="33">
        <f>_xll.qlIndexFixing(Index,P1189,,AllTriggers)</f>
        <v>1.0219857183868263E-2</v>
      </c>
      <c r="U1189" s="34">
        <f>_xll.qlYieldTSDiscount(OisCurve,Q1189,,AllTriggers)</f>
        <v>0.55998282409463795</v>
      </c>
      <c r="V1189" s="34">
        <f>_xll.qlYieldTSDiscount(OisCurve,R1189,,AllTriggers)</f>
        <v>0.55857217922487201</v>
      </c>
      <c r="W1189" s="33">
        <f t="shared" si="79"/>
        <v>9.9907824247637972E-3</v>
      </c>
      <c r="X1189" s="35">
        <f t="shared" si="80"/>
        <v>5.7757472862534267E-5</v>
      </c>
      <c r="Y1189" s="33">
        <f t="shared" si="78"/>
        <v>2.2907475910446604E-4</v>
      </c>
      <c r="Z1189" s="54"/>
    </row>
    <row r="1190" spans="15:26" x14ac:dyDescent="0.25">
      <c r="O1190" s="37" t="s">
        <v>19</v>
      </c>
      <c r="P1190" s="31">
        <f>_xll.qlCalendarAdvance(Calendar,P1189,O1189,"f",,Trigger)</f>
        <v>60195</v>
      </c>
      <c r="Q1190" s="31">
        <f>_xll.qlInterestRateIndexValueDate(Index,P1190,Trigger)</f>
        <v>60197</v>
      </c>
      <c r="R1190" s="31">
        <f>_xll.qlInterestRateIndexMaturity(Index,Q1190,Trigger)</f>
        <v>60289</v>
      </c>
      <c r="S1190" s="32">
        <f>_xll.qlDayCounterYearFraction(DayCounter,Q1190,R1190,,,Trigger)</f>
        <v>0.25555555555555554</v>
      </c>
      <c r="T1190" s="33">
        <f>_xll.qlIndexFixing(Index,P1190,,AllTriggers)</f>
        <v>1.0239340544471563E-2</v>
      </c>
      <c r="U1190" s="34">
        <f>_xll.qlYieldTSDiscount(OisCurve,Q1190,,AllTriggers)</f>
        <v>0.55951824193755284</v>
      </c>
      <c r="V1190" s="34">
        <f>_xll.qlYieldTSDiscount(OisCurve,R1190,,AllTriggers)</f>
        <v>0.55809061931827564</v>
      </c>
      <c r="W1190" s="33">
        <f t="shared" si="79"/>
        <v>1.0009753230764237E-2</v>
      </c>
      <c r="X1190" s="35">
        <f t="shared" si="80"/>
        <v>5.8520897473936865E-5</v>
      </c>
      <c r="Y1190" s="33">
        <f t="shared" si="78"/>
        <v>2.2958731370732559E-4</v>
      </c>
      <c r="Z1190" s="54"/>
    </row>
    <row r="1191" spans="15:26" x14ac:dyDescent="0.25">
      <c r="O1191" s="37" t="s">
        <v>19</v>
      </c>
      <c r="P1191" s="31">
        <f>_xll.qlCalendarAdvance(Calendar,P1190,O1190,"f",,Trigger)</f>
        <v>60226</v>
      </c>
      <c r="Q1191" s="31">
        <f>_xll.qlInterestRateIndexValueDate(Index,P1191,Trigger)</f>
        <v>60230</v>
      </c>
      <c r="R1191" s="31">
        <f>_xll.qlInterestRateIndexMaturity(Index,Q1191,Trigger)</f>
        <v>60322</v>
      </c>
      <c r="S1191" s="32">
        <f>_xll.qlDayCounterYearFraction(DayCounter,Q1191,R1191,,,Trigger)</f>
        <v>0.25555555555555554</v>
      </c>
      <c r="T1191" s="33">
        <f>_xll.qlIndexFixing(Index,P1191,,AllTriggers)</f>
        <v>1.0260885295778911E-2</v>
      </c>
      <c r="U1191" s="34">
        <f>_xll.qlYieldTSDiscount(OisCurve,Q1191,,AllTriggers)</f>
        <v>0.55900668070711612</v>
      </c>
      <c r="V1191" s="34">
        <f>_xll.qlYieldTSDiscount(OisCurve,R1191,,AllTriggers)</f>
        <v>0.5575773814206918</v>
      </c>
      <c r="W1191" s="33">
        <f t="shared" si="79"/>
        <v>1.0030733737755098E-2</v>
      </c>
      <c r="X1191" s="35">
        <f t="shared" si="80"/>
        <v>5.8664403169911687E-5</v>
      </c>
      <c r="Y1191" s="33">
        <f t="shared" si="78"/>
        <v>2.3015155802381254E-4</v>
      </c>
      <c r="Z1191" s="54"/>
    </row>
    <row r="1192" spans="15:26" x14ac:dyDescent="0.25">
      <c r="O1192" s="37" t="s">
        <v>19</v>
      </c>
      <c r="P1192" s="31">
        <f>_xll.qlCalendarAdvance(Calendar,P1191,O1191,"f",,Trigger)</f>
        <v>60258</v>
      </c>
      <c r="Q1192" s="31">
        <f>_xll.qlInterestRateIndexValueDate(Index,P1192,Trigger)</f>
        <v>60260</v>
      </c>
      <c r="R1192" s="31">
        <f>_xll.qlInterestRateIndexMaturity(Index,Q1192,Trigger)</f>
        <v>60350</v>
      </c>
      <c r="S1192" s="32">
        <f>_xll.qlDayCounterYearFraction(DayCounter,Q1192,R1192,,,Trigger)</f>
        <v>0.25</v>
      </c>
      <c r="T1192" s="33">
        <f>_xll.qlIndexFixing(Index,P1192,,AllTriggers)</f>
        <v>1.0280053448810555E-2</v>
      </c>
      <c r="U1192" s="34">
        <f>_xll.qlYieldTSDiscount(OisCurve,Q1192,,AllTriggers)</f>
        <v>0.55854112708898851</v>
      </c>
      <c r="V1192" s="34">
        <f>_xll.qlYieldTSDiscount(OisCurve,R1192,,AllTriggers)</f>
        <v>0.55714139222803438</v>
      </c>
      <c r="W1192" s="33">
        <f t="shared" si="79"/>
        <v>1.0049404912146009E-2</v>
      </c>
      <c r="X1192" s="35">
        <f t="shared" si="80"/>
        <v>5.7515975603212922E-5</v>
      </c>
      <c r="Y1192" s="33">
        <f t="shared" si="78"/>
        <v>2.306485366645461E-4</v>
      </c>
      <c r="Z1192" s="54"/>
    </row>
    <row r="1193" spans="15:26" x14ac:dyDescent="0.25">
      <c r="O1193" s="37" t="s">
        <v>19</v>
      </c>
      <c r="P1193" s="31">
        <f>_xll.qlCalendarAdvance(Calendar,P1192,O1192,"f",,Trigger)</f>
        <v>60289</v>
      </c>
      <c r="Q1193" s="31">
        <f>_xll.qlInterestRateIndexValueDate(Index,P1193,Trigger)</f>
        <v>60293</v>
      </c>
      <c r="R1193" s="31">
        <f>_xll.qlInterestRateIndexMaturity(Index,Q1193,Trigger)</f>
        <v>60384</v>
      </c>
      <c r="S1193" s="32">
        <f>_xll.qlDayCounterYearFraction(DayCounter,Q1193,R1193,,,Trigger)</f>
        <v>0.25277777777777777</v>
      </c>
      <c r="T1193" s="33">
        <f>_xll.qlIndexFixing(Index,P1193,,AllTriggers)</f>
        <v>1.0303321400080084E-2</v>
      </c>
      <c r="U1193" s="34">
        <f>_xll.qlYieldTSDiscount(OisCurve,Q1193,,AllTriggers)</f>
        <v>0.55802844270581409</v>
      </c>
      <c r="V1193" s="34">
        <f>_xll.qlYieldTSDiscount(OisCurve,R1193,,AllTriggers)</f>
        <v>0.55661131420982612</v>
      </c>
      <c r="W1193" s="33">
        <f t="shared" si="79"/>
        <v>1.0072060122330355E-2</v>
      </c>
      <c r="X1193" s="35">
        <f t="shared" si="80"/>
        <v>5.8307556998436567E-5</v>
      </c>
      <c r="Y1193" s="33">
        <f t="shared" si="78"/>
        <v>2.3126127774972943E-4</v>
      </c>
      <c r="Z1193" s="54"/>
    </row>
    <row r="1194" spans="15:26" x14ac:dyDescent="0.25">
      <c r="O1194" s="37" t="s">
        <v>19</v>
      </c>
      <c r="P1194" s="31">
        <f>_xll.qlCalendarAdvance(Calendar,P1193,O1193,"f",,Trigger)</f>
        <v>60321</v>
      </c>
      <c r="Q1194" s="31">
        <f>_xll.qlInterestRateIndexValueDate(Index,P1194,Trigger)</f>
        <v>60323</v>
      </c>
      <c r="R1194" s="31">
        <f>_xll.qlInterestRateIndexMaturity(Index,Q1194,Trigger)</f>
        <v>60412</v>
      </c>
      <c r="S1194" s="32">
        <f>_xll.qlDayCounterYearFraction(DayCounter,Q1194,R1194,,,Trigger)</f>
        <v>0.24722222222222223</v>
      </c>
      <c r="T1194" s="33">
        <f>_xll.qlIndexFixing(Index,P1194,,AllTriggers)</f>
        <v>1.0323562435951691E-2</v>
      </c>
      <c r="U1194" s="34">
        <f>_xll.qlYieldTSDiscount(OisCurve,Q1194,,AllTriggers)</f>
        <v>0.55756181863909615</v>
      </c>
      <c r="V1194" s="34">
        <f>_xll.qlYieldTSDiscount(OisCurve,R1194,,AllTriggers)</f>
        <v>0.55617421338024697</v>
      </c>
      <c r="W1194" s="33">
        <f t="shared" si="79"/>
        <v>1.0091775529434891E-2</v>
      </c>
      <c r="X1194" s="35">
        <f t="shared" si="80"/>
        <v>5.7158630743234075E-5</v>
      </c>
      <c r="Y1194" s="33">
        <f t="shared" si="78"/>
        <v>2.3178690651680031E-4</v>
      </c>
      <c r="Z1194" s="54"/>
    </row>
    <row r="1195" spans="15:26" x14ac:dyDescent="0.25">
      <c r="O1195" s="37" t="s">
        <v>19</v>
      </c>
      <c r="P1195" s="31">
        <f>_xll.qlCalendarAdvance(Calendar,P1194,O1194,"f",,Trigger)</f>
        <v>60349</v>
      </c>
      <c r="Q1195" s="31">
        <f>_xll.qlInterestRateIndexValueDate(Index,P1195,Trigger)</f>
        <v>60351</v>
      </c>
      <c r="R1195" s="31">
        <f>_xll.qlInterestRateIndexMaturity(Index,Q1195,Trigger)</f>
        <v>60443</v>
      </c>
      <c r="S1195" s="32">
        <f>_xll.qlDayCounterYearFraction(DayCounter,Q1195,R1195,,,Trigger)</f>
        <v>0.25555555555555554</v>
      </c>
      <c r="T1195" s="33">
        <f>_xll.qlIndexFixing(Index,P1195,,AllTriggers)</f>
        <v>1.0345290831646505E-2</v>
      </c>
      <c r="U1195" s="34">
        <f>_xll.qlYieldTSDiscount(OisCurve,Q1195,,AllTriggers)</f>
        <v>0.55712581220126045</v>
      </c>
      <c r="V1195" s="34">
        <f>_xll.qlYieldTSDiscount(OisCurve,R1195,,AllTriggers)</f>
        <v>0.55568967983304685</v>
      </c>
      <c r="W1195" s="33">
        <f t="shared" si="79"/>
        <v>1.0112925615328632E-2</v>
      </c>
      <c r="X1195" s="35">
        <f t="shared" si="80"/>
        <v>5.9227395309216751E-5</v>
      </c>
      <c r="Y1195" s="33">
        <f t="shared" si="78"/>
        <v>2.3236521631787334E-4</v>
      </c>
      <c r="Z1195" s="54"/>
    </row>
    <row r="1196" spans="15:26" x14ac:dyDescent="0.25">
      <c r="O1196" s="37" t="s">
        <v>19</v>
      </c>
      <c r="P1196" s="31">
        <f>_xll.qlCalendarAdvance(Calendar,P1195,O1195,"f",,Trigger)</f>
        <v>60380</v>
      </c>
      <c r="Q1196" s="31">
        <f>_xll.qlInterestRateIndexValueDate(Index,P1196,Trigger)</f>
        <v>60384</v>
      </c>
      <c r="R1196" s="31">
        <f>_xll.qlInterestRateIndexMaturity(Index,Q1196,Trigger)</f>
        <v>60475</v>
      </c>
      <c r="S1196" s="32">
        <f>_xll.qlDayCounterYearFraction(DayCounter,Q1196,R1196,,,Trigger)</f>
        <v>0.25277777777777777</v>
      </c>
      <c r="T1196" s="33">
        <f>_xll.qlIndexFixing(Index,P1196,,AllTriggers)</f>
        <v>1.0368752936775262E-2</v>
      </c>
      <c r="U1196" s="34">
        <f>_xll.qlYieldTSDiscount(OisCurve,Q1196,,AllTriggers)</f>
        <v>0.55661131420982612</v>
      </c>
      <c r="V1196" s="34">
        <f>_xll.qlYieldTSDiscount(OisCurve,R1196,,AllTriggers)</f>
        <v>0.55518886561605396</v>
      </c>
      <c r="W1196" s="33">
        <f t="shared" si="79"/>
        <v>1.0135774527703126E-2</v>
      </c>
      <c r="X1196" s="35">
        <f t="shared" si="80"/>
        <v>5.8739538407920984E-5</v>
      </c>
      <c r="Y1196" s="33">
        <f t="shared" si="78"/>
        <v>2.3297840907213554E-4</v>
      </c>
      <c r="Z1196" s="54"/>
    </row>
    <row r="1197" spans="15:26" x14ac:dyDescent="0.25">
      <c r="O1197" s="37" t="s">
        <v>19</v>
      </c>
      <c r="P1197" s="31">
        <f>_xll.qlCalendarAdvance(Calendar,P1196,O1196,"f",,Trigger)</f>
        <v>60412</v>
      </c>
      <c r="Q1197" s="31">
        <f>_xll.qlInterestRateIndexValueDate(Index,P1197,Trigger)</f>
        <v>60414</v>
      </c>
      <c r="R1197" s="31">
        <f>_xll.qlInterestRateIndexMaturity(Index,Q1197,Trigger)</f>
        <v>60506</v>
      </c>
      <c r="S1197" s="32">
        <f>_xll.qlDayCounterYearFraction(DayCounter,Q1197,R1197,,,Trigger)</f>
        <v>0.25555555555555554</v>
      </c>
      <c r="T1197" s="33">
        <f>_xll.qlIndexFixing(Index,P1197,,AllTriggers)</f>
        <v>1.0390976385546449E-2</v>
      </c>
      <c r="U1197" s="34">
        <f>_xll.qlYieldTSDiscount(OisCurve,Q1197,,AllTriggers)</f>
        <v>0.55614297209229391</v>
      </c>
      <c r="V1197" s="34">
        <f>_xll.qlYieldTSDiscount(OisCurve,R1197,,AllTriggers)</f>
        <v>0.55470308324527906</v>
      </c>
      <c r="W1197" s="33">
        <f t="shared" ref="W1197:W1198" si="81">(U1197/V1197-1)/S1197</f>
        <v>1.0157411834216402E-2</v>
      </c>
      <c r="X1197" s="35">
        <f t="shared" ref="X1197:X1198" si="82">LN((1+T1197*S1197)/(1+W1197*S1197))</f>
        <v>5.9532408768122533E-5</v>
      </c>
      <c r="Y1197" s="33">
        <f t="shared" si="78"/>
        <v>2.3356455133004619E-4</v>
      </c>
      <c r="Z1197" s="54"/>
    </row>
    <row r="1198" spans="15:26" x14ac:dyDescent="0.25">
      <c r="O1198" s="37" t="s">
        <v>19</v>
      </c>
      <c r="P1198" s="31">
        <f>_xll.qlCalendarAdvance(Calendar,P1197,O1197,"f",,Trigger)</f>
        <v>60443</v>
      </c>
      <c r="Q1198" s="31">
        <f>_xll.qlInterestRateIndexValueDate(Index,P1198,Trigger)</f>
        <v>60447</v>
      </c>
      <c r="R1198" s="31">
        <f>_xll.qlInterestRateIndexMaturity(Index,Q1198,Trigger)</f>
        <v>60539</v>
      </c>
      <c r="S1198" s="32">
        <f>_xll.qlDayCounterYearFraction(DayCounter,Q1198,R1198,,,Trigger)</f>
        <v>0.25555555555555554</v>
      </c>
      <c r="T1198" s="33">
        <f>_xll.qlIndexFixing(Index,P1198,,AllTriggers)</f>
        <v>1.0414653367567528E-2</v>
      </c>
      <c r="U1198" s="34">
        <f>_xll.qlYieldTSDiscount(OisCurve,Q1198,,AllTriggers)</f>
        <v>0.55562711394929587</v>
      </c>
      <c r="V1198" s="34">
        <f>_xll.qlYieldTSDiscount(OisCurve,R1198,,AllTriggers)</f>
        <v>0.55418530392301824</v>
      </c>
      <c r="W1198" s="33">
        <f t="shared" si="81"/>
        <v>1.0180467219680646E-2</v>
      </c>
      <c r="X1198" s="35">
        <f t="shared" si="82"/>
        <v>5.9690489726747212E-5</v>
      </c>
      <c r="Y1198" s="33">
        <f t="shared" si="78"/>
        <v>2.3418614788688237E-4</v>
      </c>
      <c r="Z1198" s="54"/>
    </row>
    <row r="1199" spans="15:26" x14ac:dyDescent="0.25">
      <c r="O1199" s="37" t="s">
        <v>19</v>
      </c>
      <c r="P1199" s="31">
        <f>_xll.qlCalendarAdvance(Calendar,P1198,O1198,"f",,Trigger)</f>
        <v>60475</v>
      </c>
      <c r="Q1199" s="31">
        <f>_xll.qlInterestRateIndexValueDate(Index,P1199,Trigger)</f>
        <v>60477</v>
      </c>
      <c r="R1199" s="31">
        <f>_xll.qlInterestRateIndexMaturity(Index,Q1199,Trigger)</f>
        <v>60569</v>
      </c>
      <c r="S1199" s="32">
        <f>_xll.qlDayCounterYearFraction(DayCounter,Q1199,R1199,,,Trigger)</f>
        <v>0.25555555555555554</v>
      </c>
      <c r="T1199" s="33">
        <f>_xll.qlIndexFixing(Index,P1199,,AllTriggers)</f>
        <v>1.0435988123338265E-2</v>
      </c>
      <c r="U1199" s="34">
        <f>_xll.qlYieldTSDiscount(OisCurve,Q1199,,AllTriggers)</f>
        <v>0.555157543064277</v>
      </c>
      <c r="V1199" s="34">
        <f>_xll.qlYieldTSDiscount(OisCurve,R1199,,AllTriggers)</f>
        <v>0.55371401945692411</v>
      </c>
      <c r="W1199" s="33">
        <f t="shared" ref="W1199:W1262" si="83">(U1199/V1199-1)/S1199</f>
        <v>1.0201241866709386E-2</v>
      </c>
      <c r="X1199" s="35">
        <f t="shared" ref="X1199:X1262" si="84">LN((1+T1199*S1199)/(1+W1199*S1199))</f>
        <v>5.9832931837427877E-5</v>
      </c>
      <c r="Y1199" s="33">
        <f t="shared" si="78"/>
        <v>2.3474625662887882E-4</v>
      </c>
      <c r="Z1199" s="54"/>
    </row>
    <row r="1200" spans="15:26" x14ac:dyDescent="0.25">
      <c r="O1200" s="37" t="s">
        <v>19</v>
      </c>
      <c r="P1200" s="31">
        <f>_xll.qlCalendarAdvance(Calendar,P1199,O1199,"f",,Trigger)</f>
        <v>60506</v>
      </c>
      <c r="Q1200" s="31">
        <f>_xll.qlInterestRateIndexValueDate(Index,P1200,Trigger)</f>
        <v>60510</v>
      </c>
      <c r="R1200" s="31">
        <f>_xll.qlInterestRateIndexMaturity(Index,Q1200,Trigger)</f>
        <v>60601</v>
      </c>
      <c r="S1200" s="32">
        <f>_xll.qlDayCounterYearFraction(DayCounter,Q1200,R1200,,,Trigger)</f>
        <v>0.25277777777777777</v>
      </c>
      <c r="T1200" s="33">
        <f>_xll.qlIndexFixing(Index,P1200,,AllTriggers)</f>
        <v>1.0458746556106364E-2</v>
      </c>
      <c r="U1200" s="34">
        <f>_xll.qlYieldTSDiscount(OisCurve,Q1200,,AllTriggers)</f>
        <v>0.55464035789795585</v>
      </c>
      <c r="V1200" s="34">
        <f>_xll.qlYieldTSDiscount(OisCurve,R1200,,AllTriggers)</f>
        <v>0.55321072322850207</v>
      </c>
      <c r="W1200" s="33">
        <f t="shared" si="83"/>
        <v>1.0223405577601831E-2</v>
      </c>
      <c r="X1200" s="35">
        <f t="shared" si="84"/>
        <v>5.9333871187026547E-5</v>
      </c>
      <c r="Y1200" s="33">
        <f t="shared" si="78"/>
        <v>2.3534097850453316E-4</v>
      </c>
      <c r="Z1200" s="54"/>
    </row>
    <row r="1201" spans="15:26" x14ac:dyDescent="0.25">
      <c r="O1201" s="37" t="s">
        <v>19</v>
      </c>
      <c r="P1201" s="31">
        <f>_xll.qlCalendarAdvance(Calendar,P1200,O1200,"f",,Trigger)</f>
        <v>60538</v>
      </c>
      <c r="Q1201" s="31">
        <f>_xll.qlInterestRateIndexValueDate(Index,P1201,Trigger)</f>
        <v>60540</v>
      </c>
      <c r="R1201" s="31">
        <f>_xll.qlInterestRateIndexMaturity(Index,Q1201,Trigger)</f>
        <v>60632</v>
      </c>
      <c r="S1201" s="32">
        <f>_xll.qlDayCounterYearFraction(DayCounter,Q1201,R1201,,,Trigger)</f>
        <v>0.25555555555555554</v>
      </c>
      <c r="T1201" s="33">
        <f>_xll.qlIndexFixing(Index,P1201,,AllTriggers)</f>
        <v>1.0480202799694967E-2</v>
      </c>
      <c r="U1201" s="34">
        <f>_xll.qlYieldTSDiscount(OisCurve,Q1201,,AllTriggers)</f>
        <v>0.5541696032167529</v>
      </c>
      <c r="V1201" s="34">
        <f>_xll.qlYieldTSDiscount(OisCurve,R1201,,AllTriggers)</f>
        <v>0.55272258285060849</v>
      </c>
      <c r="W1201" s="33">
        <f t="shared" si="83"/>
        <v>1.0244295750410179E-2</v>
      </c>
      <c r="X1201" s="35">
        <f t="shared" si="84"/>
        <v>6.0128129930564467E-5</v>
      </c>
      <c r="Y1201" s="33">
        <f t="shared" si="78"/>
        <v>2.3590704928478853E-4</v>
      </c>
      <c r="Z1201" s="54"/>
    </row>
    <row r="1202" spans="15:26" x14ac:dyDescent="0.25">
      <c r="O1202" s="37" t="s">
        <v>19</v>
      </c>
      <c r="P1202" s="31">
        <f>_xll.qlCalendarAdvance(Calendar,P1201,O1201,"f",,Trigger)</f>
        <v>60568</v>
      </c>
      <c r="Q1202" s="31">
        <f>_xll.qlInterestRateIndexValueDate(Index,P1202,Trigger)</f>
        <v>60570</v>
      </c>
      <c r="R1202" s="31">
        <f>_xll.qlInterestRateIndexMaturity(Index,Q1202,Trigger)</f>
        <v>60661</v>
      </c>
      <c r="S1202" s="32">
        <f>_xll.qlDayCounterYearFraction(DayCounter,Q1202,R1202,,,Trigger)</f>
        <v>0.25277777777777777</v>
      </c>
      <c r="T1202" s="33">
        <f>_xll.qlIndexFixing(Index,P1202,,AllTriggers)</f>
        <v>1.0500481020627997E-2</v>
      </c>
      <c r="U1202" s="34">
        <f>_xll.qlYieldTSDiscount(OisCurve,Q1202,,AllTriggers)</f>
        <v>0.55369830065196624</v>
      </c>
      <c r="V1202" s="34">
        <f>_xll.qlYieldTSDiscount(OisCurve,R1202,,AllTriggers)</f>
        <v>0.55226543564679742</v>
      </c>
      <c r="W1202" s="33">
        <f t="shared" si="83"/>
        <v>1.0264044384537705E-2</v>
      </c>
      <c r="X1202" s="35">
        <f t="shared" si="84"/>
        <v>5.9609488017833797E-5</v>
      </c>
      <c r="Y1202" s="33">
        <f t="shared" si="78"/>
        <v>2.3643663609029114E-4</v>
      </c>
      <c r="Z1202" s="54"/>
    </row>
    <row r="1203" spans="15:26" x14ac:dyDescent="0.25">
      <c r="O1203" s="37" t="s">
        <v>19</v>
      </c>
      <c r="P1203" s="31">
        <f>_xll.qlCalendarAdvance(Calendar,P1202,O1202,"f",,Trigger)</f>
        <v>60601</v>
      </c>
      <c r="Q1203" s="31">
        <f>_xll.qlInterestRateIndexValueDate(Index,P1203,Trigger)</f>
        <v>60603</v>
      </c>
      <c r="R1203" s="31">
        <f>_xll.qlInterestRateIndexMaturity(Index,Q1203,Trigger)</f>
        <v>60693</v>
      </c>
      <c r="S1203" s="32">
        <f>_xll.qlDayCounterYearFraction(DayCounter,Q1203,R1203,,,Trigger)</f>
        <v>0.25</v>
      </c>
      <c r="T1203" s="33">
        <f>_xll.qlIndexFixing(Index,P1203,,AllTriggers)</f>
        <v>1.0522633184894659E-2</v>
      </c>
      <c r="U1203" s="34">
        <f>_xll.qlYieldTSDiscount(OisCurve,Q1203,,AllTriggers)</f>
        <v>0.55317924716937605</v>
      </c>
      <c r="V1203" s="34">
        <f>_xll.qlYieldTSDiscount(OisCurve,R1203,,AllTriggers)</f>
        <v>0.55176044789980283</v>
      </c>
      <c r="W1203" s="33">
        <f t="shared" si="83"/>
        <v>1.0285617789195456E-2</v>
      </c>
      <c r="X1203" s="35">
        <f t="shared" si="84"/>
        <v>5.9100127656013141E-5</v>
      </c>
      <c r="Y1203" s="33">
        <f t="shared" si="78"/>
        <v>2.3701539569920271E-4</v>
      </c>
      <c r="Z1203" s="54"/>
    </row>
    <row r="1204" spans="15:26" x14ac:dyDescent="0.25">
      <c r="O1204" s="37" t="s">
        <v>19</v>
      </c>
      <c r="P1204" s="31">
        <f>_xll.qlCalendarAdvance(Calendar,P1203,O1203,"f",,Trigger)</f>
        <v>60631</v>
      </c>
      <c r="Q1204" s="31">
        <f>_xll.qlInterestRateIndexValueDate(Index,P1204,Trigger)</f>
        <v>60636</v>
      </c>
      <c r="R1204" s="31">
        <f>_xll.qlInterestRateIndexMaturity(Index,Q1204,Trigger)</f>
        <v>60727</v>
      </c>
      <c r="S1204" s="32">
        <f>_xll.qlDayCounterYearFraction(DayCounter,Q1204,R1204,,,Trigger)</f>
        <v>0.25277777777777777</v>
      </c>
      <c r="T1204" s="33">
        <f>_xll.qlIndexFixing(Index,P1204,,AllTriggers)</f>
        <v>1.0545553891544032E-2</v>
      </c>
      <c r="U1204" s="34">
        <f>_xll.qlYieldTSDiscount(OisCurve,Q1204,,AllTriggers)</f>
        <v>0.55265955656698185</v>
      </c>
      <c r="V1204" s="34">
        <f>_xll.qlYieldTSDiscount(OisCurve,R1204,,AllTriggers)</f>
        <v>0.55122328001879439</v>
      </c>
      <c r="W1204" s="33">
        <f t="shared" si="83"/>
        <v>1.0307933941887927E-2</v>
      </c>
      <c r="X1204" s="35">
        <f t="shared" si="84"/>
        <v>5.9907148621985433E-5</v>
      </c>
      <c r="Y1204" s="33">
        <f t="shared" si="78"/>
        <v>2.3761994965610517E-4</v>
      </c>
      <c r="Z1204" s="54"/>
    </row>
    <row r="1205" spans="15:26" x14ac:dyDescent="0.25">
      <c r="O1205" s="37" t="s">
        <v>19</v>
      </c>
      <c r="P1205" s="31">
        <f>_xll.qlCalendarAdvance(Calendar,P1204,O1204,"f",,Trigger)</f>
        <v>60664</v>
      </c>
      <c r="Q1205" s="31">
        <f>_xll.qlInterestRateIndexValueDate(Index,P1205,Trigger)</f>
        <v>60666</v>
      </c>
      <c r="R1205" s="31">
        <f>_xll.qlInterestRateIndexMaturity(Index,Q1205,Trigger)</f>
        <v>60755</v>
      </c>
      <c r="S1205" s="32">
        <f>_xll.qlDayCounterYearFraction(DayCounter,Q1205,R1205,,,Trigger)</f>
        <v>0.24722222222222223</v>
      </c>
      <c r="T1205" s="33">
        <f>_xll.qlIndexFixing(Index,P1205,,AllTriggers)</f>
        <v>1.0564775228362326E-2</v>
      </c>
      <c r="U1205" s="34">
        <f>_xll.qlYieldTSDiscount(OisCurve,Q1205,,AllTriggers)</f>
        <v>0.5521865690258273</v>
      </c>
      <c r="V1205" s="34">
        <f>_xll.qlYieldTSDiscount(OisCurve,R1205,,AllTriggers)</f>
        <v>0.55078043817583977</v>
      </c>
      <c r="W1205" s="33">
        <f t="shared" si="83"/>
        <v>1.0326656318663065E-2</v>
      </c>
      <c r="X1205" s="35">
        <f t="shared" si="84"/>
        <v>5.8716655367894459E-5</v>
      </c>
      <c r="Y1205" s="33">
        <f t="shared" si="78"/>
        <v>2.3811890969926107E-4</v>
      </c>
      <c r="Z1205" s="54"/>
    </row>
    <row r="1206" spans="15:26" x14ac:dyDescent="0.25">
      <c r="O1206" s="37" t="s">
        <v>19</v>
      </c>
      <c r="P1206" s="31">
        <f>_xll.qlCalendarAdvance(Calendar,P1205,O1205,"f",,Trigger)</f>
        <v>60692</v>
      </c>
      <c r="Q1206" s="31">
        <f>_xll.qlInterestRateIndexValueDate(Index,P1206,Trigger)</f>
        <v>60694</v>
      </c>
      <c r="R1206" s="31">
        <f>_xll.qlInterestRateIndexMaturity(Index,Q1206,Trigger)</f>
        <v>60786</v>
      </c>
      <c r="S1206" s="32">
        <f>_xll.qlDayCounterYearFraction(DayCounter,Q1206,R1206,,,Trigger)</f>
        <v>0.25555555555555554</v>
      </c>
      <c r="T1206" s="33">
        <f>_xll.qlIndexFixing(Index,P1206,,AllTriggers)</f>
        <v>1.0584927422390434E-2</v>
      </c>
      <c r="U1206" s="34">
        <f>_xll.qlYieldTSDiscount(OisCurve,Q1206,,AllTriggers)</f>
        <v>0.551744657871022</v>
      </c>
      <c r="V1206" s="34">
        <f>_xll.qlYieldTSDiscount(OisCurve,R1206,,AllTriggers)</f>
        <v>0.55028966612192898</v>
      </c>
      <c r="W1206" s="33">
        <f t="shared" si="83"/>
        <v>1.0346270928246906E-2</v>
      </c>
      <c r="X1206" s="35">
        <f t="shared" si="84"/>
        <v>6.0827307776399173E-5</v>
      </c>
      <c r="Y1206" s="33">
        <f t="shared" si="78"/>
        <v>2.3865649414352846E-4</v>
      </c>
      <c r="Z1206" s="54"/>
    </row>
    <row r="1207" spans="15:26" x14ac:dyDescent="0.25">
      <c r="O1207" s="37" t="s">
        <v>19</v>
      </c>
      <c r="P1207" s="31">
        <f>_xll.qlCalendarAdvance(Calendar,P1206,O1206,"f",,Trigger)</f>
        <v>60723</v>
      </c>
      <c r="Q1207" s="31">
        <f>_xll.qlInterestRateIndexValueDate(Index,P1207,Trigger)</f>
        <v>60727</v>
      </c>
      <c r="R1207" s="31">
        <f>_xll.qlInterestRateIndexMaturity(Index,Q1207,Trigger)</f>
        <v>60818</v>
      </c>
      <c r="S1207" s="32">
        <f>_xll.qlDayCounterYearFraction(DayCounter,Q1207,R1207,,,Trigger)</f>
        <v>0.25277777777777777</v>
      </c>
      <c r="T1207" s="33">
        <f>_xll.qlIndexFixing(Index,P1207,,AllTriggers)</f>
        <v>1.0606265156056416E-2</v>
      </c>
      <c r="U1207" s="34">
        <f>_xll.qlYieldTSDiscount(OisCurve,Q1207,,AllTriggers)</f>
        <v>0.55122328001879439</v>
      </c>
      <c r="V1207" s="34">
        <f>_xll.qlYieldTSDiscount(OisCurve,R1207,,AllTriggers)</f>
        <v>0.54978254177513708</v>
      </c>
      <c r="W1207" s="33">
        <f t="shared" si="83"/>
        <v>1.0367051312067749E-2</v>
      </c>
      <c r="X1207" s="35">
        <f t="shared" si="84"/>
        <v>6.0308079610054171E-5</v>
      </c>
      <c r="Y1207" s="33">
        <f t="shared" si="78"/>
        <v>2.3921384398866742E-4</v>
      </c>
      <c r="Z1207" s="54"/>
    </row>
    <row r="1208" spans="15:26" x14ac:dyDescent="0.25">
      <c r="O1208" s="37" t="s">
        <v>19</v>
      </c>
      <c r="P1208" s="31">
        <f>_xll.qlCalendarAdvance(Calendar,P1207,O1207,"f",,Trigger)</f>
        <v>60755</v>
      </c>
      <c r="Q1208" s="31">
        <f>_xll.qlInterestRateIndexValueDate(Index,P1208,Trigger)</f>
        <v>60757</v>
      </c>
      <c r="R1208" s="31">
        <f>_xll.qlInterestRateIndexMaturity(Index,Q1208,Trigger)</f>
        <v>60849</v>
      </c>
      <c r="S1208" s="32">
        <f>_xll.qlDayCounterYearFraction(DayCounter,Q1208,R1208,,,Trigger)</f>
        <v>0.25555555555555554</v>
      </c>
      <c r="T1208" s="33">
        <f>_xll.qlIndexFixing(Index,P1208,,AllTriggers)</f>
        <v>1.0626396461592113E-2</v>
      </c>
      <c r="U1208" s="34">
        <f>_xll.qlYieldTSDiscount(OisCurve,Q1208,,AllTriggers)</f>
        <v>0.55074879066778792</v>
      </c>
      <c r="V1208" s="34">
        <f>_xll.qlYieldTSDiscount(OisCurve,R1208,,AllTriggers)</f>
        <v>0.54929077168733287</v>
      </c>
      <c r="W1208" s="33">
        <f t="shared" si="83"/>
        <v>1.0386651217759049E-2</v>
      </c>
      <c r="X1208" s="35">
        <f t="shared" si="84"/>
        <v>6.110416428467407E-5</v>
      </c>
      <c r="Y1208" s="33">
        <f t="shared" si="78"/>
        <v>2.3974524383306439E-4</v>
      </c>
      <c r="Z1208" s="54"/>
    </row>
    <row r="1209" spans="15:26" x14ac:dyDescent="0.25">
      <c r="O1209" s="37" t="s">
        <v>19</v>
      </c>
      <c r="P1209" s="31">
        <f>_xll.qlCalendarAdvance(Calendar,P1208,O1208,"f",,Trigger)</f>
        <v>60786</v>
      </c>
      <c r="Q1209" s="31">
        <f>_xll.qlInterestRateIndexValueDate(Index,P1209,Trigger)</f>
        <v>60790</v>
      </c>
      <c r="R1209" s="31">
        <f>_xll.qlInterestRateIndexMaturity(Index,Q1209,Trigger)</f>
        <v>60882</v>
      </c>
      <c r="S1209" s="32">
        <f>_xll.qlDayCounterYearFraction(DayCounter,Q1209,R1209,,,Trigger)</f>
        <v>0.25555555555555554</v>
      </c>
      <c r="T1209" s="33">
        <f>_xll.qlIndexFixing(Index,P1209,,AllTriggers)</f>
        <v>1.0647800192901173E-2</v>
      </c>
      <c r="U1209" s="34">
        <f>_xll.qlYieldTSDiscount(OisCurve,Q1209,,AllTriggers)</f>
        <v>0.55022630427829666</v>
      </c>
      <c r="V1209" s="34">
        <f>_xll.qlYieldTSDiscount(OisCurve,R1209,,AllTriggers)</f>
        <v>0.54876675337473013</v>
      </c>
      <c r="W1209" s="33">
        <f t="shared" si="83"/>
        <v>1.0407493000019077E-2</v>
      </c>
      <c r="X1209" s="35">
        <f t="shared" si="84"/>
        <v>6.1247059199408645E-5</v>
      </c>
      <c r="Y1209" s="33">
        <f t="shared" si="78"/>
        <v>2.4030719288209608E-4</v>
      </c>
      <c r="Z1209" s="54"/>
    </row>
    <row r="1210" spans="15:26" x14ac:dyDescent="0.25">
      <c r="O1210" s="37" t="s">
        <v>19</v>
      </c>
      <c r="P1210" s="31">
        <f>_xll.qlCalendarAdvance(Calendar,P1209,O1209,"f",,Trigger)</f>
        <v>60818</v>
      </c>
      <c r="Q1210" s="31">
        <f>_xll.qlInterestRateIndexValueDate(Index,P1210,Trigger)</f>
        <v>60820</v>
      </c>
      <c r="R1210" s="31">
        <f>_xll.qlInterestRateIndexMaturity(Index,Q1210,Trigger)</f>
        <v>60912</v>
      </c>
      <c r="S1210" s="32">
        <f>_xll.qlDayCounterYearFraction(DayCounter,Q1210,R1210,,,Trigger)</f>
        <v>0.25555555555555554</v>
      </c>
      <c r="T1210" s="33">
        <f>_xll.qlIndexFixing(Index,P1210,,AllTriggers)</f>
        <v>1.0667068323261109E-2</v>
      </c>
      <c r="U1210" s="34">
        <f>_xll.qlYieldTSDiscount(OisCurve,Q1210,,AllTriggers)</f>
        <v>0.54975082920396523</v>
      </c>
      <c r="V1210" s="34">
        <f>_xll.qlYieldTSDiscount(OisCurve,R1210,,AllTriggers)</f>
        <v>0.54828991759826518</v>
      </c>
      <c r="W1210" s="33">
        <f t="shared" si="83"/>
        <v>1.0426255248394014E-2</v>
      </c>
      <c r="X1210" s="35">
        <f t="shared" si="84"/>
        <v>6.1375695816217037E-5</v>
      </c>
      <c r="Y1210" s="33">
        <f t="shared" si="78"/>
        <v>2.4081307486709461E-4</v>
      </c>
      <c r="Z1210" s="54"/>
    </row>
    <row r="1211" spans="15:26" x14ac:dyDescent="0.25">
      <c r="O1211" s="37" t="s">
        <v>19</v>
      </c>
      <c r="P1211" s="31">
        <f>_xll.qlCalendarAdvance(Calendar,P1210,O1210,"f",,Trigger)</f>
        <v>60849</v>
      </c>
      <c r="Q1211" s="31">
        <f>_xll.qlInterestRateIndexValueDate(Index,P1211,Trigger)</f>
        <v>60853</v>
      </c>
      <c r="R1211" s="31">
        <f>_xll.qlInterestRateIndexMaturity(Index,Q1211,Trigger)</f>
        <v>60945</v>
      </c>
      <c r="S1211" s="32">
        <f>_xll.qlDayCounterYearFraction(DayCounter,Q1211,R1211,,,Trigger)</f>
        <v>0.25555555555555554</v>
      </c>
      <c r="T1211" s="33">
        <f>_xll.qlIndexFixing(Index,P1211,,AllTriggers)</f>
        <v>1.0688054475458881E-2</v>
      </c>
      <c r="U1211" s="34">
        <f>_xll.qlYieldTSDiscount(OisCurve,Q1211,,AllTriggers)</f>
        <v>0.54922728269000076</v>
      </c>
      <c r="V1211" s="34">
        <f>_xll.qlYieldTSDiscount(OisCurve,R1211,,AllTriggers)</f>
        <v>0.54776490935910804</v>
      </c>
      <c r="W1211" s="33">
        <f t="shared" si="83"/>
        <v>1.0446690409445165E-2</v>
      </c>
      <c r="X1211" s="35">
        <f t="shared" si="84"/>
        <v>6.1515801457924843E-5</v>
      </c>
      <c r="Y1211" s="33">
        <f t="shared" si="78"/>
        <v>2.4136406601371618E-4</v>
      </c>
      <c r="Z1211" s="54"/>
    </row>
    <row r="1212" spans="15:26" x14ac:dyDescent="0.25">
      <c r="O1212" s="37" t="s">
        <v>19</v>
      </c>
      <c r="P1212" s="31">
        <f>_xll.qlCalendarAdvance(Calendar,P1211,O1211,"f",,Trigger)</f>
        <v>60881</v>
      </c>
      <c r="Q1212" s="31">
        <f>_xll.qlInterestRateIndexValueDate(Index,P1212,Trigger)</f>
        <v>60883</v>
      </c>
      <c r="R1212" s="31">
        <f>_xll.qlInterestRateIndexMaturity(Index,Q1212,Trigger)</f>
        <v>60974</v>
      </c>
      <c r="S1212" s="32">
        <f>_xll.qlDayCounterYearFraction(DayCounter,Q1212,R1212,,,Trigger)</f>
        <v>0.25277777777777777</v>
      </c>
      <c r="T1212" s="33">
        <f>_xll.qlIndexFixing(Index,P1212,,AllTriggers)</f>
        <v>1.0706472123393089E-2</v>
      </c>
      <c r="U1212" s="34">
        <f>_xll.qlYieldTSDiscount(OisCurve,Q1212,,AllTriggers)</f>
        <v>0.54875086577774013</v>
      </c>
      <c r="V1212" s="34">
        <f>_xll.qlYieldTSDiscount(OisCurve,R1212,,AllTriggers)</f>
        <v>0.54730312572147599</v>
      </c>
      <c r="W1212" s="33">
        <f t="shared" si="83"/>
        <v>1.0464627425535597E-2</v>
      </c>
      <c r="X1212" s="35">
        <f t="shared" si="84"/>
        <v>6.0969822762046744E-5</v>
      </c>
      <c r="Y1212" s="33">
        <f t="shared" si="78"/>
        <v>2.4184469785749202E-4</v>
      </c>
      <c r="Z1212" s="54"/>
    </row>
    <row r="1213" spans="15:26" x14ac:dyDescent="0.25">
      <c r="O1213" s="37" t="s">
        <v>19</v>
      </c>
      <c r="P1213" s="31">
        <f>_xll.qlCalendarAdvance(Calendar,P1212,O1212,"f",,Trigger)</f>
        <v>60911</v>
      </c>
      <c r="Q1213" s="31">
        <f>_xll.qlInterestRateIndexValueDate(Index,P1213,Trigger)</f>
        <v>60913</v>
      </c>
      <c r="R1213" s="31">
        <f>_xll.qlInterestRateIndexMaturity(Index,Q1213,Trigger)</f>
        <v>61007</v>
      </c>
      <c r="S1213" s="32">
        <f>_xll.qlDayCounterYearFraction(DayCounter,Q1213,R1213,,,Trigger)</f>
        <v>0.26111111111111113</v>
      </c>
      <c r="T1213" s="33">
        <f>_xll.qlIndexFixing(Index,P1213,,AllTriggers)</f>
        <v>1.0726587381259521E-2</v>
      </c>
      <c r="U1213" s="34">
        <f>_xll.qlYieldTSDiscount(OisCurve,Q1213,,AllTriggers)</f>
        <v>0.54827401572227907</v>
      </c>
      <c r="V1213" s="34">
        <f>_xll.qlYieldTSDiscount(OisCurve,R1213,,AllTriggers)</f>
        <v>0.54677718986553026</v>
      </c>
      <c r="W1213" s="33">
        <f t="shared" si="83"/>
        <v>1.0484205749642112E-2</v>
      </c>
      <c r="X1213" s="35">
        <f t="shared" si="84"/>
        <v>6.3113763359985022E-5</v>
      </c>
      <c r="Y1213" s="33">
        <f t="shared" si="78"/>
        <v>2.4238163161740926E-4</v>
      </c>
      <c r="Z1213" s="54"/>
    </row>
    <row r="1214" spans="15:26" x14ac:dyDescent="0.25">
      <c r="O1214" s="37" t="s">
        <v>19</v>
      </c>
      <c r="P1214" s="31">
        <f>_xll.qlCalendarAdvance(Calendar,P1213,O1213,"f",,Trigger)</f>
        <v>60944</v>
      </c>
      <c r="Q1214" s="31">
        <f>_xll.qlInterestRateIndexValueDate(Index,P1214,Trigger)</f>
        <v>60946</v>
      </c>
      <c r="R1214" s="31">
        <f>_xll.qlInterestRateIndexMaturity(Index,Q1214,Trigger)</f>
        <v>61038</v>
      </c>
      <c r="S1214" s="32">
        <f>_xll.qlDayCounterYearFraction(DayCounter,Q1214,R1214,,,Trigger)</f>
        <v>0.25555555555555554</v>
      </c>
      <c r="T1214" s="33">
        <f>_xll.qlIndexFixing(Index,P1214,,AllTriggers)</f>
        <v>1.0746020415289584E-2</v>
      </c>
      <c r="U1214" s="34">
        <f>_xll.qlYieldTSDiscount(OisCurve,Q1214,,AllTriggers)</f>
        <v>0.54774899215553208</v>
      </c>
      <c r="V1214" s="34">
        <f>_xll.qlYieldTSDiscount(OisCurve,R1214,,AllTriggers)</f>
        <v>0.54628269600269797</v>
      </c>
      <c r="W1214" s="33">
        <f t="shared" si="83"/>
        <v>1.0503134439422945E-2</v>
      </c>
      <c r="X1214" s="35">
        <f t="shared" si="84"/>
        <v>6.1902783950386545E-5</v>
      </c>
      <c r="Y1214" s="33">
        <f t="shared" si="78"/>
        <v>2.4288597586663921E-4</v>
      </c>
      <c r="Z1214" s="54"/>
    </row>
    <row r="1215" spans="15:26" x14ac:dyDescent="0.25">
      <c r="O1215" s="37" t="s">
        <v>19</v>
      </c>
      <c r="P1215" s="31">
        <f>_xll.qlCalendarAdvance(Calendar,P1214,O1214,"f",,Trigger)</f>
        <v>60974</v>
      </c>
      <c r="Q1215" s="31">
        <f>_xll.qlInterestRateIndexValueDate(Index,P1215,Trigger)</f>
        <v>60976</v>
      </c>
      <c r="R1215" s="31">
        <f>_xll.qlInterestRateIndexMaturity(Index,Q1215,Trigger)</f>
        <v>61066</v>
      </c>
      <c r="S1215" s="32">
        <f>_xll.qlDayCounterYearFraction(DayCounter,Q1215,R1215,,,Trigger)</f>
        <v>0.25</v>
      </c>
      <c r="T1215" s="33">
        <f>_xll.qlIndexFixing(Index,P1215,,AllTriggers)</f>
        <v>1.0763422002375123E-2</v>
      </c>
      <c r="U1215" s="34">
        <f>_xll.qlYieldTSDiscount(OisCurve,Q1215,,AllTriggers)</f>
        <v>0.54727126458137498</v>
      </c>
      <c r="V1215" s="34">
        <f>_xll.qlYieldTSDiscount(OisCurve,R1215,,AllTriggers)</f>
        <v>0.5458357050691538</v>
      </c>
      <c r="W1215" s="33">
        <f t="shared" si="83"/>
        <v>1.0520085065079066E-2</v>
      </c>
      <c r="X1215" s="35">
        <f t="shared" si="84"/>
        <v>6.0672818048664247E-5</v>
      </c>
      <c r="Y1215" s="33">
        <f t="shared" si="78"/>
        <v>2.4333693729605699E-4</v>
      </c>
      <c r="Z1215" s="54"/>
    </row>
    <row r="1216" spans="15:26" x14ac:dyDescent="0.25">
      <c r="O1216" s="37" t="s">
        <v>19</v>
      </c>
      <c r="P1216" s="31">
        <f>_xll.qlCalendarAdvance(Calendar,P1215,O1215,"f",,Trigger)</f>
        <v>61007</v>
      </c>
      <c r="Q1216" s="31">
        <f>_xll.qlInterestRateIndexValueDate(Index,P1216,Trigger)</f>
        <v>61009</v>
      </c>
      <c r="R1216" s="31">
        <f>_xll.qlInterestRateIndexMaturity(Index,Q1216,Trigger)</f>
        <v>61099</v>
      </c>
      <c r="S1216" s="32">
        <f>_xll.qlDayCounterYearFraction(DayCounter,Q1216,R1216,,,Trigger)</f>
        <v>0.25</v>
      </c>
      <c r="T1216" s="33">
        <f>_xll.qlIndexFixing(Index,P1216,,AllTriggers)</f>
        <v>1.0783379530534098E-2</v>
      </c>
      <c r="U1216" s="34">
        <f>_xll.qlYieldTSDiscount(OisCurve,Q1216,,AllTriggers)</f>
        <v>0.54674529956885076</v>
      </c>
      <c r="V1216" s="34">
        <f>_xll.qlYieldTSDiscount(OisCurve,R1216,,AllTriggers)</f>
        <v>0.54530847735584564</v>
      </c>
      <c r="W1216" s="33">
        <f t="shared" si="83"/>
        <v>1.0539518622356248E-2</v>
      </c>
      <c r="X1216" s="35">
        <f t="shared" si="84"/>
        <v>6.0803164602431146E-5</v>
      </c>
      <c r="Y1216" s="33">
        <f t="shared" si="78"/>
        <v>2.4386090817785089E-4</v>
      </c>
      <c r="Z1216" s="54"/>
    </row>
    <row r="1217" spans="15:26" x14ac:dyDescent="0.25">
      <c r="O1217" s="37" t="s">
        <v>19</v>
      </c>
      <c r="P1217" s="31">
        <f>_xll.qlCalendarAdvance(Calendar,P1216,O1216,"f",,Trigger)</f>
        <v>61038</v>
      </c>
      <c r="Q1217" s="31">
        <f>_xll.qlInterestRateIndexValueDate(Index,P1217,Trigger)</f>
        <v>61042</v>
      </c>
      <c r="R1217" s="31">
        <f>_xll.qlInterestRateIndexMaturity(Index,Q1217,Trigger)</f>
        <v>61133</v>
      </c>
      <c r="S1217" s="32">
        <f>_xll.qlDayCounterYearFraction(DayCounter,Q1217,R1217,,,Trigger)</f>
        <v>0.25277777777777777</v>
      </c>
      <c r="T1217" s="33">
        <f>_xll.qlIndexFixing(Index,P1217,,AllTriggers)</f>
        <v>1.0803576149584415E-2</v>
      </c>
      <c r="U1217" s="34">
        <f>_xll.qlYieldTSDiscount(OisCurve,Q1217,,AllTriggers)</f>
        <v>0.54621886036852896</v>
      </c>
      <c r="V1217" s="34">
        <f>_xll.qlYieldTSDiscount(OisCurve,R1217,,AllTriggers)</f>
        <v>0.54476481413336042</v>
      </c>
      <c r="W1217" s="33">
        <f t="shared" si="83"/>
        <v>1.0559182001498852E-2</v>
      </c>
      <c r="X1217" s="35">
        <f t="shared" si="84"/>
        <v>6.161105887485645E-5</v>
      </c>
      <c r="Y1217" s="33">
        <f t="shared" si="78"/>
        <v>2.4439414808556312E-4</v>
      </c>
      <c r="Z1217" s="54"/>
    </row>
    <row r="1218" spans="15:26" x14ac:dyDescent="0.25">
      <c r="O1218" s="37" t="s">
        <v>19</v>
      </c>
      <c r="P1218" s="31">
        <f>_xll.qlCalendarAdvance(Calendar,P1217,O1217,"f",,Trigger)</f>
        <v>61066</v>
      </c>
      <c r="Q1218" s="31">
        <f>_xll.qlInterestRateIndexValueDate(Index,P1218,Trigger)</f>
        <v>61070</v>
      </c>
      <c r="R1218" s="31">
        <f>_xll.qlInterestRateIndexMaturity(Index,Q1218,Trigger)</f>
        <v>61162</v>
      </c>
      <c r="S1218" s="32">
        <f>_xll.qlDayCounterYearFraction(DayCounter,Q1218,R1218,,,Trigger)</f>
        <v>0.25555555555555554</v>
      </c>
      <c r="T1218" s="33">
        <f>_xll.qlIndexFixing(Index,P1218,,AllTriggers)</f>
        <v>1.0820605825937227E-2</v>
      </c>
      <c r="U1218" s="34">
        <f>_xll.qlYieldTSDiscount(OisCurve,Q1218,,AllTriggers)</f>
        <v>0.54577182248528555</v>
      </c>
      <c r="V1218" s="34">
        <f>_xll.qlYieldTSDiscount(OisCurve,R1218,,AllTriggers)</f>
        <v>0.54430074379291382</v>
      </c>
      <c r="W1218" s="33">
        <f t="shared" si="83"/>
        <v>1.0575761559832792E-2</v>
      </c>
      <c r="X1218" s="35">
        <f t="shared" si="84"/>
        <v>6.2400710158394884E-5</v>
      </c>
      <c r="Y1218" s="33">
        <f t="shared" si="78"/>
        <v>2.4484426610443463E-4</v>
      </c>
      <c r="Z1218" s="54"/>
    </row>
    <row r="1219" spans="15:26" x14ac:dyDescent="0.25">
      <c r="O1219" s="37" t="s">
        <v>19</v>
      </c>
      <c r="P1219" s="31">
        <f>_xll.qlCalendarAdvance(Calendar,P1218,O1218,"f",,Trigger)</f>
        <v>61098</v>
      </c>
      <c r="Q1219" s="31">
        <f>_xll.qlInterestRateIndexValueDate(Index,P1219,Trigger)</f>
        <v>61100</v>
      </c>
      <c r="R1219" s="31">
        <f>_xll.qlInterestRateIndexMaturity(Index,Q1219,Trigger)</f>
        <v>61191</v>
      </c>
      <c r="S1219" s="32">
        <f>_xll.qlDayCounterYearFraction(DayCounter,Q1219,R1219,,,Trigger)</f>
        <v>0.25277777777777777</v>
      </c>
      <c r="T1219" s="33">
        <f>_xll.qlIndexFixing(Index,P1219,,AllTriggers)</f>
        <v>1.0837733668501484E-2</v>
      </c>
      <c r="U1219" s="34">
        <f>_xll.qlYieldTSDiscount(OisCurve,Q1219,,AllTriggers)</f>
        <v>0.5452924938420014</v>
      </c>
      <c r="V1219" s="34">
        <f>_xll.qlYieldTSDiscount(OisCurve,R1219,,AllTriggers)</f>
        <v>0.54383635344535852</v>
      </c>
      <c r="W1219" s="33">
        <f t="shared" si="83"/>
        <v>1.0592442705964648E-2</v>
      </c>
      <c r="X1219" s="35">
        <f t="shared" si="84"/>
        <v>6.1836617722309429E-5</v>
      </c>
      <c r="Y1219" s="33">
        <f t="shared" si="78"/>
        <v>2.452909625368354E-4</v>
      </c>
      <c r="Z1219" s="54"/>
    </row>
    <row r="1220" spans="15:26" x14ac:dyDescent="0.25">
      <c r="O1220" s="37" t="s">
        <v>19</v>
      </c>
      <c r="P1220" s="31">
        <f>_xll.qlCalendarAdvance(Calendar,P1219,O1219,"f",,Trigger)</f>
        <v>61128</v>
      </c>
      <c r="Q1220" s="31">
        <f>_xll.qlInterestRateIndexValueDate(Index,P1220,Trigger)</f>
        <v>61130</v>
      </c>
      <c r="R1220" s="31">
        <f>_xll.qlInterestRateIndexMaturity(Index,Q1220,Trigger)</f>
        <v>61224</v>
      </c>
      <c r="S1220" s="32">
        <f>_xll.qlDayCounterYearFraction(DayCounter,Q1220,R1220,,,Trigger)</f>
        <v>0.26111111111111113</v>
      </c>
      <c r="T1220" s="33">
        <f>_xll.qlIndexFixing(Index,P1220,,AllTriggers)</f>
        <v>1.0856487544422597E-2</v>
      </c>
      <c r="U1220" s="34">
        <f>_xll.qlYieldTSDiscount(OisCurve,Q1220,,AllTriggers)</f>
        <v>0.54481280279751854</v>
      </c>
      <c r="V1220" s="34">
        <f>_xll.qlYieldTSDiscount(OisCurve,R1220,,AllTriggers)</f>
        <v>0.54330753103821194</v>
      </c>
      <c r="W1220" s="33">
        <f t="shared" si="83"/>
        <v>1.0610695118731627E-2</v>
      </c>
      <c r="X1220" s="35">
        <f t="shared" si="84"/>
        <v>6.399976382126986E-5</v>
      </c>
      <c r="Y1220" s="33">
        <f t="shared" ref="Y1220:Y1283" si="85">T1220-W1220</f>
        <v>2.4579242569097021E-4</v>
      </c>
      <c r="Z1220" s="54"/>
    </row>
    <row r="1221" spans="15:26" x14ac:dyDescent="0.25">
      <c r="O1221" s="37" t="s">
        <v>19</v>
      </c>
      <c r="P1221" s="31">
        <f>_xll.qlCalendarAdvance(Calendar,P1220,O1220,"f",,Trigger)</f>
        <v>61161</v>
      </c>
      <c r="Q1221" s="31">
        <f>_xll.qlInterestRateIndexValueDate(Index,P1221,Trigger)</f>
        <v>61163</v>
      </c>
      <c r="R1221" s="31">
        <f>_xll.qlInterestRateIndexMaturity(Index,Q1221,Trigger)</f>
        <v>61255</v>
      </c>
      <c r="S1221" s="32">
        <f>_xll.qlDayCounterYearFraction(DayCounter,Q1221,R1221,,,Trigger)</f>
        <v>0.25555555555555554</v>
      </c>
      <c r="T1221" s="33">
        <f>_xll.qlIndexFixing(Index,P1221,,AllTriggers)</f>
        <v>1.0874517905725497E-2</v>
      </c>
      <c r="U1221" s="34">
        <f>_xll.qlYieldTSDiscount(OisCurve,Q1221,,AllTriggers)</f>
        <v>0.54428473560987634</v>
      </c>
      <c r="V1221" s="34">
        <f>_xll.qlYieldTSDiscount(OisCurve,R1221,,AllTriggers)</f>
        <v>0.54281040262561697</v>
      </c>
      <c r="W1221" s="33">
        <f t="shared" si="83"/>
        <v>1.0628258119106346E-2</v>
      </c>
      <c r="X1221" s="35">
        <f t="shared" si="84"/>
        <v>6.2760616977479322E-5</v>
      </c>
      <c r="Y1221" s="33">
        <f t="shared" si="85"/>
        <v>2.4625978661915043E-4</v>
      </c>
      <c r="Z1221" s="54"/>
    </row>
    <row r="1222" spans="15:26" x14ac:dyDescent="0.25">
      <c r="O1222" s="37" t="s">
        <v>19</v>
      </c>
      <c r="P1222" s="31">
        <f>_xll.qlCalendarAdvance(Calendar,P1221,O1221,"f",,Trigger)</f>
        <v>61191</v>
      </c>
      <c r="Q1222" s="31">
        <f>_xll.qlInterestRateIndexValueDate(Index,P1222,Trigger)</f>
        <v>61193</v>
      </c>
      <c r="R1222" s="31">
        <f>_xll.qlInterestRateIndexMaturity(Index,Q1222,Trigger)</f>
        <v>61287</v>
      </c>
      <c r="S1222" s="32">
        <f>_xll.qlDayCounterYearFraction(DayCounter,Q1222,R1222,,,Trigger)</f>
        <v>0.26111111111111113</v>
      </c>
      <c r="T1222" s="33">
        <f>_xll.qlIndexFixing(Index,P1222,,AllTriggers)</f>
        <v>1.0892428629370796E-2</v>
      </c>
      <c r="U1222" s="34">
        <f>_xll.qlYieldTSDiscount(OisCurve,Q1222,,AllTriggers)</f>
        <v>0.54380431494986026</v>
      </c>
      <c r="V1222" s="34">
        <f>_xll.qlYieldTSDiscount(OisCurve,R1222,,AllTriggers)</f>
        <v>0.54229688763227613</v>
      </c>
      <c r="W1222" s="33">
        <f t="shared" si="83"/>
        <v>1.0645692477301081E-2</v>
      </c>
      <c r="X1222" s="35">
        <f t="shared" si="84"/>
        <v>6.4244899235504991E-5</v>
      </c>
      <c r="Y1222" s="33">
        <f t="shared" si="85"/>
        <v>2.4673615206971533E-4</v>
      </c>
      <c r="Z1222" s="54"/>
    </row>
    <row r="1223" spans="15:26" x14ac:dyDescent="0.25">
      <c r="O1223" s="37" t="s">
        <v>19</v>
      </c>
      <c r="P1223" s="31">
        <f>_xll.qlCalendarAdvance(Calendar,P1222,O1222,"f",,Trigger)</f>
        <v>61224</v>
      </c>
      <c r="Q1223" s="31">
        <f>_xll.qlInterestRateIndexValueDate(Index,P1223,Trigger)</f>
        <v>61226</v>
      </c>
      <c r="R1223" s="31">
        <f>_xll.qlInterestRateIndexMaturity(Index,Q1223,Trigger)</f>
        <v>61318</v>
      </c>
      <c r="S1223" s="32">
        <f>_xll.qlDayCounterYearFraction(DayCounter,Q1223,R1223,,,Trigger)</f>
        <v>0.25555555555555554</v>
      </c>
      <c r="T1223" s="33">
        <f>_xll.qlIndexFixing(Index,P1223,,AllTriggers)</f>
        <v>1.0910051827354984E-2</v>
      </c>
      <c r="U1223" s="34">
        <f>_xll.qlYieldTSDiscount(OisCurve,Q1223,,AllTriggers)</f>
        <v>0.54327546852038977</v>
      </c>
      <c r="V1223" s="34">
        <f>_xll.qlYieldTSDiscount(OisCurve,R1223,,AllTriggers)</f>
        <v>0.54179909153206718</v>
      </c>
      <c r="W1223" s="33">
        <f t="shared" si="83"/>
        <v>1.0662859048496712E-2</v>
      </c>
      <c r="X1223" s="35">
        <f t="shared" si="84"/>
        <v>6.2997831995033313E-5</v>
      </c>
      <c r="Y1223" s="33">
        <f t="shared" si="85"/>
        <v>2.4719277885827153E-4</v>
      </c>
      <c r="Z1223" s="54"/>
    </row>
    <row r="1224" spans="15:26" x14ac:dyDescent="0.25">
      <c r="O1224" s="37" t="s">
        <v>19</v>
      </c>
      <c r="P1224" s="31">
        <f>_xll.qlCalendarAdvance(Calendar,P1223,O1223,"f",,Trigger)</f>
        <v>61255</v>
      </c>
      <c r="Q1224" s="31">
        <f>_xll.qlInterestRateIndexValueDate(Index,P1224,Trigger)</f>
        <v>61259</v>
      </c>
      <c r="R1224" s="31">
        <f>_xll.qlInterestRateIndexMaturity(Index,Q1224,Trigger)</f>
        <v>61350</v>
      </c>
      <c r="S1224" s="32">
        <f>_xll.qlDayCounterYearFraction(DayCounter,Q1224,R1224,,,Trigger)</f>
        <v>0.25277777777777777</v>
      </c>
      <c r="T1224" s="33">
        <f>_xll.qlIndexFixing(Index,P1224,,AllTriggers)</f>
        <v>1.0927906880119123E-2</v>
      </c>
      <c r="U1224" s="34">
        <f>_xll.qlYieldTSDiscount(OisCurve,Q1224,,AllTriggers)</f>
        <v>0.54274623247524678</v>
      </c>
      <c r="V1224" s="34">
        <f>_xll.qlYieldTSDiscount(OisCurve,R1224,,AllTriggers)</f>
        <v>0.54128490966555765</v>
      </c>
      <c r="W1224" s="33">
        <f t="shared" si="83"/>
        <v>1.0680248360649366E-2</v>
      </c>
      <c r="X1224" s="35">
        <f t="shared" si="84"/>
        <v>6.2432066327734837E-5</v>
      </c>
      <c r="Y1224" s="33">
        <f t="shared" si="85"/>
        <v>2.476585194697567E-4</v>
      </c>
      <c r="Z1224" s="54"/>
    </row>
    <row r="1225" spans="15:26" x14ac:dyDescent="0.25">
      <c r="O1225" s="37" t="s">
        <v>19</v>
      </c>
      <c r="P1225" s="31">
        <f>_xll.qlCalendarAdvance(Calendar,P1224,O1224,"f",,Trigger)</f>
        <v>61287</v>
      </c>
      <c r="Q1225" s="31">
        <f>_xll.qlInterestRateIndexValueDate(Index,P1225,Trigger)</f>
        <v>61289</v>
      </c>
      <c r="R1225" s="31">
        <f>_xll.qlInterestRateIndexMaturity(Index,Q1225,Trigger)</f>
        <v>61381</v>
      </c>
      <c r="S1225" s="32">
        <f>_xll.qlDayCounterYearFraction(DayCounter,Q1225,R1225,,,Trigger)</f>
        <v>0.25555555555555554</v>
      </c>
      <c r="T1225" s="33">
        <f>_xll.qlIndexFixing(Index,P1225,,AllTriggers)</f>
        <v>1.0944788398493619E-2</v>
      </c>
      <c r="U1225" s="34">
        <f>_xll.qlYieldTSDiscount(OisCurve,Q1225,,AllTriggers)</f>
        <v>0.54226478139344847</v>
      </c>
      <c r="V1225" s="34">
        <f>_xll.qlYieldTSDiscount(OisCurve,R1225,,AllTriggers)</f>
        <v>0.54078648911863469</v>
      </c>
      <c r="W1225" s="33">
        <f t="shared" si="83"/>
        <v>1.0696683555003703E-2</v>
      </c>
      <c r="X1225" s="35">
        <f t="shared" si="84"/>
        <v>6.3229722035910242E-5</v>
      </c>
      <c r="Y1225" s="33">
        <f t="shared" si="85"/>
        <v>2.4810484348991579E-4</v>
      </c>
      <c r="Z1225" s="54"/>
    </row>
    <row r="1226" spans="15:26" x14ac:dyDescent="0.25">
      <c r="O1226" s="37" t="s">
        <v>19</v>
      </c>
      <c r="P1226" s="31">
        <f>_xll.qlCalendarAdvance(Calendar,P1225,O1225,"f",,Trigger)</f>
        <v>61318</v>
      </c>
      <c r="Q1226" s="31">
        <f>_xll.qlInterestRateIndexValueDate(Index,P1226,Trigger)</f>
        <v>61322</v>
      </c>
      <c r="R1226" s="31">
        <f>_xll.qlInterestRateIndexMaturity(Index,Q1226,Trigger)</f>
        <v>61414</v>
      </c>
      <c r="S1226" s="32">
        <f>_xll.qlDayCounterYearFraction(DayCounter,Q1226,R1226,,,Trigger)</f>
        <v>0.25555555555555554</v>
      </c>
      <c r="T1226" s="33">
        <f>_xll.qlIndexFixing(Index,P1226,,AllTriggers)</f>
        <v>1.0962665521174078E-2</v>
      </c>
      <c r="U1226" s="34">
        <f>_xll.qlYieldTSDiscount(OisCurve,Q1226,,AllTriggers)</f>
        <v>0.54173483678217249</v>
      </c>
      <c r="V1226" s="34">
        <f>_xll.qlYieldTSDiscount(OisCurve,R1226,,AllTriggers)</f>
        <v>0.54025559236173171</v>
      </c>
      <c r="W1226" s="33">
        <f t="shared" si="83"/>
        <v>1.0714091281972296E-2</v>
      </c>
      <c r="X1226" s="35">
        <f t="shared" si="84"/>
        <v>6.3349063087425372E-5</v>
      </c>
      <c r="Y1226" s="33">
        <f t="shared" si="85"/>
        <v>2.4857423920178132E-4</v>
      </c>
      <c r="Z1226" s="54"/>
    </row>
    <row r="1227" spans="15:26" x14ac:dyDescent="0.25">
      <c r="O1227" s="37" t="s">
        <v>19</v>
      </c>
      <c r="P1227" s="31">
        <f>_xll.qlCalendarAdvance(Calendar,P1226,O1226,"f",,Trigger)</f>
        <v>61350</v>
      </c>
      <c r="Q1227" s="31">
        <f>_xll.qlInterestRateIndexValueDate(Index,P1227,Trigger)</f>
        <v>61352</v>
      </c>
      <c r="R1227" s="31">
        <f>_xll.qlInterestRateIndexMaturity(Index,Q1227,Trigger)</f>
        <v>61443</v>
      </c>
      <c r="S1227" s="32">
        <f>_xll.qlDayCounterYearFraction(DayCounter,Q1227,R1227,,,Trigger)</f>
        <v>0.25277777777777777</v>
      </c>
      <c r="T1227" s="33">
        <f>_xll.qlIndexFixing(Index,P1227,,AllTriggers)</f>
        <v>1.0978295670709721E-2</v>
      </c>
      <c r="U1227" s="34">
        <f>_xll.qlYieldTSDiscount(OisCurve,Q1227,,AllTriggers)</f>
        <v>0.54125276249949283</v>
      </c>
      <c r="V1227" s="34">
        <f>_xll.qlYieldTSDiscount(OisCurve,R1227,,AllTriggers)</f>
        <v>0.53978878396550767</v>
      </c>
      <c r="W1227" s="33">
        <f t="shared" si="83"/>
        <v>1.0729314137657322E-2</v>
      </c>
      <c r="X1227" s="35">
        <f t="shared" si="84"/>
        <v>6.2764797113142213E-5</v>
      </c>
      <c r="Y1227" s="33">
        <f t="shared" si="85"/>
        <v>2.4898153305239965E-4</v>
      </c>
      <c r="Z1227" s="54"/>
    </row>
    <row r="1228" spans="15:26" x14ac:dyDescent="0.25">
      <c r="O1228" s="37" t="s">
        <v>19</v>
      </c>
      <c r="P1228" s="31">
        <f>_xll.qlCalendarAdvance(Calendar,P1227,O1227,"f",,Trigger)</f>
        <v>61381</v>
      </c>
      <c r="Q1228" s="31">
        <f>_xll.qlInterestRateIndexValueDate(Index,P1228,Trigger)</f>
        <v>61385</v>
      </c>
      <c r="R1228" s="31">
        <f>_xll.qlInterestRateIndexMaturity(Index,Q1228,Trigger)</f>
        <v>61477</v>
      </c>
      <c r="S1228" s="32">
        <f>_xll.qlDayCounterYearFraction(DayCounter,Q1228,R1228,,,Trigger)</f>
        <v>0.25555555555555554</v>
      </c>
      <c r="T1228" s="33">
        <f>_xll.qlIndexFixing(Index,P1228,,AllTriggers)</f>
        <v>1.099618704147364E-2</v>
      </c>
      <c r="U1228" s="34">
        <f>_xll.qlYieldTSDiscount(OisCurve,Q1228,,AllTriggers)</f>
        <v>0.54072215533894463</v>
      </c>
      <c r="V1228" s="34">
        <f>_xll.qlYieldTSDiscount(OisCurve,R1228,,AllTriggers)</f>
        <v>0.53924119022156769</v>
      </c>
      <c r="W1228" s="33">
        <f t="shared" si="83"/>
        <v>1.0746732629424209E-2</v>
      </c>
      <c r="X1228" s="35">
        <f t="shared" si="84"/>
        <v>6.3572838878709519E-5</v>
      </c>
      <c r="Y1228" s="33">
        <f t="shared" si="85"/>
        <v>2.4945441204943068E-4</v>
      </c>
      <c r="Z1228" s="54"/>
    </row>
    <row r="1229" spans="15:26" x14ac:dyDescent="0.25">
      <c r="O1229" s="37" t="s">
        <v>19</v>
      </c>
      <c r="P1229" s="31">
        <f>_xll.qlCalendarAdvance(Calendar,P1228,O1228,"f",,Trigger)</f>
        <v>61413</v>
      </c>
      <c r="Q1229" s="31">
        <f>_xll.qlInterestRateIndexValueDate(Index,P1229,Trigger)</f>
        <v>61415</v>
      </c>
      <c r="R1229" s="31">
        <f>_xll.qlInterestRateIndexMaturity(Index,Q1229,Trigger)</f>
        <v>61505</v>
      </c>
      <c r="S1229" s="32">
        <f>_xll.qlDayCounterYearFraction(DayCounter,Q1229,R1229,,,Trigger)</f>
        <v>0.25</v>
      </c>
      <c r="T1229" s="33">
        <f>_xll.qlIndexFixing(Index,P1229,,AllTriggers)</f>
        <v>1.1011016138066765E-2</v>
      </c>
      <c r="U1229" s="34">
        <f>_xll.qlYieldTSDiscount(OisCurve,Q1229,,AllTriggers)</f>
        <v>0.54023949955728423</v>
      </c>
      <c r="V1229" s="34">
        <f>_xll.qlYieldTSDiscount(OisCurve,R1229,,AllTriggers)</f>
        <v>0.5387899957128014</v>
      </c>
      <c r="W1229" s="33">
        <f t="shared" si="83"/>
        <v>1.0761178611456756E-2</v>
      </c>
      <c r="X1229" s="35">
        <f t="shared" si="84"/>
        <v>6.2289858306864289E-5</v>
      </c>
      <c r="Y1229" s="33">
        <f t="shared" si="85"/>
        <v>2.4983752661000835E-4</v>
      </c>
      <c r="Z1229" s="54"/>
    </row>
    <row r="1230" spans="15:26" x14ac:dyDescent="0.25">
      <c r="O1230" s="37" t="s">
        <v>19</v>
      </c>
      <c r="P1230" s="31">
        <f>_xll.qlCalendarAdvance(Calendar,P1229,O1229,"f",,Trigger)</f>
        <v>61442</v>
      </c>
      <c r="Q1230" s="31">
        <f>_xll.qlInterestRateIndexValueDate(Index,P1230,Trigger)</f>
        <v>61444</v>
      </c>
      <c r="R1230" s="31">
        <f>_xll.qlInterestRateIndexMaturity(Index,Q1230,Trigger)</f>
        <v>61536</v>
      </c>
      <c r="S1230" s="32">
        <f>_xll.qlDayCounterYearFraction(DayCounter,Q1230,R1230,,,Trigger)</f>
        <v>0.25555555555555554</v>
      </c>
      <c r="T1230" s="33">
        <f>_xll.qlIndexFixing(Index,P1230,,AllTriggers)</f>
        <v>1.1026857144532618E-2</v>
      </c>
      <c r="U1230" s="34">
        <f>_xll.qlYieldTSDiscount(OisCurve,Q1230,,AllTriggers)</f>
        <v>0.53977268284942781</v>
      </c>
      <c r="V1230" s="34">
        <f>_xll.qlYieldTSDiscount(OisCurve,R1230,,AllTriggers)</f>
        <v>0.53829022116905756</v>
      </c>
      <c r="W1230" s="33">
        <f t="shared" si="83"/>
        <v>1.0776597422754719E-2</v>
      </c>
      <c r="X1230" s="35">
        <f t="shared" si="84"/>
        <v>6.3777578114173188E-5</v>
      </c>
      <c r="Y1230" s="33">
        <f t="shared" si="85"/>
        <v>2.5025972177789881E-4</v>
      </c>
      <c r="Z1230" s="54"/>
    </row>
    <row r="1231" spans="15:26" x14ac:dyDescent="0.25">
      <c r="O1231" s="37" t="s">
        <v>19</v>
      </c>
      <c r="P1231" s="31">
        <f>_xll.qlCalendarAdvance(Calendar,P1230,O1230,"f",,Trigger)</f>
        <v>61477</v>
      </c>
      <c r="Q1231" s="31">
        <f>_xll.qlInterestRateIndexValueDate(Index,P1231,Trigger)</f>
        <v>61479</v>
      </c>
      <c r="R1231" s="31">
        <f>_xll.qlInterestRateIndexMaturity(Index,Q1231,Trigger)</f>
        <v>61570</v>
      </c>
      <c r="S1231" s="32">
        <f>_xll.qlDayCounterYearFraction(DayCounter,Q1231,R1231,,,Trigger)</f>
        <v>0.25277777777777777</v>
      </c>
      <c r="T1231" s="33">
        <f>_xll.qlIndexFixing(Index,P1231,,AllTriggers)</f>
        <v>1.1044299587925023E-2</v>
      </c>
      <c r="U1231" s="34">
        <f>_xll.qlYieldTSDiscount(OisCurve,Q1231,,AllTriggers)</f>
        <v>0.53920896897244774</v>
      </c>
      <c r="V1231" s="34">
        <f>_xll.qlYieldTSDiscount(OisCurve,R1231,,AllTriggers)</f>
        <v>0.5377418058249479</v>
      </c>
      <c r="W1231" s="33">
        <f t="shared" si="83"/>
        <v>1.0793585024123387E-2</v>
      </c>
      <c r="X1231" s="35">
        <f t="shared" si="84"/>
        <v>6.320063240053422E-5</v>
      </c>
      <c r="Y1231" s="33">
        <f t="shared" si="85"/>
        <v>2.5071456380163643E-4</v>
      </c>
      <c r="Z1231" s="54"/>
    </row>
    <row r="1232" spans="15:26" x14ac:dyDescent="0.25">
      <c r="O1232" s="37" t="s">
        <v>19</v>
      </c>
      <c r="P1232" s="31">
        <f>_xll.qlCalendarAdvance(Calendar,P1231,O1231,"f",,Trigger)</f>
        <v>61507</v>
      </c>
      <c r="Q1232" s="31">
        <f>_xll.qlInterestRateIndexValueDate(Index,P1232,Trigger)</f>
        <v>61511</v>
      </c>
      <c r="R1232" s="31">
        <f>_xll.qlInterestRateIndexMaturity(Index,Q1232,Trigger)</f>
        <v>61603</v>
      </c>
      <c r="S1232" s="32">
        <f>_xll.qlDayCounterYearFraction(DayCounter,Q1232,R1232,,,Trigger)</f>
        <v>0.25555555555555554</v>
      </c>
      <c r="T1232" s="33">
        <f>_xll.qlIndexFixing(Index,P1232,,AllTriggers)</f>
        <v>1.1060837853079606E-2</v>
      </c>
      <c r="U1232" s="34">
        <f>_xll.qlYieldTSDiscount(OisCurve,Q1232,,AllTriggers)</f>
        <v>0.53869328436304487</v>
      </c>
      <c r="V1232" s="34">
        <f>_xll.qlYieldTSDiscount(OisCurve,R1232,,AllTriggers)</f>
        <v>0.53720925706895806</v>
      </c>
      <c r="W1232" s="33">
        <f t="shared" si="83"/>
        <v>1.0809685887341254E-2</v>
      </c>
      <c r="X1232" s="35">
        <f t="shared" si="84"/>
        <v>6.4004415532541324E-5</v>
      </c>
      <c r="Y1232" s="33">
        <f t="shared" si="85"/>
        <v>2.5115196573835194E-4</v>
      </c>
      <c r="Z1232" s="54"/>
    </row>
    <row r="1233" spans="15:26" x14ac:dyDescent="0.25">
      <c r="O1233" s="37" t="s">
        <v>19</v>
      </c>
      <c r="P1233" s="31">
        <f>_xll.qlCalendarAdvance(Calendar,P1232,O1232,"f",,Trigger)</f>
        <v>61539</v>
      </c>
      <c r="Q1233" s="31">
        <f>_xll.qlInterestRateIndexValueDate(Index,P1233,Trigger)</f>
        <v>61541</v>
      </c>
      <c r="R1233" s="31">
        <f>_xll.qlInterestRateIndexMaturity(Index,Q1233,Trigger)</f>
        <v>61633</v>
      </c>
      <c r="S1233" s="32">
        <f>_xll.qlDayCounterYearFraction(DayCounter,Q1233,R1233,,,Trigger)</f>
        <v>0.25555555555555554</v>
      </c>
      <c r="T1233" s="33">
        <f>_xll.qlIndexFixing(Index,P1233,,AllTriggers)</f>
        <v>1.107576076180573E-2</v>
      </c>
      <c r="U1233" s="34">
        <f>_xll.qlYieldTSDiscount(OisCurve,Q1233,,AllTriggers)</f>
        <v>0.53820958963245336</v>
      </c>
      <c r="V1233" s="34">
        <f>_xll.qlYieldTSDiscount(OisCurve,R1233,,AllTriggers)</f>
        <v>0.53672490721723565</v>
      </c>
      <c r="W1233" s="33">
        <f t="shared" si="83"/>
        <v>1.0824216957393697E-2</v>
      </c>
      <c r="X1233" s="35">
        <f t="shared" si="84"/>
        <v>6.410403243685238E-5</v>
      </c>
      <c r="Y1233" s="33">
        <f t="shared" si="85"/>
        <v>2.5154380441203342E-4</v>
      </c>
      <c r="Z1233" s="54"/>
    </row>
    <row r="1234" spans="15:26" x14ac:dyDescent="0.25">
      <c r="O1234" s="37" t="s">
        <v>19</v>
      </c>
      <c r="P1234" s="31">
        <f>_xll.qlCalendarAdvance(Calendar,P1233,O1233,"f",,Trigger)</f>
        <v>61569</v>
      </c>
      <c r="Q1234" s="31">
        <f>_xll.qlInterestRateIndexValueDate(Index,P1234,Trigger)</f>
        <v>61571</v>
      </c>
      <c r="R1234" s="31">
        <f>_xll.qlInterestRateIndexMaturity(Index,Q1234,Trigger)</f>
        <v>61665</v>
      </c>
      <c r="S1234" s="32">
        <f>_xll.qlDayCounterYearFraction(DayCounter,Q1234,R1234,,,Trigger)</f>
        <v>0.26111111111111113</v>
      </c>
      <c r="T1234" s="33">
        <f>_xll.qlIndexFixing(Index,P1234,,AllTriggers)</f>
        <v>1.1091329394798954E-2</v>
      </c>
      <c r="U1234" s="34">
        <f>_xll.qlYieldTSDiscount(OisCurve,Q1234,,AllTriggers)</f>
        <v>0.53772567173041974</v>
      </c>
      <c r="V1234" s="34">
        <f>_xll.qlYieldTSDiscount(OisCurve,R1234,,AllTriggers)</f>
        <v>0.53620805277208605</v>
      </c>
      <c r="W1234" s="33">
        <f t="shared" si="83"/>
        <v>1.0839370432278733E-2</v>
      </c>
      <c r="X1234" s="35">
        <f t="shared" si="84"/>
        <v>6.5601456251808657E-5</v>
      </c>
      <c r="Y1234" s="33">
        <f t="shared" si="85"/>
        <v>2.5195896252022155E-4</v>
      </c>
      <c r="Z1234" s="54"/>
    </row>
    <row r="1235" spans="15:26" x14ac:dyDescent="0.25">
      <c r="O1235" s="37" t="s">
        <v>19</v>
      </c>
      <c r="P1235" s="31">
        <f>_xll.qlCalendarAdvance(Calendar,P1234,O1234,"f",,Trigger)</f>
        <v>61602</v>
      </c>
      <c r="Q1235" s="31">
        <f>_xll.qlInterestRateIndexValueDate(Index,P1235,Trigger)</f>
        <v>61604</v>
      </c>
      <c r="R1235" s="31">
        <f>_xll.qlInterestRateIndexMaturity(Index,Q1235,Trigger)</f>
        <v>61696</v>
      </c>
      <c r="S1235" s="32">
        <f>_xll.qlDayCounterYearFraction(DayCounter,Q1235,R1235,,,Trigger)</f>
        <v>0.25555555555555554</v>
      </c>
      <c r="T1235" s="33">
        <f>_xll.qlIndexFixing(Index,P1235,,AllTriggers)</f>
        <v>1.1106510272493875E-2</v>
      </c>
      <c r="U1235" s="34">
        <f>_xll.qlYieldTSDiscount(OisCurve,Q1235,,AllTriggers)</f>
        <v>0.53719311531098501</v>
      </c>
      <c r="V1235" s="34">
        <f>_xll.qlYieldTSDiscount(OisCurve,R1235,,AllTriggers)</f>
        <v>0.53570714904553429</v>
      </c>
      <c r="W1235" s="33">
        <f t="shared" si="83"/>
        <v>1.0854159057420903E-2</v>
      </c>
      <c r="X1235" s="35">
        <f t="shared" si="84"/>
        <v>6.4309297596253843E-5</v>
      </c>
      <c r="Y1235" s="33">
        <f t="shared" si="85"/>
        <v>2.523512150729712E-4</v>
      </c>
      <c r="Z1235" s="54"/>
    </row>
    <row r="1236" spans="15:26" x14ac:dyDescent="0.25">
      <c r="O1236" s="37" t="s">
        <v>19</v>
      </c>
      <c r="P1236" s="31">
        <f>_xll.qlCalendarAdvance(Calendar,P1235,O1235,"f",,Trigger)</f>
        <v>61633</v>
      </c>
      <c r="Q1236" s="31">
        <f>_xll.qlInterestRateIndexValueDate(Index,P1236,Trigger)</f>
        <v>61637</v>
      </c>
      <c r="R1236" s="31">
        <f>_xll.qlInterestRateIndexMaturity(Index,Q1236,Trigger)</f>
        <v>61730</v>
      </c>
      <c r="S1236" s="32">
        <f>_xll.qlDayCounterYearFraction(DayCounter,Q1236,R1236,,,Trigger)</f>
        <v>0.25833333333333336</v>
      </c>
      <c r="T1236" s="33">
        <f>_xll.qlIndexFixing(Index,P1236,,AllTriggers)</f>
        <v>1.112270654470479E-2</v>
      </c>
      <c r="U1236" s="34">
        <f>_xll.qlYieldTSDiscount(OisCurve,Q1236,,AllTriggers)</f>
        <v>0.53666031231069844</v>
      </c>
      <c r="V1236" s="34">
        <f>_xll.qlYieldTSDiscount(OisCurve,R1236,,AllTriggers)</f>
        <v>0.53515755541183885</v>
      </c>
      <c r="W1236" s="33">
        <f t="shared" si="83"/>
        <v>1.08699268479536E-2</v>
      </c>
      <c r="X1236" s="35">
        <f t="shared" si="84"/>
        <v>6.5116444413820012E-5</v>
      </c>
      <c r="Y1236" s="33">
        <f t="shared" si="85"/>
        <v>2.5277969675118958E-4</v>
      </c>
      <c r="Z1236" s="54"/>
    </row>
    <row r="1237" spans="15:26" x14ac:dyDescent="0.25">
      <c r="O1237" s="37" t="s">
        <v>19</v>
      </c>
      <c r="P1237" s="31">
        <f>_xll.qlCalendarAdvance(Calendar,P1236,O1236,"f",,Trigger)</f>
        <v>61665</v>
      </c>
      <c r="Q1237" s="31">
        <f>_xll.qlInterestRateIndexValueDate(Index,P1237,Trigger)</f>
        <v>61667</v>
      </c>
      <c r="R1237" s="31">
        <f>_xll.qlInterestRateIndexMaturity(Index,Q1237,Trigger)</f>
        <v>61759</v>
      </c>
      <c r="S1237" s="32">
        <f>_xll.qlDayCounterYearFraction(DayCounter,Q1237,R1237,,,Trigger)</f>
        <v>0.25555555555555554</v>
      </c>
      <c r="T1237" s="33">
        <f>_xll.qlIndexFixing(Index,P1237,,AllTriggers)</f>
        <v>1.1136462312895692E-2</v>
      </c>
      <c r="U1237" s="34">
        <f>_xll.qlYieldTSDiscount(OisCurve,Q1237,,AllTriggers)</f>
        <v>0.53617574226011089</v>
      </c>
      <c r="V1237" s="34">
        <f>_xll.qlYieldTSDiscount(OisCurve,R1237,,AllTriggers)</f>
        <v>0.53468861598328532</v>
      </c>
      <c r="W1237" s="33">
        <f t="shared" si="83"/>
        <v>1.0883324620968643E-2</v>
      </c>
      <c r="X1237" s="35">
        <f t="shared" si="84"/>
        <v>6.4509237779057906E-5</v>
      </c>
      <c r="Y1237" s="33">
        <f t="shared" si="85"/>
        <v>2.5313769192704914E-4</v>
      </c>
      <c r="Z1237" s="54"/>
    </row>
    <row r="1238" spans="15:26" x14ac:dyDescent="0.25">
      <c r="O1238" s="37" t="s">
        <v>19</v>
      </c>
      <c r="P1238" s="31">
        <f>_xll.qlCalendarAdvance(Calendar,P1237,O1237,"f",,Trigger)</f>
        <v>61696</v>
      </c>
      <c r="Q1238" s="31">
        <f>_xll.qlInterestRateIndexValueDate(Index,P1238,Trigger)</f>
        <v>61700</v>
      </c>
      <c r="R1238" s="31">
        <f>_xll.qlInterestRateIndexMaturity(Index,Q1238,Trigger)</f>
        <v>61791</v>
      </c>
      <c r="S1238" s="32">
        <f>_xll.qlDayCounterYearFraction(DayCounter,Q1238,R1238,,,Trigger)</f>
        <v>0.25277777777777777</v>
      </c>
      <c r="T1238" s="33">
        <f>_xll.qlIndexFixing(Index,P1238,,AllTriggers)</f>
        <v>1.1151430924560298E-2</v>
      </c>
      <c r="U1238" s="34">
        <f>_xll.qlYieldTSDiscount(OisCurve,Q1238,,AllTriggers)</f>
        <v>0.53564250242814471</v>
      </c>
      <c r="V1238" s="34">
        <f>_xll.qlYieldTSDiscount(OisCurve,R1238,,AllTriggers)</f>
        <v>0.53417099604866614</v>
      </c>
      <c r="W1238" s="33">
        <f t="shared" si="83"/>
        <v>1.0897903408978584E-2</v>
      </c>
      <c r="X1238" s="35">
        <f t="shared" si="84"/>
        <v>6.3908023719328E-5</v>
      </c>
      <c r="Y1238" s="33">
        <f t="shared" si="85"/>
        <v>2.5352751558171439E-4</v>
      </c>
      <c r="Z1238" s="54"/>
    </row>
    <row r="1239" spans="15:26" x14ac:dyDescent="0.25">
      <c r="O1239" s="37" t="s">
        <v>19</v>
      </c>
      <c r="P1239" s="31">
        <f>_xll.qlCalendarAdvance(Calendar,P1238,O1238,"f",,Trigger)</f>
        <v>61728</v>
      </c>
      <c r="Q1239" s="31">
        <f>_xll.qlInterestRateIndexValueDate(Index,P1239,Trigger)</f>
        <v>61731</v>
      </c>
      <c r="R1239" s="31">
        <f>_xll.qlInterestRateIndexMaturity(Index,Q1239,Trigger)</f>
        <v>61821</v>
      </c>
      <c r="S1239" s="32">
        <f>_xll.qlDayCounterYearFraction(DayCounter,Q1239,R1239,,,Trigger)</f>
        <v>0.25</v>
      </c>
      <c r="T1239" s="33">
        <f>_xll.qlIndexFixing(Index,P1239,,AllTriggers)</f>
        <v>1.1165273940593856E-2</v>
      </c>
      <c r="U1239" s="34">
        <f>_xll.qlYieldTSDiscount(OisCurve,Q1239,,AllTriggers)</f>
        <v>0.53514138761244279</v>
      </c>
      <c r="V1239" s="34">
        <f>_xll.qlYieldTSDiscount(OisCurve,R1239,,AllTriggers)</f>
        <v>0.53368557526052163</v>
      </c>
      <c r="W1239" s="33">
        <f t="shared" si="83"/>
        <v>1.0911386174980997E-2</v>
      </c>
      <c r="X1239" s="35">
        <f t="shared" si="84"/>
        <v>6.3297267392065345E-5</v>
      </c>
      <c r="Y1239" s="33">
        <f t="shared" si="85"/>
        <v>2.5388776561285908E-4</v>
      </c>
      <c r="Z1239" s="54"/>
    </row>
    <row r="1240" spans="15:26" x14ac:dyDescent="0.25">
      <c r="O1240" s="37" t="s">
        <v>19</v>
      </c>
      <c r="P1240" s="31">
        <f>_xll.qlCalendarAdvance(Calendar,P1239,O1239,"f",,Trigger)</f>
        <v>61759</v>
      </c>
      <c r="Q1240" s="31">
        <f>_xll.qlInterestRateIndexValueDate(Index,P1240,Trigger)</f>
        <v>61763</v>
      </c>
      <c r="R1240" s="31">
        <f>_xll.qlInterestRateIndexMaturity(Index,Q1240,Trigger)</f>
        <v>61854</v>
      </c>
      <c r="S1240" s="32">
        <f>_xll.qlDayCounterYearFraction(DayCounter,Q1240,R1240,,,Trigger)</f>
        <v>0.25277777777777777</v>
      </c>
      <c r="T1240" s="33">
        <f>_xll.qlIndexFixing(Index,P1240,,AllTriggers)</f>
        <v>1.1180173176386357E-2</v>
      </c>
      <c r="U1240" s="34">
        <f>_xll.qlYieldTSDiscount(OisCurve,Q1240,,AllTriggers)</f>
        <v>0.53462392301215156</v>
      </c>
      <c r="V1240" s="34">
        <f>_xll.qlYieldTSDiscount(OisCurve,R1240,,AllTriggers)</f>
        <v>0.53315145336562586</v>
      </c>
      <c r="W1240" s="33">
        <f t="shared" si="83"/>
        <v>1.0925890961796299E-2</v>
      </c>
      <c r="X1240" s="35">
        <f t="shared" si="84"/>
        <v>6.4097806390601151E-5</v>
      </c>
      <c r="Y1240" s="33">
        <f t="shared" si="85"/>
        <v>2.542822145900573E-4</v>
      </c>
      <c r="Z1240" s="54"/>
    </row>
    <row r="1241" spans="15:26" x14ac:dyDescent="0.25">
      <c r="O1241" s="37" t="s">
        <v>19</v>
      </c>
      <c r="P1241" s="31">
        <f>_xll.qlCalendarAdvance(Calendar,P1240,O1240,"f",,Trigger)</f>
        <v>61787</v>
      </c>
      <c r="Q1241" s="31">
        <f>_xll.qlInterestRateIndexValueDate(Index,P1241,Trigger)</f>
        <v>61791</v>
      </c>
      <c r="R1241" s="31">
        <f>_xll.qlInterestRateIndexMaturity(Index,Q1241,Trigger)</f>
        <v>61883</v>
      </c>
      <c r="S1241" s="32">
        <f>_xll.qlDayCounterYearFraction(DayCounter,Q1241,R1241,,,Trigger)</f>
        <v>0.25555555555555554</v>
      </c>
      <c r="T1241" s="33">
        <f>_xll.qlIndexFixing(Index,P1241,,AllTriggers)</f>
        <v>1.1193085943743301E-2</v>
      </c>
      <c r="U1241" s="34">
        <f>_xll.qlYieldTSDiscount(OisCurve,Q1241,,AllTriggers)</f>
        <v>0.53417099604866614</v>
      </c>
      <c r="V1241" s="34">
        <f>_xll.qlYieldTSDiscount(OisCurve,R1241,,AllTriggers)</f>
        <v>0.53268194515045131</v>
      </c>
      <c r="W1241" s="33">
        <f t="shared" si="83"/>
        <v>1.093846141981091E-2</v>
      </c>
      <c r="X1241" s="35">
        <f t="shared" si="84"/>
        <v>6.4887215842819926E-5</v>
      </c>
      <c r="Y1241" s="33">
        <f t="shared" si="85"/>
        <v>2.546245239323907E-4</v>
      </c>
      <c r="Z1241" s="54"/>
    </row>
    <row r="1242" spans="15:26" x14ac:dyDescent="0.25">
      <c r="O1242" s="37" t="s">
        <v>19</v>
      </c>
      <c r="P1242" s="31">
        <f>_xll.qlCalendarAdvance(Calendar,P1241,O1241,"f",,Trigger)</f>
        <v>61815</v>
      </c>
      <c r="Q1242" s="31">
        <f>_xll.qlInterestRateIndexValueDate(Index,P1242,Trigger)</f>
        <v>61819</v>
      </c>
      <c r="R1242" s="31">
        <f>_xll.qlInterestRateIndexMaturity(Index,Q1242,Trigger)</f>
        <v>61910</v>
      </c>
      <c r="S1242" s="32">
        <f>_xll.qlDayCounterYearFraction(DayCounter,Q1242,R1242,,,Trigger)</f>
        <v>0.25277777777777777</v>
      </c>
      <c r="T1242" s="33">
        <f>_xll.qlIndexFixing(Index,P1242,,AllTriggers)</f>
        <v>1.1205052345073763E-2</v>
      </c>
      <c r="U1242" s="34">
        <f>_xll.qlYieldTSDiscount(OisCurve,Q1242,,AllTriggers)</f>
        <v>0.53371794103876624</v>
      </c>
      <c r="V1242" s="34">
        <f>_xll.qlYieldTSDiscount(OisCurve,R1242,,AllTriggers)</f>
        <v>0.53224471629521575</v>
      </c>
      <c r="W1242" s="33">
        <f t="shared" si="83"/>
        <v>1.0950116862005272E-2</v>
      </c>
      <c r="X1242" s="35">
        <f t="shared" si="84"/>
        <v>6.426208033807017E-5</v>
      </c>
      <c r="Y1242" s="33">
        <f t="shared" si="85"/>
        <v>2.54935483068491E-4</v>
      </c>
      <c r="Z1242" s="54"/>
    </row>
    <row r="1243" spans="15:26" x14ac:dyDescent="0.25">
      <c r="O1243" s="37" t="s">
        <v>19</v>
      </c>
      <c r="P1243" s="31">
        <f>_xll.qlCalendarAdvance(Calendar,P1242,O1242,"f",,Trigger)</f>
        <v>61847</v>
      </c>
      <c r="Q1243" s="31">
        <f>_xll.qlInterestRateIndexValueDate(Index,P1243,Trigger)</f>
        <v>61850</v>
      </c>
      <c r="R1243" s="31">
        <f>_xll.qlInterestRateIndexMaturity(Index,Q1243,Trigger)</f>
        <v>61942</v>
      </c>
      <c r="S1243" s="32">
        <f>_xll.qlDayCounterYearFraction(DayCounter,Q1243,R1243,,,Trigger)</f>
        <v>0.25555555555555554</v>
      </c>
      <c r="T1243" s="33">
        <f>_xll.qlIndexFixing(Index,P1243,,AllTriggers)</f>
        <v>1.1218943076694601E-2</v>
      </c>
      <c r="U1243" s="34">
        <f>_xll.qlYieldTSDiscount(OisCurve,Q1243,,AllTriggers)</f>
        <v>0.53321620390707247</v>
      </c>
      <c r="V1243" s="34">
        <f>_xll.qlYieldTSDiscount(OisCurve,R1243,,AllTriggers)</f>
        <v>0.53172640276627692</v>
      </c>
      <c r="W1243" s="33">
        <f t="shared" si="83"/>
        <v>1.0963639585259121E-2</v>
      </c>
      <c r="X1243" s="35">
        <f t="shared" si="84"/>
        <v>6.5059817390453962E-5</v>
      </c>
      <c r="Y1243" s="33">
        <f t="shared" si="85"/>
        <v>2.5530349143547924E-4</v>
      </c>
      <c r="Z1243" s="54"/>
    </row>
    <row r="1244" spans="15:26" x14ac:dyDescent="0.25">
      <c r="O1244" s="37" t="s">
        <v>19</v>
      </c>
      <c r="P1244" s="31">
        <f>_xll.qlCalendarAdvance(Calendar,P1243,O1243,"f",,Trigger)</f>
        <v>61877</v>
      </c>
      <c r="Q1244" s="31">
        <f>_xll.qlInterestRateIndexValueDate(Index,P1244,Trigger)</f>
        <v>61879</v>
      </c>
      <c r="R1244" s="31">
        <f>_xll.qlInterestRateIndexMaturity(Index,Q1244,Trigger)</f>
        <v>61970</v>
      </c>
      <c r="S1244" s="32">
        <f>_xll.qlDayCounterYearFraction(DayCounter,Q1244,R1244,,,Trigger)</f>
        <v>0.25277777777777777</v>
      </c>
      <c r="T1244" s="33">
        <f>_xll.qlIndexFixing(Index,P1244,,AllTriggers)</f>
        <v>1.1231009345934573E-2</v>
      </c>
      <c r="U1244" s="34">
        <f>_xll.qlYieldTSDiscount(OisCurve,Q1244,,AllTriggers)</f>
        <v>0.53274671172316068</v>
      </c>
      <c r="V1244" s="34">
        <f>_xll.qlYieldTSDiscount(OisCurve,R1244,,AllTriggers)</f>
        <v>0.53127278290196933</v>
      </c>
      <c r="W1244" s="33">
        <f t="shared" si="83"/>
        <v>1.0975392288802959E-2</v>
      </c>
      <c r="X1244" s="35">
        <f t="shared" si="84"/>
        <v>6.4433469975500192E-5</v>
      </c>
      <c r="Y1244" s="33">
        <f t="shared" si="85"/>
        <v>2.5561705713161333E-4</v>
      </c>
      <c r="Z1244" s="54"/>
    </row>
    <row r="1245" spans="15:26" x14ac:dyDescent="0.25">
      <c r="O1245" s="37" t="s">
        <v>19</v>
      </c>
      <c r="P1245" s="31">
        <f>_xll.qlCalendarAdvance(Calendar,P1244,O1244,"f",,Trigger)</f>
        <v>61910</v>
      </c>
      <c r="Q1245" s="31">
        <f>_xll.qlInterestRateIndexValueDate(Index,P1245,Trigger)</f>
        <v>61912</v>
      </c>
      <c r="R1245" s="31">
        <f>_xll.qlInterestRateIndexMaturity(Index,Q1245,Trigger)</f>
        <v>62004</v>
      </c>
      <c r="S1245" s="32">
        <f>_xll.qlDayCounterYearFraction(DayCounter,Q1245,R1245,,,Trigger)</f>
        <v>0.25555555555555554</v>
      </c>
      <c r="T1245" s="33">
        <f>_xll.qlIndexFixing(Index,P1245,,AllTriggers)</f>
        <v>1.1245361245378557E-2</v>
      </c>
      <c r="U1245" s="34">
        <f>_xll.qlYieldTSDiscount(OisCurve,Q1245,,AllTriggers)</f>
        <v>0.53221232530213225</v>
      </c>
      <c r="V1245" s="34">
        <f>_xll.qlYieldTSDiscount(OisCurve,R1245,,AllTriggers)</f>
        <v>0.53072184975575087</v>
      </c>
      <c r="W1245" s="33">
        <f t="shared" si="83"/>
        <v>1.0989364050036584E-2</v>
      </c>
      <c r="X1245" s="35">
        <f t="shared" si="84"/>
        <v>6.5236162790179513E-5</v>
      </c>
      <c r="Y1245" s="33">
        <f t="shared" si="85"/>
        <v>2.5599719534197263E-4</v>
      </c>
      <c r="Z1245" s="54"/>
    </row>
    <row r="1246" spans="15:26" x14ac:dyDescent="0.25">
      <c r="O1246" s="37" t="s">
        <v>19</v>
      </c>
      <c r="P1246" s="31">
        <f>_xll.qlCalendarAdvance(Calendar,P1245,O1245,"f",,Trigger)</f>
        <v>61941</v>
      </c>
      <c r="Q1246" s="31">
        <f>_xll.qlInterestRateIndexValueDate(Index,P1246,Trigger)</f>
        <v>61945</v>
      </c>
      <c r="R1246" s="31">
        <f>_xll.qlInterestRateIndexMaturity(Index,Q1246,Trigger)</f>
        <v>62037</v>
      </c>
      <c r="S1246" s="32">
        <f>_xll.qlDayCounterYearFraction(DayCounter,Q1246,R1246,,,Trigger)</f>
        <v>0.25555555555555554</v>
      </c>
      <c r="T1246" s="33">
        <f>_xll.qlIndexFixing(Index,P1246,,AllTriggers)</f>
        <v>1.1259107546717507E-2</v>
      </c>
      <c r="U1246" s="34">
        <f>_xll.qlYieldTSDiscount(OisCurve,Q1246,,AllTriggers)</f>
        <v>0.5316778047587295</v>
      </c>
      <c r="V1246" s="34">
        <f>_xll.qlYieldTSDiscount(OisCurve,R1246,,AllTriggers)</f>
        <v>0.53018701762137876</v>
      </c>
      <c r="W1246" s="33">
        <f t="shared" si="83"/>
        <v>1.1002749391067804E-2</v>
      </c>
      <c r="X1246" s="35">
        <f t="shared" si="84"/>
        <v>6.5327921027368867E-5</v>
      </c>
      <c r="Y1246" s="33">
        <f t="shared" si="85"/>
        <v>2.5635815564970313E-4</v>
      </c>
      <c r="Z1246" s="54"/>
    </row>
    <row r="1247" spans="15:26" x14ac:dyDescent="0.25">
      <c r="O1247" s="37" t="s">
        <v>19</v>
      </c>
      <c r="P1247" s="31">
        <f>_xll.qlCalendarAdvance(Calendar,P1246,O1246,"f",,Trigger)</f>
        <v>61973</v>
      </c>
      <c r="Q1247" s="31">
        <f>_xll.qlInterestRateIndexValueDate(Index,P1247,Trigger)</f>
        <v>61975</v>
      </c>
      <c r="R1247" s="31">
        <f>_xll.qlInterestRateIndexMaturity(Index,Q1247,Trigger)</f>
        <v>62066</v>
      </c>
      <c r="S1247" s="32">
        <f>_xll.qlDayCounterYearFraction(DayCounter,Q1247,R1247,,,Trigger)</f>
        <v>0.25277777777777777</v>
      </c>
      <c r="T1247" s="33">
        <f>_xll.qlIndexFixing(Index,P1247,,AllTriggers)</f>
        <v>1.1271035916776537E-2</v>
      </c>
      <c r="U1247" s="34">
        <f>_xll.qlYieldTSDiscount(OisCurve,Q1247,,AllTriggers)</f>
        <v>0.53119177055976519</v>
      </c>
      <c r="V1247" s="34">
        <f>_xll.qlYieldTSDiscount(OisCurve,R1247,,AllTriggers)</f>
        <v>0.52971693931773101</v>
      </c>
      <c r="W1247" s="33">
        <f t="shared" si="83"/>
        <v>1.1014367840961851E-2</v>
      </c>
      <c r="X1247" s="35">
        <f t="shared" si="84"/>
        <v>6.4697756378914126E-5</v>
      </c>
      <c r="Y1247" s="33">
        <f t="shared" si="85"/>
        <v>2.5666807581468595E-4</v>
      </c>
      <c r="Z1247" s="54"/>
    </row>
    <row r="1248" spans="15:26" x14ac:dyDescent="0.25">
      <c r="O1248" s="37" t="s">
        <v>19</v>
      </c>
      <c r="P1248" s="31">
        <f>_xll.qlCalendarAdvance(Calendar,P1247,O1247,"f",,Trigger)</f>
        <v>62003</v>
      </c>
      <c r="Q1248" s="31">
        <f>_xll.qlInterestRateIndexValueDate(Index,P1248,Trigger)</f>
        <v>62005</v>
      </c>
      <c r="R1248" s="31">
        <f>_xll.qlInterestRateIndexMaturity(Index,Q1248,Trigger)</f>
        <v>62099</v>
      </c>
      <c r="S1248" s="32">
        <f>_xll.qlDayCounterYearFraction(DayCounter,Q1248,R1248,,,Trigger)</f>
        <v>0.26111111111111113</v>
      </c>
      <c r="T1248" s="33">
        <f>_xll.qlIndexFixing(Index,P1248,,AllTriggers)</f>
        <v>1.1284291495650842E-2</v>
      </c>
      <c r="U1248" s="34">
        <f>_xll.qlYieldTSDiscount(OisCurve,Q1248,,AllTriggers)</f>
        <v>0.53070564414977972</v>
      </c>
      <c r="V1248" s="34">
        <f>_xll.qlYieldTSDiscount(OisCurve,R1248,,AllTriggers)</f>
        <v>0.52918194859142065</v>
      </c>
      <c r="W1248" s="33">
        <f t="shared" si="83"/>
        <v>1.1027265411270646E-2</v>
      </c>
      <c r="X1248" s="35">
        <f t="shared" si="84"/>
        <v>6.6917442836325372E-5</v>
      </c>
      <c r="Y1248" s="33">
        <f t="shared" si="85"/>
        <v>2.5702608438019602E-4</v>
      </c>
      <c r="Z1248" s="54"/>
    </row>
    <row r="1249" spans="15:26" x14ac:dyDescent="0.25">
      <c r="O1249" s="37" t="s">
        <v>19</v>
      </c>
      <c r="P1249" s="31">
        <f>_xll.qlCalendarAdvance(Calendar,P1248,O1248,"f",,Trigger)</f>
        <v>62036</v>
      </c>
      <c r="Q1249" s="31">
        <f>_xll.qlInterestRateIndexValueDate(Index,P1249,Trigger)</f>
        <v>62038</v>
      </c>
      <c r="R1249" s="31">
        <f>_xll.qlInterestRateIndexMaturity(Index,Q1249,Trigger)</f>
        <v>62130</v>
      </c>
      <c r="S1249" s="32">
        <f>_xll.qlDayCounterYearFraction(DayCounter,Q1249,R1249,,,Trigger)</f>
        <v>0.25555555555555554</v>
      </c>
      <c r="T1249" s="33">
        <f>_xll.qlIndexFixing(Index,P1249,,AllTriggers)</f>
        <v>1.1296669760413471E-2</v>
      </c>
      <c r="U1249" s="34">
        <f>_xll.qlYieldTSDiscount(OisCurve,Q1249,,AllTriggers)</f>
        <v>0.53017080913025716</v>
      </c>
      <c r="V1249" s="34">
        <f>_xll.qlYieldTSDiscount(OisCurve,R1249,,AllTriggers)</f>
        <v>0.52867931970461191</v>
      </c>
      <c r="W1249" s="33">
        <f t="shared" si="83"/>
        <v>1.1039325262764388E-2</v>
      </c>
      <c r="X1249" s="35">
        <f t="shared" si="84"/>
        <v>6.557865174452055E-5</v>
      </c>
      <c r="Y1249" s="33">
        <f t="shared" si="85"/>
        <v>2.5734449764908303E-4</v>
      </c>
      <c r="Z1249" s="54"/>
    </row>
    <row r="1250" spans="15:26" x14ac:dyDescent="0.25">
      <c r="O1250" s="37" t="s">
        <v>19</v>
      </c>
      <c r="P1250" s="31">
        <f>_xll.qlCalendarAdvance(Calendar,P1249,O1249,"f",,Trigger)</f>
        <v>62066</v>
      </c>
      <c r="Q1250" s="31">
        <f>_xll.qlInterestRateIndexValueDate(Index,P1250,Trigger)</f>
        <v>62068</v>
      </c>
      <c r="R1250" s="31">
        <f>_xll.qlInterestRateIndexMaturity(Index,Q1250,Trigger)</f>
        <v>62158</v>
      </c>
      <c r="S1250" s="32">
        <f>_xll.qlDayCounterYearFraction(DayCounter,Q1250,R1250,,,Trigger)</f>
        <v>0.25</v>
      </c>
      <c r="T1250" s="33">
        <f>_xll.qlIndexFixing(Index,P1250,,AllTriggers)</f>
        <v>1.1307675422274954E-2</v>
      </c>
      <c r="U1250" s="34">
        <f>_xll.qlYieldTSDiscount(OisCurve,Q1250,,AllTriggers)</f>
        <v>0.52968451777702119</v>
      </c>
      <c r="V1250" s="34">
        <f>_xll.qlYieldTSDiscount(OisCurve,R1250,,AllTriggers)</f>
        <v>0.52822528900001109</v>
      </c>
      <c r="W1250" s="33">
        <f t="shared" si="83"/>
        <v>1.1050048586447758E-2</v>
      </c>
      <c r="X1250" s="35">
        <f t="shared" si="84"/>
        <v>6.4227212193431873E-5</v>
      </c>
      <c r="Y1250" s="33">
        <f t="shared" si="85"/>
        <v>2.5762683582719603E-4</v>
      </c>
      <c r="Z1250" s="54"/>
    </row>
    <row r="1251" spans="15:26" x14ac:dyDescent="0.25">
      <c r="O1251" s="37" t="s">
        <v>19</v>
      </c>
      <c r="P1251" s="31">
        <f>_xll.qlCalendarAdvance(Calendar,P1250,O1250,"f",,Trigger)</f>
        <v>62099</v>
      </c>
      <c r="Q1251" s="31">
        <f>_xll.qlInterestRateIndexValueDate(Index,P1251,Trigger)</f>
        <v>62101</v>
      </c>
      <c r="R1251" s="31">
        <f>_xll.qlInterestRateIndexMaturity(Index,Q1251,Trigger)</f>
        <v>62191</v>
      </c>
      <c r="S1251" s="32">
        <f>_xll.qlDayCounterYearFraction(DayCounter,Q1251,R1251,,,Trigger)</f>
        <v>0.25</v>
      </c>
      <c r="T1251" s="33">
        <f>_xll.qlIndexFixing(Index,P1251,,AllTriggers)</f>
        <v>1.1320393055990863E-2</v>
      </c>
      <c r="U1251" s="34">
        <f>_xll.qlYieldTSDiscount(OisCurve,Q1251,,AllTriggers)</f>
        <v>0.52914952261986059</v>
      </c>
      <c r="V1251" s="34">
        <f>_xll.qlYieldTSDiscount(OisCurve,R1251,,AllTriggers)</f>
        <v>0.52769013851381286</v>
      </c>
      <c r="W1251" s="33">
        <f t="shared" si="83"/>
        <v>1.1062432283900137E-2</v>
      </c>
      <c r="X1251" s="35">
        <f t="shared" si="84"/>
        <v>6.431026237352678E-5</v>
      </c>
      <c r="Y1251" s="33">
        <f t="shared" si="85"/>
        <v>2.5796077209072621E-4</v>
      </c>
      <c r="Z1251" s="54"/>
    </row>
    <row r="1252" spans="15:26" x14ac:dyDescent="0.25">
      <c r="O1252" s="37" t="s">
        <v>19</v>
      </c>
      <c r="P1252" s="31">
        <f>_xll.qlCalendarAdvance(Calendar,P1251,O1251,"f",,Trigger)</f>
        <v>62130</v>
      </c>
      <c r="Q1252" s="31">
        <f>_xll.qlInterestRateIndexValueDate(Index,P1252,Trigger)</f>
        <v>62134</v>
      </c>
      <c r="R1252" s="31">
        <f>_xll.qlInterestRateIndexMaturity(Index,Q1252,Trigger)</f>
        <v>62225</v>
      </c>
      <c r="S1252" s="32">
        <f>_xll.qlDayCounterYearFraction(DayCounter,Q1252,R1252,,,Trigger)</f>
        <v>0.25277777777777777</v>
      </c>
      <c r="T1252" s="33">
        <f>_xll.qlIndexFixing(Index,P1252,,AllTriggers)</f>
        <v>1.1333256257470739E-2</v>
      </c>
      <c r="U1252" s="34">
        <f>_xll.qlYieldTSDiscount(OisCurve,Q1252,,AllTriggers)</f>
        <v>0.52861446051267535</v>
      </c>
      <c r="V1252" s="34">
        <f>_xll.qlYieldTSDiscount(OisCurve,R1252,,AllTriggers)</f>
        <v>0.52713873438348569</v>
      </c>
      <c r="W1252" s="33">
        <f t="shared" si="83"/>
        <v>1.1074954377967671E-2</v>
      </c>
      <c r="X1252" s="35">
        <f t="shared" si="84"/>
        <v>6.5108577935872405E-5</v>
      </c>
      <c r="Y1252" s="33">
        <f t="shared" si="85"/>
        <v>2.5830187950306831E-4</v>
      </c>
      <c r="Z1252" s="54"/>
    </row>
    <row r="1253" spans="15:26" x14ac:dyDescent="0.25">
      <c r="O1253" s="37" t="s">
        <v>19</v>
      </c>
      <c r="P1253" s="31">
        <f>_xll.qlCalendarAdvance(Calendar,P1252,O1252,"f",,Trigger)</f>
        <v>62158</v>
      </c>
      <c r="Q1253" s="31">
        <f>_xll.qlInterestRateIndexValueDate(Index,P1253,Trigger)</f>
        <v>62162</v>
      </c>
      <c r="R1253" s="31">
        <f>_xll.qlInterestRateIndexMaturity(Index,Q1253,Trigger)</f>
        <v>62254</v>
      </c>
      <c r="S1253" s="32">
        <f>_xll.qlDayCounterYearFraction(DayCounter,Q1253,R1253,,,Trigger)</f>
        <v>0.25555555555555554</v>
      </c>
      <c r="T1253" s="33">
        <f>_xll.qlIndexFixing(Index,P1253,,AllTriggers)</f>
        <v>1.1344049069376574E-2</v>
      </c>
      <c r="U1253" s="34">
        <f>_xll.qlYieldTSDiscount(OisCurve,Q1253,,AllTriggers)</f>
        <v>0.5281604245463366</v>
      </c>
      <c r="V1253" s="34">
        <f>_xll.qlYieldTSDiscount(OisCurve,R1253,,AllTriggers)</f>
        <v>0.52666839877990312</v>
      </c>
      <c r="W1253" s="33">
        <f t="shared" si="83"/>
        <v>1.1085460430633864E-2</v>
      </c>
      <c r="X1253" s="35">
        <f t="shared" si="84"/>
        <v>6.5894908918371763E-5</v>
      </c>
      <c r="Y1253" s="33">
        <f t="shared" si="85"/>
        <v>2.5858863874271033E-4</v>
      </c>
      <c r="Z1253" s="54"/>
    </row>
    <row r="1254" spans="15:26" x14ac:dyDescent="0.25">
      <c r="O1254" s="37" t="s">
        <v>19</v>
      </c>
      <c r="P1254" s="31">
        <f>_xll.qlCalendarAdvance(Calendar,P1253,O1253,"f",,Trigger)</f>
        <v>62190</v>
      </c>
      <c r="Q1254" s="31">
        <f>_xll.qlInterestRateIndexValueDate(Index,P1254,Trigger)</f>
        <v>62192</v>
      </c>
      <c r="R1254" s="31">
        <f>_xll.qlInterestRateIndexMaturity(Index,Q1254,Trigger)</f>
        <v>62283</v>
      </c>
      <c r="S1254" s="32">
        <f>_xll.qlDayCounterYearFraction(DayCounter,Q1254,R1254,,,Trigger)</f>
        <v>0.25277777777777777</v>
      </c>
      <c r="T1254" s="33">
        <f>_xll.qlIndexFixing(Index,P1254,,AllTriggers)</f>
        <v>1.1354688396374777E-2</v>
      </c>
      <c r="U1254" s="34">
        <f>_xll.qlYieldTSDiscount(OisCurve,Q1254,,AllTriggers)</f>
        <v>0.52767392122094792</v>
      </c>
      <c r="V1254" s="34">
        <f>_xll.qlYieldTSDiscount(OisCurve,R1254,,AllTriggers)</f>
        <v>0.52619805267427511</v>
      </c>
      <c r="W1254" s="33">
        <f t="shared" si="83"/>
        <v>1.1095823738432473E-2</v>
      </c>
      <c r="X1254" s="35">
        <f t="shared" si="84"/>
        <v>6.5250086191226899E-5</v>
      </c>
      <c r="Y1254" s="33">
        <f t="shared" si="85"/>
        <v>2.5886465794230408E-4</v>
      </c>
      <c r="Z1254" s="54"/>
    </row>
    <row r="1255" spans="15:26" x14ac:dyDescent="0.25">
      <c r="O1255" s="37" t="s">
        <v>19</v>
      </c>
      <c r="P1255" s="31">
        <f>_xll.qlCalendarAdvance(Calendar,P1254,O1254,"f",,Trigger)</f>
        <v>62220</v>
      </c>
      <c r="Q1255" s="31">
        <f>_xll.qlInterestRateIndexValueDate(Index,P1255,Trigger)</f>
        <v>62222</v>
      </c>
      <c r="R1255" s="31">
        <f>_xll.qlInterestRateIndexMaturity(Index,Q1255,Trigger)</f>
        <v>62316</v>
      </c>
      <c r="S1255" s="32">
        <f>_xll.qlDayCounterYearFraction(DayCounter,Q1255,R1255,,,Trigger)</f>
        <v>0.26111111111111113</v>
      </c>
      <c r="T1255" s="33">
        <f>_xll.qlIndexFixing(Index,P1255,,AllTriggers)</f>
        <v>1.1366578124600703E-2</v>
      </c>
      <c r="U1255" s="34">
        <f>_xll.qlYieldTSDiscount(OisCurve,Q1255,,AllTriggers)</f>
        <v>0.52718738888125105</v>
      </c>
      <c r="V1255" s="34">
        <f>_xll.qlYieldTSDiscount(OisCurve,R1255,,AllTriggers)</f>
        <v>0.52566282830190103</v>
      </c>
      <c r="W1255" s="33">
        <f t="shared" si="83"/>
        <v>1.1107391144967985E-2</v>
      </c>
      <c r="X1255" s="35">
        <f t="shared" si="84"/>
        <v>6.7478611165959739E-5</v>
      </c>
      <c r="Y1255" s="33">
        <f t="shared" si="85"/>
        <v>2.5918697963271849E-4</v>
      </c>
      <c r="Z1255" s="54"/>
    </row>
    <row r="1256" spans="15:26" x14ac:dyDescent="0.25">
      <c r="O1256" s="37" t="s">
        <v>19</v>
      </c>
      <c r="P1256" s="31">
        <f>_xll.qlCalendarAdvance(Calendar,P1255,O1255,"f",,Trigger)</f>
        <v>62253</v>
      </c>
      <c r="Q1256" s="31">
        <f>_xll.qlInterestRateIndexValueDate(Index,P1256,Trigger)</f>
        <v>62255</v>
      </c>
      <c r="R1256" s="31">
        <f>_xll.qlInterestRateIndexMaturity(Index,Q1256,Trigger)</f>
        <v>62347</v>
      </c>
      <c r="S1256" s="32">
        <f>_xll.qlDayCounterYearFraction(DayCounter,Q1256,R1256,,,Trigger)</f>
        <v>0.25555555555555554</v>
      </c>
      <c r="T1256" s="33">
        <f>_xll.qlIndexFixing(Index,P1256,,AllTriggers)</f>
        <v>1.1377555757913362E-2</v>
      </c>
      <c r="U1256" s="34">
        <f>_xll.qlYieldTSDiscount(OisCurve,Q1256,,AllTriggers)</f>
        <v>0.52665218007906089</v>
      </c>
      <c r="V1256" s="34">
        <f>_xll.qlYieldTSDiscount(OisCurve,R1256,,AllTriggers)</f>
        <v>0.52516004862825583</v>
      </c>
      <c r="W1256" s="33">
        <f t="shared" si="83"/>
        <v>1.1118087252698796E-2</v>
      </c>
      <c r="X1256" s="35">
        <f t="shared" si="84"/>
        <v>6.6118563962043047E-5</v>
      </c>
      <c r="Y1256" s="33">
        <f t="shared" si="85"/>
        <v>2.5946850521456517E-4</v>
      </c>
      <c r="Z1256" s="54"/>
    </row>
    <row r="1257" spans="15:26" x14ac:dyDescent="0.25">
      <c r="O1257" s="37" t="s">
        <v>19</v>
      </c>
      <c r="P1257" s="31">
        <f>_xll.qlCalendarAdvance(Calendar,P1256,O1256,"f",,Trigger)</f>
        <v>62283</v>
      </c>
      <c r="Q1257" s="31">
        <f>_xll.qlInterestRateIndexValueDate(Index,P1257,Trigger)</f>
        <v>62285</v>
      </c>
      <c r="R1257" s="31">
        <f>_xll.qlInterestRateIndexMaturity(Index,Q1257,Trigger)</f>
        <v>62379</v>
      </c>
      <c r="S1257" s="32">
        <f>_xll.qlDayCounterYearFraction(DayCounter,Q1257,R1257,,,Trigger)</f>
        <v>0.26111111111111113</v>
      </c>
      <c r="T1257" s="33">
        <f>_xll.qlIndexFixing(Index,P1257,,AllTriggers)</f>
        <v>1.1388695203594479E-2</v>
      </c>
      <c r="U1257" s="34">
        <f>_xll.qlYieldTSDiscount(OisCurve,Q1257,,AllTriggers)</f>
        <v>0.5261656148213395</v>
      </c>
      <c r="V1257" s="34">
        <f>_xll.qlYieldTSDiscount(OisCurve,R1257,,AllTriggers)</f>
        <v>0.52464106737322758</v>
      </c>
      <c r="W1257" s="33">
        <f t="shared" si="83"/>
        <v>1.1128927408798138E-2</v>
      </c>
      <c r="X1257" s="35">
        <f t="shared" si="84"/>
        <v>6.7629440477600181E-5</v>
      </c>
      <c r="Y1257" s="33">
        <f t="shared" si="85"/>
        <v>2.5976779479634088E-4</v>
      </c>
      <c r="Z1257" s="54"/>
    </row>
    <row r="1258" spans="15:26" x14ac:dyDescent="0.25">
      <c r="O1258" s="37" t="s">
        <v>19</v>
      </c>
      <c r="P1258" s="31">
        <f>_xll.qlCalendarAdvance(Calendar,P1257,O1257,"f",,Trigger)</f>
        <v>62316</v>
      </c>
      <c r="Q1258" s="31">
        <f>_xll.qlInterestRateIndexValueDate(Index,P1258,Trigger)</f>
        <v>62318</v>
      </c>
      <c r="R1258" s="31">
        <f>_xll.qlInterestRateIndexMaturity(Index,Q1258,Trigger)</f>
        <v>62410</v>
      </c>
      <c r="S1258" s="32">
        <f>_xll.qlDayCounterYearFraction(DayCounter,Q1258,R1258,,,Trigger)</f>
        <v>0.25555555555555554</v>
      </c>
      <c r="T1258" s="33">
        <f>_xll.qlIndexFixing(Index,P1258,,AllTriggers)</f>
        <v>1.1399266291130649E-2</v>
      </c>
      <c r="U1258" s="34">
        <f>_xll.qlYieldTSDiscount(OisCurve,Q1258,,AllTriggers)</f>
        <v>0.52563039059647487</v>
      </c>
      <c r="V1258" s="34">
        <f>_xll.qlYieldTSDiscount(OisCurve,R1258,,AllTriggers)</f>
        <v>0.52413833045734426</v>
      </c>
      <c r="W1258" s="33">
        <f t="shared" si="83"/>
        <v>1.1139227675837807E-2</v>
      </c>
      <c r="X1258" s="35">
        <f t="shared" si="84"/>
        <v>6.6263479389610134E-5</v>
      </c>
      <c r="Y1258" s="33">
        <f t="shared" si="85"/>
        <v>2.6003861529284161E-4</v>
      </c>
      <c r="Z1258" s="54"/>
    </row>
    <row r="1259" spans="15:26" x14ac:dyDescent="0.25">
      <c r="O1259" s="37" t="s">
        <v>19</v>
      </c>
      <c r="P1259" s="31">
        <f>_xll.qlCalendarAdvance(Calendar,P1258,O1258,"f",,Trigger)</f>
        <v>62347</v>
      </c>
      <c r="Q1259" s="31">
        <f>_xll.qlInterestRateIndexValueDate(Index,P1259,Trigger)</f>
        <v>62351</v>
      </c>
      <c r="R1259" s="31">
        <f>_xll.qlInterestRateIndexMaturity(Index,Q1259,Trigger)</f>
        <v>62442</v>
      </c>
      <c r="S1259" s="32">
        <f>_xll.qlDayCounterYearFraction(DayCounter,Q1259,R1259,,,Trigger)</f>
        <v>0.25277777777777777</v>
      </c>
      <c r="T1259" s="33">
        <f>_xll.qlIndexFixing(Index,P1259,,AllTriggers)</f>
        <v>1.1409975178594363E-2</v>
      </c>
      <c r="U1259" s="34">
        <f>_xll.qlYieldTSDiscount(OisCurve,Q1259,,AllTriggers)</f>
        <v>0.52509517481522361</v>
      </c>
      <c r="V1259" s="34">
        <f>_xll.qlYieldTSDiscount(OisCurve,R1259,,AllTriggers)</f>
        <v>0.52361941321139671</v>
      </c>
      <c r="W1259" s="33">
        <f t="shared" si="83"/>
        <v>1.1149658752289389E-2</v>
      </c>
      <c r="X1259" s="35">
        <f t="shared" si="84"/>
        <v>6.5615120240309667E-5</v>
      </c>
      <c r="Y1259" s="33">
        <f t="shared" si="85"/>
        <v>2.6031642630497398E-4</v>
      </c>
      <c r="Z1259" s="54"/>
    </row>
    <row r="1260" spans="15:26" x14ac:dyDescent="0.25">
      <c r="O1260" s="37" t="s">
        <v>19</v>
      </c>
      <c r="P1260" s="31">
        <f>_xll.qlCalendarAdvance(Calendar,P1259,O1259,"f",,Trigger)</f>
        <v>62379</v>
      </c>
      <c r="Q1260" s="31">
        <f>_xll.qlInterestRateIndexValueDate(Index,P1260,Trigger)</f>
        <v>62381</v>
      </c>
      <c r="R1260" s="31">
        <f>_xll.qlInterestRateIndexMaturity(Index,Q1260,Trigger)</f>
        <v>62473</v>
      </c>
      <c r="S1260" s="32">
        <f>_xll.qlDayCounterYearFraction(DayCounter,Q1260,R1260,,,Trigger)</f>
        <v>0.25555555555555554</v>
      </c>
      <c r="T1260" s="33">
        <f>_xll.qlIndexFixing(Index,P1260,,AllTriggers)</f>
        <v>1.1420179175540932E-2</v>
      </c>
      <c r="U1260" s="34">
        <f>_xll.qlYieldTSDiscount(OisCurve,Q1260,,AllTriggers)</f>
        <v>0.52460863185330964</v>
      </c>
      <c r="V1260" s="34">
        <f>_xll.qlYieldTSDiscount(OisCurve,R1260,,AllTriggers)</f>
        <v>0.52311675748571884</v>
      </c>
      <c r="W1260" s="33">
        <f t="shared" si="83"/>
        <v>1.1159591393217979E-2</v>
      </c>
      <c r="X1260" s="35">
        <f t="shared" si="84"/>
        <v>6.6403069840935479E-5</v>
      </c>
      <c r="Y1260" s="33">
        <f t="shared" si="85"/>
        <v>2.6058778232295257E-4</v>
      </c>
      <c r="Z1260" s="54"/>
    </row>
    <row r="1261" spans="15:26" x14ac:dyDescent="0.25">
      <c r="O1261" s="37" t="s">
        <v>19</v>
      </c>
      <c r="P1261" s="31">
        <f>_xll.qlCalendarAdvance(Calendar,P1260,O1260,"f",,Trigger)</f>
        <v>62410</v>
      </c>
      <c r="Q1261" s="31">
        <f>_xll.qlInterestRateIndexValueDate(Index,P1261,Trigger)</f>
        <v>62414</v>
      </c>
      <c r="R1261" s="31">
        <f>_xll.qlInterestRateIndexMaturity(Index,Q1261,Trigger)</f>
        <v>62506</v>
      </c>
      <c r="S1261" s="32">
        <f>_xll.qlDayCounterYearFraction(DayCounter,Q1261,R1261,,,Trigger)</f>
        <v>0.25555555555555554</v>
      </c>
      <c r="T1261" s="33">
        <f>_xll.qlIndexFixing(Index,P1261,,AllTriggers)</f>
        <v>1.1430815203229949E-2</v>
      </c>
      <c r="U1261" s="34">
        <f>_xll.qlYieldTSDiscount(OisCurve,Q1261,,AllTriggers)</f>
        <v>0.52407346354293194</v>
      </c>
      <c r="V1261" s="34">
        <f>_xll.qlYieldTSDiscount(OisCurve,R1261,,AllTriggers)</f>
        <v>0.52258173188539347</v>
      </c>
      <c r="W1261" s="33">
        <f t="shared" si="83"/>
        <v>1.1169948120433811E-2</v>
      </c>
      <c r="X1261" s="35">
        <f t="shared" si="84"/>
        <v>6.6474063487695326E-5</v>
      </c>
      <c r="Y1261" s="33">
        <f t="shared" si="85"/>
        <v>2.608670827961377E-4</v>
      </c>
      <c r="Z1261" s="54"/>
    </row>
    <row r="1262" spans="15:26" x14ac:dyDescent="0.25">
      <c r="O1262" s="37" t="s">
        <v>19</v>
      </c>
      <c r="P1262" s="31">
        <f>_xll.qlCalendarAdvance(Calendar,P1261,O1261,"f",,Trigger)</f>
        <v>62442</v>
      </c>
      <c r="Q1262" s="31">
        <f>_xll.qlInterestRateIndexValueDate(Index,P1262,Trigger)</f>
        <v>62444</v>
      </c>
      <c r="R1262" s="31">
        <f>_xll.qlInterestRateIndexMaturity(Index,Q1262,Trigger)</f>
        <v>62534</v>
      </c>
      <c r="S1262" s="32">
        <f>_xll.qlDayCounterYearFraction(DayCounter,Q1262,R1262,,,Trigger)</f>
        <v>0.25</v>
      </c>
      <c r="T1262" s="33">
        <f>_xll.qlIndexFixing(Index,P1262,,AllTriggers)</f>
        <v>1.1439621212530504E-2</v>
      </c>
      <c r="U1262" s="34">
        <f>_xll.qlYieldTSDiscount(OisCurve,Q1262,,AllTriggers)</f>
        <v>0.52358698236065671</v>
      </c>
      <c r="V1262" s="34">
        <f>_xll.qlYieldTSDiscount(OisCurve,R1262,,AllTriggers)</f>
        <v>0.52212782700153537</v>
      </c>
      <c r="W1262" s="33">
        <f t="shared" si="83"/>
        <v>1.1178529729019893E-2</v>
      </c>
      <c r="X1262" s="35">
        <f t="shared" si="84"/>
        <v>6.5088847229205694E-5</v>
      </c>
      <c r="Y1262" s="33">
        <f t="shared" si="85"/>
        <v>2.6109148351061151E-4</v>
      </c>
      <c r="Z1262" s="54"/>
    </row>
    <row r="1263" spans="15:26" x14ac:dyDescent="0.25">
      <c r="O1263" s="37" t="s">
        <v>19</v>
      </c>
      <c r="P1263" s="31">
        <f>_xll.qlCalendarAdvance(Calendar,P1262,O1262,"f",,Trigger)</f>
        <v>62473</v>
      </c>
      <c r="Q1263" s="31">
        <f>_xll.qlInterestRateIndexValueDate(Index,P1263,Trigger)</f>
        <v>62477</v>
      </c>
      <c r="R1263" s="31">
        <f>_xll.qlInterestRateIndexMaturity(Index,Q1263,Trigger)</f>
        <v>62569</v>
      </c>
      <c r="S1263" s="32">
        <f>_xll.qlDayCounterYearFraction(DayCounter,Q1263,R1263,,,Trigger)</f>
        <v>0.25555555555555554</v>
      </c>
      <c r="T1263" s="33">
        <f>_xll.qlIndexFixing(Index,P1263,,AllTriggers)</f>
        <v>1.145051259842921E-2</v>
      </c>
      <c r="U1263" s="34">
        <f>_xll.qlYieldTSDiscount(OisCurve,Q1263,,AllTriggers)</f>
        <v>0.5230519024189163</v>
      </c>
      <c r="V1263" s="34">
        <f>_xll.qlYieldTSDiscount(OisCurve,R1263,,AllTriggers)</f>
        <v>0.52156052935028541</v>
      </c>
      <c r="W1263" s="33">
        <f t="shared" ref="W1263:W1310" si="86">(U1263/V1263-1)/S1263</f>
        <v>1.118912826307924E-2</v>
      </c>
      <c r="X1263" s="35">
        <f t="shared" ref="X1263:X1310" si="87">LN((1+T1263*S1263)/(1+W1263*S1263))</f>
        <v>6.660553968948687E-5</v>
      </c>
      <c r="Y1263" s="33">
        <f t="shared" si="85"/>
        <v>2.6138433534996994E-4</v>
      </c>
      <c r="Z1263" s="54"/>
    </row>
    <row r="1264" spans="15:26" x14ac:dyDescent="0.25">
      <c r="O1264" s="37" t="s">
        <v>19</v>
      </c>
      <c r="P1264" s="31">
        <f>_xll.qlCalendarAdvance(Calendar,P1263,O1263,"f",,Trigger)</f>
        <v>62505</v>
      </c>
      <c r="Q1264" s="31">
        <f>_xll.qlInterestRateIndexValueDate(Index,P1264,Trigger)</f>
        <v>62507</v>
      </c>
      <c r="R1264" s="31">
        <f>_xll.qlInterestRateIndexMaturity(Index,Q1264,Trigger)</f>
        <v>62596</v>
      </c>
      <c r="S1264" s="32">
        <f>_xll.qlDayCounterYearFraction(DayCounter,Q1264,R1264,,,Trigger)</f>
        <v>0.24722222222222223</v>
      </c>
      <c r="T1264" s="33">
        <f>_xll.qlIndexFixing(Index,P1264,,AllTriggers)</f>
        <v>1.1458619238887802E-2</v>
      </c>
      <c r="U1264" s="34">
        <f>_xll.qlYieldTSDiscount(OisCurve,Q1264,,AllTriggers)</f>
        <v>0.52256552006059709</v>
      </c>
      <c r="V1264" s="34">
        <f>_xll.qlYieldTSDiscount(OisCurve,R1264,,AllTriggers)</f>
        <v>0.52112297079144176</v>
      </c>
      <c r="W1264" s="33">
        <f t="shared" si="86"/>
        <v>1.1197032329582001E-2</v>
      </c>
      <c r="X1264" s="35">
        <f t="shared" si="87"/>
        <v>6.4489494842905244E-5</v>
      </c>
      <c r="Y1264" s="33">
        <f t="shared" si="85"/>
        <v>2.6158690930580021E-4</v>
      </c>
      <c r="Z1264" s="54"/>
    </row>
    <row r="1265" spans="15:26" x14ac:dyDescent="0.25">
      <c r="O1265" s="37" t="s">
        <v>19</v>
      </c>
      <c r="P1265" s="31">
        <f>_xll.qlCalendarAdvance(Calendar,P1264,O1264,"f",,Trigger)</f>
        <v>62533</v>
      </c>
      <c r="Q1265" s="31">
        <f>_xll.qlInterestRateIndexValueDate(Index,P1265,Trigger)</f>
        <v>62535</v>
      </c>
      <c r="R1265" s="31">
        <f>_xll.qlInterestRateIndexMaturity(Index,Q1265,Trigger)</f>
        <v>62627</v>
      </c>
      <c r="S1265" s="32">
        <f>_xll.qlDayCounterYearFraction(DayCounter,Q1265,R1265,,,Trigger)</f>
        <v>0.25555555555555554</v>
      </c>
      <c r="T1265" s="33">
        <f>_xll.qlIndexFixing(Index,P1265,,AllTriggers)</f>
        <v>1.1467941478200792E-2</v>
      </c>
      <c r="U1265" s="34">
        <f>_xll.qlYieldTSDiscount(OisCurve,Q1265,,AllTriggers)</f>
        <v>0.52211161715990995</v>
      </c>
      <c r="V1265" s="34">
        <f>_xll.qlYieldTSDiscount(OisCurve,R1265,,AllTriggers)</f>
        <v>0.52062067358079556</v>
      </c>
      <c r="W1265" s="33">
        <f t="shared" si="86"/>
        <v>1.1206099459289338E-2</v>
      </c>
      <c r="X1265" s="35">
        <f t="shared" si="87"/>
        <v>6.6721873450631389E-5</v>
      </c>
      <c r="Y1265" s="33">
        <f t="shared" si="85"/>
        <v>2.6184201891145398E-4</v>
      </c>
      <c r="Z1265" s="54"/>
    </row>
    <row r="1266" spans="15:26" x14ac:dyDescent="0.25">
      <c r="O1266" s="37" t="s">
        <v>19</v>
      </c>
      <c r="P1266" s="31">
        <f>_xll.qlCalendarAdvance(Calendar,P1265,O1265,"f",,Trigger)</f>
        <v>62564</v>
      </c>
      <c r="Q1266" s="31">
        <f>_xll.qlInterestRateIndexValueDate(Index,P1266,Trigger)</f>
        <v>62570</v>
      </c>
      <c r="R1266" s="31">
        <f>_xll.qlInterestRateIndexMaturity(Index,Q1266,Trigger)</f>
        <v>62661</v>
      </c>
      <c r="S1266" s="32">
        <f>_xll.qlDayCounterYearFraction(DayCounter,Q1266,R1266,,,Trigger)</f>
        <v>0.25277777777777777</v>
      </c>
      <c r="T1266" s="33">
        <f>_xll.qlIndexFixing(Index,P1266,,AllTriggers)</f>
        <v>1.1477806703221885E-2</v>
      </c>
      <c r="U1266" s="34">
        <f>_xll.qlYieldTSDiscount(OisCurve,Q1266,,AllTriggers)</f>
        <v>0.52154432232633419</v>
      </c>
      <c r="V1266" s="34">
        <f>_xll.qlYieldTSDiscount(OisCurve,R1266,,AllTriggers)</f>
        <v>0.52006988155850142</v>
      </c>
      <c r="W1266" s="33">
        <f t="shared" si="86"/>
        <v>1.1215709070961434E-2</v>
      </c>
      <c r="X1266" s="35">
        <f t="shared" si="87"/>
        <v>6.6062974699181018E-5</v>
      </c>
      <c r="Y1266" s="33">
        <f t="shared" si="85"/>
        <v>2.6209763226045166E-4</v>
      </c>
      <c r="Z1266" s="54"/>
    </row>
    <row r="1267" spans="15:26" x14ac:dyDescent="0.25">
      <c r="O1267" s="37" t="s">
        <v>19</v>
      </c>
      <c r="P1267" s="31">
        <f>_xll.qlCalendarAdvance(Calendar,P1266,O1266,"f",,Trigger)</f>
        <v>62596</v>
      </c>
      <c r="Q1267" s="31">
        <f>_xll.qlInterestRateIndexValueDate(Index,P1267,Trigger)</f>
        <v>62598</v>
      </c>
      <c r="R1267" s="31">
        <f>_xll.qlInterestRateIndexMaturity(Index,Q1267,Trigger)</f>
        <v>62690</v>
      </c>
      <c r="S1267" s="32">
        <f>_xll.qlDayCounterYearFraction(DayCounter,Q1267,R1267,,,Trigger)</f>
        <v>0.25555555555555554</v>
      </c>
      <c r="T1267" s="33">
        <f>_xll.qlIndexFixing(Index,P1267,,AllTriggers)</f>
        <v>1.1486106811021354E-2</v>
      </c>
      <c r="U1267" s="34">
        <f>_xll.qlYieldTSDiscount(OisCurve,Q1267,,AllTriggers)</f>
        <v>0.52109056169755419</v>
      </c>
      <c r="V1267" s="34">
        <f>_xll.qlYieldTSDiscount(OisCurve,R1267,,AllTriggers)</f>
        <v>0.51960019178249139</v>
      </c>
      <c r="W1267" s="33">
        <f t="shared" si="86"/>
        <v>1.1223787767141677E-2</v>
      </c>
      <c r="X1267" s="35">
        <f t="shared" si="87"/>
        <v>6.6843122316417964E-5</v>
      </c>
      <c r="Y1267" s="33">
        <f t="shared" si="85"/>
        <v>2.6231904387967638E-4</v>
      </c>
      <c r="Z1267" s="54"/>
    </row>
    <row r="1268" spans="15:26" x14ac:dyDescent="0.25">
      <c r="O1268" s="37" t="s">
        <v>19</v>
      </c>
      <c r="P1268" s="31">
        <f>_xll.qlCalendarAdvance(Calendar,P1267,O1267,"f",,Trigger)</f>
        <v>62627</v>
      </c>
      <c r="Q1268" s="31">
        <f>_xll.qlInterestRateIndexValueDate(Index,P1268,Trigger)</f>
        <v>62631</v>
      </c>
      <c r="R1268" s="31">
        <f>_xll.qlInterestRateIndexMaturity(Index,Q1268,Trigger)</f>
        <v>62723</v>
      </c>
      <c r="S1268" s="32">
        <f>_xll.qlDayCounterYearFraction(DayCounter,Q1268,R1268,,,Trigger)</f>
        <v>0.25555555555555554</v>
      </c>
      <c r="T1268" s="33">
        <f>_xll.qlIndexFixing(Index,P1268,,AllTriggers)</f>
        <v>1.1495303628872107E-2</v>
      </c>
      <c r="U1268" s="34">
        <f>_xll.qlYieldTSDiscount(OisCurve,Q1268,,AllTriggers)</f>
        <v>0.52055586808421728</v>
      </c>
      <c r="V1268" s="34">
        <f>_xll.qlYieldTSDiscount(OisCurve,R1268,,AllTriggers)</f>
        <v>0.51906584291980851</v>
      </c>
      <c r="W1268" s="33">
        <f t="shared" si="86"/>
        <v>1.1232743074051621E-2</v>
      </c>
      <c r="X1268" s="35">
        <f t="shared" si="87"/>
        <v>6.6904508466700353E-5</v>
      </c>
      <c r="Y1268" s="33">
        <f t="shared" si="85"/>
        <v>2.6256055482048665E-4</v>
      </c>
      <c r="Z1268" s="54"/>
    </row>
    <row r="1269" spans="15:26" x14ac:dyDescent="0.25">
      <c r="O1269" s="37" t="s">
        <v>19</v>
      </c>
      <c r="P1269" s="31">
        <f>_xll.qlCalendarAdvance(Calendar,P1268,O1268,"f",,Trigger)</f>
        <v>62659</v>
      </c>
      <c r="Q1269" s="31">
        <f>_xll.qlInterestRateIndexValueDate(Index,P1269,Trigger)</f>
        <v>62661</v>
      </c>
      <c r="R1269" s="31">
        <f>_xll.qlInterestRateIndexMaturity(Index,Q1269,Trigger)</f>
        <v>62753</v>
      </c>
      <c r="S1269" s="32">
        <f>_xll.qlDayCounterYearFraction(DayCounter,Q1269,R1269,,,Trigger)</f>
        <v>0.25555555555555554</v>
      </c>
      <c r="T1269" s="33">
        <f>_xll.qlIndexFixing(Index,P1269,,AllTriggers)</f>
        <v>1.1503474442078139E-2</v>
      </c>
      <c r="U1269" s="34">
        <f>_xll.qlYieldTSDiscount(OisCurve,Q1269,,AllTriggers)</f>
        <v>0.52006988155850142</v>
      </c>
      <c r="V1269" s="34">
        <f>_xll.qlYieldTSDiscount(OisCurve,R1269,,AllTriggers)</f>
        <v>0.51858019607729322</v>
      </c>
      <c r="W1269" s="33">
        <f t="shared" si="86"/>
        <v>1.1240699319017085E-2</v>
      </c>
      <c r="X1269" s="35">
        <f t="shared" si="87"/>
        <v>6.6959046206341346E-5</v>
      </c>
      <c r="Y1269" s="33">
        <f t="shared" si="85"/>
        <v>2.6277512306105422E-4</v>
      </c>
      <c r="Z1269" s="54"/>
    </row>
    <row r="1270" spans="15:26" x14ac:dyDescent="0.25">
      <c r="O1270" s="37" t="s">
        <v>19</v>
      </c>
      <c r="P1270" s="31">
        <f>_xll.qlCalendarAdvance(Calendar,P1269,O1269,"f",,Trigger)</f>
        <v>62690</v>
      </c>
      <c r="Q1270" s="31">
        <f>_xll.qlInterestRateIndexValueDate(Index,P1270,Trigger)</f>
        <v>62694</v>
      </c>
      <c r="R1270" s="31">
        <f>_xll.qlInterestRateIndexMaturity(Index,Q1270,Trigger)</f>
        <v>62786</v>
      </c>
      <c r="S1270" s="32">
        <f>_xll.qlDayCounterYearFraction(DayCounter,Q1270,R1270,,,Trigger)</f>
        <v>0.25555555555555554</v>
      </c>
      <c r="T1270" s="33">
        <f>_xll.qlIndexFixing(Index,P1270,,AllTriggers)</f>
        <v>1.1512253411887509E-2</v>
      </c>
      <c r="U1270" s="34">
        <f>_xll.qlYieldTSDiscount(OisCurve,Q1270,,AllTriggers)</f>
        <v>0.51953541490368649</v>
      </c>
      <c r="V1270" s="34">
        <f>_xll.qlYieldTSDiscount(OisCurve,R1270,,AllTriggers)</f>
        <v>0.51804613186466553</v>
      </c>
      <c r="W1270" s="33">
        <f t="shared" si="86"/>
        <v>1.1249247749711701E-2</v>
      </c>
      <c r="X1270" s="35">
        <f t="shared" si="87"/>
        <v>6.7017643082890825E-5</v>
      </c>
      <c r="Y1270" s="33">
        <f t="shared" si="85"/>
        <v>2.6300566217580743E-4</v>
      </c>
      <c r="Z1270" s="54"/>
    </row>
    <row r="1271" spans="15:26" x14ac:dyDescent="0.25">
      <c r="O1271" s="37" t="s">
        <v>19</v>
      </c>
      <c r="P1271" s="31">
        <f>_xll.qlCalendarAdvance(Calendar,P1270,O1270,"f",,Trigger)</f>
        <v>62722</v>
      </c>
      <c r="Q1271" s="31">
        <f>_xll.qlInterestRateIndexValueDate(Index,P1271,Trigger)</f>
        <v>62724</v>
      </c>
      <c r="R1271" s="31">
        <f>_xll.qlInterestRateIndexMaturity(Index,Q1271,Trigger)</f>
        <v>62815</v>
      </c>
      <c r="S1271" s="32">
        <f>_xll.qlDayCounterYearFraction(DayCounter,Q1271,R1271,,,Trigger)</f>
        <v>0.25277777777777777</v>
      </c>
      <c r="T1271" s="33">
        <f>_xll.qlIndexFixing(Index,P1271,,AllTriggers)</f>
        <v>1.151973339178855E-2</v>
      </c>
      <c r="U1271" s="34">
        <f>_xll.qlYieldTSDiscount(OisCurve,Q1271,,AllTriggers)</f>
        <v>0.51904965272663717</v>
      </c>
      <c r="V1271" s="34">
        <f>_xll.qlYieldTSDiscount(OisCurve,R1271,,AllTriggers)</f>
        <v>0.51757693835010998</v>
      </c>
      <c r="W1271" s="33">
        <f t="shared" si="86"/>
        <v>1.1256534780725467E-2</v>
      </c>
      <c r="X1271" s="35">
        <f t="shared" si="87"/>
        <v>6.6339789864269588E-5</v>
      </c>
      <c r="Y1271" s="33">
        <f t="shared" si="85"/>
        <v>2.6319861106308302E-4</v>
      </c>
      <c r="Z1271" s="54"/>
    </row>
    <row r="1272" spans="15:26" x14ac:dyDescent="0.25">
      <c r="O1272" s="37" t="s">
        <v>19</v>
      </c>
      <c r="P1272" s="31">
        <f>_xll.qlCalendarAdvance(Calendar,P1271,O1271,"f",,Trigger)</f>
        <v>62752</v>
      </c>
      <c r="Q1272" s="31">
        <f>_xll.qlInterestRateIndexValueDate(Index,P1272,Trigger)</f>
        <v>62754</v>
      </c>
      <c r="R1272" s="31">
        <f>_xll.qlInterestRateIndexMaturity(Index,Q1272,Trigger)</f>
        <v>62848</v>
      </c>
      <c r="S1272" s="32">
        <f>_xll.qlDayCounterYearFraction(DayCounter,Q1272,R1272,,,Trigger)</f>
        <v>0.26111111111111113</v>
      </c>
      <c r="T1272" s="33">
        <f>_xll.qlIndexFixing(Index,P1272,,AllTriggers)</f>
        <v>1.1528270649729801E-2</v>
      </c>
      <c r="U1272" s="34">
        <f>_xll.qlYieldTSDiscount(OisCurve,Q1272,,AllTriggers)</f>
        <v>0.5185640099963128</v>
      </c>
      <c r="V1272" s="34">
        <f>_xll.qlYieldTSDiscount(OisCurve,R1272,,AllTriggers)</f>
        <v>0.51704319248470565</v>
      </c>
      <c r="W1272" s="33">
        <f t="shared" si="86"/>
        <v>1.1264837398344994E-2</v>
      </c>
      <c r="X1272" s="35">
        <f t="shared" si="87"/>
        <v>6.8581267136091567E-5</v>
      </c>
      <c r="Y1272" s="33">
        <f t="shared" si="85"/>
        <v>2.6343325138480748E-4</v>
      </c>
      <c r="Z1272" s="54"/>
    </row>
    <row r="1273" spans="15:26" x14ac:dyDescent="0.25">
      <c r="O1273" s="37" t="s">
        <v>19</v>
      </c>
      <c r="P1273" s="31">
        <f>_xll.qlCalendarAdvance(Calendar,P1272,O1272,"f",,Trigger)</f>
        <v>62785</v>
      </c>
      <c r="Q1273" s="31">
        <f>_xll.qlInterestRateIndexValueDate(Index,P1273,Trigger)</f>
        <v>62787</v>
      </c>
      <c r="R1273" s="31">
        <f>_xll.qlInterestRateIndexMaturity(Index,Q1273,Trigger)</f>
        <v>62879</v>
      </c>
      <c r="S1273" s="32">
        <f>_xll.qlDayCounterYearFraction(DayCounter,Q1273,R1273,,,Trigger)</f>
        <v>0.25555555555555554</v>
      </c>
      <c r="T1273" s="33">
        <f>_xll.qlIndexFixing(Index,P1273,,AllTriggers)</f>
        <v>1.1535816557016501E-2</v>
      </c>
      <c r="U1273" s="34">
        <f>_xll.qlYieldTSDiscount(OisCurve,Q1273,,AllTriggers)</f>
        <v>0.51802995061829737</v>
      </c>
      <c r="V1273" s="34">
        <f>_xll.qlYieldTSDiscount(OisCurve,R1273,,AllTriggers)</f>
        <v>0.51654196300077704</v>
      </c>
      <c r="W1273" s="33">
        <f t="shared" si="86"/>
        <v>1.1272192115129745E-2</v>
      </c>
      <c r="X1273" s="35">
        <f t="shared" si="87"/>
        <v>6.7174919056817782E-5</v>
      </c>
      <c r="Y1273" s="33">
        <f t="shared" si="85"/>
        <v>2.6362444188675685E-4</v>
      </c>
      <c r="Z1273" s="54"/>
    </row>
    <row r="1274" spans="15:26" x14ac:dyDescent="0.25">
      <c r="O1274" s="37" t="s">
        <v>19</v>
      </c>
      <c r="P1274" s="31">
        <f>_xll.qlCalendarAdvance(Calendar,P1273,O1273,"f",,Trigger)</f>
        <v>62815</v>
      </c>
      <c r="Q1274" s="31">
        <f>_xll.qlInterestRateIndexValueDate(Index,P1274,Trigger)</f>
        <v>62820</v>
      </c>
      <c r="R1274" s="31">
        <f>_xll.qlInterestRateIndexMaturity(Index,Q1274,Trigger)</f>
        <v>62911</v>
      </c>
      <c r="S1274" s="32">
        <f>_xll.qlDayCounterYearFraction(DayCounter,Q1274,R1274,,,Trigger)</f>
        <v>0.25277777777777777</v>
      </c>
      <c r="T1274" s="33">
        <f>_xll.qlIndexFixing(Index,P1274,,AllTriggers)</f>
        <v>1.1543457734638362E-2</v>
      </c>
      <c r="U1274" s="34">
        <f>_xll.qlYieldTSDiscount(OisCurve,Q1274,,AllTriggers)</f>
        <v>0.51749605630710427</v>
      </c>
      <c r="V1274" s="34">
        <f>_xll.qlYieldTSDiscount(OisCurve,R1274,,AllTriggers)</f>
        <v>0.51602474521377362</v>
      </c>
      <c r="W1274" s="33">
        <f t="shared" si="86"/>
        <v>1.1279636126403187E-2</v>
      </c>
      <c r="X1274" s="35">
        <f t="shared" si="87"/>
        <v>6.6496425261716637E-5</v>
      </c>
      <c r="Y1274" s="33">
        <f t="shared" si="85"/>
        <v>2.6382160823517492E-4</v>
      </c>
      <c r="Z1274" s="54"/>
    </row>
    <row r="1275" spans="15:26" x14ac:dyDescent="0.25">
      <c r="O1275" s="37" t="s">
        <v>19</v>
      </c>
      <c r="P1275" s="31">
        <f>_xll.qlCalendarAdvance(Calendar,P1274,O1274,"f",,Trigger)</f>
        <v>62848</v>
      </c>
      <c r="Q1275" s="31">
        <f>_xll.qlInterestRateIndexValueDate(Index,P1275,Trigger)</f>
        <v>62850</v>
      </c>
      <c r="R1275" s="31">
        <f>_xll.qlInterestRateIndexMaturity(Index,Q1275,Trigger)</f>
        <v>62941</v>
      </c>
      <c r="S1275" s="32">
        <f>_xll.qlDayCounterYearFraction(DayCounter,Q1275,R1275,,,Trigger)</f>
        <v>0.25277777777777777</v>
      </c>
      <c r="T1275" s="33">
        <f>_xll.qlIndexFixing(Index,P1275,,AllTriggers)</f>
        <v>1.1550491730471629E-2</v>
      </c>
      <c r="U1275" s="34">
        <f>_xll.qlYieldTSDiscount(OisCurve,Q1275,,AllTriggers)</f>
        <v>0.51701085008289926</v>
      </c>
      <c r="V1275" s="34">
        <f>_xll.qlYieldTSDiscount(OisCurve,R1275,,AllTriggers)</f>
        <v>0.51554002845551239</v>
      </c>
      <c r="W1275" s="33">
        <f t="shared" si="86"/>
        <v>1.1286485410016429E-2</v>
      </c>
      <c r="X1275" s="35">
        <f t="shared" si="87"/>
        <v>6.6542865682562378E-5</v>
      </c>
      <c r="Y1275" s="33">
        <f t="shared" si="85"/>
        <v>2.6400632045519949E-4</v>
      </c>
      <c r="Z1275" s="54"/>
    </row>
    <row r="1276" spans="15:26" x14ac:dyDescent="0.25">
      <c r="O1276" s="37" t="s">
        <v>19</v>
      </c>
      <c r="P1276" s="31">
        <f>_xll.qlCalendarAdvance(Calendar,P1275,O1275,"f",,Trigger)</f>
        <v>62879</v>
      </c>
      <c r="Q1276" s="31">
        <f>_xll.qlInterestRateIndexValueDate(Index,P1276,Trigger)</f>
        <v>62883</v>
      </c>
      <c r="R1276" s="31">
        <f>_xll.qlInterestRateIndexMaturity(Index,Q1276,Trigger)</f>
        <v>62975</v>
      </c>
      <c r="S1276" s="32">
        <f>_xll.qlDayCounterYearFraction(DayCounter,Q1276,R1276,,,Trigger)</f>
        <v>0.25555555555555554</v>
      </c>
      <c r="T1276" s="33">
        <f>_xll.qlIndexFixing(Index,P1276,,AllTriggers)</f>
        <v>1.1558316415764814E-2</v>
      </c>
      <c r="U1276" s="34">
        <f>_xll.qlYieldTSDiscount(OisCurve,Q1276,,AllTriggers)</f>
        <v>0.51647730056309527</v>
      </c>
      <c r="V1276" s="34">
        <f>_xll.qlYieldTSDiscount(OisCurve,R1276,,AllTriggers)</f>
        <v>0.51499089763845851</v>
      </c>
      <c r="W1276" s="33">
        <f t="shared" si="86"/>
        <v>1.1294101113222E-2</v>
      </c>
      <c r="X1276" s="35">
        <f t="shared" si="87"/>
        <v>6.7325097073837301E-5</v>
      </c>
      <c r="Y1276" s="33">
        <f t="shared" si="85"/>
        <v>2.6421530254281365E-4</v>
      </c>
      <c r="Z1276" s="54"/>
    </row>
    <row r="1277" spans="15:26" x14ac:dyDescent="0.25">
      <c r="O1277" s="37" t="s">
        <v>19</v>
      </c>
      <c r="P1277" s="31">
        <f>_xll.qlCalendarAdvance(Calendar,P1276,O1276,"f",,Trigger)</f>
        <v>62908</v>
      </c>
      <c r="Q1277" s="31">
        <f>_xll.qlInterestRateIndexValueDate(Index,P1277,Trigger)</f>
        <v>62912</v>
      </c>
      <c r="R1277" s="31">
        <f>_xll.qlInterestRateIndexMaturity(Index,Q1277,Trigger)</f>
        <v>63004</v>
      </c>
      <c r="S1277" s="32">
        <f>_xll.qlDayCounterYearFraction(DayCounter,Q1277,R1277,,,Trigger)</f>
        <v>0.25555555555555554</v>
      </c>
      <c r="T1277" s="33">
        <f>_xll.qlIndexFixing(Index,P1277,,AllTriggers)</f>
        <v>1.1564748947603303E-2</v>
      </c>
      <c r="U1277" s="34">
        <f>_xll.qlYieldTSDiscount(OisCurve,Q1277,,AllTriggers)</f>
        <v>0.51600858521444104</v>
      </c>
      <c r="V1277" s="34">
        <f>_xll.qlYieldTSDiscount(OisCurve,R1277,,AllTriggers)</f>
        <v>0.51452271000932503</v>
      </c>
      <c r="W1277" s="33">
        <f t="shared" si="86"/>
        <v>1.1300364722061423E-2</v>
      </c>
      <c r="X1277" s="35">
        <f t="shared" si="87"/>
        <v>6.7368031624513808E-5</v>
      </c>
      <c r="Y1277" s="33">
        <f t="shared" si="85"/>
        <v>2.6438422554187976E-4</v>
      </c>
      <c r="Z1277" s="54"/>
    </row>
    <row r="1278" spans="15:26" x14ac:dyDescent="0.25">
      <c r="O1278" s="37" t="s">
        <v>19</v>
      </c>
      <c r="P1278" s="31">
        <f>_xll.qlCalendarAdvance(Calendar,P1277,O1277,"f",,Trigger)</f>
        <v>62939</v>
      </c>
      <c r="Q1278" s="31">
        <f>_xll.qlInterestRateIndexValueDate(Index,P1278,Trigger)</f>
        <v>62941</v>
      </c>
      <c r="R1278" s="31">
        <f>_xll.qlInterestRateIndexMaturity(Index,Q1278,Trigger)</f>
        <v>63032</v>
      </c>
      <c r="S1278" s="32">
        <f>_xll.qlDayCounterYearFraction(DayCounter,Q1278,R1278,,,Trigger)</f>
        <v>0.25277777777777777</v>
      </c>
      <c r="T1278" s="33">
        <f>_xll.qlIndexFixing(Index,P1278,,AllTriggers)</f>
        <v>1.1570721648375113E-2</v>
      </c>
      <c r="U1278" s="34">
        <f>_xll.qlYieldTSDiscount(OisCurve,Q1278,,AllTriggers)</f>
        <v>0.51554002845551239</v>
      </c>
      <c r="V1278" s="34">
        <f>_xll.qlYieldTSDiscount(OisCurve,R1278,,AllTriggers)</f>
        <v>0.51407083862815051</v>
      </c>
      <c r="W1278" s="33">
        <f t="shared" si="86"/>
        <v>1.1306184089972216E-2</v>
      </c>
      <c r="X1278" s="35">
        <f t="shared" si="87"/>
        <v>6.6676428837312987E-5</v>
      </c>
      <c r="Y1278" s="33">
        <f t="shared" si="85"/>
        <v>2.6453755840289729E-4</v>
      </c>
      <c r="Z1278" s="54"/>
    </row>
    <row r="1279" spans="15:26" x14ac:dyDescent="0.25">
      <c r="O1279" s="37" t="s">
        <v>19</v>
      </c>
      <c r="P1279" s="31">
        <f>_xll.qlCalendarAdvance(Calendar,P1278,O1278,"f",,Trigger)</f>
        <v>62969</v>
      </c>
      <c r="Q1279" s="31">
        <f>_xll.qlInterestRateIndexValueDate(Index,P1279,Trigger)</f>
        <v>62971</v>
      </c>
      <c r="R1279" s="31">
        <f>_xll.qlInterestRateIndexMaturity(Index,Q1279,Trigger)</f>
        <v>63065</v>
      </c>
      <c r="S1279" s="32">
        <f>_xll.qlDayCounterYearFraction(DayCounter,Q1279,R1279,,,Trigger)</f>
        <v>0.26111111111111113</v>
      </c>
      <c r="T1279" s="33">
        <f>_xll.qlIndexFixing(Index,P1279,,AllTriggers)</f>
        <v>1.1577889832207507E-2</v>
      </c>
      <c r="U1279" s="34">
        <f>_xll.qlYieldTSDiscount(OisCurve,Q1279,,AllTriggers)</f>
        <v>0.51505548906521714</v>
      </c>
      <c r="V1279" s="34">
        <f>_xll.qlYieldTSDiscount(OisCurve,R1279,,AllTriggers)</f>
        <v>0.51353850142910806</v>
      </c>
      <c r="W1279" s="33">
        <f t="shared" si="86"/>
        <v>1.1313153476911964E-2</v>
      </c>
      <c r="X1279" s="35">
        <f t="shared" si="87"/>
        <v>6.8919633939722096E-5</v>
      </c>
      <c r="Y1279" s="33">
        <f t="shared" si="85"/>
        <v>2.6473635529554278E-4</v>
      </c>
      <c r="Z1279" s="54"/>
    </row>
    <row r="1280" spans="15:26" x14ac:dyDescent="0.25">
      <c r="O1280" s="37" t="s">
        <v>19</v>
      </c>
      <c r="P1280" s="31">
        <f>_xll.qlCalendarAdvance(Calendar,P1279,O1279,"f",,Trigger)</f>
        <v>63002</v>
      </c>
      <c r="Q1280" s="31">
        <f>_xll.qlInterestRateIndexValueDate(Index,P1280,Trigger)</f>
        <v>63004</v>
      </c>
      <c r="R1280" s="31">
        <f>_xll.qlInterestRateIndexMaturity(Index,Q1280,Trigger)</f>
        <v>63096</v>
      </c>
      <c r="S1280" s="32">
        <f>_xll.qlDayCounterYearFraction(DayCounter,Q1280,R1280,,,Trigger)</f>
        <v>0.25555555555555554</v>
      </c>
      <c r="T1280" s="33">
        <f>_xll.qlIndexFixing(Index,P1280,,AllTriggers)</f>
        <v>1.1584036857470835E-2</v>
      </c>
      <c r="U1280" s="34">
        <f>_xll.qlYieldTSDiscount(OisCurve,Q1280,,AllTriggers)</f>
        <v>0.51452271000932503</v>
      </c>
      <c r="V1280" s="34">
        <f>_xll.qlYieldTSDiscount(OisCurve,R1280,,AllTriggers)</f>
        <v>0.51303865812832594</v>
      </c>
      <c r="W1280" s="33">
        <f t="shared" si="86"/>
        <v>1.1319146115674798E-2</v>
      </c>
      <c r="X1280" s="35">
        <f t="shared" si="87"/>
        <v>6.7496770205920301E-5</v>
      </c>
      <c r="Y1280" s="33">
        <f t="shared" si="85"/>
        <v>2.6489074179603632E-4</v>
      </c>
      <c r="Z1280" s="54"/>
    </row>
    <row r="1281" spans="15:26" x14ac:dyDescent="0.25">
      <c r="O1281" s="37" t="s">
        <v>19</v>
      </c>
      <c r="P1281" s="31">
        <f>_xll.qlCalendarAdvance(Calendar,P1280,O1280,"f",,Trigger)</f>
        <v>63032</v>
      </c>
      <c r="Q1281" s="31">
        <f>_xll.qlInterestRateIndexValueDate(Index,P1281,Trigger)</f>
        <v>63034</v>
      </c>
      <c r="R1281" s="31">
        <f>_xll.qlInterestRateIndexMaturity(Index,Q1281,Trigger)</f>
        <v>63128</v>
      </c>
      <c r="S1281" s="32">
        <f>_xll.qlDayCounterYearFraction(DayCounter,Q1281,R1281,,,Trigger)</f>
        <v>0.26111111111111113</v>
      </c>
      <c r="T1281" s="33">
        <f>_xll.qlIndexFixing(Index,P1281,,AllTriggers)</f>
        <v>1.1590522510553451E-2</v>
      </c>
      <c r="U1281" s="34">
        <f>_xll.qlYieldTSDiscount(OisCurve,Q1281,,AllTriggers)</f>
        <v>0.51403856873253695</v>
      </c>
      <c r="V1281" s="34">
        <f>_xll.qlYieldTSDiscount(OisCurve,R1281,,AllTriggers)</f>
        <v>0.5125229348946041</v>
      </c>
      <c r="W1281" s="33">
        <f t="shared" si="86"/>
        <v>1.1325454391990838E-2</v>
      </c>
      <c r="X1281" s="35">
        <f t="shared" si="87"/>
        <v>6.9005778937330267E-5</v>
      </c>
      <c r="Y1281" s="33">
        <f t="shared" si="85"/>
        <v>2.650681185626131E-4</v>
      </c>
      <c r="Z1281" s="54"/>
    </row>
    <row r="1282" spans="15:26" x14ac:dyDescent="0.25">
      <c r="O1282" s="37" t="s">
        <v>19</v>
      </c>
      <c r="P1282" s="31">
        <f>_xll.qlCalendarAdvance(Calendar,P1281,O1281,"f",,Trigger)</f>
        <v>63065</v>
      </c>
      <c r="Q1282" s="31">
        <f>_xll.qlInterestRateIndexValueDate(Index,P1282,Trigger)</f>
        <v>63067</v>
      </c>
      <c r="R1282" s="31">
        <f>_xll.qlInterestRateIndexMaturity(Index,Q1282,Trigger)</f>
        <v>63158</v>
      </c>
      <c r="S1282" s="32">
        <f>_xll.qlDayCounterYearFraction(DayCounter,Q1282,R1282,,,Trigger)</f>
        <v>0.25277777777777777</v>
      </c>
      <c r="T1282" s="33">
        <f>_xll.qlIndexFixing(Index,P1282,,AllTriggers)</f>
        <v>1.1595984567998603E-2</v>
      </c>
      <c r="U1282" s="34">
        <f>_xll.qlYieldTSDiscount(OisCurve,Q1282,,AllTriggers)</f>
        <v>0.5135062466225665</v>
      </c>
      <c r="V1282" s="34">
        <f>_xll.qlYieldTSDiscount(OisCurve,R1282,,AllTriggers)</f>
        <v>0.51203967778543846</v>
      </c>
      <c r="W1282" s="33">
        <f t="shared" si="86"/>
        <v>1.1330783601254696E-2</v>
      </c>
      <c r="X1282" s="35">
        <f t="shared" si="87"/>
        <v>6.6843220215557415E-5</v>
      </c>
      <c r="Y1282" s="33">
        <f t="shared" si="85"/>
        <v>2.6520096674390731E-4</v>
      </c>
      <c r="Z1282" s="54"/>
    </row>
    <row r="1283" spans="15:26" x14ac:dyDescent="0.25">
      <c r="O1283" s="37" t="s">
        <v>19</v>
      </c>
      <c r="P1283" s="31">
        <f>_xll.qlCalendarAdvance(Calendar,P1282,O1282,"f",,Trigger)</f>
        <v>63096</v>
      </c>
      <c r="Q1283" s="31">
        <f>_xll.qlInterestRateIndexValueDate(Index,P1283,Trigger)</f>
        <v>63100</v>
      </c>
      <c r="R1283" s="31">
        <f>_xll.qlInterestRateIndexMaturity(Index,Q1283,Trigger)</f>
        <v>63192</v>
      </c>
      <c r="S1283" s="32">
        <f>_xll.qlDayCounterYearFraction(DayCounter,Q1283,R1283,,,Trigger)</f>
        <v>0.25555555555555554</v>
      </c>
      <c r="T1283" s="33">
        <f>_xll.qlIndexFixing(Index,P1283,,AllTriggers)</f>
        <v>1.1602349564943878E-2</v>
      </c>
      <c r="U1283" s="34">
        <f>_xll.qlYieldTSDiscount(OisCurve,Q1283,,AllTriggers)</f>
        <v>0.51297417897850783</v>
      </c>
      <c r="V1283" s="34">
        <f>_xll.qlYieldTSDiscount(OisCurve,R1283,,AllTriggers)</f>
        <v>0.51149226941275272</v>
      </c>
      <c r="W1283" s="33">
        <f t="shared" si="86"/>
        <v>1.1336977914266428E-2</v>
      </c>
      <c r="X1283" s="35">
        <f t="shared" si="87"/>
        <v>6.7618999141147342E-5</v>
      </c>
      <c r="Y1283" s="33">
        <f t="shared" si="85"/>
        <v>2.6537165067744978E-4</v>
      </c>
      <c r="Z1283" s="54"/>
    </row>
    <row r="1284" spans="15:26" x14ac:dyDescent="0.25">
      <c r="O1284" s="37" t="s">
        <v>19</v>
      </c>
      <c r="P1284" s="31">
        <f>_xll.qlCalendarAdvance(Calendar,P1283,O1283,"f",,Trigger)</f>
        <v>63128</v>
      </c>
      <c r="Q1284" s="31">
        <f>_xll.qlInterestRateIndexValueDate(Index,P1284,Trigger)</f>
        <v>63130</v>
      </c>
      <c r="R1284" s="31">
        <f>_xll.qlInterestRateIndexMaturity(Index,Q1284,Trigger)</f>
        <v>63222</v>
      </c>
      <c r="S1284" s="32">
        <f>_xll.qlDayCounterYearFraction(DayCounter,Q1284,R1284,,,Trigger)</f>
        <v>0.25555555555555554</v>
      </c>
      <c r="T1284" s="33">
        <f>_xll.qlIndexFixing(Index,P1284,,AllTriggers)</f>
        <v>1.1607692395461885E-2</v>
      </c>
      <c r="U1284" s="34">
        <f>_xll.qlYieldTSDiscount(OisCurve,Q1284,,AllTriggers)</f>
        <v>0.51249071063545981</v>
      </c>
      <c r="V1284" s="34">
        <f>_xll.qlYieldTSDiscount(OisCurve,R1284,,AllTriggers)</f>
        <v>0.51100952029952995</v>
      </c>
      <c r="W1284" s="33">
        <f t="shared" si="86"/>
        <v>1.1342180436630645E-2</v>
      </c>
      <c r="X1284" s="35">
        <f t="shared" si="87"/>
        <v>6.765465998054275E-5</v>
      </c>
      <c r="Y1284" s="33">
        <f t="shared" ref="Y1284:Y1310" si="88">T1284-W1284</f>
        <v>2.6551195883123963E-4</v>
      </c>
      <c r="Z1284" s="54"/>
    </row>
    <row r="1285" spans="15:26" x14ac:dyDescent="0.25">
      <c r="O1285" s="37" t="s">
        <v>19</v>
      </c>
      <c r="P1285" s="31">
        <f>_xll.qlCalendarAdvance(Calendar,P1284,O1284,"f",,Trigger)</f>
        <v>63158</v>
      </c>
      <c r="Q1285" s="31">
        <f>_xll.qlInterestRateIndexValueDate(Index,P1285,Trigger)</f>
        <v>63160</v>
      </c>
      <c r="R1285" s="31">
        <f>_xll.qlInterestRateIndexMaturity(Index,Q1285,Trigger)</f>
        <v>63250</v>
      </c>
      <c r="S1285" s="32">
        <f>_xll.qlDayCounterYearFraction(DayCounter,Q1285,R1285,,,Trigger)</f>
        <v>0.25</v>
      </c>
      <c r="T1285" s="33">
        <f>_xll.qlIndexFixing(Index,P1285,,AllTriggers)</f>
        <v>1.161231400542917E-2</v>
      </c>
      <c r="U1285" s="34">
        <f>_xll.qlYieldTSDiscount(OisCurve,Q1285,,AllTriggers)</f>
        <v>0.51200746887163506</v>
      </c>
      <c r="V1285" s="34">
        <f>_xll.qlYieldTSDiscount(OisCurve,R1285,,AllTriggers)</f>
        <v>0.51055917997114286</v>
      </c>
      <c r="W1285" s="33">
        <f t="shared" si="86"/>
        <v>1.1346687767511021E-2</v>
      </c>
      <c r="X1285" s="35">
        <f t="shared" si="87"/>
        <v>6.62165263355934E-5</v>
      </c>
      <c r="Y1285" s="33">
        <f t="shared" si="88"/>
        <v>2.6562623791814843E-4</v>
      </c>
      <c r="Z1285" s="54"/>
    </row>
    <row r="1286" spans="15:26" x14ac:dyDescent="0.25">
      <c r="O1286" s="37" t="s">
        <v>19</v>
      </c>
      <c r="P1286" s="31">
        <f>_xll.qlCalendarAdvance(Calendar,P1285,O1285,"f",,Trigger)</f>
        <v>63188</v>
      </c>
      <c r="Q1286" s="31">
        <f>_xll.qlInterestRateIndexValueDate(Index,P1286,Trigger)</f>
        <v>63192</v>
      </c>
      <c r="R1286" s="31">
        <f>_xll.qlInterestRateIndexMaturity(Index,Q1286,Trigger)</f>
        <v>63282</v>
      </c>
      <c r="S1286" s="32">
        <f>_xll.qlDayCounterYearFraction(DayCounter,Q1286,R1286,,,Trigger)</f>
        <v>0.25</v>
      </c>
      <c r="T1286" s="33">
        <f>_xll.qlIndexFixing(Index,P1286,,AllTriggers)</f>
        <v>1.1617626758195776E-2</v>
      </c>
      <c r="U1286" s="34">
        <f>_xll.qlYieldTSDiscount(OisCurve,Q1286,,AllTriggers)</f>
        <v>0.51149226941275272</v>
      </c>
      <c r="V1286" s="34">
        <f>_xll.qlYieldTSDiscount(OisCurve,R1286,,AllTriggers)</f>
        <v>0.51004478004984743</v>
      </c>
      <c r="W1286" s="33">
        <f t="shared" si="86"/>
        <v>1.1351861009253561E-2</v>
      </c>
      <c r="X1286" s="35">
        <f t="shared" si="87"/>
        <v>6.6251217693056344E-5</v>
      </c>
      <c r="Y1286" s="33">
        <f t="shared" si="88"/>
        <v>2.6576574894221494E-4</v>
      </c>
      <c r="Z1286" s="54"/>
    </row>
    <row r="1287" spans="15:26" x14ac:dyDescent="0.25">
      <c r="O1287" s="37" t="s">
        <v>19</v>
      </c>
      <c r="P1287" s="31">
        <f>_xll.qlCalendarAdvance(Calendar,P1286,O1286,"f",,Trigger)</f>
        <v>63219</v>
      </c>
      <c r="Q1287" s="31">
        <f>_xll.qlInterestRateIndexValueDate(Index,P1287,Trigger)</f>
        <v>63221</v>
      </c>
      <c r="R1287" s="31">
        <f>_xll.qlInterestRateIndexMaturity(Index,Q1287,Trigger)</f>
        <v>63311</v>
      </c>
      <c r="S1287" s="32">
        <f>_xll.qlDayCounterYearFraction(DayCounter,Q1287,R1287,,,Trigger)</f>
        <v>0.25</v>
      </c>
      <c r="T1287" s="33">
        <f>_xll.qlIndexFixing(Index,P1287,,AllTriggers)</f>
        <v>1.162226366429131E-2</v>
      </c>
      <c r="U1287" s="34">
        <f>_xll.qlYieldTSDiscount(OisCurve,Q1287,,AllTriggers)</f>
        <v>0.51102560794928698</v>
      </c>
      <c r="V1287" s="34">
        <f>_xll.qlYieldTSDiscount(OisCurve,R1287,,AllTriggers)</f>
        <v>0.50957886563002752</v>
      </c>
      <c r="W1287" s="33">
        <f t="shared" si="86"/>
        <v>1.1356376151673508E-2</v>
      </c>
      <c r="X1287" s="35">
        <f t="shared" si="87"/>
        <v>6.62814958513866E-5</v>
      </c>
      <c r="Y1287" s="33">
        <f t="shared" si="88"/>
        <v>2.6588751261780175E-4</v>
      </c>
      <c r="Z1287" s="54"/>
    </row>
    <row r="1288" spans="15:26" x14ac:dyDescent="0.25">
      <c r="O1288" s="37" t="s">
        <v>19</v>
      </c>
      <c r="P1288" s="31">
        <f>_xll.qlCalendarAdvance(Calendar,P1287,O1287,"f",,Trigger)</f>
        <v>63248</v>
      </c>
      <c r="Q1288" s="31">
        <f>_xll.qlInterestRateIndexValueDate(Index,P1288,Trigger)</f>
        <v>63250</v>
      </c>
      <c r="R1288" s="31">
        <f>_xll.qlInterestRateIndexMaturity(Index,Q1288,Trigger)</f>
        <v>63342</v>
      </c>
      <c r="S1288" s="32">
        <f>_xll.qlDayCounterYearFraction(DayCounter,Q1288,R1288,,,Trigger)</f>
        <v>0.25555555555555554</v>
      </c>
      <c r="T1288" s="33">
        <f>_xll.qlIndexFixing(Index,P1288,,AllTriggers)</f>
        <v>1.1627254694779708E-2</v>
      </c>
      <c r="U1288" s="34">
        <f>_xll.qlYieldTSDiscount(OisCurve,Q1288,,AllTriggers)</f>
        <v>0.51055917997114286</v>
      </c>
      <c r="V1288" s="34">
        <f>_xll.qlYieldTSDiscount(OisCurve,R1288,,AllTriggers)</f>
        <v>0.50908110107797666</v>
      </c>
      <c r="W1288" s="33">
        <f t="shared" si="86"/>
        <v>1.1361229008525257E-2</v>
      </c>
      <c r="X1288" s="35">
        <f t="shared" si="87"/>
        <v>6.7785228561464774E-5</v>
      </c>
      <c r="Y1288" s="33">
        <f t="shared" si="88"/>
        <v>2.6602568625445043E-4</v>
      </c>
      <c r="Z1288" s="54"/>
    </row>
    <row r="1289" spans="15:26" x14ac:dyDescent="0.25">
      <c r="O1289" s="37" t="s">
        <v>19</v>
      </c>
      <c r="P1289" s="31">
        <f>_xll.qlCalendarAdvance(Calendar,P1288,O1288,"f",,Trigger)</f>
        <v>63276</v>
      </c>
      <c r="Q1289" s="31">
        <f>_xll.qlInterestRateIndexValueDate(Index,P1289,Trigger)</f>
        <v>63278</v>
      </c>
      <c r="R1289" s="31">
        <f>_xll.qlInterestRateIndexMaturity(Index,Q1289,Trigger)</f>
        <v>63370</v>
      </c>
      <c r="S1289" s="32">
        <f>_xll.qlDayCounterYearFraction(DayCounter,Q1289,R1289,,,Trigger)</f>
        <v>0.25555555555555554</v>
      </c>
      <c r="T1289" s="33">
        <f>_xll.qlIndexFixing(Index,P1289,,AllTriggers)</f>
        <v>1.163140275096694E-2</v>
      </c>
      <c r="U1289" s="34">
        <f>_xll.qlYieldTSDiscount(OisCurve,Q1289,,AllTriggers)</f>
        <v>0.51010906371937137</v>
      </c>
      <c r="V1289" s="34">
        <f>_xll.qlYieldTSDiscount(OisCurve,R1289,,AllTriggers)</f>
        <v>0.50863176442148161</v>
      </c>
      <c r="W1289" s="33">
        <f t="shared" si="86"/>
        <v>1.1365268131890597E-2</v>
      </c>
      <c r="X1289" s="35">
        <f t="shared" si="87"/>
        <v>6.7812914681980257E-5</v>
      </c>
      <c r="Y1289" s="33">
        <f t="shared" si="88"/>
        <v>2.6613461907634348E-4</v>
      </c>
      <c r="Z1289" s="54"/>
    </row>
    <row r="1290" spans="15:26" x14ac:dyDescent="0.25">
      <c r="O1290" s="37" t="s">
        <v>19</v>
      </c>
      <c r="P1290" s="31">
        <f>_xll.qlCalendarAdvance(Calendar,P1289,O1289,"f",,Trigger)</f>
        <v>63307</v>
      </c>
      <c r="Q1290" s="31">
        <f>_xll.qlInterestRateIndexValueDate(Index,P1290,Trigger)</f>
        <v>63312</v>
      </c>
      <c r="R1290" s="31">
        <f>_xll.qlInterestRateIndexMaturity(Index,Q1290,Trigger)</f>
        <v>63404</v>
      </c>
      <c r="S1290" s="32">
        <f>_xll.qlDayCounterYearFraction(DayCounter,Q1290,R1290,,,Trigger)</f>
        <v>0.25555555555555554</v>
      </c>
      <c r="T1290" s="33">
        <f>_xll.qlIndexFixing(Index,P1290,,AllTriggers)</f>
        <v>1.163622781660615E-2</v>
      </c>
      <c r="U1290" s="34">
        <f>_xll.qlYieldTSDiscount(OisCurve,Q1290,,AllTriggers)</f>
        <v>0.50956280412034738</v>
      </c>
      <c r="V1290" s="34">
        <f>_xll.qlYieldTSDiscount(OisCurve,R1290,,AllTriggers)</f>
        <v>0.5080864785275726</v>
      </c>
      <c r="W1290" s="33">
        <f t="shared" si="86"/>
        <v>1.1369966485505456E-2</v>
      </c>
      <c r="X1290" s="35">
        <f t="shared" si="87"/>
        <v>6.784511945170299E-5</v>
      </c>
      <c r="Y1290" s="33">
        <f t="shared" si="88"/>
        <v>2.6626133110069401E-4</v>
      </c>
      <c r="Z1290" s="54"/>
    </row>
    <row r="1291" spans="15:26" x14ac:dyDescent="0.25">
      <c r="O1291" s="37" t="s">
        <v>19</v>
      </c>
      <c r="P1291" s="31">
        <f>_xll.qlCalendarAdvance(Calendar,P1290,O1290,"f",,Trigger)</f>
        <v>63338</v>
      </c>
      <c r="Q1291" s="31">
        <f>_xll.qlInterestRateIndexValueDate(Index,P1291,Trigger)</f>
        <v>63340</v>
      </c>
      <c r="R1291" s="31">
        <f>_xll.qlInterestRateIndexMaturity(Index,Q1291,Trigger)</f>
        <v>63432</v>
      </c>
      <c r="S1291" s="32">
        <f>_xll.qlDayCounterYearFraction(DayCounter,Q1291,R1291,,,Trigger)</f>
        <v>0.25555555555555554</v>
      </c>
      <c r="T1291" s="33">
        <f>_xll.qlIndexFixing(Index,P1291,,AllTriggers)</f>
        <v>1.1640026926787379E-2</v>
      </c>
      <c r="U1291" s="34">
        <f>_xll.qlYieldTSDiscount(OisCurve,Q1291,,AllTriggers)</f>
        <v>0.50911320597314957</v>
      </c>
      <c r="V1291" s="34">
        <f>_xll.qlYieldTSDiscount(OisCurve,R1291,,AllTriggers)</f>
        <v>0.5076377044502649</v>
      </c>
      <c r="W1291" s="33">
        <f t="shared" si="86"/>
        <v>1.1373665826379954E-2</v>
      </c>
      <c r="X1291" s="35">
        <f t="shared" si="87"/>
        <v>6.7870476481627292E-5</v>
      </c>
      <c r="Y1291" s="33">
        <f t="shared" si="88"/>
        <v>2.6636110040742511E-4</v>
      </c>
      <c r="Z1291" s="54"/>
    </row>
    <row r="1292" spans="15:26" x14ac:dyDescent="0.25">
      <c r="O1292" s="37" t="s">
        <v>19</v>
      </c>
      <c r="P1292" s="31">
        <f>_xll.qlCalendarAdvance(Calendar,P1291,O1291,"f",,Trigger)</f>
        <v>63369</v>
      </c>
      <c r="Q1292" s="31">
        <f>_xll.qlInterestRateIndexValueDate(Index,P1292,Trigger)</f>
        <v>63373</v>
      </c>
      <c r="R1292" s="31">
        <f>_xll.qlInterestRateIndexMaturity(Index,Q1292,Trigger)</f>
        <v>63465</v>
      </c>
      <c r="S1292" s="32">
        <f>_xll.qlDayCounterYearFraction(DayCounter,Q1292,R1292,,,Trigger)</f>
        <v>0.25555555555555554</v>
      </c>
      <c r="T1292" s="33">
        <f>_xll.qlIndexFixing(Index,P1292,,AllTriggers)</f>
        <v>1.1644302136206033E-2</v>
      </c>
      <c r="U1292" s="34">
        <f>_xll.qlYieldTSDiscount(OisCurve,Q1292,,AllTriggers)</f>
        <v>0.50858363595099565</v>
      </c>
      <c r="V1292" s="34">
        <f>_xll.qlYieldTSDiscount(OisCurve,R1292,,AllTriggers)</f>
        <v>0.50710913128673496</v>
      </c>
      <c r="W1292" s="33">
        <f t="shared" si="86"/>
        <v>1.1377828763426341E-2</v>
      </c>
      <c r="X1292" s="35">
        <f t="shared" si="87"/>
        <v>6.7899011190647335E-5</v>
      </c>
      <c r="Y1292" s="33">
        <f t="shared" si="88"/>
        <v>2.6647337277969224E-4</v>
      </c>
      <c r="Z1292" s="54"/>
    </row>
    <row r="1293" spans="15:26" x14ac:dyDescent="0.25">
      <c r="O1293" s="37" t="s">
        <v>19</v>
      </c>
      <c r="P1293" s="31">
        <f>_xll.qlCalendarAdvance(Calendar,P1292,O1292,"f",,Trigger)</f>
        <v>63401</v>
      </c>
      <c r="Q1293" s="31">
        <f>_xll.qlInterestRateIndexValueDate(Index,P1293,Trigger)</f>
        <v>63403</v>
      </c>
      <c r="R1293" s="31">
        <f>_xll.qlInterestRateIndexMaturity(Index,Q1293,Trigger)</f>
        <v>63495</v>
      </c>
      <c r="S1293" s="32">
        <f>_xll.qlDayCounterYearFraction(DayCounter,Q1293,R1293,,,Trigger)</f>
        <v>0.25555555555555554</v>
      </c>
      <c r="T1293" s="33">
        <f>_xll.qlIndexFixing(Index,P1293,,AllTriggers)</f>
        <v>1.1647998738272223E-2</v>
      </c>
      <c r="U1293" s="34">
        <f>_xll.qlYieldTSDiscount(OisCurve,Q1293,,AllTriggers)</f>
        <v>0.50810251097643888</v>
      </c>
      <c r="V1293" s="34">
        <f>_xll.qlYieldTSDiscount(OisCurve,R1293,,AllTriggers)</f>
        <v>0.50662893652175334</v>
      </c>
      <c r="W1293" s="33">
        <f t="shared" si="86"/>
        <v>1.1381428287982151E-2</v>
      </c>
      <c r="X1293" s="35">
        <f t="shared" si="87"/>
        <v>6.7923683983496272E-5</v>
      </c>
      <c r="Y1293" s="33">
        <f t="shared" si="88"/>
        <v>2.6657045029007155E-4</v>
      </c>
      <c r="Z1293" s="54"/>
    </row>
    <row r="1294" spans="15:26" x14ac:dyDescent="0.25">
      <c r="O1294" s="37" t="s">
        <v>19</v>
      </c>
      <c r="P1294" s="31">
        <f>_xll.qlCalendarAdvance(Calendar,P1293,O1293,"f",,Trigger)</f>
        <v>63432</v>
      </c>
      <c r="Q1294" s="31">
        <f>_xll.qlInterestRateIndexValueDate(Index,P1294,Trigger)</f>
        <v>63436</v>
      </c>
      <c r="R1294" s="31">
        <f>_xll.qlInterestRateIndexMaturity(Index,Q1294,Trigger)</f>
        <v>63527</v>
      </c>
      <c r="S1294" s="32">
        <f>_xll.qlDayCounterYearFraction(DayCounter,Q1294,R1294,,,Trigger)</f>
        <v>0.25277777777777777</v>
      </c>
      <c r="T1294" s="33">
        <f>_xll.qlIndexFixing(Index,P1294,,AllTriggers)</f>
        <v>1.1651612401676911E-2</v>
      </c>
      <c r="U1294" s="34">
        <f>_xll.qlYieldTSDiscount(OisCurve,Q1294,,AllTriggers)</f>
        <v>0.50757361526245059</v>
      </c>
      <c r="V1294" s="34">
        <f>_xll.qlYieldTSDiscount(OisCurve,R1294,,AllTriggers)</f>
        <v>0.50611707988801857</v>
      </c>
      <c r="W1294" s="33">
        <f t="shared" si="86"/>
        <v>1.1384950624588226E-2</v>
      </c>
      <c r="X1294" s="35">
        <f t="shared" si="87"/>
        <v>6.7210483723462627E-5</v>
      </c>
      <c r="Y1294" s="33">
        <f t="shared" si="88"/>
        <v>2.666617770886847E-4</v>
      </c>
      <c r="Z1294" s="54"/>
    </row>
    <row r="1295" spans="15:26" x14ac:dyDescent="0.25">
      <c r="O1295" s="37" t="s">
        <v>19</v>
      </c>
      <c r="P1295" s="31">
        <f>_xll.qlCalendarAdvance(Calendar,P1294,O1294,"f",,Trigger)</f>
        <v>63464</v>
      </c>
      <c r="Q1295" s="31">
        <f>_xll.qlInterestRateIndexValueDate(Index,P1295,Trigger)</f>
        <v>63466</v>
      </c>
      <c r="R1295" s="31">
        <f>_xll.qlInterestRateIndexMaturity(Index,Q1295,Trigger)</f>
        <v>63558</v>
      </c>
      <c r="S1295" s="32">
        <f>_xll.qlDayCounterYearFraction(DayCounter,Q1295,R1295,,,Trigger)</f>
        <v>0.25555555555555554</v>
      </c>
      <c r="T1295" s="33">
        <f>_xll.qlIndexFixing(Index,P1295,,AllTriggers)</f>
        <v>1.1655172749264441E-2</v>
      </c>
      <c r="U1295" s="34">
        <f>_xll.qlYieldTSDiscount(OisCurve,Q1295,,AllTriggers)</f>
        <v>0.50709311974291205</v>
      </c>
      <c r="V1295" s="34">
        <f>_xll.qlYieldTSDiscount(OisCurve,R1295,,AllTriggers)</f>
        <v>0.50562157265223495</v>
      </c>
      <c r="W1295" s="33">
        <f t="shared" si="86"/>
        <v>1.1388413899990129E-2</v>
      </c>
      <c r="X1295" s="35">
        <f t="shared" si="87"/>
        <v>6.7971566509223596E-5</v>
      </c>
      <c r="Y1295" s="33">
        <f t="shared" si="88"/>
        <v>2.6675884927431122E-4</v>
      </c>
      <c r="Z1295" s="54"/>
    </row>
    <row r="1296" spans="15:26" x14ac:dyDescent="0.25">
      <c r="O1296" s="37" t="s">
        <v>19</v>
      </c>
      <c r="P1296" s="31">
        <f>_xll.qlCalendarAdvance(Calendar,P1295,O1295,"f",,Trigger)</f>
        <v>63495</v>
      </c>
      <c r="Q1296" s="31">
        <f>_xll.qlInterestRateIndexValueDate(Index,P1296,Trigger)</f>
        <v>63499</v>
      </c>
      <c r="R1296" s="31">
        <f>_xll.qlInterestRateIndexMaturity(Index,Q1296,Trigger)</f>
        <v>63591</v>
      </c>
      <c r="S1296" s="32">
        <f>_xll.qlDayCounterYearFraction(DayCounter,Q1296,R1296,,,Trigger)</f>
        <v>0.25555555555555554</v>
      </c>
      <c r="T1296" s="33">
        <f>_xll.qlIndexFixing(Index,P1296,,AllTriggers)</f>
        <v>1.1658612166490247E-2</v>
      </c>
      <c r="U1296" s="34">
        <f>_xll.qlYieldTSDiscount(OisCurve,Q1296,,AllTriggers)</f>
        <v>0.50656493444822703</v>
      </c>
      <c r="V1296" s="34">
        <f>_xll.qlYieldTSDiscount(OisCurve,R1296,,AllTriggers)</f>
        <v>0.50509448906709964</v>
      </c>
      <c r="W1296" s="33">
        <f t="shared" si="86"/>
        <v>1.1391762993468326E-2</v>
      </c>
      <c r="X1296" s="35">
        <f t="shared" si="87"/>
        <v>6.7994522671374646E-5</v>
      </c>
      <c r="Y1296" s="33">
        <f t="shared" si="88"/>
        <v>2.66849173021921E-4</v>
      </c>
      <c r="Z1296" s="54"/>
    </row>
    <row r="1297" spans="15:26" x14ac:dyDescent="0.25">
      <c r="O1297" s="37" t="s">
        <v>19</v>
      </c>
      <c r="P1297" s="31">
        <f>_xll.qlCalendarAdvance(Calendar,P1296,O1296,"f",,Trigger)</f>
        <v>63527</v>
      </c>
      <c r="Q1297" s="31">
        <f>_xll.qlInterestRateIndexValueDate(Index,P1297,Trigger)</f>
        <v>63529</v>
      </c>
      <c r="R1297" s="31">
        <f>_xll.qlInterestRateIndexMaturity(Index,Q1297,Trigger)</f>
        <v>63619</v>
      </c>
      <c r="S1297" s="32">
        <f>_xll.qlDayCounterYearFraction(DayCounter,Q1297,R1297,,,Trigger)</f>
        <v>0.25</v>
      </c>
      <c r="T1297" s="33">
        <f>_xll.qlIndexFixing(Index,P1297,,AllTriggers)</f>
        <v>1.1661079659753604E-2</v>
      </c>
      <c r="U1297" s="34">
        <f>_xll.qlYieldTSDiscount(OisCurve,Q1297,,AllTriggers)</f>
        <v>0.50608510108044491</v>
      </c>
      <c r="V1297" s="34">
        <f>_xll.qlYieldTSDiscount(OisCurve,R1297,,AllTriggers)</f>
        <v>0.50464759061199094</v>
      </c>
      <c r="W1297" s="33">
        <f t="shared" si="86"/>
        <v>1.1394172846129536E-2</v>
      </c>
      <c r="X1297" s="35">
        <f t="shared" si="87"/>
        <v>6.6534955904476407E-5</v>
      </c>
      <c r="Y1297" s="33">
        <f t="shared" si="88"/>
        <v>2.6690681362406821E-4</v>
      </c>
      <c r="Z1297" s="54"/>
    </row>
    <row r="1298" spans="15:26" x14ac:dyDescent="0.25">
      <c r="O1298" s="37" t="s">
        <v>19</v>
      </c>
      <c r="P1298" s="31">
        <f>_xll.qlCalendarAdvance(Calendar,P1297,O1297,"f",,Trigger)</f>
        <v>63558</v>
      </c>
      <c r="Q1298" s="31">
        <f>_xll.qlInterestRateIndexValueDate(Index,P1298,Trigger)</f>
        <v>63562</v>
      </c>
      <c r="R1298" s="31">
        <f>_xll.qlInterestRateIndexMaturity(Index,Q1298,Trigger)</f>
        <v>63653</v>
      </c>
      <c r="S1298" s="32">
        <f>_xll.qlDayCounterYearFraction(DayCounter,Q1298,R1298,,,Trigger)</f>
        <v>0.25277777777777777</v>
      </c>
      <c r="T1298" s="33">
        <f>_xll.qlIndexFixing(Index,P1298,,AllTriggers)</f>
        <v>1.1664339074227887E-2</v>
      </c>
      <c r="U1298" s="34">
        <f>_xll.qlYieldTSDiscount(OisCurve,Q1298,,AllTriggers)</f>
        <v>0.50555766202699604</v>
      </c>
      <c r="V1298" s="34">
        <f>_xll.qlYieldTSDiscount(OisCurve,R1298,,AllTriggers)</f>
        <v>0.50410533704227001</v>
      </c>
      <c r="W1298" s="33">
        <f t="shared" si="86"/>
        <v>1.139734308656087E-2</v>
      </c>
      <c r="X1298" s="35">
        <f t="shared" si="87"/>
        <v>6.7294506447903671E-5</v>
      </c>
      <c r="Y1298" s="33">
        <f t="shared" si="88"/>
        <v>2.6699598766701665E-4</v>
      </c>
      <c r="Z1298" s="54"/>
    </row>
    <row r="1299" spans="15:26" x14ac:dyDescent="0.25">
      <c r="O1299" s="37" t="s">
        <v>19</v>
      </c>
      <c r="P1299" s="31">
        <f>_xll.qlCalendarAdvance(Calendar,P1298,O1298,"f",,Trigger)</f>
        <v>63590</v>
      </c>
      <c r="Q1299" s="31">
        <f>_xll.qlInterestRateIndexValueDate(Index,P1299,Trigger)</f>
        <v>63592</v>
      </c>
      <c r="R1299" s="31">
        <f>_xll.qlInterestRateIndexMaturity(Index,Q1299,Trigger)</f>
        <v>63681</v>
      </c>
      <c r="S1299" s="32">
        <f>_xll.qlDayCounterYearFraction(DayCounter,Q1299,R1299,,,Trigger)</f>
        <v>0.24722222222222223</v>
      </c>
      <c r="T1299" s="33">
        <f>_xll.qlIndexFixing(Index,P1299,,AllTriggers)</f>
        <v>1.1666441771629329E-2</v>
      </c>
      <c r="U1299" s="34">
        <f>_xll.qlYieldTSDiscount(OisCurve,Q1299,,AllTriggers)</f>
        <v>0.5050785232452415</v>
      </c>
      <c r="V1299" s="34">
        <f>_xll.qlYieldTSDiscount(OisCurve,R1299,,AllTriggers)</f>
        <v>0.50365911895340154</v>
      </c>
      <c r="W1299" s="33">
        <f t="shared" si="86"/>
        <v>1.1399397732754623E-2</v>
      </c>
      <c r="X1299" s="35">
        <f t="shared" si="87"/>
        <v>6.5831522300962666E-5</v>
      </c>
      <c r="Y1299" s="33">
        <f t="shared" si="88"/>
        <v>2.6704403887470654E-4</v>
      </c>
      <c r="Z1299" s="54"/>
    </row>
    <row r="1300" spans="15:26" x14ac:dyDescent="0.25">
      <c r="O1300" s="37" t="s">
        <v>19</v>
      </c>
      <c r="P1300" s="31">
        <f>_xll.qlCalendarAdvance(Calendar,P1299,O1299,"f",,Trigger)</f>
        <v>63618</v>
      </c>
      <c r="Q1300" s="31">
        <f>_xll.qlInterestRateIndexValueDate(Index,P1300,Trigger)</f>
        <v>63620</v>
      </c>
      <c r="R1300" s="31">
        <f>_xll.qlInterestRateIndexMaturity(Index,Q1300,Trigger)</f>
        <v>63712</v>
      </c>
      <c r="S1300" s="32">
        <f>_xll.qlDayCounterYearFraction(DayCounter,Q1300,R1300,,,Trigger)</f>
        <v>0.25555555555555554</v>
      </c>
      <c r="T1300" s="33">
        <f>_xll.qlIndexFixing(Index,P1300,,AllTriggers)</f>
        <v>1.1669350552813007E-2</v>
      </c>
      <c r="U1300" s="34">
        <f>_xll.qlYieldTSDiscount(OisCurve,Q1300,,AllTriggers)</f>
        <v>0.50463163553448565</v>
      </c>
      <c r="V1300" s="34">
        <f>_xll.qlYieldTSDiscount(OisCurve,R1300,,AllTriggers)</f>
        <v>0.50316546144134688</v>
      </c>
      <c r="W1300" s="33">
        <f t="shared" si="86"/>
        <v>1.1402219374750028E-2</v>
      </c>
      <c r="X1300" s="35">
        <f t="shared" si="87"/>
        <v>6.8066195189099782E-5</v>
      </c>
      <c r="Y1300" s="33">
        <f t="shared" si="88"/>
        <v>2.671311780629796E-4</v>
      </c>
      <c r="Z1300" s="54"/>
    </row>
    <row r="1301" spans="15:26" x14ac:dyDescent="0.25">
      <c r="O1301" s="37" t="s">
        <v>19</v>
      </c>
      <c r="P1301" s="31">
        <f>_xll.qlCalendarAdvance(Calendar,P1300,O1300,"f",,Trigger)</f>
        <v>63649</v>
      </c>
      <c r="Q1301" s="31">
        <f>_xll.qlInterestRateIndexValueDate(Index,P1301,Trigger)</f>
        <v>63653</v>
      </c>
      <c r="R1301" s="31">
        <f>_xll.qlInterestRateIndexMaturity(Index,Q1301,Trigger)</f>
        <v>63744</v>
      </c>
      <c r="S1301" s="32">
        <f>_xll.qlDayCounterYearFraction(DayCounter,Q1301,R1301,,,Trigger)</f>
        <v>0.25277777777777777</v>
      </c>
      <c r="T1301" s="33">
        <f>_xll.qlIndexFixing(Index,P1301,,AllTriggers)</f>
        <v>1.1671545948806318E-2</v>
      </c>
      <c r="U1301" s="34">
        <f>_xll.qlYieldTSDiscount(OisCurve,Q1301,,AllTriggers)</f>
        <v>0.50410533704227001</v>
      </c>
      <c r="V1301" s="34">
        <f>_xll.qlYieldTSDiscount(OisCurve,R1301,,AllTriggers)</f>
        <v>0.50265629507947052</v>
      </c>
      <c r="W1301" s="33">
        <f t="shared" si="86"/>
        <v>1.1404360703531036E-2</v>
      </c>
      <c r="X1301" s="35">
        <f t="shared" si="87"/>
        <v>6.7342086812519447E-5</v>
      </c>
      <c r="Y1301" s="33">
        <f t="shared" si="88"/>
        <v>2.6718524527528237E-4</v>
      </c>
      <c r="Z1301" s="54"/>
    </row>
    <row r="1302" spans="15:26" x14ac:dyDescent="0.25">
      <c r="O1302" s="37" t="s">
        <v>19</v>
      </c>
      <c r="P1302" s="31">
        <f>_xll.qlCalendarAdvance(Calendar,P1301,O1301,"f",,Trigger)</f>
        <v>63681</v>
      </c>
      <c r="Q1302" s="31">
        <f>_xll.qlInterestRateIndexValueDate(Index,P1302,Trigger)</f>
        <v>63683</v>
      </c>
      <c r="R1302" s="31">
        <f>_xll.qlInterestRateIndexMaturity(Index,Q1302,Trigger)</f>
        <v>63775</v>
      </c>
      <c r="S1302" s="32">
        <f>_xll.qlDayCounterYearFraction(DayCounter,Q1302,R1302,,,Trigger)</f>
        <v>0.25555555555555554</v>
      </c>
      <c r="T1302" s="33">
        <f>_xll.qlIndexFixing(Index,P1302,,AllTriggers)</f>
        <v>1.1673776553880395E-2</v>
      </c>
      <c r="U1302" s="34">
        <f>_xll.qlYieldTSDiscount(OisCurve,Q1302,,AllTriggers)</f>
        <v>0.50362725828202237</v>
      </c>
      <c r="V1302" s="34">
        <f>_xll.qlYieldTSDiscount(OisCurve,R1302,,AllTriggers)</f>
        <v>0.50216345087263359</v>
      </c>
      <c r="W1302" s="33">
        <f t="shared" si="86"/>
        <v>1.140652914262304E-2</v>
      </c>
      <c r="X1302" s="35">
        <f t="shared" si="87"/>
        <v>6.8095736129052101E-5</v>
      </c>
      <c r="Y1302" s="33">
        <f t="shared" si="88"/>
        <v>2.6724741125735453E-4</v>
      </c>
      <c r="Z1302" s="54"/>
    </row>
    <row r="1303" spans="15:26" x14ac:dyDescent="0.25">
      <c r="O1303" s="37" t="s">
        <v>19</v>
      </c>
      <c r="P1303" s="31">
        <f>_xll.qlCalendarAdvance(Calendar,P1302,O1302,"f",,Trigger)</f>
        <v>63712</v>
      </c>
      <c r="Q1303" s="31">
        <f>_xll.qlInterestRateIndexValueDate(Index,P1303,Trigger)</f>
        <v>63716</v>
      </c>
      <c r="R1303" s="31">
        <f>_xll.qlInterestRateIndexMaturity(Index,Q1303,Trigger)</f>
        <v>63808</v>
      </c>
      <c r="S1303" s="32">
        <f>_xll.qlDayCounterYearFraction(DayCounter,Q1303,R1303,,,Trigger)</f>
        <v>0.25555555555555554</v>
      </c>
      <c r="T1303" s="33">
        <f>_xll.qlIndexFixing(Index,P1303,,AllTriggers)</f>
        <v>1.1675776532702079E-2</v>
      </c>
      <c r="U1303" s="34">
        <f>_xll.qlYieldTSDiscount(OisCurve,Q1303,,AllTriggers)</f>
        <v>0.50310179238455321</v>
      </c>
      <c r="V1303" s="34">
        <f>_xll.qlYieldTSDiscount(OisCurve,R1303,,AllTriggers)</f>
        <v>0.50163926332536624</v>
      </c>
      <c r="W1303" s="33">
        <f t="shared" si="86"/>
        <v>1.140847659906263E-2</v>
      </c>
      <c r="X1303" s="35">
        <f t="shared" si="87"/>
        <v>6.810908479450175E-5</v>
      </c>
      <c r="Y1303" s="33">
        <f t="shared" si="88"/>
        <v>2.6729993363944909E-4</v>
      </c>
      <c r="Z1303" s="54"/>
    </row>
    <row r="1304" spans="15:26" x14ac:dyDescent="0.25">
      <c r="O1304" s="37" t="s">
        <v>19</v>
      </c>
      <c r="P1304" s="31">
        <f>_xll.qlCalendarAdvance(Calendar,P1303,O1303,"f",,Trigger)</f>
        <v>63744</v>
      </c>
      <c r="Q1304" s="31">
        <f>_xll.qlInterestRateIndexValueDate(Index,P1304,Trigger)</f>
        <v>63746</v>
      </c>
      <c r="R1304" s="31">
        <f>_xll.qlInterestRateIndexMaturity(Index,Q1304,Trigger)</f>
        <v>63838</v>
      </c>
      <c r="S1304" s="32">
        <f>_xll.qlDayCounterYearFraction(DayCounter,Q1304,R1304,,,Trigger)</f>
        <v>0.25555555555555554</v>
      </c>
      <c r="T1304" s="33">
        <f>_xll.qlIndexFixing(Index,P1304,,AllTriggers)</f>
        <v>1.1677404738736425E-2</v>
      </c>
      <c r="U1304" s="34">
        <f>_xll.qlYieldTSDiscount(OisCurve,Q1304,,AllTriggers)</f>
        <v>0.50262448639501434</v>
      </c>
      <c r="V1304" s="34">
        <f>_xll.qlYieldTSDiscount(OisCurve,R1304,,AllTriggers)</f>
        <v>0.50116314240999782</v>
      </c>
      <c r="W1304" s="33">
        <f t="shared" si="86"/>
        <v>1.1410062045996369E-2</v>
      </c>
      <c r="X1304" s="35">
        <f t="shared" si="87"/>
        <v>6.8119952093168983E-5</v>
      </c>
      <c r="Y1304" s="33">
        <f t="shared" si="88"/>
        <v>2.6734269274005656E-4</v>
      </c>
      <c r="Z1304" s="54"/>
    </row>
    <row r="1305" spans="15:26" x14ac:dyDescent="0.25">
      <c r="O1305" s="37" t="s">
        <v>19</v>
      </c>
      <c r="P1305" s="31">
        <f>_xll.qlCalendarAdvance(Calendar,P1304,O1304,"f",,Trigger)</f>
        <v>63775</v>
      </c>
      <c r="Q1305" s="31">
        <f>_xll.qlInterestRateIndexValueDate(Index,P1305,Trigger)</f>
        <v>63779</v>
      </c>
      <c r="R1305" s="31">
        <f>_xll.qlInterestRateIndexMaturity(Index,Q1305,Trigger)</f>
        <v>63871</v>
      </c>
      <c r="S1305" s="32">
        <f>_xll.qlDayCounterYearFraction(DayCounter,Q1305,R1305,,,Trigger)</f>
        <v>0.25555555555555554</v>
      </c>
      <c r="T1305" s="33">
        <f>_xll.qlIndexFixing(Index,P1305,,AllTriggers)</f>
        <v>1.1678986812914176E-2</v>
      </c>
      <c r="U1305" s="34">
        <f>_xll.qlYieldTSDiscount(OisCurve,Q1305,,AllTriggers)</f>
        <v>0.50209988792597293</v>
      </c>
      <c r="V1305" s="34">
        <f>_xll.qlYieldTSDiscount(OisCurve,R1305,,AllTriggers)</f>
        <v>0.50063987264876519</v>
      </c>
      <c r="W1305" s="33">
        <f t="shared" si="86"/>
        <v>1.1411602572548779E-2</v>
      </c>
      <c r="X1305" s="35">
        <f t="shared" si="87"/>
        <v>6.8130511484791343E-5</v>
      </c>
      <c r="Y1305" s="33">
        <f t="shared" si="88"/>
        <v>2.6738424036539671E-4</v>
      </c>
      <c r="Z1305" s="54"/>
    </row>
    <row r="1306" spans="15:26" x14ac:dyDescent="0.25">
      <c r="O1306" s="37" t="s">
        <v>19</v>
      </c>
      <c r="P1306" s="31">
        <f>_xll.qlCalendarAdvance(Calendar,P1305,O1305,"f",,Trigger)</f>
        <v>63807</v>
      </c>
      <c r="Q1306" s="31">
        <f>_xll.qlInterestRateIndexValueDate(Index,P1306,Trigger)</f>
        <v>63809</v>
      </c>
      <c r="R1306" s="31">
        <f>_xll.qlInterestRateIndexMaturity(Index,Q1306,Trigger)</f>
        <v>63900</v>
      </c>
      <c r="S1306" s="32">
        <f>_xll.qlDayCounterYearFraction(DayCounter,Q1306,R1306,,,Trigger)</f>
        <v>0.25277777777777777</v>
      </c>
      <c r="T1306" s="33">
        <f>_xll.qlIndexFixing(Index,P1306,,AllTriggers)</f>
        <v>1.1680028023181058E-2</v>
      </c>
      <c r="U1306" s="34">
        <f>_xll.qlYieldTSDiscount(OisCurve,Q1306,,AllTriggers)</f>
        <v>0.50162338624470348</v>
      </c>
      <c r="V1306" s="34">
        <f>_xll.qlYieldTSDiscount(OisCurve,R1306,,AllTriggers)</f>
        <v>0.50018043734363427</v>
      </c>
      <c r="W1306" s="33">
        <f t="shared" si="86"/>
        <v>1.1412620032225413E-2</v>
      </c>
      <c r="X1306" s="35">
        <f t="shared" si="87"/>
        <v>6.7398086037292438E-5</v>
      </c>
      <c r="Y1306" s="33">
        <f t="shared" si="88"/>
        <v>2.6740799095564469E-4</v>
      </c>
      <c r="Z1306" s="54"/>
    </row>
    <row r="1307" spans="15:26" x14ac:dyDescent="0.25">
      <c r="O1307" s="37" t="s">
        <v>19</v>
      </c>
      <c r="P1307" s="31">
        <f>_xll.qlCalendarAdvance(Calendar,P1306,O1306,"f",,Trigger)</f>
        <v>63837</v>
      </c>
      <c r="Q1307" s="31">
        <f>_xll.qlInterestRateIndexValueDate(Index,P1307,Trigger)</f>
        <v>63839</v>
      </c>
      <c r="R1307" s="31">
        <f>_xll.qlInterestRateIndexMaturity(Index,Q1307,Trigger)</f>
        <v>63933</v>
      </c>
      <c r="S1307" s="32">
        <f>_xll.qlDayCounterYearFraction(DayCounter,Q1307,R1307,,,Trigger)</f>
        <v>0.26111111111111113</v>
      </c>
      <c r="T1307" s="33">
        <f>_xll.qlIndexFixing(Index,P1307,,AllTriggers)</f>
        <v>1.1681710502870561E-2</v>
      </c>
      <c r="U1307" s="34">
        <f>_xll.qlYieldTSDiscount(OisCurve,Q1307,,AllTriggers)</f>
        <v>0.50114727857710417</v>
      </c>
      <c r="V1307" s="34">
        <f>_xll.qlYieldTSDiscount(OisCurve,R1307,,AllTriggers)</f>
        <v>0.49965810412946082</v>
      </c>
      <c r="W1307" s="33">
        <f t="shared" si="86"/>
        <v>1.1414247545896114E-2</v>
      </c>
      <c r="X1307" s="35">
        <f t="shared" si="87"/>
        <v>6.9627601405975031E-5</v>
      </c>
      <c r="Y1307" s="33">
        <f t="shared" si="88"/>
        <v>2.6746295697444716E-4</v>
      </c>
      <c r="Z1307" s="54"/>
    </row>
    <row r="1308" spans="15:26" x14ac:dyDescent="0.25">
      <c r="O1308" s="37" t="s">
        <v>19</v>
      </c>
      <c r="P1308" s="31">
        <f>_xll.qlCalendarAdvance(Calendar,P1307,O1307,"f",,Trigger)</f>
        <v>63870</v>
      </c>
      <c r="Q1308" s="31">
        <f>_xll.qlInterestRateIndexValueDate(Index,P1308,Trigger)</f>
        <v>63872</v>
      </c>
      <c r="R1308" s="31">
        <f>_xll.qlInterestRateIndexMaturity(Index,Q1308,Trigger)</f>
        <v>63964</v>
      </c>
      <c r="S1308" s="32">
        <f>_xll.qlDayCounterYearFraction(DayCounter,Q1308,R1308,,,Trigger)</f>
        <v>0.25555555555555554</v>
      </c>
      <c r="T1308" s="33">
        <f>_xll.qlIndexFixing(Index,P1308,,AllTriggers)</f>
        <v>1.16822676514472E-2</v>
      </c>
      <c r="U1308" s="34">
        <f>_xll.qlYieldTSDiscount(OisCurve,Q1308,,AllTriggers)</f>
        <v>0.50062402365987135</v>
      </c>
      <c r="V1308" s="34">
        <f>_xll.qlYieldTSDiscount(OisCurve,R1308,,AllTriggers)</f>
        <v>0.49916789358330155</v>
      </c>
      <c r="W1308" s="33">
        <f t="shared" si="86"/>
        <v>1.141479725131813E-2</v>
      </c>
      <c r="X1308" s="35">
        <f t="shared" si="87"/>
        <v>6.8152409091806282E-5</v>
      </c>
      <c r="Y1308" s="33">
        <f t="shared" si="88"/>
        <v>2.6747040012906932E-4</v>
      </c>
      <c r="Z1308" s="54"/>
    </row>
    <row r="1309" spans="15:26" x14ac:dyDescent="0.25">
      <c r="O1309" s="37" t="s">
        <v>19</v>
      </c>
      <c r="P1309" s="31">
        <f>_xll.qlCalendarAdvance(Calendar,P1308,O1308,"f",,Trigger)</f>
        <v>63900</v>
      </c>
      <c r="Q1309" s="31">
        <f>_xll.qlInterestRateIndexValueDate(Index,P1309,Trigger)</f>
        <v>63902</v>
      </c>
      <c r="R1309" s="31">
        <f>_xll.qlInterestRateIndexMaturity(Index,Q1309,Trigger)</f>
        <v>63992</v>
      </c>
      <c r="S1309" s="32">
        <f>_xll.qlDayCounterYearFraction(DayCounter,Q1309,R1309,,,Trigger)</f>
        <v>0.25</v>
      </c>
      <c r="T1309" s="33">
        <f>_xll.qlIndexFixing(Index,P1309,,AllTriggers)</f>
        <v>1.1682559408299653E-2</v>
      </c>
      <c r="U1309" s="34">
        <f>_xll.qlYieldTSDiscount(OisCurve,Q1309,,AllTriggers)</f>
        <v>0.50014876638471484</v>
      </c>
      <c r="V1309" s="34">
        <f>_xll.qlYieldTSDiscount(OisCurve,R1309,,AllTriggers)</f>
        <v>0.49872551740061088</v>
      </c>
      <c r="W1309" s="33">
        <f t="shared" si="86"/>
        <v>1.1415088536251616E-2</v>
      </c>
      <c r="X1309" s="35">
        <f t="shared" si="87"/>
        <v>6.66752129623826E-5</v>
      </c>
      <c r="Y1309" s="33">
        <f t="shared" si="88"/>
        <v>2.6747087204803677E-4</v>
      </c>
      <c r="Z1309" s="54"/>
    </row>
    <row r="1310" spans="15:26" x14ac:dyDescent="0.25">
      <c r="O1310" s="37" t="s">
        <v>19</v>
      </c>
      <c r="P1310" s="31">
        <f>_xll.qlCalendarAdvance(Calendar,P1309,O1309,"f",,Trigger)</f>
        <v>63933</v>
      </c>
      <c r="Q1310" s="31">
        <f>_xll.qlInterestRateIndexValueDate(Index,P1310,Trigger)</f>
        <v>63935</v>
      </c>
      <c r="R1310" s="31">
        <f>_xll.qlInterestRateIndexMaturity(Index,Q1310,Trigger)</f>
        <v>64025</v>
      </c>
      <c r="S1310" s="32">
        <f>_xll.qlDayCounterYearFraction(DayCounter,Q1310,R1310,,,Trigger)</f>
        <v>0.25</v>
      </c>
      <c r="T1310" s="33">
        <f>_xll.qlIndexFixing(Index,P1310,,AllTriggers)</f>
        <v>1.1683113264909117E-2</v>
      </c>
      <c r="U1310" s="34">
        <f>_xll.qlYieldTSDiscount(OisCurve,Q1310,,AllTriggers)</f>
        <v>0.49962646392915144</v>
      </c>
      <c r="V1310" s="34">
        <f>_xll.qlYieldTSDiscount(OisCurve,R1310,,AllTriggers)</f>
        <v>0.49820463425488321</v>
      </c>
      <c r="W1310" s="33">
        <f t="shared" si="86"/>
        <v>1.1415627848542442E-2</v>
      </c>
      <c r="X1310" s="35">
        <f t="shared" si="87"/>
        <v>6.6678829489009504E-5</v>
      </c>
      <c r="Y1310" s="33">
        <f t="shared" si="88"/>
        <v>2.6748541636667511E-4</v>
      </c>
      <c r="Z1310" s="54"/>
    </row>
    <row r="1311" spans="15:26" x14ac:dyDescent="0.25">
      <c r="O1311" s="37"/>
      <c r="P1311" s="31"/>
      <c r="Q1311" s="31"/>
      <c r="R1311" s="31"/>
      <c r="S1311" s="32"/>
      <c r="T1311" s="33"/>
      <c r="U1311" s="34"/>
      <c r="V1311" s="34"/>
      <c r="W1311" s="33"/>
      <c r="X1311" s="35"/>
      <c r="Y1311" s="54"/>
      <c r="Z1311" s="54"/>
    </row>
    <row r="1312" spans="15:26" x14ac:dyDescent="0.25">
      <c r="O1312" s="37"/>
      <c r="P1312" s="31"/>
      <c r="Q1312" s="31"/>
      <c r="R1312" s="31"/>
      <c r="S1312" s="32"/>
      <c r="T1312" s="33"/>
      <c r="U1312" s="34"/>
      <c r="V1312" s="34"/>
      <c r="W1312" s="33"/>
      <c r="X1312" s="35"/>
      <c r="Y1312" s="54"/>
      <c r="Z1312" s="54"/>
    </row>
    <row r="1313" spans="15:26" x14ac:dyDescent="0.25">
      <c r="O1313" s="37"/>
      <c r="P1313" s="31"/>
      <c r="Q1313" s="31"/>
      <c r="R1313" s="31"/>
      <c r="S1313" s="32"/>
      <c r="T1313" s="33"/>
      <c r="U1313" s="34"/>
      <c r="V1313" s="34"/>
      <c r="W1313" s="33"/>
      <c r="X1313" s="35"/>
      <c r="Y1313" s="54"/>
      <c r="Z1313" s="54"/>
    </row>
    <row r="1314" spans="15:26" x14ac:dyDescent="0.25">
      <c r="O1314" s="37"/>
      <c r="P1314" s="31"/>
      <c r="Q1314" s="31"/>
      <c r="R1314" s="31"/>
      <c r="S1314" s="32"/>
      <c r="T1314" s="33"/>
      <c r="U1314" s="34"/>
      <c r="V1314" s="34"/>
      <c r="W1314" s="33"/>
      <c r="X1314" s="35"/>
      <c r="Y1314" s="54"/>
      <c r="Z1314" s="54"/>
    </row>
    <row r="1315" spans="15:26" x14ac:dyDescent="0.25">
      <c r="O1315" s="37"/>
      <c r="P1315" s="31"/>
      <c r="Q1315" s="31"/>
      <c r="R1315" s="31"/>
      <c r="S1315" s="32"/>
      <c r="T1315" s="33"/>
      <c r="U1315" s="34"/>
      <c r="V1315" s="34"/>
      <c r="W1315" s="33"/>
      <c r="X1315" s="35"/>
      <c r="Y1315" s="54"/>
      <c r="Z1315" s="54"/>
    </row>
    <row r="1316" spans="15:26" x14ac:dyDescent="0.25">
      <c r="O1316" s="37"/>
      <c r="P1316" s="31"/>
      <c r="Q1316" s="31"/>
      <c r="R1316" s="31"/>
      <c r="S1316" s="32"/>
      <c r="T1316" s="33"/>
      <c r="U1316" s="34"/>
      <c r="V1316" s="34"/>
      <c r="W1316" s="33"/>
      <c r="X1316" s="35"/>
      <c r="Y1316" s="54"/>
      <c r="Z1316" s="54"/>
    </row>
    <row r="1317" spans="15:26" x14ac:dyDescent="0.25">
      <c r="O1317" s="37"/>
      <c r="P1317" s="31"/>
      <c r="Q1317" s="31"/>
      <c r="R1317" s="31"/>
      <c r="S1317" s="32"/>
      <c r="T1317" s="33"/>
      <c r="U1317" s="34"/>
      <c r="V1317" s="34"/>
      <c r="W1317" s="33"/>
      <c r="X1317" s="35"/>
      <c r="Y1317" s="54"/>
      <c r="Z1317" s="54"/>
    </row>
    <row r="1318" spans="15:26" x14ac:dyDescent="0.25">
      <c r="O1318" s="37"/>
      <c r="P1318" s="31"/>
      <c r="Q1318" s="31"/>
      <c r="R1318" s="31"/>
      <c r="S1318" s="32"/>
      <c r="T1318" s="33"/>
      <c r="U1318" s="34"/>
      <c r="V1318" s="34"/>
      <c r="W1318" s="33"/>
      <c r="X1318" s="35"/>
      <c r="Y1318" s="54"/>
      <c r="Z1318" s="54"/>
    </row>
    <row r="1319" spans="15:26" x14ac:dyDescent="0.25">
      <c r="O1319" s="37"/>
      <c r="P1319" s="31"/>
      <c r="Q1319" s="31"/>
      <c r="R1319" s="31"/>
      <c r="S1319" s="32"/>
      <c r="T1319" s="33"/>
      <c r="U1319" s="34"/>
      <c r="V1319" s="34"/>
      <c r="W1319" s="33"/>
      <c r="X1319" s="35"/>
      <c r="Y1319" s="54"/>
      <c r="Z1319" s="54"/>
    </row>
    <row r="1320" spans="15:26" x14ac:dyDescent="0.25">
      <c r="O1320" s="37"/>
      <c r="P1320" s="31"/>
      <c r="Q1320" s="31"/>
      <c r="R1320" s="31"/>
      <c r="S1320" s="32"/>
      <c r="T1320" s="33"/>
      <c r="U1320" s="34"/>
      <c r="V1320" s="34"/>
      <c r="W1320" s="33"/>
      <c r="X1320" s="35"/>
      <c r="Y1320" s="54"/>
      <c r="Z1320" s="54"/>
    </row>
    <row r="1321" spans="15:26" x14ac:dyDescent="0.25">
      <c r="O1321" s="37"/>
      <c r="P1321" s="31"/>
      <c r="Q1321" s="31"/>
      <c r="R1321" s="31"/>
      <c r="S1321" s="32"/>
      <c r="T1321" s="33"/>
      <c r="U1321" s="34"/>
      <c r="V1321" s="34"/>
      <c r="W1321" s="33"/>
      <c r="X1321" s="35"/>
      <c r="Y1321" s="54"/>
      <c r="Z1321" s="54"/>
    </row>
    <row r="1322" spans="15:26" x14ac:dyDescent="0.25">
      <c r="O1322" s="37"/>
      <c r="P1322" s="31"/>
      <c r="Q1322" s="31"/>
      <c r="R1322" s="31"/>
      <c r="S1322" s="32"/>
      <c r="T1322" s="33"/>
      <c r="U1322" s="34"/>
      <c r="V1322" s="34"/>
      <c r="W1322" s="33"/>
      <c r="X1322" s="35"/>
      <c r="Y1322" s="54"/>
      <c r="Z1322" s="54"/>
    </row>
    <row r="1323" spans="15:26" x14ac:dyDescent="0.25">
      <c r="O1323" s="37"/>
      <c r="P1323" s="31"/>
      <c r="Q1323" s="31"/>
      <c r="R1323" s="31"/>
      <c r="S1323" s="32"/>
      <c r="T1323" s="33"/>
      <c r="U1323" s="34"/>
      <c r="V1323" s="34"/>
      <c r="W1323" s="33"/>
      <c r="X1323" s="35"/>
      <c r="Y1323" s="54"/>
      <c r="Z1323" s="54"/>
    </row>
    <row r="1324" spans="15:26" x14ac:dyDescent="0.25">
      <c r="O1324" s="37"/>
      <c r="P1324" s="31"/>
      <c r="Q1324" s="31"/>
      <c r="R1324" s="31"/>
      <c r="S1324" s="32"/>
      <c r="T1324" s="33"/>
      <c r="U1324" s="34"/>
      <c r="V1324" s="34"/>
      <c r="W1324" s="33"/>
      <c r="X1324" s="35"/>
      <c r="Y1324" s="54"/>
      <c r="Z1324" s="54"/>
    </row>
    <row r="1325" spans="15:26" x14ac:dyDescent="0.25">
      <c r="O1325" s="37"/>
      <c r="P1325" s="31"/>
      <c r="Q1325" s="31"/>
      <c r="R1325" s="31"/>
      <c r="S1325" s="32"/>
      <c r="T1325" s="33"/>
      <c r="U1325" s="34"/>
      <c r="V1325" s="34"/>
      <c r="W1325" s="33"/>
      <c r="X1325" s="35"/>
      <c r="Y1325" s="54"/>
      <c r="Z1325" s="54"/>
    </row>
    <row r="1326" spans="15:26" x14ac:dyDescent="0.25">
      <c r="O1326" s="37"/>
      <c r="P1326" s="31"/>
      <c r="Q1326" s="31"/>
      <c r="R1326" s="31"/>
      <c r="S1326" s="32"/>
      <c r="T1326" s="33"/>
      <c r="U1326" s="34"/>
      <c r="V1326" s="34"/>
      <c r="W1326" s="33"/>
      <c r="X1326" s="35"/>
      <c r="Y1326" s="54"/>
      <c r="Z1326" s="54"/>
    </row>
    <row r="1327" spans="15:26" x14ac:dyDescent="0.25">
      <c r="O1327" s="37"/>
      <c r="P1327" s="31"/>
      <c r="Q1327" s="31"/>
      <c r="R1327" s="31"/>
      <c r="S1327" s="32"/>
      <c r="T1327" s="33"/>
      <c r="U1327" s="34"/>
      <c r="V1327" s="34"/>
      <c r="W1327" s="33"/>
      <c r="X1327" s="35"/>
      <c r="Y1327" s="54"/>
      <c r="Z1327" s="54"/>
    </row>
    <row r="1328" spans="15:26" x14ac:dyDescent="0.25">
      <c r="O1328" s="37"/>
      <c r="P1328" s="31"/>
      <c r="Q1328" s="31"/>
      <c r="R1328" s="31"/>
      <c r="S1328" s="32"/>
      <c r="T1328" s="33"/>
      <c r="U1328" s="34"/>
      <c r="V1328" s="34"/>
      <c r="W1328" s="33"/>
      <c r="X1328" s="35"/>
      <c r="Y1328" s="54"/>
      <c r="Z1328" s="54"/>
    </row>
    <row r="1329" spans="15:26" x14ac:dyDescent="0.25">
      <c r="O1329" s="37"/>
      <c r="P1329" s="31"/>
      <c r="Q1329" s="31"/>
      <c r="R1329" s="31"/>
      <c r="S1329" s="32"/>
      <c r="T1329" s="33"/>
      <c r="U1329" s="34"/>
      <c r="V1329" s="34"/>
      <c r="W1329" s="33"/>
      <c r="X1329" s="35"/>
      <c r="Y1329" s="54"/>
      <c r="Z1329" s="54"/>
    </row>
    <row r="1330" spans="15:26" x14ac:dyDescent="0.25">
      <c r="O1330" s="37"/>
      <c r="P1330" s="31"/>
      <c r="Q1330" s="31"/>
      <c r="R1330" s="31"/>
      <c r="S1330" s="32"/>
      <c r="T1330" s="33"/>
      <c r="U1330" s="34"/>
      <c r="V1330" s="34"/>
      <c r="W1330" s="33"/>
      <c r="X1330" s="35"/>
      <c r="Y1330" s="54"/>
      <c r="Z1330" s="54"/>
    </row>
    <row r="1331" spans="15:26" x14ac:dyDescent="0.25">
      <c r="O1331" s="37"/>
      <c r="P1331" s="31"/>
      <c r="Q1331" s="31"/>
      <c r="R1331" s="31"/>
      <c r="S1331" s="32"/>
      <c r="T1331" s="33"/>
      <c r="U1331" s="34"/>
      <c r="V1331" s="34"/>
      <c r="W1331" s="33"/>
      <c r="X1331" s="35"/>
      <c r="Y1331" s="54"/>
      <c r="Z1331" s="54"/>
    </row>
    <row r="1332" spans="15:26" x14ac:dyDescent="0.25">
      <c r="O1332" s="37"/>
      <c r="P1332" s="31"/>
      <c r="Q1332" s="31"/>
      <c r="R1332" s="31"/>
      <c r="S1332" s="32"/>
      <c r="T1332" s="33"/>
      <c r="U1332" s="34"/>
      <c r="V1332" s="34"/>
      <c r="W1332" s="33"/>
      <c r="X1332" s="35"/>
      <c r="Y1332" s="54"/>
      <c r="Z1332" s="54"/>
    </row>
    <row r="1333" spans="15:26" x14ac:dyDescent="0.25">
      <c r="O1333" s="37"/>
      <c r="P1333" s="31"/>
      <c r="Q1333" s="31"/>
      <c r="R1333" s="31"/>
      <c r="S1333" s="32"/>
      <c r="T1333" s="33"/>
      <c r="U1333" s="34"/>
      <c r="V1333" s="34"/>
      <c r="W1333" s="33"/>
      <c r="X1333" s="35"/>
      <c r="Y1333" s="54"/>
      <c r="Z1333" s="54"/>
    </row>
    <row r="1334" spans="15:26" x14ac:dyDescent="0.25">
      <c r="O1334" s="37"/>
      <c r="P1334" s="31"/>
      <c r="Q1334" s="31"/>
      <c r="R1334" s="31"/>
      <c r="S1334" s="32"/>
      <c r="T1334" s="33"/>
      <c r="U1334" s="34"/>
      <c r="V1334" s="34"/>
      <c r="W1334" s="33"/>
      <c r="X1334" s="35"/>
      <c r="Y1334" s="54"/>
      <c r="Z1334" s="54"/>
    </row>
    <row r="1335" spans="15:26" x14ac:dyDescent="0.25">
      <c r="O1335" s="37"/>
      <c r="P1335" s="31"/>
      <c r="Q1335" s="31"/>
      <c r="R1335" s="31"/>
      <c r="S1335" s="32"/>
      <c r="T1335" s="33"/>
      <c r="U1335" s="34"/>
      <c r="V1335" s="34"/>
      <c r="W1335" s="33"/>
      <c r="X1335" s="35"/>
      <c r="Y1335" s="54"/>
      <c r="Z1335" s="54"/>
    </row>
    <row r="1336" spans="15:26" x14ac:dyDescent="0.25">
      <c r="O1336" s="37"/>
      <c r="P1336" s="31"/>
      <c r="Q1336" s="31"/>
      <c r="R1336" s="31"/>
      <c r="S1336" s="32"/>
      <c r="T1336" s="33"/>
      <c r="U1336" s="34"/>
      <c r="V1336" s="34"/>
      <c r="W1336" s="33"/>
      <c r="X1336" s="35"/>
      <c r="Y1336" s="54"/>
      <c r="Z1336" s="54"/>
    </row>
    <row r="1337" spans="15:26" x14ac:dyDescent="0.25">
      <c r="O1337" s="37"/>
      <c r="P1337" s="31"/>
      <c r="Q1337" s="31"/>
      <c r="R1337" s="31"/>
      <c r="S1337" s="32"/>
      <c r="T1337" s="33"/>
      <c r="U1337" s="34"/>
      <c r="V1337" s="34"/>
      <c r="W1337" s="33"/>
      <c r="X1337" s="35"/>
      <c r="Y1337" s="54"/>
      <c r="Z1337" s="54"/>
    </row>
    <row r="1338" spans="15:26" x14ac:dyDescent="0.25">
      <c r="O1338" s="37"/>
      <c r="P1338" s="31"/>
      <c r="Q1338" s="31"/>
      <c r="R1338" s="31"/>
      <c r="S1338" s="32"/>
      <c r="T1338" s="33"/>
      <c r="U1338" s="34"/>
      <c r="V1338" s="34"/>
      <c r="W1338" s="33"/>
      <c r="X1338" s="35"/>
      <c r="Y1338" s="54"/>
      <c r="Z1338" s="54"/>
    </row>
    <row r="1339" spans="15:26" x14ac:dyDescent="0.25">
      <c r="O1339" s="37"/>
      <c r="P1339" s="31"/>
      <c r="Q1339" s="31"/>
      <c r="R1339" s="31"/>
      <c r="S1339" s="32"/>
      <c r="T1339" s="33"/>
      <c r="U1339" s="34"/>
      <c r="V1339" s="34"/>
      <c r="W1339" s="33"/>
      <c r="X1339" s="35"/>
      <c r="Y1339" s="54"/>
      <c r="Z1339" s="54"/>
    </row>
    <row r="1340" spans="15:26" x14ac:dyDescent="0.25">
      <c r="O1340" s="37"/>
      <c r="P1340" s="31"/>
      <c r="Q1340" s="31"/>
      <c r="R1340" s="31"/>
      <c r="S1340" s="32"/>
      <c r="T1340" s="33"/>
      <c r="U1340" s="34"/>
      <c r="V1340" s="34"/>
      <c r="W1340" s="33"/>
      <c r="X1340" s="35"/>
      <c r="Y1340" s="54"/>
      <c r="Z1340" s="54"/>
    </row>
    <row r="1341" spans="15:26" x14ac:dyDescent="0.25">
      <c r="O1341" s="37"/>
      <c r="P1341" s="31"/>
      <c r="Q1341" s="31"/>
      <c r="R1341" s="31"/>
      <c r="S1341" s="32"/>
      <c r="T1341" s="33"/>
      <c r="U1341" s="34"/>
      <c r="V1341" s="34"/>
      <c r="W1341" s="33"/>
      <c r="X1341" s="35"/>
      <c r="Y1341" s="54"/>
      <c r="Z1341" s="54"/>
    </row>
    <row r="1342" spans="15:26" x14ac:dyDescent="0.25">
      <c r="O1342" s="37"/>
      <c r="P1342" s="31"/>
      <c r="Q1342" s="31"/>
      <c r="R1342" s="31"/>
      <c r="S1342" s="32"/>
      <c r="T1342" s="33"/>
      <c r="U1342" s="34"/>
      <c r="V1342" s="34"/>
      <c r="W1342" s="33"/>
      <c r="X1342" s="35"/>
      <c r="Y1342" s="54"/>
      <c r="Z1342" s="54"/>
    </row>
    <row r="1343" spans="15:26" x14ac:dyDescent="0.25">
      <c r="O1343" s="37"/>
      <c r="P1343" s="31"/>
      <c r="Q1343" s="31"/>
      <c r="R1343" s="31"/>
      <c r="S1343" s="32"/>
      <c r="T1343" s="33"/>
      <c r="U1343" s="34"/>
      <c r="V1343" s="34"/>
      <c r="W1343" s="33"/>
      <c r="X1343" s="35"/>
      <c r="Y1343" s="54"/>
      <c r="Z1343" s="54"/>
    </row>
    <row r="1344" spans="15:26" x14ac:dyDescent="0.25">
      <c r="O1344" s="37"/>
      <c r="P1344" s="31"/>
      <c r="Q1344" s="31"/>
      <c r="R1344" s="31"/>
      <c r="S1344" s="32"/>
      <c r="T1344" s="33"/>
      <c r="U1344" s="34"/>
      <c r="V1344" s="34"/>
      <c r="W1344" s="33"/>
      <c r="X1344" s="35"/>
      <c r="Y1344" s="54"/>
      <c r="Z1344" s="54"/>
    </row>
    <row r="1345" spans="15:26" x14ac:dyDescent="0.25">
      <c r="O1345" s="37"/>
      <c r="P1345" s="31"/>
      <c r="Q1345" s="31"/>
      <c r="R1345" s="31"/>
      <c r="S1345" s="32"/>
      <c r="T1345" s="33"/>
      <c r="U1345" s="34"/>
      <c r="V1345" s="34"/>
      <c r="W1345" s="33"/>
      <c r="X1345" s="35"/>
      <c r="Y1345" s="54"/>
      <c r="Z1345" s="54"/>
    </row>
    <row r="1346" spans="15:26" x14ac:dyDescent="0.25">
      <c r="O1346" s="37"/>
      <c r="P1346" s="31"/>
      <c r="Q1346" s="31"/>
      <c r="R1346" s="31"/>
      <c r="S1346" s="32"/>
      <c r="T1346" s="33"/>
      <c r="U1346" s="34"/>
      <c r="V1346" s="34"/>
      <c r="W1346" s="33"/>
      <c r="X1346" s="35"/>
      <c r="Y1346" s="54"/>
      <c r="Z1346" s="54"/>
    </row>
    <row r="1347" spans="15:26" x14ac:dyDescent="0.25">
      <c r="O1347" s="37"/>
      <c r="P1347" s="31"/>
      <c r="Q1347" s="31"/>
      <c r="R1347" s="31"/>
      <c r="S1347" s="32"/>
      <c r="T1347" s="33"/>
      <c r="U1347" s="34"/>
      <c r="V1347" s="34"/>
      <c r="W1347" s="33"/>
      <c r="X1347" s="35"/>
      <c r="Y1347" s="54"/>
      <c r="Z1347" s="54"/>
    </row>
    <row r="1348" spans="15:26" x14ac:dyDescent="0.25">
      <c r="O1348" s="37"/>
      <c r="P1348" s="31"/>
      <c r="Q1348" s="31"/>
      <c r="R1348" s="31"/>
      <c r="S1348" s="32"/>
      <c r="T1348" s="33"/>
      <c r="U1348" s="34"/>
      <c r="V1348" s="34"/>
      <c r="W1348" s="33"/>
      <c r="X1348" s="35"/>
      <c r="Y1348" s="54"/>
      <c r="Z1348" s="54"/>
    </row>
    <row r="1349" spans="15:26" x14ac:dyDescent="0.25">
      <c r="O1349" s="37"/>
      <c r="P1349" s="31"/>
      <c r="Q1349" s="31"/>
      <c r="R1349" s="31"/>
      <c r="S1349" s="32"/>
      <c r="T1349" s="33"/>
      <c r="U1349" s="34"/>
      <c r="V1349" s="34"/>
      <c r="W1349" s="33"/>
      <c r="X1349" s="35"/>
      <c r="Y1349" s="54"/>
      <c r="Z1349" s="54"/>
    </row>
    <row r="1350" spans="15:26" x14ac:dyDescent="0.25">
      <c r="O1350" s="37"/>
      <c r="P1350" s="31"/>
      <c r="Q1350" s="31"/>
      <c r="R1350" s="31"/>
      <c r="S1350" s="32"/>
      <c r="T1350" s="33"/>
      <c r="U1350" s="34"/>
      <c r="V1350" s="34"/>
      <c r="W1350" s="33"/>
      <c r="X1350" s="35"/>
      <c r="Y1350" s="54"/>
      <c r="Z1350" s="54"/>
    </row>
    <row r="1351" spans="15:26" x14ac:dyDescent="0.25">
      <c r="O1351" s="37"/>
      <c r="P1351" s="31"/>
      <c r="Q1351" s="31"/>
      <c r="R1351" s="31"/>
      <c r="S1351" s="32"/>
      <c r="T1351" s="33"/>
      <c r="U1351" s="34"/>
      <c r="V1351" s="34"/>
      <c r="W1351" s="33"/>
      <c r="X1351" s="35"/>
      <c r="Y1351" s="54"/>
      <c r="Z1351" s="54"/>
    </row>
    <row r="1352" spans="15:26" x14ac:dyDescent="0.25">
      <c r="O1352" s="37"/>
      <c r="P1352" s="31"/>
      <c r="Q1352" s="31"/>
      <c r="R1352" s="31"/>
      <c r="S1352" s="32"/>
      <c r="T1352" s="33"/>
      <c r="U1352" s="34"/>
      <c r="V1352" s="34"/>
      <c r="W1352" s="33"/>
      <c r="X1352" s="35"/>
      <c r="Y1352" s="54"/>
      <c r="Z1352" s="54"/>
    </row>
    <row r="1353" spans="15:26" x14ac:dyDescent="0.25">
      <c r="O1353" s="37"/>
      <c r="P1353" s="31"/>
      <c r="Q1353" s="31"/>
      <c r="R1353" s="31"/>
      <c r="S1353" s="32"/>
      <c r="T1353" s="33"/>
      <c r="U1353" s="34"/>
      <c r="V1353" s="34"/>
      <c r="W1353" s="33"/>
      <c r="X1353" s="35"/>
      <c r="Y1353" s="54"/>
      <c r="Z1353" s="54"/>
    </row>
    <row r="1354" spans="15:26" x14ac:dyDescent="0.25">
      <c r="O1354" s="37"/>
      <c r="P1354" s="31"/>
      <c r="Q1354" s="31"/>
      <c r="R1354" s="31"/>
      <c r="S1354" s="32"/>
      <c r="T1354" s="33"/>
      <c r="U1354" s="34"/>
      <c r="V1354" s="34"/>
      <c r="W1354" s="33"/>
      <c r="X1354" s="35"/>
      <c r="Y1354" s="54"/>
      <c r="Z1354" s="54"/>
    </row>
    <row r="1355" spans="15:26" x14ac:dyDescent="0.25">
      <c r="O1355" s="37"/>
      <c r="P1355" s="31"/>
      <c r="Q1355" s="31"/>
      <c r="R1355" s="31"/>
      <c r="S1355" s="32"/>
      <c r="T1355" s="33"/>
      <c r="U1355" s="34"/>
      <c r="V1355" s="34"/>
      <c r="W1355" s="33"/>
      <c r="X1355" s="35"/>
      <c r="Y1355" s="54"/>
      <c r="Z1355" s="54"/>
    </row>
    <row r="1356" spans="15:26" x14ac:dyDescent="0.25">
      <c r="O1356" s="37"/>
      <c r="P1356" s="31"/>
      <c r="Q1356" s="31"/>
      <c r="R1356" s="31"/>
      <c r="S1356" s="32"/>
      <c r="T1356" s="33"/>
      <c r="U1356" s="34"/>
      <c r="V1356" s="34"/>
      <c r="W1356" s="33"/>
      <c r="X1356" s="35"/>
      <c r="Y1356" s="54"/>
      <c r="Z1356" s="54"/>
    </row>
    <row r="1357" spans="15:26" x14ac:dyDescent="0.25">
      <c r="O1357" s="37"/>
      <c r="P1357" s="31"/>
      <c r="Q1357" s="31"/>
      <c r="R1357" s="31"/>
      <c r="S1357" s="32"/>
      <c r="T1357" s="33"/>
      <c r="U1357" s="34"/>
      <c r="V1357" s="34"/>
      <c r="W1357" s="33"/>
      <c r="X1357" s="35"/>
      <c r="Y1357" s="54"/>
      <c r="Z1357" s="54"/>
    </row>
    <row r="1358" spans="15:26" x14ac:dyDescent="0.25">
      <c r="O1358" s="37"/>
      <c r="P1358" s="31"/>
      <c r="Q1358" s="31"/>
      <c r="R1358" s="31"/>
      <c r="S1358" s="32"/>
      <c r="T1358" s="33"/>
      <c r="U1358" s="34"/>
      <c r="V1358" s="34"/>
      <c r="W1358" s="33"/>
      <c r="X1358" s="35"/>
      <c r="Y1358" s="54"/>
      <c r="Z1358" s="54"/>
    </row>
    <row r="1359" spans="15:26" x14ac:dyDescent="0.25">
      <c r="O1359" s="37"/>
      <c r="P1359" s="31"/>
      <c r="Q1359" s="31"/>
      <c r="R1359" s="31"/>
      <c r="S1359" s="32"/>
      <c r="T1359" s="33"/>
      <c r="U1359" s="34"/>
      <c r="V1359" s="34"/>
      <c r="W1359" s="33"/>
      <c r="X1359" s="35"/>
      <c r="Y1359" s="54"/>
      <c r="Z1359" s="54"/>
    </row>
    <row r="1360" spans="15:26" x14ac:dyDescent="0.25">
      <c r="O1360" s="37"/>
      <c r="P1360" s="31"/>
      <c r="Q1360" s="31"/>
      <c r="R1360" s="31"/>
      <c r="S1360" s="32"/>
      <c r="T1360" s="33"/>
      <c r="U1360" s="34"/>
      <c r="V1360" s="34"/>
      <c r="W1360" s="33"/>
      <c r="X1360" s="35"/>
      <c r="Y1360" s="54"/>
      <c r="Z1360" s="54"/>
    </row>
    <row r="1361" spans="15:26" x14ac:dyDescent="0.25">
      <c r="O1361" s="37"/>
      <c r="P1361" s="31"/>
      <c r="Q1361" s="31"/>
      <c r="R1361" s="31"/>
      <c r="S1361" s="32"/>
      <c r="T1361" s="33"/>
      <c r="U1361" s="34"/>
      <c r="V1361" s="34"/>
      <c r="W1361" s="33"/>
      <c r="X1361" s="35"/>
      <c r="Y1361" s="54"/>
      <c r="Z1361" s="54"/>
    </row>
    <row r="1362" spans="15:26" x14ac:dyDescent="0.25">
      <c r="O1362" s="37"/>
      <c r="P1362" s="31"/>
      <c r="Q1362" s="31"/>
      <c r="R1362" s="31"/>
      <c r="S1362" s="32"/>
      <c r="T1362" s="33"/>
      <c r="U1362" s="34"/>
      <c r="V1362" s="34"/>
      <c r="W1362" s="33"/>
      <c r="X1362" s="35"/>
      <c r="Y1362" s="54"/>
      <c r="Z1362" s="54"/>
    </row>
    <row r="1363" spans="15:26" x14ac:dyDescent="0.25">
      <c r="O1363" s="37"/>
      <c r="P1363" s="31"/>
      <c r="Q1363" s="31"/>
      <c r="R1363" s="31"/>
      <c r="S1363" s="32"/>
      <c r="T1363" s="33"/>
      <c r="U1363" s="34"/>
      <c r="V1363" s="34"/>
      <c r="W1363" s="33"/>
      <c r="X1363" s="35"/>
      <c r="Y1363" s="54"/>
      <c r="Z1363" s="54"/>
    </row>
    <row r="1364" spans="15:26" x14ac:dyDescent="0.25">
      <c r="O1364" s="37"/>
      <c r="P1364" s="31"/>
      <c r="Q1364" s="31"/>
      <c r="R1364" s="31"/>
      <c r="S1364" s="32"/>
      <c r="T1364" s="33"/>
      <c r="U1364" s="34"/>
      <c r="V1364" s="34"/>
      <c r="W1364" s="33"/>
      <c r="X1364" s="35"/>
      <c r="Y1364" s="54"/>
      <c r="Z1364" s="54"/>
    </row>
    <row r="1365" spans="15:26" x14ac:dyDescent="0.25">
      <c r="O1365" s="37"/>
      <c r="P1365" s="31"/>
      <c r="Q1365" s="31"/>
      <c r="R1365" s="31"/>
      <c r="S1365" s="32"/>
      <c r="T1365" s="33"/>
      <c r="U1365" s="34"/>
      <c r="V1365" s="34"/>
      <c r="W1365" s="33"/>
      <c r="X1365" s="35"/>
      <c r="Y1365" s="54"/>
      <c r="Z1365" s="54"/>
    </row>
    <row r="1366" spans="15:26" x14ac:dyDescent="0.25">
      <c r="O1366" s="37"/>
      <c r="P1366" s="31"/>
      <c r="Q1366" s="31"/>
      <c r="R1366" s="31"/>
      <c r="S1366" s="32"/>
      <c r="T1366" s="33"/>
      <c r="U1366" s="34"/>
      <c r="V1366" s="34"/>
      <c r="W1366" s="33"/>
      <c r="X1366" s="35"/>
      <c r="Y1366" s="54"/>
      <c r="Z1366" s="54"/>
    </row>
    <row r="1367" spans="15:26" x14ac:dyDescent="0.25">
      <c r="O1367" s="37"/>
      <c r="P1367" s="31"/>
      <c r="Q1367" s="31"/>
      <c r="R1367" s="31"/>
      <c r="S1367" s="32"/>
      <c r="T1367" s="33"/>
      <c r="U1367" s="34"/>
      <c r="V1367" s="34"/>
      <c r="W1367" s="33"/>
      <c r="X1367" s="35"/>
      <c r="Y1367" s="54"/>
      <c r="Z1367" s="54"/>
    </row>
    <row r="1368" spans="15:26" x14ac:dyDescent="0.25">
      <c r="O1368" s="37"/>
      <c r="P1368" s="31"/>
      <c r="Q1368" s="31"/>
      <c r="R1368" s="31"/>
      <c r="S1368" s="32"/>
      <c r="T1368" s="33"/>
      <c r="U1368" s="34"/>
      <c r="V1368" s="34"/>
      <c r="W1368" s="33"/>
      <c r="X1368" s="35"/>
      <c r="Y1368" s="54"/>
      <c r="Z1368" s="54"/>
    </row>
    <row r="1369" spans="15:26" x14ac:dyDescent="0.25">
      <c r="O1369" s="37"/>
      <c r="P1369" s="31"/>
      <c r="Q1369" s="31"/>
      <c r="R1369" s="31"/>
      <c r="S1369" s="32"/>
      <c r="T1369" s="33"/>
      <c r="U1369" s="34"/>
      <c r="V1369" s="34"/>
      <c r="W1369" s="33"/>
      <c r="X1369" s="35"/>
      <c r="Y1369" s="54"/>
      <c r="Z1369" s="54"/>
    </row>
    <row r="1370" spans="15:26" x14ac:dyDescent="0.25">
      <c r="O1370" s="37"/>
      <c r="P1370" s="31"/>
      <c r="Q1370" s="31"/>
      <c r="R1370" s="31"/>
      <c r="S1370" s="32"/>
      <c r="T1370" s="33"/>
      <c r="U1370" s="34"/>
      <c r="V1370" s="34"/>
      <c r="W1370" s="33"/>
      <c r="X1370" s="35"/>
      <c r="Y1370" s="54"/>
      <c r="Z1370" s="54"/>
    </row>
    <row r="1371" spans="15:26" x14ac:dyDescent="0.25">
      <c r="O1371" s="37"/>
      <c r="P1371" s="31"/>
      <c r="Q1371" s="31"/>
      <c r="R1371" s="31"/>
      <c r="S1371" s="32"/>
      <c r="T1371" s="33"/>
      <c r="U1371" s="34"/>
      <c r="V1371" s="34"/>
      <c r="W1371" s="33"/>
      <c r="X1371" s="35"/>
      <c r="Y1371" s="54"/>
      <c r="Z1371" s="54"/>
    </row>
    <row r="1372" spans="15:26" x14ac:dyDescent="0.25">
      <c r="O1372" s="37"/>
      <c r="P1372" s="31"/>
      <c r="Q1372" s="31"/>
      <c r="R1372" s="31"/>
      <c r="S1372" s="32"/>
      <c r="T1372" s="33"/>
      <c r="U1372" s="34"/>
      <c r="V1372" s="34"/>
      <c r="W1372" s="33"/>
      <c r="X1372" s="35"/>
      <c r="Y1372" s="54"/>
      <c r="Z1372" s="54"/>
    </row>
    <row r="1373" spans="15:26" x14ac:dyDescent="0.25">
      <c r="O1373" s="37"/>
      <c r="P1373" s="31"/>
      <c r="Q1373" s="31"/>
      <c r="R1373" s="31"/>
      <c r="S1373" s="32"/>
      <c r="T1373" s="33"/>
      <c r="U1373" s="34"/>
      <c r="V1373" s="34"/>
      <c r="W1373" s="33"/>
      <c r="X1373" s="35"/>
      <c r="Y1373" s="54"/>
      <c r="Z1373" s="54"/>
    </row>
    <row r="1374" spans="15:26" x14ac:dyDescent="0.25">
      <c r="O1374" s="37"/>
      <c r="P1374" s="31"/>
      <c r="Q1374" s="31"/>
      <c r="R1374" s="31"/>
      <c r="S1374" s="32"/>
      <c r="T1374" s="33"/>
      <c r="U1374" s="34"/>
      <c r="V1374" s="34"/>
      <c r="W1374" s="33"/>
      <c r="X1374" s="35"/>
      <c r="Y1374" s="54"/>
      <c r="Z1374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Length4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9</xdr:row>
                    <xdr:rowOff>123825</xdr:rowOff>
                  </from>
                  <to>
                    <xdr:col>28</xdr:col>
                    <xdr:colOff>361950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Length1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</xdr:row>
                    <xdr:rowOff>276225</xdr:rowOff>
                  </from>
                  <to>
                    <xdr:col>28</xdr:col>
                    <xdr:colOff>361950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Length7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17</xdr:row>
                    <xdr:rowOff>152400</xdr:rowOff>
                  </from>
                  <to>
                    <xdr:col>28</xdr:col>
                    <xdr:colOff>361950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Length2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4</xdr:row>
                    <xdr:rowOff>38100</xdr:rowOff>
                  </from>
                  <to>
                    <xdr:col>28</xdr:col>
                    <xdr:colOff>361950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Length3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6</xdr:row>
                    <xdr:rowOff>171450</xdr:rowOff>
                  </from>
                  <to>
                    <xdr:col>28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Length5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12</xdr:row>
                    <xdr:rowOff>66675</xdr:rowOff>
                  </from>
                  <to>
                    <xdr:col>28</xdr:col>
                    <xdr:colOff>361950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Length6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15</xdr:row>
                    <xdr:rowOff>19050</xdr:rowOff>
                  </from>
                  <to>
                    <xdr:col>28</xdr:col>
                    <xdr:colOff>361950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1618"/>
  <sheetViews>
    <sheetView showGridLines="0" tabSelected="1" topLeftCell="K1" workbookViewId="0">
      <selection activeCell="M3" sqref="M3"/>
    </sheetView>
  </sheetViews>
  <sheetFormatPr defaultRowHeight="11.25" outlineLevelCol="1" x14ac:dyDescent="0.2"/>
  <cols>
    <col min="1" max="1" width="10" style="65" hidden="1" customWidth="1" outlineLevel="1"/>
    <col min="2" max="2" width="17.28515625" style="65" hidden="1" customWidth="1" outlineLevel="1"/>
    <col min="3" max="3" width="7" style="65" hidden="1" customWidth="1" outlineLevel="1"/>
    <col min="4" max="4" width="17.28515625" style="65" hidden="1" customWidth="1" outlineLevel="1"/>
    <col min="5" max="5" width="6" style="65" hidden="1" customWidth="1" outlineLevel="1"/>
    <col min="6" max="6" width="10" style="65" hidden="1" customWidth="1" outlineLevel="1"/>
    <col min="7" max="7" width="6" style="65" hidden="1" customWidth="1" outlineLevel="1"/>
    <col min="8" max="8" width="8" style="65" hidden="1" customWidth="1" outlineLevel="1"/>
    <col min="9" max="10" width="12" style="65" hidden="1" customWidth="1" outlineLevel="1"/>
    <col min="11" max="11" width="2.7109375" style="65" customWidth="1" collapsed="1"/>
    <col min="12" max="12" width="17.28515625" style="65" bestFit="1" customWidth="1"/>
    <col min="13" max="13" width="15.140625" style="65" bestFit="1" customWidth="1"/>
    <col min="14" max="14" width="2.7109375" style="65" customWidth="1"/>
    <col min="15" max="15" width="3" style="65" bestFit="1" customWidth="1"/>
    <col min="16" max="16" width="6" style="65" bestFit="1" customWidth="1"/>
    <col min="17" max="19" width="17.28515625" style="65" bestFit="1" customWidth="1"/>
    <col min="20" max="20" width="7" style="65" bestFit="1" customWidth="1"/>
    <col min="21" max="21" width="9" style="65" bestFit="1" customWidth="1"/>
    <col min="22" max="23" width="12" style="65" hidden="1" customWidth="1" outlineLevel="1"/>
    <col min="24" max="24" width="9" style="65" bestFit="1" customWidth="1" collapsed="1"/>
    <col min="25" max="25" width="8" style="65" bestFit="1" customWidth="1"/>
    <col min="26" max="26" width="12.42578125" style="65" customWidth="1"/>
    <col min="27" max="27" width="9" style="65" bestFit="1" customWidth="1"/>
    <col min="28" max="28" width="9" style="65" customWidth="1"/>
    <col min="29" max="29" width="11" style="65" customWidth="1"/>
    <col min="30" max="30" width="9" style="65" bestFit="1" customWidth="1"/>
    <col min="31" max="31" width="12" style="65" customWidth="1"/>
    <col min="32" max="36" width="9.140625" style="65"/>
    <col min="37" max="37" width="15.140625" style="65" bestFit="1" customWidth="1"/>
    <col min="38" max="39" width="9.140625" style="65"/>
    <col min="40" max="40" width="13.140625" style="65" bestFit="1" customWidth="1"/>
    <col min="41" max="16384" width="9.140625" style="65"/>
  </cols>
  <sheetData>
    <row r="1" spans="1:31" x14ac:dyDescent="0.2">
      <c r="A1" s="42" t="s">
        <v>32</v>
      </c>
      <c r="B1" s="42"/>
      <c r="C1" s="42"/>
      <c r="D1" s="42"/>
      <c r="E1" s="42"/>
      <c r="F1" s="42" t="s">
        <v>33</v>
      </c>
      <c r="G1" s="42"/>
      <c r="H1" s="42"/>
      <c r="I1" s="42"/>
      <c r="J1" s="42"/>
      <c r="S1" s="78">
        <f>MIN($T$3:$T$135)</f>
        <v>0.50277777777777777</v>
      </c>
      <c r="T1" s="78">
        <f>AVERAGE($T$3:$T$135)</f>
        <v>0.5081662489557226</v>
      </c>
      <c r="U1" s="78">
        <f>MAX($T$3:$T$135)</f>
        <v>0.51666666666666672</v>
      </c>
      <c r="Y1" s="66"/>
      <c r="Z1" s="66" t="s">
        <v>53</v>
      </c>
      <c r="AA1" s="66" t="s">
        <v>53</v>
      </c>
      <c r="AB1" s="66"/>
      <c r="AC1" s="66" t="s">
        <v>55</v>
      </c>
      <c r="AD1" s="65" t="s">
        <v>55</v>
      </c>
    </row>
    <row r="2" spans="1:31" ht="22.5" customHeight="1" x14ac:dyDescent="0.2">
      <c r="A2" s="43" t="s">
        <v>34</v>
      </c>
      <c r="B2" s="43" t="s">
        <v>35</v>
      </c>
      <c r="C2" s="43" t="s">
        <v>36</v>
      </c>
      <c r="D2" s="43" t="s">
        <v>37</v>
      </c>
      <c r="E2" s="43" t="s">
        <v>38</v>
      </c>
      <c r="F2" s="43" t="s">
        <v>35</v>
      </c>
      <c r="G2" s="43" t="s">
        <v>37</v>
      </c>
      <c r="H2" s="43" t="s">
        <v>38</v>
      </c>
      <c r="I2" s="43" t="s">
        <v>39</v>
      </c>
      <c r="J2" s="43" t="s">
        <v>40</v>
      </c>
      <c r="Q2" s="84" t="s">
        <v>22</v>
      </c>
      <c r="R2" s="84" t="s">
        <v>23</v>
      </c>
      <c r="S2" s="84" t="s">
        <v>24</v>
      </c>
      <c r="T2" s="84" t="s">
        <v>28</v>
      </c>
      <c r="U2" s="84" t="s">
        <v>42</v>
      </c>
      <c r="V2" s="84" t="s">
        <v>26</v>
      </c>
      <c r="W2" s="84" t="str">
        <f>"P(d+"&amp;M3&amp;")"</f>
        <v>P(d+6M)</v>
      </c>
      <c r="X2" s="84" t="s">
        <v>27</v>
      </c>
      <c r="Y2" s="84" t="s">
        <v>49</v>
      </c>
      <c r="Z2" s="84" t="s">
        <v>64</v>
      </c>
      <c r="AA2" s="84" t="s">
        <v>50</v>
      </c>
      <c r="AB2" s="84" t="s">
        <v>54</v>
      </c>
      <c r="AC2" s="84" t="s">
        <v>65</v>
      </c>
      <c r="AD2" s="84" t="s">
        <v>50</v>
      </c>
      <c r="AE2" s="84" t="s">
        <v>63</v>
      </c>
    </row>
    <row r="3" spans="1:31" x14ac:dyDescent="0.2">
      <c r="A3" s="46" t="str">
        <f>_xll.qlPeriodEquivalent(C3&amp;"M")</f>
        <v>1Y</v>
      </c>
      <c r="B3" s="38">
        <f>_xll.qlDateEndOfMonth(EDATE(_xll.qlSettingsEvaluationDate(Trigger),-1))</f>
        <v>42124</v>
      </c>
      <c r="C3" s="39">
        <v>12</v>
      </c>
      <c r="D3" s="38">
        <f>EDATE($Q$3,C3)</f>
        <v>42496</v>
      </c>
      <c r="E3" s="40">
        <f>IF(C3&lt;=12,1,IF(C3&lt;=24,3,IF(C3&lt;=120,6,IF(C3&lt;=240,12,IF(C3&lt;=360,36,60)))))</f>
        <v>1</v>
      </c>
      <c r="F3" s="44">
        <f>ROUNDDOWN(I3*10,2)/10</f>
        <v>1E-3</v>
      </c>
      <c r="G3" s="45">
        <f>IF(J3-I3&gt;1%,(QUOTIENT(J3*10000,50)+1)*0.5%,(QUOTIENT(J3*10000,10)+1)*0.1%)</f>
        <v>3.0000000000000001E-3</v>
      </c>
      <c r="H3" s="40">
        <f>IF(G3-F3&lt;0.5%,0.025%,IF(G3-F3&lt;1%,0.1%,IF(G3-F3&lt;2%,0.25%,0.5%)))</f>
        <v>2.5000000000000001E-4</v>
      </c>
      <c r="I3" s="45">
        <f>MIN(_xll.ohPack($Y$3:INDEX($Y$3:$Y$135,MATCH(D3+1,$R$3:$R$135,1),1)))</f>
        <v>1.7900000000010759E-3</v>
      </c>
      <c r="J3" s="45">
        <f>MAX(_xll.ohPack($Y$3:INDEX($Y$3:$Y$135,MATCH(D3+1,$R$3:$R$135,1),1)))</f>
        <v>2.0368936004725759E-3</v>
      </c>
      <c r="L3" s="85" t="s">
        <v>21</v>
      </c>
      <c r="M3" s="67" t="s">
        <v>41</v>
      </c>
      <c r="N3" s="68"/>
      <c r="O3" s="65">
        <v>0</v>
      </c>
      <c r="P3" s="65" t="str">
        <f>O3&amp;"M"</f>
        <v>0M</v>
      </c>
      <c r="Q3" s="57">
        <f>EvaluationDate</f>
        <v>42130</v>
      </c>
      <c r="R3" s="57">
        <f>_xll.qlInterestRateIndexValueDate(Index,Q3,Trigger)</f>
        <v>42132</v>
      </c>
      <c r="S3" s="57">
        <f>_xll.qlInterestRateIndexMaturity(Index,R3,Trigger)</f>
        <v>42317</v>
      </c>
      <c r="T3" s="58">
        <f>_xll.qlDayCounterYearFraction(DayCounter,R3,S3,,,Trigger)</f>
        <v>0.51388888888888884</v>
      </c>
      <c r="U3" s="59">
        <f>_xll.qlIndexFixing(Index,Q3,,AllTriggers)</f>
        <v>6.2E-4</v>
      </c>
      <c r="V3" s="60">
        <f>_xll.qlYieldTSDiscount(OisCurve,R3,,AllTriggers)</f>
        <v>1</v>
      </c>
      <c r="W3" s="60">
        <f>_xll.qlYieldTSDiscount(OisCurve,S3,,AllTriggers)</f>
        <v>1.0006016117190466</v>
      </c>
      <c r="X3" s="59">
        <f>(V3/W3-1)/T3</f>
        <v>-1.1700000000010758E-3</v>
      </c>
      <c r="Y3" s="59">
        <f t="shared" ref="Y3:Y34" si="0">U3-X3</f>
        <v>1.7900000000010759E-3</v>
      </c>
      <c r="Z3" s="59">
        <f>_xll.qlIntegralTenorBasisIntegrate($M$11,R3)</f>
        <v>1.810964060356467E-3</v>
      </c>
      <c r="AA3" s="59">
        <f t="shared" ref="AA3:AA34" si="1">(Z3-Y3)</f>
        <v>2.0964060355391093E-5</v>
      </c>
      <c r="AB3" s="58">
        <f>_xll.qlDayCounterYearFraction(DayCounter,SettlementDate,R3,,,Trigger)</f>
        <v>0</v>
      </c>
      <c r="AC3" s="59">
        <f>_xll.qlAbcdMathFunctionValue($M$28,AB3)</f>
        <v>1.7847647269277822E-3</v>
      </c>
      <c r="AD3" s="59">
        <f>(AC3-Y3)</f>
        <v>-5.2352730732937135E-6</v>
      </c>
      <c r="AE3" s="59">
        <f t="shared" ref="AE3:AE34" si="2">($M$50+$M$51*AB3)*EXP(-AB3*$M$52)+$M$53</f>
        <v>3.3160000000000004E-3</v>
      </c>
    </row>
    <row r="4" spans="1:31" x14ac:dyDescent="0.2">
      <c r="A4" s="46" t="str">
        <f>_xll.qlPeriodEquivalent(C4&amp;"M")</f>
        <v>2Y</v>
      </c>
      <c r="B4" s="38">
        <f>_xll.qlDateEndOfMonth(EDATE(_xll.qlIMMNextDate(_xll.qlSettingsEvaluationDate(Trigger)-1,TRUE),-3))</f>
        <v>42094</v>
      </c>
      <c r="C4" s="39">
        <v>24</v>
      </c>
      <c r="D4" s="38">
        <f t="shared" ref="D4:D9" si="3">EDATE($Q$3,C4)</f>
        <v>42861</v>
      </c>
      <c r="E4" s="40">
        <f t="shared" ref="E4:E9" si="4">IF(C4&lt;=12,1,IF(C4&lt;=24,3,IF(C4&lt;=120,6,IF(C4&lt;=240,12,IF(C4&lt;=360,36,60)))))</f>
        <v>3</v>
      </c>
      <c r="F4" s="44">
        <f t="shared" ref="F4:F9" si="5">ROUNDDOWN(I4*10,2)/10</f>
        <v>1E-3</v>
      </c>
      <c r="G4" s="45">
        <f t="shared" ref="G4:G9" si="6">IF(J4-I4&gt;1%,(QUOTIENT(J4*10000,50)+1)*0.5%,(QUOTIENT(J4*10000,10)+1)*0.1%)</f>
        <v>3.0000000000000001E-3</v>
      </c>
      <c r="H4" s="40">
        <f t="shared" ref="H4:H9" si="7">IF(G4-F4&lt;0.5%,0.025%,IF(G4-F4&lt;1%,0.1%,IF(G4-F4&lt;2%,0.25%,0.5%)))</f>
        <v>2.5000000000000001E-4</v>
      </c>
      <c r="I4" s="45">
        <f>MIN(_xll.ohPack($Y$3:INDEX($Y$3:$Y$135,MATCH(D4+1,$R$3:$R$135,1),1)))</f>
        <v>1.7900000000010759E-3</v>
      </c>
      <c r="J4" s="45">
        <f>MAX(_xll.ohPack($Y$3:INDEX($Y$3:$Y$135,MATCH(D4+1,$R$3:$R$135,1),1)))</f>
        <v>2.1165494899765894E-3</v>
      </c>
      <c r="L4" s="85" t="s">
        <v>20</v>
      </c>
      <c r="M4" s="67" t="str">
        <f>PROPER(Currency)&amp;IborType&amp;M3</f>
        <v>Euribor6M</v>
      </c>
      <c r="N4" s="68"/>
      <c r="O4" s="65">
        <v>1</v>
      </c>
      <c r="P4" s="55" t="str">
        <f>_xll.qlPeriodEquivalent(P3&amp;"+"&amp;O4&amp;"M")</f>
        <v>1M</v>
      </c>
      <c r="Q4" s="57">
        <f>_xll.qlCalendarAdvance(Calendar,SettlementDate,P4,"f",,Trigger)</f>
        <v>42163</v>
      </c>
      <c r="R4" s="57">
        <f>_xll.qlInterestRateIndexValueDate(Index,Q4,Trigger)</f>
        <v>42165</v>
      </c>
      <c r="S4" s="57">
        <f>_xll.qlInterestRateIndexMaturity(Index,R4,Trigger)</f>
        <v>42348</v>
      </c>
      <c r="T4" s="58">
        <f>_xll.qlDayCounterYearFraction(DayCounter,R4,S4,,,Trigger)</f>
        <v>0.5083333333333333</v>
      </c>
      <c r="U4" s="59">
        <f>_xll.qlIndexFixing(Index,Q4,,AllTriggers)</f>
        <v>6.19445850638585E-4</v>
      </c>
      <c r="V4" s="60">
        <f>_xll.qlYieldTSDiscount(OisCurve,R4,,AllTriggers)</f>
        <v>1.000085337876109</v>
      </c>
      <c r="W4" s="60">
        <f>_xll.qlYieldTSDiscount(OisCurve,S4,,AllTriggers)</f>
        <v>1.0007156323760076</v>
      </c>
      <c r="X4" s="59">
        <f t="shared" ref="X4:X67" si="8">(V4/W4-1)/T4</f>
        <v>-1.2390369114290509E-3</v>
      </c>
      <c r="Y4" s="59">
        <f t="shared" si="0"/>
        <v>1.8584827620676358E-3</v>
      </c>
      <c r="Z4" s="59">
        <f>_xll.qlIntegralTenorBasisIntegrate($M$11,R4)</f>
        <v>1.8261096170919314E-3</v>
      </c>
      <c r="AA4" s="59">
        <f t="shared" si="1"/>
        <v>-3.2373144975704439E-5</v>
      </c>
      <c r="AB4" s="58">
        <f>_xll.qlDayCounterYearFraction(DayCounter,SettlementDate,R4,,,Trigger)</f>
        <v>9.166666666666666E-2</v>
      </c>
      <c r="AC4" s="59">
        <f>_xll.qlAbcdMathFunctionValue($M$28,AB4)</f>
        <v>1.8237895579366196E-3</v>
      </c>
      <c r="AD4" s="59">
        <f t="shared" ref="AD4:AD67" si="9">(AC4-Y4)</f>
        <v>-3.4693204131016264E-5</v>
      </c>
      <c r="AE4" s="59">
        <f t="shared" si="2"/>
        <v>3.3940336897216421E-3</v>
      </c>
    </row>
    <row r="5" spans="1:31" x14ac:dyDescent="0.2">
      <c r="A5" s="46" t="str">
        <f>_xll.qlPeriodEquivalent(C5&amp;"M")</f>
        <v>5Y</v>
      </c>
      <c r="B5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39">
        <v>60</v>
      </c>
      <c r="D5" s="38">
        <f t="shared" si="3"/>
        <v>43957</v>
      </c>
      <c r="E5" s="40">
        <f t="shared" si="4"/>
        <v>6</v>
      </c>
      <c r="F5" s="44">
        <f t="shared" si="5"/>
        <v>1E-3</v>
      </c>
      <c r="G5" s="45">
        <f t="shared" si="6"/>
        <v>3.0000000000000001E-3</v>
      </c>
      <c r="H5" s="40">
        <f t="shared" si="7"/>
        <v>2.5000000000000001E-4</v>
      </c>
      <c r="I5" s="45">
        <f>MIN(_xll.ohPack($Y$3:INDEX($Y$3:$Y$135,MATCH(D5+1,$R$3:$R$135,1),1)))</f>
        <v>1.7900000000010759E-3</v>
      </c>
      <c r="J5" s="45">
        <f>MAX(_xll.ohPack($Y$3:INDEX($Y$3:$Y$135,MATCH(D5+1,$R$3:$R$135,1),1)))</f>
        <v>2.6124924470713601E-3</v>
      </c>
      <c r="O5" s="65">
        <v>1</v>
      </c>
      <c r="P5" s="56" t="str">
        <f>_xll.qlPeriodEquivalent(P4&amp;"+"&amp;O5&amp;"M")</f>
        <v>2M</v>
      </c>
      <c r="Q5" s="57">
        <f>_xll.qlCalendarAdvance(Calendar,SettlementDate,P5,"f",,Trigger)</f>
        <v>42193</v>
      </c>
      <c r="R5" s="57">
        <f>_xll.qlInterestRateIndexValueDate(Index,Q5,Trigger)</f>
        <v>42195</v>
      </c>
      <c r="S5" s="57">
        <f>_xll.qlInterestRateIndexMaturity(Index,R5,Trigger)</f>
        <v>42380</v>
      </c>
      <c r="T5" s="58">
        <f>_xll.qlDayCounterYearFraction(DayCounter,R5,S5,,,Trigger)</f>
        <v>0.51388888888888884</v>
      </c>
      <c r="U5" s="59">
        <f>_xll.qlIndexFixing(Index,Q5,,AllTriggers)</f>
        <v>6.4163946342975123E-4</v>
      </c>
      <c r="V5" s="60">
        <f>_xll.qlYieldTSDiscount(OisCurve,R5,,AllTriggers)</f>
        <v>1.0001776625634953</v>
      </c>
      <c r="W5" s="60">
        <f>_xll.qlYieldTSDiscount(OisCurve,S5,,AllTriggers)</f>
        <v>1.0008156879173824</v>
      </c>
      <c r="X5" s="59">
        <f t="shared" si="8"/>
        <v>-1.2405509483877988E-3</v>
      </c>
      <c r="Y5" s="59">
        <f t="shared" si="0"/>
        <v>1.8821904118175501E-3</v>
      </c>
      <c r="Z5" s="59">
        <f>_xll.qlIntegralTenorBasisIntegrate($M$11,R5)</f>
        <v>1.8787709974427639E-3</v>
      </c>
      <c r="AA5" s="59">
        <f t="shared" si="1"/>
        <v>-3.4194143747861682E-6</v>
      </c>
      <c r="AB5" s="58">
        <f>_xll.qlDayCounterYearFraction(DayCounter,SettlementDate,R5,,,Trigger)</f>
        <v>0.17499999999999999</v>
      </c>
      <c r="AC5" s="59">
        <f>_xll.qlAbcdMathFunctionValue($M$28,AB5)</f>
        <v>1.8579110983240458E-3</v>
      </c>
      <c r="AD5" s="59">
        <f t="shared" si="9"/>
        <v>-2.4279313493504257E-5</v>
      </c>
      <c r="AE5" s="59">
        <f t="shared" si="2"/>
        <v>3.4625081511440153E-3</v>
      </c>
    </row>
    <row r="6" spans="1:31" x14ac:dyDescent="0.2">
      <c r="A6" s="46" t="str">
        <f>_xll.qlPeriodEquivalent(C6&amp;"M")</f>
        <v>10Y</v>
      </c>
      <c r="B6" s="38">
        <f t="shared" ref="B6:B9" si="10">B5</f>
        <v>42004</v>
      </c>
      <c r="C6" s="39">
        <v>120</v>
      </c>
      <c r="D6" s="38">
        <f t="shared" si="3"/>
        <v>45783</v>
      </c>
      <c r="E6" s="40">
        <f t="shared" si="4"/>
        <v>6</v>
      </c>
      <c r="F6" s="44">
        <f t="shared" si="5"/>
        <v>1E-3</v>
      </c>
      <c r="G6" s="45">
        <f t="shared" si="6"/>
        <v>3.0000000000000001E-3</v>
      </c>
      <c r="H6" s="40">
        <f t="shared" si="7"/>
        <v>2.5000000000000001E-4</v>
      </c>
      <c r="I6" s="45">
        <f>MIN(_xll.ohPack($Y$3:INDEX($Y$3:$Y$135,MATCH(D6+1,$R$3:$R$135,1),1)))</f>
        <v>1.7900000000010759E-3</v>
      </c>
      <c r="J6" s="45">
        <f>MAX(_xll.ohPack($Y$3:INDEX($Y$3:$Y$135,MATCH(D6+1,$R$3:$R$135,1),1)))</f>
        <v>2.6124924470713601E-3</v>
      </c>
      <c r="L6" s="85" t="s">
        <v>44</v>
      </c>
      <c r="M6" s="79">
        <v>2.7130000000000001E-3</v>
      </c>
      <c r="N6" s="66"/>
      <c r="O6" s="65">
        <v>1</v>
      </c>
      <c r="P6" s="56" t="str">
        <f>_xll.qlPeriodEquivalent(P5&amp;"+"&amp;O6&amp;"M")</f>
        <v>3M</v>
      </c>
      <c r="Q6" s="57">
        <f>_xll.qlCalendarAdvance(Calendar,SettlementDate,P6,"f",,Trigger)</f>
        <v>42226</v>
      </c>
      <c r="R6" s="57">
        <f>_xll.qlInterestRateIndexValueDate(Index,Q6,Trigger)</f>
        <v>42228</v>
      </c>
      <c r="S6" s="57">
        <f>_xll.qlInterestRateIndexMaturity(Index,R6,Trigger)</f>
        <v>42412</v>
      </c>
      <c r="T6" s="58">
        <f>_xll.qlDayCounterYearFraction(DayCounter,R6,S6,,,Trigger)</f>
        <v>0.51111111111111107</v>
      </c>
      <c r="U6" s="59">
        <f>_xll.qlIndexFixing(Index,Q6,,AllTriggers)</f>
        <v>6.3954068628348302E-4</v>
      </c>
      <c r="V6" s="60">
        <f>_xll.qlYieldTSDiscount(OisCurve,R6,,AllTriggers)</f>
        <v>1.0002916410691556</v>
      </c>
      <c r="W6" s="60">
        <f>_xll.qlYieldTSDiscount(OisCurve,S6,,AllTriggers)</f>
        <v>1.0009550767169513</v>
      </c>
      <c r="X6" s="59">
        <f t="shared" si="8"/>
        <v>-1.296787735653135E-3</v>
      </c>
      <c r="Y6" s="59">
        <f t="shared" si="0"/>
        <v>1.936328421936618E-3</v>
      </c>
      <c r="Z6" s="59">
        <f>_xll.qlIntegralTenorBasisIntegrate($M$11,R6)</f>
        <v>1.9015152246102205E-3</v>
      </c>
      <c r="AA6" s="59">
        <f t="shared" si="1"/>
        <v>-3.4813197326397484E-5</v>
      </c>
      <c r="AB6" s="58">
        <f>_xll.qlDayCounterYearFraction(DayCounter,SettlementDate,R6,,,Trigger)</f>
        <v>0.26666666666666666</v>
      </c>
      <c r="AC6" s="59">
        <f>_xll.qlAbcdMathFunctionValue($M$28,AB6)</f>
        <v>1.8939896751500658E-3</v>
      </c>
      <c r="AD6" s="59">
        <f t="shared" si="9"/>
        <v>-4.2338746786552139E-5</v>
      </c>
      <c r="AE6" s="59">
        <f t="shared" si="2"/>
        <v>3.5351794249620641E-3</v>
      </c>
    </row>
    <row r="7" spans="1:31" x14ac:dyDescent="0.2">
      <c r="A7" s="46" t="str">
        <f>_xll.qlPeriodEquivalent(C7&amp;"M")</f>
        <v>20Y</v>
      </c>
      <c r="B7" s="38">
        <f>IF(AND(MONTH(B6)=12),B6,_xll.qlDateEndOfMonth(EDATE(B6,-6)))</f>
        <v>42004</v>
      </c>
      <c r="C7" s="39">
        <v>240</v>
      </c>
      <c r="D7" s="38">
        <f t="shared" si="3"/>
        <v>49435</v>
      </c>
      <c r="E7" s="41">
        <f t="shared" si="4"/>
        <v>12</v>
      </c>
      <c r="F7" s="44">
        <f t="shared" si="5"/>
        <v>0</v>
      </c>
      <c r="G7" s="45">
        <f t="shared" si="6"/>
        <v>3.0000000000000001E-3</v>
      </c>
      <c r="H7" s="40">
        <f t="shared" si="7"/>
        <v>2.5000000000000001E-4</v>
      </c>
      <c r="I7" s="45">
        <f>MIN(_xll.ohPack($Y$3:INDEX($Y$3:$Y$135,MATCH(D7+1,$R$3:$R$135,1),1)))</f>
        <v>6.5145222656856454E-4</v>
      </c>
      <c r="J7" s="45">
        <f>MAX(_xll.ohPack($Y$3:INDEX($Y$3:$Y$135,MATCH(D7+1,$R$3:$R$135,1),1)))</f>
        <v>2.6124924470713601E-3</v>
      </c>
      <c r="L7" s="85" t="s">
        <v>45</v>
      </c>
      <c r="M7" s="80">
        <v>1.2999999999999999E-3</v>
      </c>
      <c r="O7" s="65">
        <v>1</v>
      </c>
      <c r="P7" s="56" t="str">
        <f>_xll.qlPeriodEquivalent(P6&amp;"+"&amp;O7&amp;"M")</f>
        <v>4M</v>
      </c>
      <c r="Q7" s="57">
        <f>_xll.qlCalendarAdvance(Calendar,SettlementDate,P7,"f",,Trigger)</f>
        <v>42255</v>
      </c>
      <c r="R7" s="57">
        <f>_xll.qlInterestRateIndexValueDate(Index,Q7,Trigger)</f>
        <v>42257</v>
      </c>
      <c r="S7" s="57">
        <f>_xll.qlInterestRateIndexMaturity(Index,R7,Trigger)</f>
        <v>42439</v>
      </c>
      <c r="T7" s="58">
        <f>_xll.qlDayCounterYearFraction(DayCounter,R7,S7,,,Trigger)</f>
        <v>0.50555555555555554</v>
      </c>
      <c r="U7" s="59">
        <f>_xll.qlIndexFixing(Index,Q7,,AllTriggers)</f>
        <v>6.4067547132430093E-4</v>
      </c>
      <c r="V7" s="60">
        <f>_xll.qlYieldTSDiscount(OisCurve,R7,,AllTriggers)</f>
        <v>1.0003919518559479</v>
      </c>
      <c r="W7" s="60">
        <f>_xll.qlYieldTSDiscount(OisCurve,S7,,AllTriggers)</f>
        <v>1.0010428379466234</v>
      </c>
      <c r="X7" s="59">
        <f t="shared" si="8"/>
        <v>-1.2861257717861735E-3</v>
      </c>
      <c r="Y7" s="59">
        <f t="shared" si="0"/>
        <v>1.9268012431104746E-3</v>
      </c>
      <c r="Z7" s="59">
        <f>_xll.qlIntegralTenorBasisIntegrate($M$11,R7)</f>
        <v>1.9079016278644154E-3</v>
      </c>
      <c r="AA7" s="59">
        <f t="shared" si="1"/>
        <v>-1.8899615246059133E-5</v>
      </c>
      <c r="AB7" s="58">
        <f>_xll.qlDayCounterYearFraction(DayCounter,SettlementDate,R7,,,Trigger)</f>
        <v>0.34722222222222221</v>
      </c>
      <c r="AC7" s="59">
        <f>_xll.qlAbcdMathFunctionValue($M$28,AB7)</f>
        <v>1.9244658991178839E-3</v>
      </c>
      <c r="AD7" s="59">
        <f t="shared" si="9"/>
        <v>-2.3353439925907164E-6</v>
      </c>
      <c r="AE7" s="59">
        <f t="shared" si="2"/>
        <v>3.5967994093472804E-3</v>
      </c>
    </row>
    <row r="8" spans="1:31" x14ac:dyDescent="0.2">
      <c r="A8" s="46" t="str">
        <f>_xll.qlPeriodEquivalent(C8&amp;"M")</f>
        <v>30Y</v>
      </c>
      <c r="B8" s="38">
        <f t="shared" si="10"/>
        <v>42004</v>
      </c>
      <c r="C8" s="39">
        <v>360</v>
      </c>
      <c r="D8" s="38">
        <f t="shared" si="3"/>
        <v>53088</v>
      </c>
      <c r="E8" s="41">
        <f t="shared" si="4"/>
        <v>36</v>
      </c>
      <c r="F8" s="44">
        <f t="shared" si="5"/>
        <v>0</v>
      </c>
      <c r="G8" s="45">
        <f t="shared" si="6"/>
        <v>3.0000000000000001E-3</v>
      </c>
      <c r="H8" s="40">
        <f t="shared" si="7"/>
        <v>2.5000000000000001E-4</v>
      </c>
      <c r="I8" s="45">
        <f>MIN(_xll.ohPack($Y$3:INDEX($Y$3:$Y$135,MATCH(D8+1,$R$3:$R$135,1),1)))</f>
        <v>4.1231893692466291E-4</v>
      </c>
      <c r="J8" s="45">
        <f>MAX(_xll.ohPack($Y$3:INDEX($Y$3:$Y$135,MATCH(D8+1,$R$3:$R$135,1),1)))</f>
        <v>2.6124924470713601E-3</v>
      </c>
      <c r="L8" s="85" t="s">
        <v>46</v>
      </c>
      <c r="M8" s="80">
        <v>0.15959999999999999</v>
      </c>
      <c r="O8" s="65">
        <v>1</v>
      </c>
      <c r="P8" s="56" t="str">
        <f>_xll.qlPeriodEquivalent(P7&amp;"+"&amp;O8&amp;"M")</f>
        <v>5M</v>
      </c>
      <c r="Q8" s="57">
        <f>_xll.qlCalendarAdvance(Calendar,SettlementDate,P8,"f",,Trigger)</f>
        <v>42285</v>
      </c>
      <c r="R8" s="57">
        <f>_xll.qlInterestRateIndexValueDate(Index,Q8,Trigger)</f>
        <v>42289</v>
      </c>
      <c r="S8" s="57">
        <f>_xll.qlInterestRateIndexMaturity(Index,R8,Trigger)</f>
        <v>42472</v>
      </c>
      <c r="T8" s="58">
        <f>_xll.qlDayCounterYearFraction(DayCounter,R8,S8,,,Trigger)</f>
        <v>0.5083333333333333</v>
      </c>
      <c r="U8" s="59">
        <f>_xll.qlIndexFixing(Index,Q8,,AllTriggers)</f>
        <v>6.6360133190818409E-4</v>
      </c>
      <c r="V8" s="60">
        <f>_xll.qlYieldTSDiscount(OisCurve,R8,,AllTriggers)</f>
        <v>1.0005032458130314</v>
      </c>
      <c r="W8" s="60">
        <f>_xll.qlYieldTSDiscount(OisCurve,S8,,AllTriggers)</f>
        <v>1.0011654200450222</v>
      </c>
      <c r="X8" s="59">
        <f t="shared" si="8"/>
        <v>-1.3011214803702079E-3</v>
      </c>
      <c r="Y8" s="59">
        <f t="shared" si="0"/>
        <v>1.964722812278392E-3</v>
      </c>
      <c r="Z8" s="59">
        <f>_xll.qlIntegralTenorBasisIntegrate($M$11,R8)</f>
        <v>1.9487593192356611E-3</v>
      </c>
      <c r="AA8" s="59">
        <f t="shared" si="1"/>
        <v>-1.5963493042730906E-5</v>
      </c>
      <c r="AB8" s="58">
        <f>_xll.qlDayCounterYearFraction(DayCounter,SettlementDate,R8,,,Trigger)</f>
        <v>0.43611111111111112</v>
      </c>
      <c r="AC8" s="59">
        <f>_xll.qlAbcdMathFunctionValue($M$28,AB8)</f>
        <v>1.9567921580517229E-3</v>
      </c>
      <c r="AD8" s="59">
        <f t="shared" si="9"/>
        <v>-7.9306542266691094E-6</v>
      </c>
      <c r="AE8" s="59">
        <f t="shared" si="2"/>
        <v>3.662413256234137E-3</v>
      </c>
    </row>
    <row r="9" spans="1:31" x14ac:dyDescent="0.2">
      <c r="A9" s="47" t="str">
        <f>_xll.qlPeriodEquivalent(C9&amp;"M")</f>
        <v>60Y</v>
      </c>
      <c r="B9" s="48">
        <f t="shared" si="10"/>
        <v>42004</v>
      </c>
      <c r="C9" s="49">
        <v>720</v>
      </c>
      <c r="D9" s="48">
        <f t="shared" si="3"/>
        <v>64045</v>
      </c>
      <c r="E9" s="50">
        <f t="shared" si="4"/>
        <v>60</v>
      </c>
      <c r="F9" s="51">
        <f t="shared" si="5"/>
        <v>0</v>
      </c>
      <c r="G9" s="52">
        <f t="shared" si="6"/>
        <v>3.0000000000000001E-3</v>
      </c>
      <c r="H9" s="53">
        <f t="shared" si="7"/>
        <v>2.5000000000000001E-4</v>
      </c>
      <c r="I9" s="52">
        <f>MIN(_xll.ohPack($Y$3:INDEX($Y$3:$Y$135,MATCH(D9+1,$R$3:$R$135,1),1)))</f>
        <v>-1.9591954619646579E-4</v>
      </c>
      <c r="J9" s="52">
        <f>MAX(_xll.ohPack($Y$3:INDEX($Y$3:$Y$135,MATCH(D9+1,$R$3:$R$135,1),1)))</f>
        <v>2.6124924470713601E-3</v>
      </c>
      <c r="L9" s="85" t="s">
        <v>47</v>
      </c>
      <c r="M9" s="79">
        <v>6.0300000000000002E-4</v>
      </c>
      <c r="O9" s="65">
        <v>1</v>
      </c>
      <c r="P9" s="56" t="str">
        <f>_xll.qlPeriodEquivalent(P8&amp;"+"&amp;O9&amp;"M")</f>
        <v>6M</v>
      </c>
      <c r="Q9" s="57">
        <f>_xll.qlCalendarAdvance(Calendar,SettlementDate,P9,"f",,Trigger)</f>
        <v>42317</v>
      </c>
      <c r="R9" s="57">
        <f>_xll.qlInterestRateIndexValueDate(Index,Q9,Trigger)</f>
        <v>42319</v>
      </c>
      <c r="S9" s="57">
        <f>_xll.qlInterestRateIndexMaturity(Index,R9,Trigger)</f>
        <v>42501</v>
      </c>
      <c r="T9" s="58">
        <f>_xll.qlDayCounterYearFraction(DayCounter,R9,S9,,,Trigger)</f>
        <v>0.50555555555555554</v>
      </c>
      <c r="U9" s="59">
        <f>_xll.qlIndexFixing(Index,Q9,,AllTriggers)</f>
        <v>6.9198804353532979E-4</v>
      </c>
      <c r="V9" s="60">
        <f>_xll.qlYieldTSDiscount(OisCurve,R9,,AllTriggers)</f>
        <v>1.0006126191822273</v>
      </c>
      <c r="W9" s="60">
        <f>_xll.qlYieldTSDiscount(OisCurve,S9,,AllTriggers)</f>
        <v>1.001256125396474</v>
      </c>
      <c r="X9" s="59">
        <f t="shared" si="8"/>
        <v>-1.2712725570289149E-3</v>
      </c>
      <c r="Y9" s="59">
        <f t="shared" si="0"/>
        <v>1.9632606005642447E-3</v>
      </c>
      <c r="Z9" s="59">
        <f>_xll.qlIntegralTenorBasisIntegrate($M$11,R9)</f>
        <v>1.9645298740380837E-3</v>
      </c>
      <c r="AA9" s="59">
        <f t="shared" si="1"/>
        <v>1.2692734738389833E-6</v>
      </c>
      <c r="AB9" s="58">
        <f>_xll.qlDayCounterYearFraction(DayCounter,SettlementDate,R9,,,Trigger)</f>
        <v>0.51944444444444449</v>
      </c>
      <c r="AC9" s="59">
        <f>_xll.qlAbcdMathFunctionValue($M$28,AB9)</f>
        <v>1.9858854855092705E-3</v>
      </c>
      <c r="AD9" s="59">
        <f t="shared" si="9"/>
        <v>2.2624884945025847E-5</v>
      </c>
      <c r="AE9" s="59">
        <f t="shared" si="2"/>
        <v>3.7217068002981064E-3</v>
      </c>
    </row>
    <row r="10" spans="1:31" x14ac:dyDescent="0.2">
      <c r="A10" s="46" t="str">
        <f>_xll.qlPeriodEquivalent(C10&amp;"M")</f>
        <v>1Y</v>
      </c>
      <c r="B10" s="38">
        <f>_xll.qlDateEndOfMonth(EDATE(_xll.qlSettingsEvaluationDate(Trigger),-1))</f>
        <v>42124</v>
      </c>
      <c r="C10" s="39">
        <v>12</v>
      </c>
      <c r="D10" s="38">
        <f>EDATE($Q$3,C10)</f>
        <v>42496</v>
      </c>
      <c r="E10" s="40">
        <f>IF(C10&lt;=12,1,IF(C10&lt;=24,3,IF(C10&lt;=120,6,IF(C10&lt;=240,12,IF(C10&lt;=360,36,60)))))</f>
        <v>1</v>
      </c>
      <c r="F10" s="44">
        <f>ROUNDDOWN(I10*10,2)/10</f>
        <v>1E-3</v>
      </c>
      <c r="G10" s="45">
        <f>IF(J10-I10&gt;1%,(QUOTIENT(J10*10000,50)+1)*0.5%,(QUOTIENT(J10*10000,10)+1)*0.1%)</f>
        <v>3.0000000000000001E-3</v>
      </c>
      <c r="H10" s="40">
        <f>IF(G10-F10&lt;0.5%,0.025%,IF(G10-F10&lt;1%,0.1%,IF(G10-F10&lt;2%,0.25%,0.5%)))</f>
        <v>2.5000000000000001E-4</v>
      </c>
      <c r="I10" s="45">
        <f>MIN(_xll.ohPack($Y$3:INDEX($Y$3:$Y$135,MATCH(D10+1,$R$3:$R$135,1),1)))</f>
        <v>1.7900000000010759E-3</v>
      </c>
      <c r="J10" s="45">
        <f>MAX(_xll.ohPack($Y$3:INDEX($Y$3:$Y$135,MATCH(D10+1,$R$3:$R$135,1),1)))</f>
        <v>2.0368936004725759E-3</v>
      </c>
      <c r="L10" s="85" t="s">
        <v>52</v>
      </c>
      <c r="M10" s="67" t="str">
        <f>_xll.qlAbcdMathFunction(,M6,M7,M8,M9,,Trigger)</f>
        <v>obj_00c3a#0010</v>
      </c>
      <c r="O10" s="65">
        <v>1</v>
      </c>
      <c r="P10" s="56" t="str">
        <f>_xll.qlPeriodEquivalent(P9&amp;"+"&amp;O10&amp;"M")</f>
        <v>7M</v>
      </c>
      <c r="Q10" s="57">
        <f>_xll.qlCalendarAdvance(Calendar,SettlementDate,P10,"f",,Trigger)</f>
        <v>42346</v>
      </c>
      <c r="R10" s="57">
        <f>_xll.qlInterestRateIndexValueDate(Index,Q10,Trigger)</f>
        <v>42348</v>
      </c>
      <c r="S10" s="57">
        <f>_xll.qlInterestRateIndexMaturity(Index,R10,Trigger)</f>
        <v>42531</v>
      </c>
      <c r="T10" s="58">
        <f>_xll.qlDayCounterYearFraction(DayCounter,R10,S10,,,Trigger)</f>
        <v>0.5083333333333333</v>
      </c>
      <c r="U10" s="59">
        <f>_xll.qlIndexFixing(Index,Q10,,AllTriggers)</f>
        <v>7.2225517495318442E-4</v>
      </c>
      <c r="V10" s="60">
        <f>_xll.qlYieldTSDiscount(OisCurve,R10,,AllTriggers)</f>
        <v>1.0007156323760076</v>
      </c>
      <c r="W10" s="60">
        <f>_xll.qlYieldTSDiscount(OisCurve,S10,,AllTriggers)</f>
        <v>1.0013598969615976</v>
      </c>
      <c r="X10" s="59">
        <f t="shared" si="8"/>
        <v>-1.2656845415818004E-3</v>
      </c>
      <c r="Y10" s="59">
        <f t="shared" si="0"/>
        <v>1.9879397165349848E-3</v>
      </c>
      <c r="Z10" s="59">
        <f>_xll.qlIntegralTenorBasisIntegrate($M$11,R10)</f>
        <v>2.0008877492797145E-3</v>
      </c>
      <c r="AA10" s="59">
        <f t="shared" si="1"/>
        <v>1.294803274472971E-5</v>
      </c>
      <c r="AB10" s="58">
        <f>_xll.qlDayCounterYearFraction(DayCounter,SettlementDate,R10,,,Trigger)</f>
        <v>0.6</v>
      </c>
      <c r="AC10" s="59">
        <f>_xll.qlAbcdMathFunctionValue($M$28,AB10)</f>
        <v>2.0129195524321011E-3</v>
      </c>
      <c r="AD10" s="59">
        <f t="shared" si="9"/>
        <v>2.4979835897116342E-5</v>
      </c>
      <c r="AE10" s="59">
        <f t="shared" si="2"/>
        <v>3.7770264830792799E-3</v>
      </c>
    </row>
    <row r="11" spans="1:31" x14ac:dyDescent="0.2">
      <c r="A11" s="46" t="str">
        <f>_xll.qlPeriodEquivalent(C11&amp;"M")</f>
        <v>2Y</v>
      </c>
      <c r="B11" s="38">
        <f>_xll.qlDateEndOfMonth(EDATE(_xll.qlIMMNextDate(_xll.qlSettingsEvaluationDate(Trigger)-1,TRUE),-3))</f>
        <v>42094</v>
      </c>
      <c r="C11" s="39">
        <v>24</v>
      </c>
      <c r="D11" s="38">
        <f t="shared" ref="D11:D16" si="11">EDATE($Q$3,C11)</f>
        <v>42861</v>
      </c>
      <c r="E11" s="40">
        <f t="shared" ref="E11:E16" si="12">IF(C11&lt;=12,1,IF(C11&lt;=24,3,IF(C11&lt;=120,6,IF(C11&lt;=240,12,IF(C11&lt;=360,36,60)))))</f>
        <v>3</v>
      </c>
      <c r="F11" s="44">
        <f t="shared" ref="F11:F16" si="13">ROUNDDOWN(I11*10,2)/10</f>
        <v>1E-3</v>
      </c>
      <c r="G11" s="45">
        <f t="shared" ref="G11:G16" si="14">IF(J11-I11&gt;1%,(QUOTIENT(J11*10000,50)+1)*0.5%,(QUOTIENT(J11*10000,10)+1)*0.1%)</f>
        <v>3.0000000000000001E-3</v>
      </c>
      <c r="H11" s="40">
        <f t="shared" ref="H11:H16" si="15">IF(G11-F11&lt;0.5%,0.025%,IF(G11-F11&lt;1%,0.1%,IF(G11-F11&lt;2%,0.25%,0.5%)))</f>
        <v>2.5000000000000001E-4</v>
      </c>
      <c r="I11" s="45">
        <f>MIN(_xll.ohPack($Y$3:INDEX($Y$3:$Y$135,MATCH(D11+1,$R$3:$R$135,1),1)))</f>
        <v>1.7900000000010759E-3</v>
      </c>
      <c r="J11" s="45">
        <f>MAX(_xll.ohPack($Y$3:INDEX($Y$3:$Y$135,MATCH(D11+1,$R$3:$R$135,1),1)))</f>
        <v>2.1165494899765894E-3</v>
      </c>
      <c r="L11" s="85" t="s">
        <v>51</v>
      </c>
      <c r="M11" s="67" t="str">
        <f>_xll.qlAbcdIntegralTenorBasis(,SettlementDate,Index,Currency&amp;"ON",$M$10,,Trigger)</f>
        <v>obj_00c3b#0001</v>
      </c>
      <c r="O11" s="65">
        <v>1</v>
      </c>
      <c r="P11" s="56" t="str">
        <f>_xll.qlPeriodEquivalent(P10&amp;"+"&amp;O11&amp;"M")</f>
        <v>8M</v>
      </c>
      <c r="Q11" s="57">
        <f>_xll.qlCalendarAdvance(Calendar,SettlementDate,P11,"f",,Trigger)</f>
        <v>42377</v>
      </c>
      <c r="R11" s="57">
        <f>_xll.qlInterestRateIndexValueDate(Index,Q11,Trigger)</f>
        <v>42381</v>
      </c>
      <c r="S11" s="57">
        <f>_xll.qlInterestRateIndexMaturity(Index,R11,Trigger)</f>
        <v>42563</v>
      </c>
      <c r="T11" s="58">
        <f>_xll.qlDayCounterYearFraction(DayCounter,R11,S11,,,Trigger)</f>
        <v>0.50555555555555554</v>
      </c>
      <c r="U11" s="59">
        <f>_xll.qlIndexFixing(Index,Q11,,AllTriggers)</f>
        <v>7.6716842545434399E-4</v>
      </c>
      <c r="V11" s="60">
        <f>_xll.qlYieldTSDiscount(OisCurve,R11,,AllTriggers)</f>
        <v>1.0008196506535674</v>
      </c>
      <c r="W11" s="60">
        <f>_xll.qlYieldTSDiscount(OisCurve,S11,,AllTriggers)</f>
        <v>1.0014569180424759</v>
      </c>
      <c r="X11" s="59">
        <f t="shared" si="8"/>
        <v>-1.2586950855577816E-3</v>
      </c>
      <c r="Y11" s="59">
        <f t="shared" si="0"/>
        <v>2.0258635110121256E-3</v>
      </c>
      <c r="Z11" s="59">
        <f>_xll.qlIntegralTenorBasisIntegrate($M$11,R11)</f>
        <v>2.0169091009875234E-3</v>
      </c>
      <c r="AA11" s="59">
        <f t="shared" si="1"/>
        <v>-8.9544100246021982E-6</v>
      </c>
      <c r="AB11" s="58">
        <f>_xll.qlDayCounterYearFraction(DayCounter,SettlementDate,R11,,,Trigger)</f>
        <v>0.69166666666666665</v>
      </c>
      <c r="AC11" s="59">
        <f>_xll.qlAbcdMathFunctionValue($M$28,AB11)</f>
        <v>2.0424103700005694E-3</v>
      </c>
      <c r="AD11" s="59">
        <f t="shared" si="9"/>
        <v>1.6546858988443838E-5</v>
      </c>
      <c r="AE11" s="59">
        <f t="shared" si="2"/>
        <v>3.8376404465797218E-3</v>
      </c>
    </row>
    <row r="12" spans="1:31" x14ac:dyDescent="0.2">
      <c r="A12" s="46" t="str">
        <f>_xll.qlPeriodEquivalent(C12&amp;"M")</f>
        <v>5Y</v>
      </c>
      <c r="B12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39">
        <v>60</v>
      </c>
      <c r="D12" s="38">
        <f t="shared" si="11"/>
        <v>43957</v>
      </c>
      <c r="E12" s="40">
        <f t="shared" si="12"/>
        <v>6</v>
      </c>
      <c r="F12" s="44">
        <f t="shared" si="13"/>
        <v>1E-3</v>
      </c>
      <c r="G12" s="45">
        <f t="shared" si="14"/>
        <v>3.0000000000000001E-3</v>
      </c>
      <c r="H12" s="40">
        <f t="shared" si="15"/>
        <v>2.5000000000000001E-4</v>
      </c>
      <c r="I12" s="45">
        <f>MIN(_xll.ohPack($Y$3:INDEX($Y$3:$Y$135,MATCH(D12+1,$R$3:$R$135,1),1)))</f>
        <v>1.7900000000010759E-3</v>
      </c>
      <c r="J12" s="45">
        <f>MAX(_xll.ohPack($Y$3:INDEX($Y$3:$Y$135,MATCH(D12+1,$R$3:$R$135,1),1)))</f>
        <v>2.6124924470713601E-3</v>
      </c>
      <c r="L12" s="85" t="s">
        <v>48</v>
      </c>
      <c r="M12" s="79">
        <f>SQRT(SUMPRODUCT(AA3:AA135,AA3:AA135)/(COUNT(AA3:AA135)-1))</f>
        <v>2.2604442868512809E-4</v>
      </c>
      <c r="N12" s="66"/>
      <c r="O12" s="65">
        <v>1</v>
      </c>
      <c r="P12" s="56" t="str">
        <f>_xll.qlPeriodEquivalent(P11&amp;"+"&amp;O12&amp;"M")</f>
        <v>9M</v>
      </c>
      <c r="Q12" s="57">
        <f>_xll.qlCalendarAdvance(Calendar,SettlementDate,P12,"f",,Trigger)</f>
        <v>42408</v>
      </c>
      <c r="R12" s="57">
        <f>_xll.qlInterestRateIndexValueDate(Index,Q12,Trigger)</f>
        <v>42410</v>
      </c>
      <c r="S12" s="57">
        <f>_xll.qlInterestRateIndexMaturity(Index,R12,Trigger)</f>
        <v>42592</v>
      </c>
      <c r="T12" s="58">
        <f>_xll.qlDayCounterYearFraction(DayCounter,R12,S12,,,Trigger)</f>
        <v>0.50555555555555554</v>
      </c>
      <c r="U12" s="59">
        <f>_xll.qlIndexFixing(Index,Q12,,AllTriggers)</f>
        <v>8.2361232966028913E-4</v>
      </c>
      <c r="V12" s="60">
        <f>_xll.qlYieldTSDiscount(OisCurve,R12,,AllTriggers)</f>
        <v>1.0009419009707223</v>
      </c>
      <c r="W12" s="60">
        <f>_xll.qlYieldTSDiscount(OisCurve,S12,,AllTriggers)</f>
        <v>1.0015474126585018</v>
      </c>
      <c r="X12" s="59">
        <f t="shared" si="8"/>
        <v>-1.1958649298466344E-3</v>
      </c>
      <c r="Y12" s="59">
        <f t="shared" si="0"/>
        <v>2.0194772595069233E-3</v>
      </c>
      <c r="Z12" s="59">
        <f>_xll.qlIntegralTenorBasisIntegrate($M$11,R12)</f>
        <v>2.0400041071258488E-3</v>
      </c>
      <c r="AA12" s="59">
        <f t="shared" si="1"/>
        <v>2.0526847618925446E-5</v>
      </c>
      <c r="AB12" s="58">
        <f>_xll.qlDayCounterYearFraction(DayCounter,SettlementDate,R12,,,Trigger)</f>
        <v>0.77222222222222225</v>
      </c>
      <c r="AC12" s="59">
        <f>_xll.qlAbcdMathFunctionValue($M$28,AB12)</f>
        <v>2.0672348166072023E-3</v>
      </c>
      <c r="AD12" s="59">
        <f t="shared" si="9"/>
        <v>4.7757557100278937E-5</v>
      </c>
      <c r="AE12" s="59">
        <f t="shared" si="2"/>
        <v>3.888899160455022E-3</v>
      </c>
    </row>
    <row r="13" spans="1:31" x14ac:dyDescent="0.2">
      <c r="A13" s="46" t="str">
        <f>_xll.qlPeriodEquivalent(C13&amp;"M")</f>
        <v>10Y</v>
      </c>
      <c r="B13" s="38">
        <f t="shared" ref="B13:B16" si="16">B12</f>
        <v>42004</v>
      </c>
      <c r="C13" s="39">
        <v>120</v>
      </c>
      <c r="D13" s="38">
        <f t="shared" si="11"/>
        <v>45783</v>
      </c>
      <c r="E13" s="40">
        <f t="shared" si="12"/>
        <v>6</v>
      </c>
      <c r="F13" s="44">
        <f t="shared" si="13"/>
        <v>1E-3</v>
      </c>
      <c r="G13" s="45">
        <f t="shared" si="14"/>
        <v>3.0000000000000001E-3</v>
      </c>
      <c r="H13" s="40">
        <f t="shared" si="15"/>
        <v>2.5000000000000001E-4</v>
      </c>
      <c r="I13" s="45">
        <f>MIN(_xll.ohPack($Y$3:INDEX($Y$3:$Y$135,MATCH(D13+1,$R$3:$R$135,1),1)))</f>
        <v>1.7900000000010759E-3</v>
      </c>
      <c r="J13" s="45">
        <f>MAX(_xll.ohPack($Y$3:INDEX($Y$3:$Y$135,MATCH(D13+1,$R$3:$R$135,1),1)))</f>
        <v>2.6124924470713601E-3</v>
      </c>
      <c r="O13" s="65">
        <v>1</v>
      </c>
      <c r="P13" s="56" t="str">
        <f>_xll.qlPeriodEquivalent(P12&amp;"+"&amp;O13&amp;"M")</f>
        <v>10M</v>
      </c>
      <c r="Q13" s="57">
        <f>_xll.qlCalendarAdvance(Calendar,SettlementDate,P13,"f",,Trigger)</f>
        <v>42437</v>
      </c>
      <c r="R13" s="57">
        <f>_xll.qlInterestRateIndexValueDate(Index,Q13,Trigger)</f>
        <v>42439</v>
      </c>
      <c r="S13" s="57">
        <f>_xll.qlInterestRateIndexMaturity(Index,R13,Trigger)</f>
        <v>42625</v>
      </c>
      <c r="T13" s="58">
        <f>_xll.qlDayCounterYearFraction(DayCounter,R13,S13,,,Trigger)</f>
        <v>0.51666666666666672</v>
      </c>
      <c r="U13" s="59">
        <f>_xll.qlIndexFixing(Index,Q13,,AllTriggers)</f>
        <v>8.7554064026571215E-4</v>
      </c>
      <c r="V13" s="60">
        <f>_xll.qlYieldTSDiscount(OisCurve,R13,,AllTriggers)</f>
        <v>1.0010428379466234</v>
      </c>
      <c r="W13" s="60">
        <f>_xll.qlYieldTSDiscount(OisCurve,S13,,AllTriggers)</f>
        <v>1.0016415984052383</v>
      </c>
      <c r="X13" s="59">
        <f t="shared" si="8"/>
        <v>-1.156991894173971E-3</v>
      </c>
      <c r="Y13" s="59">
        <f t="shared" si="0"/>
        <v>2.0325325344396831E-3</v>
      </c>
      <c r="Z13" s="59">
        <f>_xll.qlIntegralTenorBasisIntegrate($M$11,R13)</f>
        <v>2.109024313441372E-3</v>
      </c>
      <c r="AA13" s="59">
        <f t="shared" si="1"/>
        <v>7.6491779001688822E-5</v>
      </c>
      <c r="AB13" s="58">
        <f>_xll.qlDayCounterYearFraction(DayCounter,SettlementDate,R13,,,Trigger)</f>
        <v>0.85277777777777775</v>
      </c>
      <c r="AC13" s="59">
        <f>_xll.qlAbcdMathFunctionValue($M$28,AB13)</f>
        <v>2.0910619711381954E-3</v>
      </c>
      <c r="AD13" s="59">
        <f t="shared" si="9"/>
        <v>5.8529436698512294E-5</v>
      </c>
      <c r="AE13" s="59">
        <f t="shared" si="2"/>
        <v>3.9383204349845618E-3</v>
      </c>
    </row>
    <row r="14" spans="1:31" x14ac:dyDescent="0.2">
      <c r="A14" s="46" t="str">
        <f>_xll.qlPeriodEquivalent(C14&amp;"M")</f>
        <v>20Y</v>
      </c>
      <c r="B14" s="38">
        <f>IF(AND(MONTH(B13)=12),B13,_xll.qlDateEndOfMonth(EDATE(B13,-6)))</f>
        <v>42004</v>
      </c>
      <c r="C14" s="39">
        <v>240</v>
      </c>
      <c r="D14" s="38">
        <f t="shared" si="11"/>
        <v>49435</v>
      </c>
      <c r="E14" s="41">
        <f t="shared" si="12"/>
        <v>12</v>
      </c>
      <c r="F14" s="44">
        <f t="shared" si="13"/>
        <v>0</v>
      </c>
      <c r="G14" s="45">
        <f t="shared" si="14"/>
        <v>3.0000000000000001E-3</v>
      </c>
      <c r="H14" s="40">
        <f t="shared" si="15"/>
        <v>2.5000000000000001E-4</v>
      </c>
      <c r="I14" s="45">
        <f>MIN(_xll.ohPack($Y$3:INDEX($Y$3:$Y$135,MATCH(D14+1,$R$3:$R$135,1),1)))</f>
        <v>6.5145222656856454E-4</v>
      </c>
      <c r="J14" s="45">
        <f>MAX(_xll.ohPack($Y$3:INDEX($Y$3:$Y$135,MATCH(D14+1,$R$3:$R$135,1),1)))</f>
        <v>2.6124924470713601E-3</v>
      </c>
      <c r="L14" s="85" t="s">
        <v>44</v>
      </c>
      <c r="M14" s="79">
        <f>_xll.qlAbcdIntegralTenorBasisA($M$11)</f>
        <v>2.9210381715044764E-3</v>
      </c>
      <c r="O14" s="65">
        <v>1</v>
      </c>
      <c r="P14" s="56" t="str">
        <f>_xll.qlPeriodEquivalent(P13&amp;"+"&amp;O14&amp;"M")</f>
        <v>11M</v>
      </c>
      <c r="Q14" s="57">
        <f>_xll.qlCalendarAdvance(Calendar,SettlementDate,P14,"f",,Trigger)</f>
        <v>42468</v>
      </c>
      <c r="R14" s="57">
        <f>_xll.qlInterestRateIndexValueDate(Index,Q14,Trigger)</f>
        <v>42472</v>
      </c>
      <c r="S14" s="57">
        <f>_xll.qlInterestRateIndexMaturity(Index,R14,Trigger)</f>
        <v>42655</v>
      </c>
      <c r="T14" s="58">
        <f>_xll.qlDayCounterYearFraction(DayCounter,R14,S14,,,Trigger)</f>
        <v>0.5083333333333333</v>
      </c>
      <c r="U14" s="59">
        <f>_xll.qlIndexFixing(Index,Q14,,AllTriggers)</f>
        <v>9.4621843122253823E-4</v>
      </c>
      <c r="V14" s="60">
        <f>_xll.qlYieldTSDiscount(OisCurve,R14,,AllTriggers)</f>
        <v>1.0011654200450222</v>
      </c>
      <c r="W14" s="60">
        <f>_xll.qlYieldTSDiscount(OisCurve,S14,,AllTriggers)</f>
        <v>1.0017208006469471</v>
      </c>
      <c r="X14" s="59">
        <f t="shared" si="8"/>
        <v>-1.0906751692500375E-3</v>
      </c>
      <c r="Y14" s="59">
        <f t="shared" si="0"/>
        <v>2.0368936004725759E-3</v>
      </c>
      <c r="Z14" s="59">
        <f>_xll.qlIntegralTenorBasisIntegrate($M$11,R14)</f>
        <v>2.0982970178315664E-3</v>
      </c>
      <c r="AA14" s="59">
        <f t="shared" si="1"/>
        <v>6.1403417358990488E-5</v>
      </c>
      <c r="AB14" s="58">
        <f>_xll.qlDayCounterYearFraction(DayCounter,SettlementDate,R14,,,Trigger)</f>
        <v>0.94444444444444442</v>
      </c>
      <c r="AC14" s="59">
        <f>_xll.qlAbcdMathFunctionValue($M$28,AB14)</f>
        <v>2.1169911180058494E-3</v>
      </c>
      <c r="AD14" s="59">
        <f t="shared" si="9"/>
        <v>8.0097517533273509E-5</v>
      </c>
      <c r="AE14" s="59">
        <f t="shared" si="2"/>
        <v>3.9923724152933302E-3</v>
      </c>
    </row>
    <row r="15" spans="1:31" x14ac:dyDescent="0.2">
      <c r="A15" s="46" t="str">
        <f>_xll.qlPeriodEquivalent(C15&amp;"M")</f>
        <v>30Y</v>
      </c>
      <c r="B15" s="38">
        <f t="shared" si="16"/>
        <v>42004</v>
      </c>
      <c r="C15" s="39">
        <v>360</v>
      </c>
      <c r="D15" s="38">
        <f t="shared" si="11"/>
        <v>53088</v>
      </c>
      <c r="E15" s="41">
        <f t="shared" si="12"/>
        <v>36</v>
      </c>
      <c r="F15" s="44">
        <f t="shared" si="13"/>
        <v>0</v>
      </c>
      <c r="G15" s="45">
        <f t="shared" si="14"/>
        <v>3.0000000000000001E-3</v>
      </c>
      <c r="H15" s="40">
        <f t="shared" si="15"/>
        <v>2.5000000000000001E-4</v>
      </c>
      <c r="I15" s="45">
        <f>MIN(_xll.ohPack($Y$3:INDEX($Y$3:$Y$135,MATCH(D15+1,$R$3:$R$135,1),1)))</f>
        <v>4.1231893692466291E-4</v>
      </c>
      <c r="J15" s="45">
        <f>MAX(_xll.ohPack($Y$3:INDEX($Y$3:$Y$135,MATCH(D15+1,$R$3:$R$135,1),1)))</f>
        <v>2.6124924470713601E-3</v>
      </c>
      <c r="L15" s="85" t="s">
        <v>45</v>
      </c>
      <c r="M15" s="80">
        <f>_xll.qlAbcdIntegralTenorBasisB($M$11)</f>
        <v>1.2481172252084369E-3</v>
      </c>
      <c r="O15" s="65">
        <v>1</v>
      </c>
      <c r="P15" s="56" t="str">
        <f>_xll.qlPeriodEquivalent(P14&amp;"+"&amp;O15&amp;"M")</f>
        <v>1Y</v>
      </c>
      <c r="Q15" s="57">
        <f>_xll.qlCalendarAdvance(Calendar,SettlementDate,P15,"f",,Trigger)</f>
        <v>42499</v>
      </c>
      <c r="R15" s="57">
        <f>_xll.qlInterestRateIndexValueDate(Index,Q15,Trigger)</f>
        <v>42501</v>
      </c>
      <c r="S15" s="57">
        <f>_xll.qlInterestRateIndexMaturity(Index,R15,Trigger)</f>
        <v>42685</v>
      </c>
      <c r="T15" s="58">
        <f>_xll.qlDayCounterYearFraction(DayCounter,R15,S15,,,Trigger)</f>
        <v>0.51111111111111107</v>
      </c>
      <c r="U15" s="59">
        <f>_xll.qlIndexFixing(Index,Q15,,AllTriggers)</f>
        <v>1.0149283889120302E-3</v>
      </c>
      <c r="V15" s="60">
        <f>_xll.qlYieldTSDiscount(OisCurve,R15,,AllTriggers)</f>
        <v>1.001256125396474</v>
      </c>
      <c r="W15" s="60">
        <f>_xll.qlYieldTSDiscount(OisCurve,S15,,AllTriggers)</f>
        <v>1.0017976699603441</v>
      </c>
      <c r="X15" s="59">
        <f t="shared" si="8"/>
        <v>-1.0576424199127098E-3</v>
      </c>
      <c r="Y15" s="59">
        <f t="shared" si="0"/>
        <v>2.07257080882474E-3</v>
      </c>
      <c r="Z15" s="59">
        <f>_xll.qlIntegralTenorBasisIntegrate($M$11,R15)</f>
        <v>2.1307355232666057E-3</v>
      </c>
      <c r="AA15" s="59">
        <f t="shared" si="1"/>
        <v>5.8164714441865783E-5</v>
      </c>
      <c r="AB15" s="58">
        <f>_xll.qlDayCounterYearFraction(DayCounter,SettlementDate,R15,,,Trigger)</f>
        <v>1.0249999999999999</v>
      </c>
      <c r="AC15" s="59">
        <f>_xll.qlAbcdMathFunctionValue($M$28,AB15)</f>
        <v>2.1387610464071258E-3</v>
      </c>
      <c r="AD15" s="59">
        <f t="shared" si="9"/>
        <v>6.6190237582385882E-5</v>
      </c>
      <c r="AE15" s="59">
        <f t="shared" si="2"/>
        <v>4.0379939083470141E-3</v>
      </c>
    </row>
    <row r="16" spans="1:31" x14ac:dyDescent="0.2">
      <c r="A16" s="47" t="str">
        <f>_xll.qlPeriodEquivalent(C16&amp;"M")</f>
        <v>60Y</v>
      </c>
      <c r="B16" s="48">
        <f t="shared" si="16"/>
        <v>42004</v>
      </c>
      <c r="C16" s="49">
        <v>720</v>
      </c>
      <c r="D16" s="48">
        <f t="shared" si="11"/>
        <v>64045</v>
      </c>
      <c r="E16" s="50">
        <f t="shared" si="12"/>
        <v>60</v>
      </c>
      <c r="F16" s="51">
        <f t="shared" si="13"/>
        <v>0</v>
      </c>
      <c r="G16" s="52">
        <f t="shared" si="14"/>
        <v>3.0000000000000001E-3</v>
      </c>
      <c r="H16" s="53">
        <f t="shared" si="15"/>
        <v>2.5000000000000001E-4</v>
      </c>
      <c r="I16" s="52">
        <f>MIN(_xll.ohPack($Y$3:INDEX($Y$3:$Y$135,MATCH(D16+1,$R$3:$R$135,1),1)))</f>
        <v>-1.9591954619646579E-4</v>
      </c>
      <c r="J16" s="52">
        <f>MAX(_xll.ohPack($Y$3:INDEX($Y$3:$Y$135,MATCH(D16+1,$R$3:$R$135,1),1)))</f>
        <v>2.6124924470713601E-3</v>
      </c>
      <c r="L16" s="85" t="s">
        <v>46</v>
      </c>
      <c r="M16" s="80">
        <f>_xll.qlAbcdIntegralTenorBasisC($M$11)</f>
        <v>0.15959999999999999</v>
      </c>
      <c r="O16" s="65">
        <v>1</v>
      </c>
      <c r="P16" s="56" t="str">
        <f>_xll.qlPeriodEquivalent(P15&amp;"+"&amp;O16&amp;"M")</f>
        <v>1Y1M</v>
      </c>
      <c r="Q16" s="57">
        <f>_xll.qlCalendarAdvance(Calendar,SettlementDate,P16,"f",,Trigger)</f>
        <v>42529</v>
      </c>
      <c r="R16" s="57">
        <f>_xll.qlInterestRateIndexValueDate(Index,Q16,Trigger)</f>
        <v>42531</v>
      </c>
      <c r="S16" s="57">
        <f>_xll.qlInterestRateIndexMaturity(Index,R16,Trigger)</f>
        <v>42716</v>
      </c>
      <c r="T16" s="58">
        <f>_xll.qlDayCounterYearFraction(DayCounter,R16,S16,,,Trigger)</f>
        <v>0.51388888888888884</v>
      </c>
      <c r="U16" s="59">
        <f>_xll.qlIndexFixing(Index,Q16,,AllTriggers)</f>
        <v>1.1004544568497428E-3</v>
      </c>
      <c r="V16" s="60">
        <f>_xll.qlYieldTSDiscount(OisCurve,R16,,AllTriggers)</f>
        <v>1.0013598969615976</v>
      </c>
      <c r="W16" s="60">
        <f>_xll.qlYieldTSDiscount(OisCurve,S16,,AllTriggers)</f>
        <v>1.0018760377062996</v>
      </c>
      <c r="X16" s="59">
        <f t="shared" si="8"/>
        <v>-1.0025012595271366E-3</v>
      </c>
      <c r="Y16" s="59">
        <f t="shared" si="0"/>
        <v>2.1029557163768794E-3</v>
      </c>
      <c r="Z16" s="59">
        <f>_xll.qlIntegralTenorBasisIntegrate($M$11,R16)</f>
        <v>2.1632200416656271E-3</v>
      </c>
      <c r="AA16" s="59">
        <f t="shared" si="1"/>
        <v>6.0264325288747738E-5</v>
      </c>
      <c r="AB16" s="58">
        <f>_xll.qlDayCounterYearFraction(DayCounter,SettlementDate,R16,,,Trigger)</f>
        <v>1.1083333333333334</v>
      </c>
      <c r="AC16" s="59">
        <f>_xll.qlAbcdMathFunctionValue($M$28,AB16)</f>
        <v>2.1603052366739907E-3</v>
      </c>
      <c r="AD16" s="59">
        <f t="shared" si="9"/>
        <v>5.7349520297111326E-5</v>
      </c>
      <c r="AE16" s="59">
        <f t="shared" si="2"/>
        <v>4.0833804157346309E-3</v>
      </c>
    </row>
    <row r="17" spans="12:37" x14ac:dyDescent="0.2">
      <c r="L17" s="85" t="s">
        <v>47</v>
      </c>
      <c r="M17" s="79">
        <f>_xll.qlAbcdIntegralTenorBasisD($M$11)</f>
        <v>6.0300000000000002E-4</v>
      </c>
      <c r="O17" s="65">
        <v>1</v>
      </c>
      <c r="P17" s="56" t="str">
        <f>_xll.qlPeriodEquivalent(P16&amp;"+"&amp;O17&amp;"M")</f>
        <v>1Y2M</v>
      </c>
      <c r="Q17" s="57">
        <f>_xll.qlCalendarAdvance(Calendar,SettlementDate,P17,"f",,Trigger)</f>
        <v>42559</v>
      </c>
      <c r="R17" s="57">
        <f>_xll.qlInterestRateIndexValueDate(Index,Q17,Trigger)</f>
        <v>42563</v>
      </c>
      <c r="S17" s="57">
        <f>_xll.qlInterestRateIndexMaturity(Index,R17,Trigger)</f>
        <v>42747</v>
      </c>
      <c r="T17" s="58">
        <f>_xll.qlDayCounterYearFraction(DayCounter,R17,S17,,,Trigger)</f>
        <v>0.51111111111111107</v>
      </c>
      <c r="U17" s="59">
        <f>_xll.qlIndexFixing(Index,Q17,,AllTriggers)</f>
        <v>1.2004625310291712E-3</v>
      </c>
      <c r="V17" s="60">
        <f>_xll.qlYieldTSDiscount(OisCurve,R17,,AllTriggers)</f>
        <v>1.0014569180424759</v>
      </c>
      <c r="W17" s="60">
        <f>_xll.qlYieldTSDiscount(OisCurve,S17,,AllTriggers)</f>
        <v>1.0018961525724404</v>
      </c>
      <c r="X17" s="59">
        <f t="shared" si="8"/>
        <v>-8.5774549013440814E-4</v>
      </c>
      <c r="Y17" s="59">
        <f t="shared" si="0"/>
        <v>2.0582080211635793E-3</v>
      </c>
      <c r="Z17" s="59">
        <f>_xll.qlIntegralTenorBasisIntegrate($M$11,R17)</f>
        <v>2.1720983645524038E-3</v>
      </c>
      <c r="AA17" s="59">
        <f t="shared" si="1"/>
        <v>1.1389034338882449E-4</v>
      </c>
      <c r="AB17" s="58">
        <f>_xll.qlDayCounterYearFraction(DayCounter,SettlementDate,R17,,,Trigger)</f>
        <v>1.1972222222222222</v>
      </c>
      <c r="AC17" s="59">
        <f>_xll.qlAbcdMathFunctionValue($M$28,AB17)</f>
        <v>2.1822173384101113E-3</v>
      </c>
      <c r="AD17" s="59">
        <f t="shared" si="9"/>
        <v>1.2400931724653201E-4</v>
      </c>
      <c r="AE17" s="59">
        <f t="shared" si="2"/>
        <v>4.1298108934013965E-3</v>
      </c>
    </row>
    <row r="18" spans="12:37" x14ac:dyDescent="0.2">
      <c r="L18" s="85" t="s">
        <v>56</v>
      </c>
      <c r="M18" s="81">
        <f>_xll.qlAbcdIntegralTenorBasisMaximumLocation($M$11)</f>
        <v>43545</v>
      </c>
      <c r="O18" s="65">
        <v>1</v>
      </c>
      <c r="P18" s="56" t="str">
        <f>_xll.qlPeriodEquivalent(P17&amp;"+"&amp;O18&amp;"M")</f>
        <v>1Y3M</v>
      </c>
      <c r="Q18" s="57">
        <f>_xll.qlCalendarAdvance(Calendar,SettlementDate,P18,"f",,Trigger)</f>
        <v>42590</v>
      </c>
      <c r="R18" s="57">
        <f>_xll.qlInterestRateIndexValueDate(Index,Q18,Trigger)</f>
        <v>42592</v>
      </c>
      <c r="S18" s="57">
        <f>_xll.qlInterestRateIndexMaturity(Index,R18,Trigger)</f>
        <v>42776</v>
      </c>
      <c r="T18" s="58">
        <f>_xll.qlDayCounterYearFraction(DayCounter,R18,S18,,,Trigger)</f>
        <v>0.51111111111111107</v>
      </c>
      <c r="U18" s="59">
        <f>_xll.qlIndexFixing(Index,Q18,,AllTriggers)</f>
        <v>1.2968451752662009E-3</v>
      </c>
      <c r="V18" s="60">
        <f>_xll.qlYieldTSDiscount(OisCurve,R18,,AllTriggers)</f>
        <v>1.0015474126585018</v>
      </c>
      <c r="W18" s="60">
        <f>_xll.qlYieldTSDiscount(OisCurve,S18,,AllTriggers)</f>
        <v>1.0019499465771142</v>
      </c>
      <c r="X18" s="59">
        <f t="shared" si="8"/>
        <v>-7.8603363889892411E-4</v>
      </c>
      <c r="Y18" s="59">
        <f t="shared" si="0"/>
        <v>2.0828788141651249E-3</v>
      </c>
      <c r="Z18" s="59">
        <f>_xll.qlIntegralTenorBasisIntegrate($M$11,R18)</f>
        <v>2.1902056025208537E-3</v>
      </c>
      <c r="AA18" s="59">
        <f t="shared" si="1"/>
        <v>1.0732678835572882E-4</v>
      </c>
      <c r="AB18" s="58">
        <f>_xll.qlDayCounterYearFraction(DayCounter,SettlementDate,R18,,,Trigger)</f>
        <v>1.2777777777777777</v>
      </c>
      <c r="AC18" s="59">
        <f>_xll.qlAbcdMathFunctionValue($M$28,AB18)</f>
        <v>2.2011454108204105E-3</v>
      </c>
      <c r="AD18" s="59">
        <f t="shared" si="9"/>
        <v>1.1826659665528563E-4</v>
      </c>
      <c r="AE18" s="59">
        <f t="shared" si="2"/>
        <v>4.170160821297922E-3</v>
      </c>
    </row>
    <row r="19" spans="12:37" x14ac:dyDescent="0.2">
      <c r="O19" s="65">
        <v>1</v>
      </c>
      <c r="P19" s="56" t="str">
        <f>_xll.qlPeriodEquivalent(P18&amp;"+"&amp;O19&amp;"M")</f>
        <v>1Y4M</v>
      </c>
      <c r="Q19" s="57">
        <f>_xll.qlCalendarAdvance(Calendar,SettlementDate,P19,"f",,Trigger)</f>
        <v>42621</v>
      </c>
      <c r="R19" s="57">
        <f>_xll.qlInterestRateIndexValueDate(Index,Q19,Trigger)</f>
        <v>42625</v>
      </c>
      <c r="S19" s="57">
        <f>_xll.qlInterestRateIndexMaturity(Index,R19,Trigger)</f>
        <v>42807</v>
      </c>
      <c r="T19" s="58">
        <f>_xll.qlDayCounterYearFraction(DayCounter,R19,S19,,,Trigger)</f>
        <v>0.50555555555555554</v>
      </c>
      <c r="U19" s="59">
        <f>_xll.qlIndexFixing(Index,Q19,,AllTriggers)</f>
        <v>1.4182678296339921E-3</v>
      </c>
      <c r="V19" s="60">
        <f>_xll.qlYieldTSDiscount(OisCurve,R19,,AllTriggers)</f>
        <v>1.0016415984052383</v>
      </c>
      <c r="W19" s="60">
        <f>_xll.qlYieldTSDiscount(OisCurve,S19,,AllTriggers)</f>
        <v>1.0019885522413343</v>
      </c>
      <c r="X19" s="59">
        <f t="shared" si="8"/>
        <v>-6.8492031333291863E-4</v>
      </c>
      <c r="Y19" s="59">
        <f t="shared" si="0"/>
        <v>2.1031881429669106E-3</v>
      </c>
      <c r="Z19" s="59">
        <f>_xll.qlIntegralTenorBasisIntegrate($M$11,R19)</f>
        <v>2.1853095533914194E-3</v>
      </c>
      <c r="AA19" s="59">
        <f t="shared" si="1"/>
        <v>8.2121410424508719E-5</v>
      </c>
      <c r="AB19" s="58">
        <f>_xll.qlDayCounterYearFraction(DayCounter,SettlementDate,R19,,,Trigger)</f>
        <v>1.3694444444444445</v>
      </c>
      <c r="AC19" s="59">
        <f>_xll.qlAbcdMathFunctionValue($M$28,AB19)</f>
        <v>2.2216356031954146E-3</v>
      </c>
      <c r="AD19" s="59">
        <f t="shared" si="9"/>
        <v>1.18447460228504E-4</v>
      </c>
      <c r="AE19" s="59">
        <f t="shared" si="2"/>
        <v>4.2141241378957119E-3</v>
      </c>
    </row>
    <row r="20" spans="12:37" x14ac:dyDescent="0.2">
      <c r="O20" s="65">
        <v>1</v>
      </c>
      <c r="P20" s="56" t="str">
        <f>_xll.qlPeriodEquivalent(P19&amp;"+"&amp;O20&amp;"M")</f>
        <v>1Y5M</v>
      </c>
      <c r="Q20" s="57">
        <f>_xll.qlCalendarAdvance(Calendar,SettlementDate,P20,"f",,Trigger)</f>
        <v>42653</v>
      </c>
      <c r="R20" s="57">
        <f>_xll.qlInterestRateIndexValueDate(Index,Q20,Trigger)</f>
        <v>42655</v>
      </c>
      <c r="S20" s="57">
        <f>_xll.qlInterestRateIndexMaturity(Index,R20,Trigger)</f>
        <v>42837</v>
      </c>
      <c r="T20" s="58">
        <f>_xll.qlDayCounterYearFraction(DayCounter,R20,S20,,,Trigger)</f>
        <v>0.50555555555555554</v>
      </c>
      <c r="U20" s="59">
        <f>_xll.qlIndexFixing(Index,Q20,,AllTriggers)</f>
        <v>1.5487611087372877E-3</v>
      </c>
      <c r="V20" s="60">
        <f>_xll.qlYieldTSDiscount(OisCurve,R20,,AllTriggers)</f>
        <v>1.0017208006469471</v>
      </c>
      <c r="W20" s="60">
        <f>_xll.qlYieldTSDiscount(OisCurve,S20,,AllTriggers)</f>
        <v>1.0020084257331983</v>
      </c>
      <c r="X20" s="59">
        <f t="shared" si="8"/>
        <v>-5.6778838123930158E-4</v>
      </c>
      <c r="Y20" s="59">
        <f t="shared" si="0"/>
        <v>2.1165494899765894E-3</v>
      </c>
      <c r="Z20" s="59">
        <f>_xll.qlIntegralTenorBasisIntegrate($M$11,R20)</f>
        <v>2.2021933477299627E-3</v>
      </c>
      <c r="AA20" s="59">
        <f t="shared" si="1"/>
        <v>8.5643857753373367E-5</v>
      </c>
      <c r="AB20" s="58">
        <f>_xll.qlDayCounterYearFraction(DayCounter,SettlementDate,R20,,,Trigger)</f>
        <v>1.4527777777777777</v>
      </c>
      <c r="AC20" s="59">
        <f>_xll.qlAbcdMathFunctionValue($M$28,AB20)</f>
        <v>2.2393180123059441E-3</v>
      </c>
      <c r="AD20" s="59">
        <f t="shared" si="9"/>
        <v>1.2276852232935478E-4</v>
      </c>
      <c r="AE20" s="59">
        <f t="shared" si="2"/>
        <v>4.2523283989892588E-3</v>
      </c>
    </row>
    <row r="21" spans="12:37" x14ac:dyDescent="0.2">
      <c r="O21" s="65">
        <v>1</v>
      </c>
      <c r="P21" s="56" t="str">
        <f>_xll.qlPeriodEquivalent(P20&amp;"+"&amp;O21&amp;"M")</f>
        <v>1Y6M</v>
      </c>
      <c r="Q21" s="57">
        <f>_xll.qlCalendarAdvance(Calendar,SettlementDate,P21,"f",,Trigger)</f>
        <v>42682</v>
      </c>
      <c r="R21" s="57">
        <f>_xll.qlInterestRateIndexValueDate(Index,Q21,Trigger)</f>
        <v>42684</v>
      </c>
      <c r="S21" s="57">
        <f>_xll.qlInterestRateIndexMaturity(Index,R21,Trigger)</f>
        <v>42865</v>
      </c>
      <c r="T21" s="58">
        <f>_xll.qlDayCounterYearFraction(DayCounter,R21,S21,,,Trigger)</f>
        <v>0.50277777777777777</v>
      </c>
      <c r="U21" s="59">
        <f>_xll.qlIndexFixing(Index,Q21,,AllTriggers)</f>
        <v>1.6801686913979646E-3</v>
      </c>
      <c r="V21" s="60">
        <f>_xll.qlYieldTSDiscount(OisCurve,R21,,AllTriggers)</f>
        <v>1.0017951076758855</v>
      </c>
      <c r="W21" s="60">
        <f>_xll.qlYieldTSDiscount(OisCurve,S21,,AllTriggers)</f>
        <v>1.002013492712051</v>
      </c>
      <c r="X21" s="59">
        <f t="shared" si="8"/>
        <v>-4.3348416080999757E-4</v>
      </c>
      <c r="Y21" s="59">
        <f t="shared" si="0"/>
        <v>2.1136528522079623E-3</v>
      </c>
      <c r="Z21" s="59">
        <f>_xll.qlIntegralTenorBasisIntegrate($M$11,R21)</f>
        <v>2.205343920732324E-3</v>
      </c>
      <c r="AA21" s="59">
        <f t="shared" si="1"/>
        <v>9.1691068524361614E-5</v>
      </c>
      <c r="AB21" s="58">
        <f>_xll.qlDayCounterYearFraction(DayCounter,SettlementDate,R21,,,Trigger)</f>
        <v>1.5333333333333334</v>
      </c>
      <c r="AC21" s="59">
        <f>_xll.qlAbcdMathFunctionValue($M$28,AB21)</f>
        <v>2.255576459051176E-3</v>
      </c>
      <c r="AD21" s="59">
        <f t="shared" si="9"/>
        <v>1.4192360684321366E-4</v>
      </c>
      <c r="AE21" s="59">
        <f t="shared" si="2"/>
        <v>4.2877000300606347E-3</v>
      </c>
    </row>
    <row r="22" spans="12:37" x14ac:dyDescent="0.2">
      <c r="O22" s="65">
        <v>6</v>
      </c>
      <c r="P22" s="56" t="str">
        <f>_xll.qlPeriodEquivalent(P21&amp;"+"&amp;O22&amp;"M")</f>
        <v>2Y</v>
      </c>
      <c r="Q22" s="57">
        <f>_xll.qlCalendarAdvance(Calendar,SettlementDate,P22,"f",,Trigger)</f>
        <v>42863</v>
      </c>
      <c r="R22" s="57">
        <f>_xll.qlInterestRateIndexValueDate(Index,Q22,Trigger)</f>
        <v>42865</v>
      </c>
      <c r="S22" s="57">
        <f>_xll.qlInterestRateIndexMaturity(Index,R22,Trigger)</f>
        <v>43049</v>
      </c>
      <c r="T22" s="58">
        <f>_xll.qlDayCounterYearFraction(DayCounter,R22,S22,,,Trigger)</f>
        <v>0.51111111111111107</v>
      </c>
      <c r="U22" s="59">
        <f>_xll.qlIndexFixing(Index,Q22,,AllTriggers)</f>
        <v>2.6740493427155152E-3</v>
      </c>
      <c r="V22" s="60">
        <f>_xll.qlYieldTSDiscount(OisCurve,R22,,AllTriggers)</f>
        <v>1.002013492712051</v>
      </c>
      <c r="W22" s="60">
        <f>_xll.qlYieldTSDiscount(OisCurve,S22,,AllTriggers)</f>
        <v>1.0017425844848875</v>
      </c>
      <c r="X22" s="59">
        <f t="shared" si="8"/>
        <v>5.2911580675885084E-4</v>
      </c>
      <c r="Y22" s="59">
        <f t="shared" si="0"/>
        <v>2.1449335359566644E-3</v>
      </c>
      <c r="Z22" s="59">
        <f>_xll.qlIntegralTenorBasisIntegrate($M$11,R22)</f>
        <v>2.3252906505189788E-3</v>
      </c>
      <c r="AA22" s="59">
        <f t="shared" si="1"/>
        <v>1.8035711456231441E-4</v>
      </c>
      <c r="AB22" s="58">
        <f>_xll.qlDayCounterYearFraction(DayCounter,SettlementDate,R22,,,Trigger)</f>
        <v>2.036111111111111</v>
      </c>
      <c r="AC22" s="59">
        <f>_xll.qlAbcdMathFunctionValue($M$28,AB22)</f>
        <v>2.3396742618252172E-3</v>
      </c>
      <c r="AD22" s="59">
        <f t="shared" si="9"/>
        <v>1.9474072586855287E-4</v>
      </c>
      <c r="AE22" s="59">
        <f t="shared" si="2"/>
        <v>4.4758484769537431E-3</v>
      </c>
    </row>
    <row r="23" spans="12:37" x14ac:dyDescent="0.2">
      <c r="O23" s="65">
        <v>6</v>
      </c>
      <c r="P23" s="56" t="str">
        <f>_xll.qlPeriodEquivalent(P22&amp;"+"&amp;O23&amp;"M")</f>
        <v>2Y6M</v>
      </c>
      <c r="Q23" s="57">
        <f>_xll.qlCalendarAdvance(Calendar,SettlementDate,P23,"f",,Trigger)</f>
        <v>43047</v>
      </c>
      <c r="R23" s="57">
        <f>_xll.qlInterestRateIndexValueDate(Index,Q23,Trigger)</f>
        <v>43049</v>
      </c>
      <c r="S23" s="57">
        <f>_xll.qlInterestRateIndexMaturity(Index,R23,Trigger)</f>
        <v>43230</v>
      </c>
      <c r="T23" s="58">
        <f>_xll.qlDayCounterYearFraction(DayCounter,R23,S23,,,Trigger)</f>
        <v>0.50277777777777777</v>
      </c>
      <c r="U23" s="59">
        <f>_xll.qlIndexFixing(Index,Q23,,AllTriggers)</f>
        <v>3.912341197224529E-3</v>
      </c>
      <c r="V23" s="60">
        <f>_xll.qlYieldTSDiscount(OisCurve,R23,,AllTriggers)</f>
        <v>1.0017425844848875</v>
      </c>
      <c r="W23" s="60">
        <f>_xll.qlYieldTSDiscount(OisCurve,S23,,AllTriggers)</f>
        <v>1.0009019015875966</v>
      </c>
      <c r="X23" s="59">
        <f t="shared" si="8"/>
        <v>1.670569791252511E-3</v>
      </c>
      <c r="Y23" s="59">
        <f t="shared" si="0"/>
        <v>2.2417714059720182E-3</v>
      </c>
      <c r="Z23" s="59">
        <f>_xll.qlIntegralTenorBasisIntegrate($M$11,R23)</f>
        <v>2.3452317556180886E-3</v>
      </c>
      <c r="AA23" s="59">
        <f t="shared" si="1"/>
        <v>1.0346034964607044E-4</v>
      </c>
      <c r="AB23" s="58">
        <f>_xll.qlDayCounterYearFraction(DayCounter,SettlementDate,R23,,,Trigger)</f>
        <v>2.5472222222222221</v>
      </c>
      <c r="AC23" s="59">
        <f>_xll.qlAbcdMathFunctionValue($M$28,AB23)</f>
        <v>2.3976031563771841E-3</v>
      </c>
      <c r="AD23" s="59">
        <f t="shared" si="9"/>
        <v>1.558317504051659E-4</v>
      </c>
      <c r="AE23" s="59">
        <f t="shared" si="2"/>
        <v>4.6149579072636889E-3</v>
      </c>
    </row>
    <row r="24" spans="12:37" x14ac:dyDescent="0.2">
      <c r="L24" s="85" t="s">
        <v>44</v>
      </c>
      <c r="M24" s="79">
        <v>1.4992173285914034E-3</v>
      </c>
      <c r="O24" s="65">
        <v>6</v>
      </c>
      <c r="P24" s="56" t="str">
        <f>_xll.qlPeriodEquivalent(P23&amp;"+"&amp;O24&amp;"M")</f>
        <v>3Y</v>
      </c>
      <c r="Q24" s="57">
        <f>_xll.qlCalendarAdvance(Calendar,SettlementDate,P24,"f",,Trigger)</f>
        <v>43228</v>
      </c>
      <c r="R24" s="57">
        <f>_xll.qlInterestRateIndexValueDate(Index,Q24,Trigger)</f>
        <v>43230</v>
      </c>
      <c r="S24" s="57">
        <f>_xll.qlInterestRateIndexMaturity(Index,R24,Trigger)</f>
        <v>43416</v>
      </c>
      <c r="T24" s="58">
        <f>_xll.qlDayCounterYearFraction(DayCounter,R24,S24,,,Trigger)</f>
        <v>0.51666666666666672</v>
      </c>
      <c r="U24" s="59">
        <f>_xll.qlIndexFixing(Index,Q24,,AllTriggers)</f>
        <v>5.3197952743770059E-3</v>
      </c>
      <c r="V24" s="60">
        <f>_xll.qlYieldTSDiscount(OisCurve,R24,,AllTriggers)</f>
        <v>1.0009019015875966</v>
      </c>
      <c r="W24" s="60">
        <f>_xll.qlYieldTSDiscount(OisCurve,S24,,AllTriggers)</f>
        <v>0.99937829701720371</v>
      </c>
      <c r="X24" s="59">
        <f t="shared" si="8"/>
        <v>2.9507465596659015E-3</v>
      </c>
      <c r="Y24" s="59">
        <f t="shared" si="0"/>
        <v>2.3690487147111044E-3</v>
      </c>
      <c r="Z24" s="59">
        <f>_xll.qlIntegralTenorBasisIntegrate($M$11,R24)</f>
        <v>2.4479926657011092E-3</v>
      </c>
      <c r="AA24" s="59">
        <f t="shared" si="1"/>
        <v>7.8943950990004782E-5</v>
      </c>
      <c r="AB24" s="58">
        <f>_xll.qlDayCounterYearFraction(DayCounter,SettlementDate,R24,,,Trigger)</f>
        <v>3.05</v>
      </c>
      <c r="AC24" s="59">
        <f>_xll.qlAbcdMathFunctionValue($M$28,AB24)</f>
        <v>2.4313613223323105E-3</v>
      </c>
      <c r="AD24" s="59">
        <f t="shared" si="9"/>
        <v>6.2312607621206086E-5</v>
      </c>
      <c r="AE24" s="59">
        <f t="shared" si="2"/>
        <v>4.7073136957001913E-3</v>
      </c>
    </row>
    <row r="25" spans="12:37" x14ac:dyDescent="0.2">
      <c r="L25" s="85" t="s">
        <v>45</v>
      </c>
      <c r="M25" s="80">
        <v>6.8867114515226192E-4</v>
      </c>
      <c r="O25" s="65">
        <v>6</v>
      </c>
      <c r="P25" s="56" t="str">
        <f>_xll.qlPeriodEquivalent(P24&amp;"+"&amp;O25&amp;"M")</f>
        <v>3Y6M</v>
      </c>
      <c r="Q25" s="57">
        <f>_xll.qlCalendarAdvance(Calendar,SettlementDate,P25,"f",,Trigger)</f>
        <v>43412</v>
      </c>
      <c r="R25" s="57">
        <f>_xll.qlInterestRateIndexValueDate(Index,Q25,Trigger)</f>
        <v>43416</v>
      </c>
      <c r="S25" s="57">
        <f>_xll.qlInterestRateIndexMaturity(Index,R25,Trigger)</f>
        <v>43598</v>
      </c>
      <c r="T25" s="58">
        <f>_xll.qlDayCounterYearFraction(DayCounter,R25,S25,,,Trigger)</f>
        <v>0.50555555555555554</v>
      </c>
      <c r="U25" s="59">
        <f>_xll.qlIndexFixing(Index,Q25,,AllTriggers)</f>
        <v>6.7169998190175096E-3</v>
      </c>
      <c r="V25" s="60">
        <f>_xll.qlYieldTSDiscount(OisCurve,R25,,AllTriggers)</f>
        <v>0.99937829701720371</v>
      </c>
      <c r="W25" s="60">
        <f>_xll.qlYieldTSDiscount(OisCurve,S25,,AllTriggers)</f>
        <v>0.99725406609765344</v>
      </c>
      <c r="X25" s="59">
        <f t="shared" si="8"/>
        <v>4.2133450121755985E-3</v>
      </c>
      <c r="Y25" s="59">
        <f t="shared" si="0"/>
        <v>2.5036548068419111E-3</v>
      </c>
      <c r="Z25" s="59">
        <f>_xll.qlIntegralTenorBasisIntegrate($M$11,R25)</f>
        <v>2.4142640584123064E-3</v>
      </c>
      <c r="AA25" s="59">
        <f t="shared" si="1"/>
        <v>-8.9390748429604705E-5</v>
      </c>
      <c r="AB25" s="58">
        <f>_xll.qlDayCounterYearFraction(DayCounter,SettlementDate,R25,,,Trigger)</f>
        <v>3.5666666666666669</v>
      </c>
      <c r="AC25" s="59">
        <f>_xll.qlAbcdMathFunctionValue($M$28,AB25)</f>
        <v>2.4456290008358912E-3</v>
      </c>
      <c r="AD25" s="59">
        <f t="shared" si="9"/>
        <v>-5.8025806006019916E-5</v>
      </c>
      <c r="AE25" s="59">
        <f t="shared" si="2"/>
        <v>4.7625835484754126E-3</v>
      </c>
      <c r="AJ25" s="65" t="s">
        <v>72</v>
      </c>
      <c r="AK25" s="65">
        <f>AK36/AK38</f>
        <v>8.1562659817994137E-3</v>
      </c>
    </row>
    <row r="26" spans="12:37" x14ac:dyDescent="0.2">
      <c r="L26" s="85" t="s">
        <v>46</v>
      </c>
      <c r="M26" s="80">
        <v>0.16961366061643124</v>
      </c>
      <c r="O26" s="65">
        <v>6</v>
      </c>
      <c r="P26" s="56" t="str">
        <f>_xll.qlPeriodEquivalent(P25&amp;"+"&amp;O26&amp;"M")</f>
        <v>4Y</v>
      </c>
      <c r="Q26" s="57">
        <f>_xll.qlCalendarAdvance(Calendar,SettlementDate,P26,"f",,Trigger)</f>
        <v>43593</v>
      </c>
      <c r="R26" s="57">
        <f>_xll.qlInterestRateIndexValueDate(Index,Q26,Trigger)</f>
        <v>43595</v>
      </c>
      <c r="S26" s="57">
        <f>_xll.qlInterestRateIndexMaturity(Index,R26,Trigger)</f>
        <v>43780</v>
      </c>
      <c r="T26" s="58">
        <f>_xll.qlDayCounterYearFraction(DayCounter,R26,S26,,,Trigger)</f>
        <v>0.51388888888888884</v>
      </c>
      <c r="U26" s="59">
        <f>_xll.qlIndexFixing(Index,Q26,,AllTriggers)</f>
        <v>8.0031644141829242E-3</v>
      </c>
      <c r="V26" s="60">
        <f>_xll.qlYieldTSDiscount(OisCurve,R26,,AllTriggers)</f>
        <v>0.99729397985967361</v>
      </c>
      <c r="W26" s="60">
        <f>_xll.qlYieldTSDiscount(OisCurve,S26,,AllTriggers)</f>
        <v>0.99453890180146109</v>
      </c>
      <c r="X26" s="59">
        <f t="shared" si="8"/>
        <v>5.3906719671115641E-3</v>
      </c>
      <c r="Y26" s="59">
        <f t="shared" si="0"/>
        <v>2.6124924470713601E-3</v>
      </c>
      <c r="Z26" s="59">
        <f>_xll.qlIntegralTenorBasisIntegrate($M$11,R26)</f>
        <v>2.4572631702772267E-3</v>
      </c>
      <c r="AA26" s="59">
        <f t="shared" si="1"/>
        <v>-1.552292767941334E-4</v>
      </c>
      <c r="AB26" s="58">
        <f>_xll.qlDayCounterYearFraction(DayCounter,SettlementDate,R26,,,Trigger)</f>
        <v>4.0638888888888891</v>
      </c>
      <c r="AC26" s="59">
        <f>_xll.qlAbcdMathFunctionValue($M$28,AB26)</f>
        <v>2.4428001553932796E-3</v>
      </c>
      <c r="AD26" s="59">
        <f t="shared" si="9"/>
        <v>-1.6969229167808049E-4</v>
      </c>
      <c r="AE26" s="59">
        <f t="shared" si="2"/>
        <v>4.7831690899755256E-3</v>
      </c>
      <c r="AJ26" s="65" t="s">
        <v>73</v>
      </c>
      <c r="AK26" s="65">
        <f>AK37/(AK38^2)</f>
        <v>2.4996538711838615E-2</v>
      </c>
    </row>
    <row r="27" spans="12:37" x14ac:dyDescent="0.2">
      <c r="L27" s="85" t="s">
        <v>47</v>
      </c>
      <c r="M27" s="79">
        <v>2.8554739833637884E-4</v>
      </c>
      <c r="O27" s="65">
        <v>6</v>
      </c>
      <c r="P27" s="56" t="str">
        <f>_xll.qlPeriodEquivalent(P26&amp;"+"&amp;O27&amp;"M")</f>
        <v>4Y6M</v>
      </c>
      <c r="Q27" s="57">
        <f>_xll.qlCalendarAdvance(Calendar,SettlementDate,P27,"f",,Trigger)</f>
        <v>43777</v>
      </c>
      <c r="R27" s="57">
        <f>_xll.qlInterestRateIndexValueDate(Index,Q27,Trigger)</f>
        <v>43781</v>
      </c>
      <c r="S27" s="57">
        <f>_xll.qlInterestRateIndexMaturity(Index,R27,Trigger)</f>
        <v>43963</v>
      </c>
      <c r="T27" s="58">
        <f>_xll.qlDayCounterYearFraction(DayCounter,R27,S27,,,Trigger)</f>
        <v>0.50555555555555554</v>
      </c>
      <c r="U27" s="59">
        <f>_xll.qlIndexFixing(Index,Q27,,AllTriggers)</f>
        <v>9.1144003298365885E-3</v>
      </c>
      <c r="V27" s="60">
        <f>_xll.qlYieldTSDiscount(OisCurve,R27,,AllTriggers)</f>
        <v>0.99452242937848145</v>
      </c>
      <c r="W27" s="60">
        <f>_xll.qlYieldTSDiscount(OisCurve,S27,,AllTriggers)</f>
        <v>0.99125689395494687</v>
      </c>
      <c r="X27" s="59">
        <f t="shared" si="8"/>
        <v>6.5162733062963255E-3</v>
      </c>
      <c r="Y27" s="59">
        <f t="shared" si="0"/>
        <v>2.598127023540263E-3</v>
      </c>
      <c r="Z27" s="59">
        <f>_xll.qlIntegralTenorBasisIntegrate($M$11,R27)</f>
        <v>2.4072923957652666E-3</v>
      </c>
      <c r="AA27" s="59">
        <f t="shared" si="1"/>
        <v>-1.9083462777499645E-4</v>
      </c>
      <c r="AB27" s="58">
        <f>_xll.qlDayCounterYearFraction(DayCounter,SettlementDate,R27,,,Trigger)</f>
        <v>4.5805555555555557</v>
      </c>
      <c r="AC27" s="59">
        <f>_xll.qlAbcdMathFunctionValue($M$28,AB27)</f>
        <v>2.4254081664571467E-3</v>
      </c>
      <c r="AD27" s="59">
        <f t="shared" si="9"/>
        <v>-1.7271885708311637E-4</v>
      </c>
      <c r="AE27" s="59">
        <f t="shared" si="2"/>
        <v>4.7756418406578139E-3</v>
      </c>
      <c r="AJ27" s="65" t="s">
        <v>74</v>
      </c>
      <c r="AK27" s="65">
        <f>AK37/AK38</f>
        <v>4.2397544336552802E-3</v>
      </c>
    </row>
    <row r="28" spans="12:37" x14ac:dyDescent="0.2">
      <c r="L28" s="85" t="s">
        <v>66</v>
      </c>
      <c r="M28" s="67" t="str">
        <f>_xll.qlAbcdMathFunction(,M24,M25,M26,M27,,Trigger)</f>
        <v>obj_00c3c#0008</v>
      </c>
      <c r="O28" s="65">
        <v>6</v>
      </c>
      <c r="P28" s="56" t="str">
        <f>_xll.qlPeriodEquivalent(P27&amp;"+"&amp;O28&amp;"M")</f>
        <v>5Y</v>
      </c>
      <c r="Q28" s="57">
        <f>_xll.qlCalendarAdvance(Calendar,SettlementDate,P28,"f",,Trigger)</f>
        <v>43959</v>
      </c>
      <c r="R28" s="57">
        <f>_xll.qlInterestRateIndexValueDate(Index,Q28,Trigger)</f>
        <v>43963</v>
      </c>
      <c r="S28" s="57">
        <f>_xll.qlInterestRateIndexMaturity(Index,R28,Trigger)</f>
        <v>44147</v>
      </c>
      <c r="T28" s="58">
        <f>_xll.qlDayCounterYearFraction(DayCounter,R28,S28,,,Trigger)</f>
        <v>0.51111111111111107</v>
      </c>
      <c r="U28" s="59">
        <f>_xll.qlIndexFixing(Index,Q28,,AllTriggers)</f>
        <v>1.0057035559007799E-2</v>
      </c>
      <c r="V28" s="60">
        <f>_xll.qlYieldTSDiscount(OisCurve,R28,,AllTriggers)</f>
        <v>0.99125689395494687</v>
      </c>
      <c r="W28" s="60">
        <f>_xll.qlYieldTSDiscount(OisCurve,S28,,AllTriggers)</f>
        <v>0.98742334947741994</v>
      </c>
      <c r="X28" s="59">
        <f t="shared" si="8"/>
        <v>7.5959446494496775E-3</v>
      </c>
      <c r="Y28" s="59">
        <f t="shared" si="0"/>
        <v>2.4610909095581215E-3</v>
      </c>
      <c r="Z28" s="59">
        <f>_xll.qlIntegralTenorBasisIntegrate($M$11,R28)</f>
        <v>2.4121394211553031E-3</v>
      </c>
      <c r="AA28" s="59">
        <f t="shared" si="1"/>
        <v>-4.8951488402818391E-5</v>
      </c>
      <c r="AB28" s="58">
        <f>_xll.qlDayCounterYearFraction(DayCounter,SettlementDate,R28,,,Trigger)</f>
        <v>5.0861111111111112</v>
      </c>
      <c r="AC28" s="59">
        <f>_xll.qlAbcdMathFunctionValue($M$28,AB28)</f>
        <v>2.3964992844745696E-3</v>
      </c>
      <c r="AD28" s="59">
        <f t="shared" si="9"/>
        <v>-6.4591625083551887E-5</v>
      </c>
      <c r="AE28" s="59">
        <f t="shared" si="2"/>
        <v>4.744051224135004E-3</v>
      </c>
    </row>
    <row r="29" spans="12:37" x14ac:dyDescent="0.2">
      <c r="L29" s="85" t="s">
        <v>67</v>
      </c>
      <c r="M29" s="67" t="str">
        <f>_xll.qlAbcdTenorBasis(,SettlementDate,Index,"EURON",M28,,Trigger)</f>
        <v>obj_00c3d#0001</v>
      </c>
      <c r="O29" s="65">
        <v>6</v>
      </c>
      <c r="P29" s="56" t="str">
        <f>_xll.qlPeriodEquivalent(P28&amp;"+"&amp;O29&amp;"M")</f>
        <v>5Y6M</v>
      </c>
      <c r="Q29" s="57">
        <f>_xll.qlCalendarAdvance(Calendar,SettlementDate,P29,"f",,Trigger)</f>
        <v>44144</v>
      </c>
      <c r="R29" s="57">
        <f>_xll.qlInterestRateIndexValueDate(Index,Q29,Trigger)</f>
        <v>44146</v>
      </c>
      <c r="S29" s="57">
        <f>_xll.qlInterestRateIndexMaturity(Index,R29,Trigger)</f>
        <v>44327</v>
      </c>
      <c r="T29" s="58">
        <f>_xll.qlDayCounterYearFraction(DayCounter,R29,S29,,,Trigger)</f>
        <v>0.50277777777777777</v>
      </c>
      <c r="U29" s="59">
        <f>_xll.qlIndexFixing(Index,Q29,,AllTriggers)</f>
        <v>1.1093530830640751E-2</v>
      </c>
      <c r="V29" s="60">
        <f>_xll.qlYieldTSDiscount(OisCurve,R29,,AllTriggers)</f>
        <v>0.98744571738609066</v>
      </c>
      <c r="W29" s="60">
        <f>_xll.qlYieldTSDiscount(OisCurve,S29,,AllTriggers)</f>
        <v>0.98309982771205584</v>
      </c>
      <c r="X29" s="59">
        <f t="shared" si="8"/>
        <v>8.7923507095002216E-3</v>
      </c>
      <c r="Y29" s="59">
        <f t="shared" si="0"/>
        <v>2.3011801211405298E-3</v>
      </c>
      <c r="Z29" s="59">
        <f>_xll.qlIntegralTenorBasisIntegrate($M$11,R29)</f>
        <v>2.3424762947308981E-3</v>
      </c>
      <c r="AA29" s="59">
        <f t="shared" si="1"/>
        <v>4.1296173590368336E-5</v>
      </c>
      <c r="AB29" s="58">
        <f>_xll.qlDayCounterYearFraction(DayCounter,SettlementDate,R29,,,Trigger)</f>
        <v>5.5944444444444441</v>
      </c>
      <c r="AC29" s="59">
        <f>_xll.qlAbcdMathFunctionValue($M$28,AB29)</f>
        <v>2.3576560063613386E-3</v>
      </c>
      <c r="AD29" s="59">
        <f t="shared" si="9"/>
        <v>5.6475885220808823E-5</v>
      </c>
      <c r="AE29" s="59">
        <f t="shared" si="2"/>
        <v>4.691951274695072E-3</v>
      </c>
    </row>
    <row r="30" spans="12:37" x14ac:dyDescent="0.2">
      <c r="L30" s="85" t="s">
        <v>48</v>
      </c>
      <c r="M30" s="79">
        <f>SQRT(SUMPRODUCT(AD3:AD135,AD3:AD135)/(COUNT(AD3:AD135)-1))</f>
        <v>2.2135007141622592E-4</v>
      </c>
      <c r="O30" s="65">
        <v>6</v>
      </c>
      <c r="P30" s="56" t="str">
        <f>_xll.qlPeriodEquivalent(P29&amp;"+"&amp;O30&amp;"M")</f>
        <v>6Y</v>
      </c>
      <c r="Q30" s="57">
        <f>_xll.qlCalendarAdvance(Calendar,SettlementDate,P30,"f",,Trigger)</f>
        <v>44326</v>
      </c>
      <c r="R30" s="57">
        <f>_xll.qlInterestRateIndexValueDate(Index,Q30,Trigger)</f>
        <v>44328</v>
      </c>
      <c r="S30" s="57">
        <f>_xll.qlInterestRateIndexMaturity(Index,R30,Trigger)</f>
        <v>44512</v>
      </c>
      <c r="T30" s="58">
        <f>_xll.qlDayCounterYearFraction(DayCounter,R30,S30,,,Trigger)</f>
        <v>0.51111111111111107</v>
      </c>
      <c r="U30" s="59">
        <f>_xll.qlIndexFixing(Index,Q30,,AllTriggers)</f>
        <v>1.2242342388615325E-2</v>
      </c>
      <c r="V30" s="60">
        <f>_xll.qlYieldTSDiscount(OisCurve,R30,,AllTriggers)</f>
        <v>0.98307409016736469</v>
      </c>
      <c r="W30" s="60">
        <f>_xll.qlYieldTSDiscount(OisCurve,S30,,AllTriggers)</f>
        <v>0.97803537643553196</v>
      </c>
      <c r="X30" s="59">
        <f t="shared" si="8"/>
        <v>1.0079750887452108E-2</v>
      </c>
      <c r="Y30" s="59">
        <f t="shared" si="0"/>
        <v>2.162591501163217E-3</v>
      </c>
      <c r="Z30" s="59">
        <f>_xll.qlIntegralTenorBasisIntegrate($M$11,R30)</f>
        <v>2.3421728110578927E-3</v>
      </c>
      <c r="AA30" s="59">
        <f t="shared" si="1"/>
        <v>1.7958130989467573E-4</v>
      </c>
      <c r="AB30" s="58">
        <f>_xll.qlDayCounterYearFraction(DayCounter,SettlementDate,R30,,,Trigger)</f>
        <v>6.1</v>
      </c>
      <c r="AC30" s="59">
        <f>_xll.qlAbcdMathFunctionValue($M$28,AB30)</f>
        <v>2.3110996366640141E-3</v>
      </c>
      <c r="AD30" s="59">
        <f t="shared" si="9"/>
        <v>1.485081355007971E-4</v>
      </c>
      <c r="AE30" s="59">
        <f t="shared" si="2"/>
        <v>4.6232432029968528E-3</v>
      </c>
      <c r="AJ30" s="65" t="s">
        <v>71</v>
      </c>
      <c r="AK30" s="65">
        <f>_xll.qlDayCounterYearFraction("actual/360",SettlementDate,_xll.qlCalendarAdvance(Calendar,SettlementDate,"6M","mf"))</f>
        <v>0.51388888888888884</v>
      </c>
    </row>
    <row r="31" spans="12:37" x14ac:dyDescent="0.2">
      <c r="L31" s="85" t="s">
        <v>56</v>
      </c>
      <c r="M31" s="81">
        <f>_xll.qlAbcdMathFunctionMaximumLocation(M28)*360+SettlementDate</f>
        <v>43470.760879268972</v>
      </c>
      <c r="O31" s="65">
        <v>6</v>
      </c>
      <c r="P31" s="56" t="str">
        <f>_xll.qlPeriodEquivalent(P30&amp;"+"&amp;O31&amp;"M")</f>
        <v>6Y6M</v>
      </c>
      <c r="Q31" s="57">
        <f>_xll.qlCalendarAdvance(Calendar,SettlementDate,P31,"f",,Trigger)</f>
        <v>44508</v>
      </c>
      <c r="R31" s="57">
        <f>_xll.qlInterestRateIndexValueDate(Index,Q31,Trigger)</f>
        <v>44510</v>
      </c>
      <c r="S31" s="57">
        <f>_xll.qlInterestRateIndexMaturity(Index,R31,Trigger)</f>
        <v>44691</v>
      </c>
      <c r="T31" s="58">
        <f>_xll.qlDayCounterYearFraction(DayCounter,R31,S31,,,Trigger)</f>
        <v>0.50277777777777777</v>
      </c>
      <c r="U31" s="59">
        <f>_xll.qlIndexFixing(Index,Q31,,AllTriggers)</f>
        <v>1.3222096445460459E-2</v>
      </c>
      <c r="V31" s="60">
        <f>_xll.qlYieldTSDiscount(OisCurve,R31,,AllTriggers)</f>
        <v>0.97809305436674865</v>
      </c>
      <c r="W31" s="60">
        <f>_xll.qlYieldTSDiscount(OisCurve,S31,,AllTriggers)</f>
        <v>0.97267220578973979</v>
      </c>
      <c r="X31" s="59">
        <f t="shared" si="8"/>
        <v>1.1084719199886633E-2</v>
      </c>
      <c r="Y31" s="59">
        <f t="shared" si="0"/>
        <v>2.1373772455738262E-3</v>
      </c>
      <c r="Z31" s="59">
        <f>_xll.qlIntegralTenorBasisIntegrate($M$11,R31)</f>
        <v>2.2598554248712543E-3</v>
      </c>
      <c r="AA31" s="59">
        <f t="shared" si="1"/>
        <v>1.2247817929742812E-4</v>
      </c>
      <c r="AB31" s="58">
        <f>_xll.qlDayCounterYearFraction(DayCounter,SettlementDate,R31,,,Trigger)</f>
        <v>6.6055555555555552</v>
      </c>
      <c r="AC31" s="59">
        <f>_xll.qlAbcdMathFunctionValue($M$28,AB31)</f>
        <v>2.2582022810599201E-3</v>
      </c>
      <c r="AD31" s="59">
        <f t="shared" si="9"/>
        <v>1.2082503548609385E-4</v>
      </c>
      <c r="AE31" s="59">
        <f t="shared" si="2"/>
        <v>4.5406170257742181E-3</v>
      </c>
    </row>
    <row r="32" spans="12:37" x14ac:dyDescent="0.2">
      <c r="M32" s="78"/>
      <c r="O32" s="65">
        <v>6</v>
      </c>
      <c r="P32" s="56" t="str">
        <f>_xll.qlPeriodEquivalent(P31&amp;"+"&amp;O32&amp;"M")</f>
        <v>7Y</v>
      </c>
      <c r="Q32" s="57">
        <f>_xll.qlCalendarAdvance(Calendar,SettlementDate,P32,"f",,Trigger)</f>
        <v>44690</v>
      </c>
      <c r="R32" s="57">
        <f>_xll.qlInterestRateIndexValueDate(Index,Q32,Trigger)</f>
        <v>44692</v>
      </c>
      <c r="S32" s="57">
        <f>_xll.qlInterestRateIndexMaturity(Index,R32,Trigger)</f>
        <v>44876</v>
      </c>
      <c r="T32" s="58">
        <f>_xll.qlDayCounterYearFraction(DayCounter,R32,S32,,,Trigger)</f>
        <v>0.51111111111111107</v>
      </c>
      <c r="U32" s="59">
        <f>_xll.qlIndexFixing(Index,Q32,,AllTriggers)</f>
        <v>1.4012410871686492E-2</v>
      </c>
      <c r="V32" s="60">
        <f>_xll.qlYieldTSDiscount(OisCurve,R32,,AllTriggers)</f>
        <v>0.97264128726127619</v>
      </c>
      <c r="W32" s="60">
        <f>_xll.qlYieldTSDiscount(OisCurve,S32,,AllTriggers)</f>
        <v>0.96680779730374</v>
      </c>
      <c r="X32" s="59">
        <f t="shared" si="8"/>
        <v>1.1805190182317815E-2</v>
      </c>
      <c r="Y32" s="59">
        <f t="shared" si="0"/>
        <v>2.207220689368676E-3</v>
      </c>
      <c r="Z32" s="59">
        <f>_xll.qlIntegralTenorBasisIntegrate($M$11,R32)</f>
        <v>2.2464397575636145E-3</v>
      </c>
      <c r="AA32" s="59">
        <f t="shared" si="1"/>
        <v>3.9219068194938471E-5</v>
      </c>
      <c r="AB32" s="58">
        <f>_xll.qlDayCounterYearFraction(DayCounter,SettlementDate,R32,,,Trigger)</f>
        <v>7.1111111111111107</v>
      </c>
      <c r="AC32" s="59">
        <f>_xll.qlAbcdMathFunctionValue($M$28,AB32)</f>
        <v>2.2003204742187237E-3</v>
      </c>
      <c r="AD32" s="59">
        <f t="shared" si="9"/>
        <v>-6.9002151499523295E-6</v>
      </c>
      <c r="AE32" s="59">
        <f t="shared" si="2"/>
        <v>4.4466433934231215E-3</v>
      </c>
    </row>
    <row r="33" spans="12:40" x14ac:dyDescent="0.2">
      <c r="L33" s="85" t="s">
        <v>44</v>
      </c>
      <c r="M33" s="79">
        <f>_xll.qlAbcdImpliedContinuousBasisA($M$29,Trigger)</f>
        <v>1.3834141301342692E-3</v>
      </c>
      <c r="O33" s="65">
        <v>6</v>
      </c>
      <c r="P33" s="56" t="str">
        <f>_xll.qlPeriodEquivalent(P32&amp;"+"&amp;O33&amp;"M")</f>
        <v>7Y6M</v>
      </c>
      <c r="Q33" s="57">
        <f>_xll.qlCalendarAdvance(Calendar,SettlementDate,P33,"f",,Trigger)</f>
        <v>44873</v>
      </c>
      <c r="R33" s="57">
        <f>_xll.qlInterestRateIndexValueDate(Index,Q33,Trigger)</f>
        <v>44875</v>
      </c>
      <c r="S33" s="57">
        <f>_xll.qlInterestRateIndexMaturity(Index,R33,Trigger)</f>
        <v>45056</v>
      </c>
      <c r="T33" s="58">
        <f>_xll.qlDayCounterYearFraction(DayCounter,R33,S33,,,Trigger)</f>
        <v>0.50277777777777777</v>
      </c>
      <c r="U33" s="59">
        <f>_xll.qlIndexFixing(Index,Q33,,AllTriggers)</f>
        <v>1.4612563202529376E-2</v>
      </c>
      <c r="V33" s="60">
        <f>_xll.qlYieldTSDiscount(OisCurve,R33,,AllTriggers)</f>
        <v>0.96684023882890702</v>
      </c>
      <c r="W33" s="60">
        <f>_xll.qlYieldTSDiscount(OisCurve,S33,,AllTriggers)</f>
        <v>0.96085058463248374</v>
      </c>
      <c r="X33" s="59">
        <f t="shared" si="8"/>
        <v>1.2398519144506938E-2</v>
      </c>
      <c r="Y33" s="59">
        <f t="shared" si="0"/>
        <v>2.2140440580224376E-3</v>
      </c>
      <c r="Z33" s="59">
        <f>_xll.qlIntegralTenorBasisIntegrate($M$11,R33)</f>
        <v>2.1562652959200915E-3</v>
      </c>
      <c r="AA33" s="59">
        <f t="shared" si="1"/>
        <v>-5.7778762102346157E-5</v>
      </c>
      <c r="AB33" s="58">
        <f>_xll.qlDayCounterYearFraction(DayCounter,SettlementDate,R33,,,Trigger)</f>
        <v>7.6194444444444445</v>
      </c>
      <c r="AC33" s="59">
        <f>_xll.qlAbcdMathFunctionValue($M$28,AB33)</f>
        <v>2.1382830936103304E-3</v>
      </c>
      <c r="AD33" s="59">
        <f t="shared" si="9"/>
        <v>-7.5760964412107269E-5</v>
      </c>
      <c r="AE33" s="59">
        <f t="shared" si="2"/>
        <v>4.3429904082316131E-3</v>
      </c>
      <c r="AJ33" s="65" t="s">
        <v>66</v>
      </c>
      <c r="AK33" s="65" t="str">
        <f>_xll.qlAbcdMathFunction(,M33,M34,M35,M36)</f>
        <v>obj_00c3e#0001</v>
      </c>
    </row>
    <row r="34" spans="12:40" x14ac:dyDescent="0.2">
      <c r="L34" s="85" t="s">
        <v>45</v>
      </c>
      <c r="M34" s="80">
        <f>_xll.qlAbcdImpliedContinuousBasisB($M$29,Trigger)</f>
        <v>7.1912026960701636E-4</v>
      </c>
      <c r="O34" s="65">
        <v>6</v>
      </c>
      <c r="P34" s="56" t="str">
        <f>_xll.qlPeriodEquivalent(P33&amp;"+"&amp;O34&amp;"M")</f>
        <v>8Y</v>
      </c>
      <c r="Q34" s="57">
        <f>_xll.qlCalendarAdvance(Calendar,SettlementDate,P34,"f",,Trigger)</f>
        <v>45054</v>
      </c>
      <c r="R34" s="57">
        <f>_xll.qlInterestRateIndexValueDate(Index,Q34,Trigger)</f>
        <v>45056</v>
      </c>
      <c r="S34" s="57">
        <f>_xll.qlInterestRateIndexMaturity(Index,R34,Trigger)</f>
        <v>45240</v>
      </c>
      <c r="T34" s="58">
        <f>_xll.qlDayCounterYearFraction(DayCounter,R34,S34,,,Trigger)</f>
        <v>0.51111111111111107</v>
      </c>
      <c r="U34" s="59">
        <f>_xll.qlIndexFixing(Index,Q34,,AllTriggers)</f>
        <v>1.5058643027079668E-2</v>
      </c>
      <c r="V34" s="60">
        <f>_xll.qlYieldTSDiscount(OisCurve,R34,,AllTriggers)</f>
        <v>0.96085058463248374</v>
      </c>
      <c r="W34" s="60">
        <f>_xll.qlYieldTSDiscount(OisCurve,S34,,AllTriggers)</f>
        <v>0.95454836447420077</v>
      </c>
      <c r="X34" s="59">
        <f t="shared" si="8"/>
        <v>1.2917554734126577E-2</v>
      </c>
      <c r="Y34" s="59">
        <f t="shared" si="0"/>
        <v>2.1410882929530917E-3</v>
      </c>
      <c r="Z34" s="59">
        <f>_xll.qlIntegralTenorBasisIntegrate($M$11,R34)</f>
        <v>2.134068271688507E-3</v>
      </c>
      <c r="AA34" s="59">
        <f t="shared" si="1"/>
        <v>-7.0200212645846541E-6</v>
      </c>
      <c r="AB34" s="58">
        <f>_xll.qlDayCounterYearFraction(DayCounter,SettlementDate,R34,,,Trigger)</f>
        <v>8.1222222222222218</v>
      </c>
      <c r="AC34" s="59">
        <f>_xll.qlAbcdMathFunctionValue($M$28,AB34)</f>
        <v>2.0741494473277802E-3</v>
      </c>
      <c r="AD34" s="59">
        <f t="shared" si="9"/>
        <v>-6.6938845625311421E-5</v>
      </c>
      <c r="AE34" s="59">
        <f t="shared" si="2"/>
        <v>4.2333952053309008E-3</v>
      </c>
      <c r="AJ34" s="65" t="s">
        <v>68</v>
      </c>
      <c r="AK34" s="65" t="str">
        <f>_xll.qlAbcdIntegralTenorBasis(,SettlementDate,Index,"EURON",AK33)</f>
        <v>obj_00c3f#0001</v>
      </c>
    </row>
    <row r="35" spans="12:40" x14ac:dyDescent="0.2">
      <c r="L35" s="85" t="s">
        <v>46</v>
      </c>
      <c r="M35" s="80">
        <f>_xll.qlAbcdImpliedContinuousBasisC($M$29,Trigger)</f>
        <v>0.16961366061643124</v>
      </c>
      <c r="O35" s="65">
        <v>6</v>
      </c>
      <c r="P35" s="56" t="str">
        <f>_xll.qlPeriodEquivalent(P34&amp;"+"&amp;O35&amp;"M")</f>
        <v>8Y6M</v>
      </c>
      <c r="Q35" s="57">
        <f>_xll.qlCalendarAdvance(Calendar,SettlementDate,P35,"f",,Trigger)</f>
        <v>45238</v>
      </c>
      <c r="R35" s="57">
        <f>_xll.qlInterestRateIndexValueDate(Index,Q35,Trigger)</f>
        <v>45240</v>
      </c>
      <c r="S35" s="57">
        <f>_xll.qlInterestRateIndexMaturity(Index,R35,Trigger)</f>
        <v>45422</v>
      </c>
      <c r="T35" s="58">
        <f>_xll.qlDayCounterYearFraction(DayCounter,R35,S35,,,Trigger)</f>
        <v>0.50555555555555554</v>
      </c>
      <c r="U35" s="59">
        <f>_xll.qlIndexFixing(Index,Q35,,AllTriggers)</f>
        <v>1.5407507363368636E-2</v>
      </c>
      <c r="V35" s="60">
        <f>_xll.qlYieldTSDiscount(OisCurve,R35,,AllTriggers)</f>
        <v>0.95454836447420077</v>
      </c>
      <c r="W35" s="60">
        <f>_xll.qlYieldTSDiscount(OisCurve,S35,,AllTriggers)</f>
        <v>0.94815190699077323</v>
      </c>
      <c r="X35" s="59">
        <f t="shared" si="8"/>
        <v>1.3344205069268519E-2</v>
      </c>
      <c r="Y35" s="59">
        <f t="shared" ref="Y35:Y66" si="17">U35-X35</f>
        <v>2.063302294100117E-3</v>
      </c>
      <c r="Z35" s="59">
        <f>_xll.qlIntegralTenorBasisIntegrate($M$11,R35)</f>
        <v>2.0510567445042988E-3</v>
      </c>
      <c r="AA35" s="59">
        <f t="shared" ref="AA35:AA66" si="18">(Z35-Y35)</f>
        <v>-1.2245549595818212E-5</v>
      </c>
      <c r="AB35" s="58">
        <f>_xll.qlDayCounterYearFraction(DayCounter,SettlementDate,R35,,,Trigger)</f>
        <v>8.6333333333333329</v>
      </c>
      <c r="AC35" s="59">
        <f>_xll.qlAbcdMathFunctionValue($M$28,AB35)</f>
        <v>2.007014904820993E-3</v>
      </c>
      <c r="AD35" s="59">
        <f t="shared" si="9"/>
        <v>-5.6287389279124043E-5</v>
      </c>
      <c r="AE35" s="59">
        <f t="shared" ref="AE35:AE66" si="19">($M$50+$M$51*AB35)*EXP(-AB35*$M$52)+$M$53</f>
        <v>4.1165233544568141E-3</v>
      </c>
      <c r="AJ35" s="65" t="s">
        <v>69</v>
      </c>
    </row>
    <row r="36" spans="12:40" x14ac:dyDescent="0.2">
      <c r="L36" s="85" t="s">
        <v>47</v>
      </c>
      <c r="M36" s="79">
        <f>_xll.qlAbcdImpliedContinuousBasisD($M$29,Trigger)</f>
        <v>2.8554739833637884E-4</v>
      </c>
      <c r="O36" s="65">
        <v>6</v>
      </c>
      <c r="P36" s="56" t="str">
        <f>_xll.qlPeriodEquivalent(P35&amp;"+"&amp;O36&amp;"M")</f>
        <v>9Y</v>
      </c>
      <c r="Q36" s="57">
        <f>_xll.qlCalendarAdvance(Calendar,SettlementDate,P36,"f",,Trigger)</f>
        <v>45420</v>
      </c>
      <c r="R36" s="57">
        <f>_xll.qlInterestRateIndexValueDate(Index,Q36,Trigger)</f>
        <v>45422</v>
      </c>
      <c r="S36" s="57">
        <f>_xll.qlInterestRateIndexMaturity(Index,R36,Trigger)</f>
        <v>45607</v>
      </c>
      <c r="T36" s="58">
        <f>_xll.qlDayCounterYearFraction(DayCounter,R36,S36,,,Trigger)</f>
        <v>0.51388888888888884</v>
      </c>
      <c r="U36" s="59">
        <f>_xll.qlIndexFixing(Index,Q36,,AllTriggers)</f>
        <v>1.5684003744374196E-2</v>
      </c>
      <c r="V36" s="60">
        <f>_xll.qlYieldTSDiscount(OisCurve,R36,,AllTriggers)</f>
        <v>0.94815190699077323</v>
      </c>
      <c r="W36" s="60">
        <f>_xll.qlYieldTSDiscount(OisCurve,S36,,AllTriggers)</f>
        <v>0.9415354661079689</v>
      </c>
      <c r="X36" s="59">
        <f t="shared" si="8"/>
        <v>1.3674722595110007E-2</v>
      </c>
      <c r="Y36" s="59">
        <f t="shared" si="17"/>
        <v>2.0092811492641895E-3</v>
      </c>
      <c r="Z36" s="59">
        <f>_xll.qlIntegralTenorBasisIntegrate($M$11,R36)</f>
        <v>2.0222167925628368E-3</v>
      </c>
      <c r="AA36" s="59">
        <f t="shared" si="18"/>
        <v>1.2935643298647367E-5</v>
      </c>
      <c r="AB36" s="58">
        <f>_xll.qlDayCounterYearFraction(DayCounter,SettlementDate,R36,,,Trigger)</f>
        <v>9.1388888888888893</v>
      </c>
      <c r="AC36" s="59">
        <f>_xll.qlAbcdMathFunctionValue($M$28,AB36)</f>
        <v>1.9394430171193096E-3</v>
      </c>
      <c r="AD36" s="59">
        <f t="shared" si="9"/>
        <v>-6.9838132144879909E-5</v>
      </c>
      <c r="AE36" s="59">
        <f t="shared" si="19"/>
        <v>3.9970142462952968E-3</v>
      </c>
      <c r="AJ36" s="65" t="s">
        <v>44</v>
      </c>
      <c r="AK36" s="79">
        <f>_xll.qlAbcdMathFunctionA(AK33)</f>
        <v>1.3834141301342692E-3</v>
      </c>
    </row>
    <row r="37" spans="12:40" x14ac:dyDescent="0.2">
      <c r="L37" s="85" t="s">
        <v>56</v>
      </c>
      <c r="M37" s="81"/>
      <c r="O37" s="65">
        <v>6</v>
      </c>
      <c r="P37" s="56" t="str">
        <f>_xll.qlPeriodEquivalent(P36&amp;"+"&amp;O37&amp;"M")</f>
        <v>9Y6M</v>
      </c>
      <c r="Q37" s="57">
        <f>_xll.qlCalendarAdvance(Calendar,SettlementDate,P37,"f",,Trigger)</f>
        <v>45604</v>
      </c>
      <c r="R37" s="57">
        <f>_xll.qlInterestRateIndexValueDate(Index,Q37,Trigger)</f>
        <v>45608</v>
      </c>
      <c r="S37" s="57">
        <f>_xll.qlInterestRateIndexMaturity(Index,R37,Trigger)</f>
        <v>45789</v>
      </c>
      <c r="T37" s="58">
        <f>_xll.qlDayCounterYearFraction(DayCounter,R37,S37,,,Trigger)</f>
        <v>0.50277777777777777</v>
      </c>
      <c r="U37" s="59">
        <f>_xll.qlIndexFixing(Index,Q37,,AllTriggers)</f>
        <v>1.591380975485495E-2</v>
      </c>
      <c r="V37" s="60">
        <f>_xll.qlYieldTSDiscount(OisCurve,R37,,AllTriggers)</f>
        <v>0.94149948466938349</v>
      </c>
      <c r="W37" s="60">
        <f>_xll.qlYieldTSDiscount(OisCurve,S37,,AllTriggers)</f>
        <v>0.93496555027026429</v>
      </c>
      <c r="X37" s="59">
        <f t="shared" si="8"/>
        <v>1.3899625097765083E-2</v>
      </c>
      <c r="Y37" s="59">
        <f t="shared" si="17"/>
        <v>2.0141846570898674E-3</v>
      </c>
      <c r="Z37" s="59">
        <f>_xll.qlIntegralTenorBasisIntegrate($M$11,R37)</f>
        <v>1.9160081679653659E-3</v>
      </c>
      <c r="AA37" s="59">
        <f t="shared" si="18"/>
        <v>-9.8176489124501484E-5</v>
      </c>
      <c r="AB37" s="58">
        <f>_xll.qlDayCounterYearFraction(DayCounter,SettlementDate,R37,,,Trigger)</f>
        <v>9.655555555555555</v>
      </c>
      <c r="AC37" s="59">
        <f>_xll.qlAbcdMathFunctionValue($M$28,AB37)</f>
        <v>1.869853809051094E-3</v>
      </c>
      <c r="AD37" s="59">
        <f t="shared" si="9"/>
        <v>-1.4433084803877334E-4</v>
      </c>
      <c r="AE37" s="59">
        <f t="shared" si="19"/>
        <v>3.872217033833036E-3</v>
      </c>
      <c r="AJ37" s="65" t="s">
        <v>45</v>
      </c>
      <c r="AK37" s="80">
        <f>_xll.qlAbcdMathFunctionB($AK$33)</f>
        <v>7.1912026960701636E-4</v>
      </c>
    </row>
    <row r="38" spans="12:40" x14ac:dyDescent="0.2">
      <c r="O38" s="65">
        <v>6</v>
      </c>
      <c r="P38" s="56" t="str">
        <f>_xll.qlPeriodEquivalent(P37&amp;"+"&amp;O38&amp;"M")</f>
        <v>10Y</v>
      </c>
      <c r="Q38" s="57">
        <f>_xll.qlCalendarAdvance(Calendar,SettlementDate,P38,"f",,Trigger)</f>
        <v>45785</v>
      </c>
      <c r="R38" s="57">
        <f>_xll.qlInterestRateIndexValueDate(Index,Q38,Trigger)</f>
        <v>45789</v>
      </c>
      <c r="S38" s="57">
        <f>_xll.qlInterestRateIndexMaturity(Index,R38,Trigger)</f>
        <v>45973</v>
      </c>
      <c r="T38" s="58">
        <f>_xll.qlDayCounterYearFraction(DayCounter,R38,S38,,,Trigger)</f>
        <v>0.51111111111111107</v>
      </c>
      <c r="U38" s="59">
        <f>_xll.qlIndexFixing(Index,Q38,,AllTriggers)</f>
        <v>1.6107611012495804E-2</v>
      </c>
      <c r="V38" s="60">
        <f>_xll.qlYieldTSDiscount(OisCurve,R38,,AllTriggers)</f>
        <v>0.93496555027026429</v>
      </c>
      <c r="W38" s="60">
        <f>_xll.qlYieldTSDiscount(OisCurve,S38,,AllTriggers)</f>
        <v>0.92829721420986844</v>
      </c>
      <c r="X38" s="59">
        <f t="shared" si="8"/>
        <v>1.4054490594477083E-2</v>
      </c>
      <c r="Y38" s="59">
        <f t="shared" si="17"/>
        <v>2.0531204180187206E-3</v>
      </c>
      <c r="Z38" s="59">
        <f>_xll.qlIntegralTenorBasisIntegrate($M$11,R38)</f>
        <v>1.88426655900773E-3</v>
      </c>
      <c r="AA38" s="59">
        <f t="shared" si="18"/>
        <v>-1.6885385901099065E-4</v>
      </c>
      <c r="AB38" s="58">
        <f>_xll.qlDayCounterYearFraction(DayCounter,SettlementDate,R38,,,Trigger)</f>
        <v>10.158333333333333</v>
      </c>
      <c r="AC38" s="59">
        <f>_xll.qlAbcdMathFunctionValue($M$28,AB38)</f>
        <v>1.8021639945659522E-3</v>
      </c>
      <c r="AD38" s="59">
        <f t="shared" si="9"/>
        <v>-2.5095642345276839E-4</v>
      </c>
      <c r="AE38" s="59">
        <f t="shared" si="19"/>
        <v>3.7493180452554007E-3</v>
      </c>
      <c r="AJ38" s="65" t="s">
        <v>46</v>
      </c>
      <c r="AK38" s="80">
        <f>_xll.qlAbcdMathFunctionC($AK$33)</f>
        <v>0.16961366061643124</v>
      </c>
    </row>
    <row r="39" spans="12:40" x14ac:dyDescent="0.2">
      <c r="O39" s="65">
        <v>6</v>
      </c>
      <c r="P39" s="56" t="str">
        <f>_xll.qlPeriodEquivalent(P38&amp;"+"&amp;O39&amp;"M")</f>
        <v>10Y6M</v>
      </c>
      <c r="Q39" s="57">
        <f>_xll.qlCalendarAdvance(Calendar,SettlementDate,P39,"f",,Trigger)</f>
        <v>45971</v>
      </c>
      <c r="R39" s="57">
        <f>_xll.qlInterestRateIndexValueDate(Index,Q39,Trigger)</f>
        <v>45973</v>
      </c>
      <c r="S39" s="57">
        <f>_xll.qlInterestRateIndexMaturity(Index,R39,Trigger)</f>
        <v>46154</v>
      </c>
      <c r="T39" s="58">
        <f>_xll.qlDayCounterYearFraction(DayCounter,R39,S39,,,Trigger)</f>
        <v>0.50277777777777777</v>
      </c>
      <c r="U39" s="59">
        <f>_xll.qlIndexFixing(Index,Q39,,AllTriggers)</f>
        <v>1.6267395878066131E-2</v>
      </c>
      <c r="V39" s="60">
        <f>_xll.qlYieldTSDiscount(OisCurve,R39,,AllTriggers)</f>
        <v>0.92829721420986844</v>
      </c>
      <c r="W39" s="60">
        <f>_xll.qlYieldTSDiscount(OisCurve,S39,,AllTriggers)</f>
        <v>0.92168467838973234</v>
      </c>
      <c r="X39" s="59">
        <f t="shared" si="8"/>
        <v>1.4269527588442672E-2</v>
      </c>
      <c r="Y39" s="59">
        <f t="shared" si="17"/>
        <v>1.9978682896234588E-3</v>
      </c>
      <c r="Z39" s="59">
        <f>_xll.qlIntegralTenorBasisIntegrate($M$11,R39)</f>
        <v>1.7910484671320084E-3</v>
      </c>
      <c r="AA39" s="59">
        <f t="shared" si="18"/>
        <v>-2.0681982249145039E-4</v>
      </c>
      <c r="AB39" s="58">
        <f>_xll.qlDayCounterYearFraction(DayCounter,SettlementDate,R39,,,Trigger)</f>
        <v>10.669444444444444</v>
      </c>
      <c r="AC39" s="59">
        <f>_xll.qlAbcdMathFunctionValue($M$28,AB39)</f>
        <v>1.7338465938991621E-3</v>
      </c>
      <c r="AD39" s="59">
        <f t="shared" si="9"/>
        <v>-2.6402169572429667E-4</v>
      </c>
      <c r="AE39" s="59">
        <f t="shared" si="19"/>
        <v>3.6238900047016005E-3</v>
      </c>
      <c r="AJ39" s="65" t="s">
        <v>47</v>
      </c>
      <c r="AK39" s="79">
        <f>_xll.qlAbcdMathFunctionD($AK$33)</f>
        <v>2.8554739833637884E-4</v>
      </c>
    </row>
    <row r="40" spans="12:40" x14ac:dyDescent="0.2">
      <c r="O40" s="65">
        <v>6</v>
      </c>
      <c r="P40" s="56" t="str">
        <f>_xll.qlPeriodEquivalent(P39&amp;"+"&amp;O40&amp;"M")</f>
        <v>11Y</v>
      </c>
      <c r="Q40" s="57">
        <f>_xll.qlCalendarAdvance(Calendar,SettlementDate,P40,"f",,Trigger)</f>
        <v>46150</v>
      </c>
      <c r="R40" s="57">
        <f>_xll.qlInterestRateIndexValueDate(Index,Q40,Trigger)</f>
        <v>46154</v>
      </c>
      <c r="S40" s="57">
        <f>_xll.qlInterestRateIndexMaturity(Index,R40,Trigger)</f>
        <v>46338</v>
      </c>
      <c r="T40" s="58">
        <f>_xll.qlDayCounterYearFraction(DayCounter,R40,S40,,,Trigger)</f>
        <v>0.51111111111111107</v>
      </c>
      <c r="U40" s="59">
        <f>_xll.qlIndexFixing(Index,Q40,,AllTriggers)</f>
        <v>1.6398340608482463E-2</v>
      </c>
      <c r="V40" s="60">
        <f>_xll.qlYieldTSDiscount(OisCurve,R40,,AllTriggers)</f>
        <v>0.92168467838973234</v>
      </c>
      <c r="W40" s="60">
        <f>_xll.qlYieldTSDiscount(OisCurve,S40,,AllTriggers)</f>
        <v>0.91488227497402663</v>
      </c>
      <c r="X40" s="59">
        <f t="shared" si="8"/>
        <v>1.4547281683363177E-2</v>
      </c>
      <c r="Y40" s="59">
        <f t="shared" si="17"/>
        <v>1.8510589251192859E-3</v>
      </c>
      <c r="Z40" s="59">
        <f>_xll.qlIntegralTenorBasisIntegrate($M$11,R40)</f>
        <v>1.7575582275583645E-3</v>
      </c>
      <c r="AA40" s="59">
        <f t="shared" si="18"/>
        <v>-9.3500697560921402E-5</v>
      </c>
      <c r="AB40" s="58">
        <f>_xll.qlDayCounterYearFraction(DayCounter,SettlementDate,R40,,,Trigger)</f>
        <v>11.172222222222222</v>
      </c>
      <c r="AC40" s="59">
        <f>_xll.qlAbcdMathFunctionValue($M$28,AB40)</f>
        <v>1.6675077704623946E-3</v>
      </c>
      <c r="AD40" s="59">
        <f t="shared" si="9"/>
        <v>-1.8355115465689136E-4</v>
      </c>
      <c r="AE40" s="59">
        <f t="shared" si="19"/>
        <v>3.5008385265029819E-3</v>
      </c>
    </row>
    <row r="41" spans="12:40" x14ac:dyDescent="0.2">
      <c r="O41" s="65">
        <v>6</v>
      </c>
      <c r="P41" s="56" t="str">
        <f>_xll.qlPeriodEquivalent(P40&amp;"+"&amp;O41&amp;"M")</f>
        <v>11Y6M</v>
      </c>
      <c r="Q41" s="57">
        <f>_xll.qlCalendarAdvance(Calendar,SettlementDate,P41,"f",,Trigger)</f>
        <v>46335</v>
      </c>
      <c r="R41" s="57">
        <f>_xll.qlInterestRateIndexValueDate(Index,Q41,Trigger)</f>
        <v>46337</v>
      </c>
      <c r="S41" s="57">
        <f>_xll.qlInterestRateIndexMaturity(Index,R41,Trigger)</f>
        <v>46518</v>
      </c>
      <c r="T41" s="58">
        <f>_xll.qlDayCounterYearFraction(DayCounter,R41,S41,,,Trigger)</f>
        <v>0.50277777777777777</v>
      </c>
      <c r="U41" s="59">
        <f>_xll.qlIndexFixing(Index,Q41,,AllTriggers)</f>
        <v>1.6495721334809126E-2</v>
      </c>
      <c r="V41" s="60">
        <f>_xll.qlYieldTSDiscount(OisCurve,R41,,AllTriggers)</f>
        <v>0.91491942338347498</v>
      </c>
      <c r="W41" s="60">
        <f>_xll.qlYieldTSDiscount(OisCurve,S41,,AllTriggers)</f>
        <v>0.90817667669313584</v>
      </c>
      <c r="X41" s="59">
        <f t="shared" si="8"/>
        <v>1.4766937135205525E-2</v>
      </c>
      <c r="Y41" s="59">
        <f t="shared" si="17"/>
        <v>1.7287841996036016E-3</v>
      </c>
      <c r="Z41" s="59">
        <f>_xll.qlIntegralTenorBasisIntegrate($M$11,R41)</f>
        <v>1.667761543584606E-3</v>
      </c>
      <c r="AA41" s="59">
        <f t="shared" si="18"/>
        <v>-6.1022656018995623E-5</v>
      </c>
      <c r="AB41" s="58">
        <f>_xll.qlDayCounterYearFraction(DayCounter,SettlementDate,R41,,,Trigger)</f>
        <v>11.680555555555555</v>
      </c>
      <c r="AC41" s="59">
        <f>_xll.qlAbcdMathFunctionValue($M$28,AB41)</f>
        <v>1.6016243968595305E-3</v>
      </c>
      <c r="AD41" s="59">
        <f t="shared" si="9"/>
        <v>-1.2715980274407104E-4</v>
      </c>
      <c r="AE41" s="59">
        <f t="shared" si="19"/>
        <v>3.377461815218941E-3</v>
      </c>
    </row>
    <row r="42" spans="12:40" x14ac:dyDescent="0.2">
      <c r="O42" s="65">
        <v>6</v>
      </c>
      <c r="P42" s="56" t="str">
        <f>_xll.qlPeriodEquivalent(P41&amp;"+"&amp;O42&amp;"M")</f>
        <v>12Y</v>
      </c>
      <c r="Q42" s="57">
        <f>_xll.qlCalendarAdvance(Calendar,SettlementDate,P42,"f",,Trigger)</f>
        <v>46517</v>
      </c>
      <c r="R42" s="57">
        <f>_xll.qlInterestRateIndexValueDate(Index,Q42,Trigger)</f>
        <v>46519</v>
      </c>
      <c r="S42" s="57">
        <f>_xll.qlInterestRateIndexMaturity(Index,R42,Trigger)</f>
        <v>46703</v>
      </c>
      <c r="T42" s="58">
        <f>_xll.qlDayCounterYearFraction(DayCounter,R42,S42,,,Trigger)</f>
        <v>0.51111111111111107</v>
      </c>
      <c r="U42" s="59">
        <f>_xll.qlIndexFixing(Index,Q42,,AllTriggers)</f>
        <v>1.6564762027927692E-2</v>
      </c>
      <c r="V42" s="60">
        <f>_xll.qlYieldTSDiscount(OisCurve,R42,,AllTriggers)</f>
        <v>0.90813935392129219</v>
      </c>
      <c r="W42" s="60">
        <f>_xll.qlYieldTSDiscount(OisCurve,S42,,AllTriggers)</f>
        <v>0.90126809212688808</v>
      </c>
      <c r="X42" s="59">
        <f t="shared" si="8"/>
        <v>1.4916508410147014E-2</v>
      </c>
      <c r="Y42" s="59">
        <f t="shared" si="17"/>
        <v>1.6482536177806779E-3</v>
      </c>
      <c r="Z42" s="59">
        <f>_xll.qlIntegralTenorBasisIntegrate($M$11,R42)</f>
        <v>1.633531348956888E-3</v>
      </c>
      <c r="AA42" s="59">
        <f t="shared" si="18"/>
        <v>-1.4722268823789833E-5</v>
      </c>
      <c r="AB42" s="58">
        <f>_xll.qlDayCounterYearFraction(DayCounter,SettlementDate,R42,,,Trigger)</f>
        <v>12.186111111111112</v>
      </c>
      <c r="AC42" s="59">
        <f>_xll.qlAbcdMathFunctionValue($M$28,AB42)</f>
        <v>1.5375431320890768E-3</v>
      </c>
      <c r="AD42" s="59">
        <f t="shared" si="9"/>
        <v>-1.1071048569160106E-4</v>
      </c>
      <c r="AE42" s="59">
        <f t="shared" si="19"/>
        <v>3.2563764659652951E-3</v>
      </c>
      <c r="AJ42" s="65" t="s">
        <v>76</v>
      </c>
      <c r="AM42" s="65" t="s">
        <v>70</v>
      </c>
    </row>
    <row r="43" spans="12:40" x14ac:dyDescent="0.2">
      <c r="L43" s="85" t="s">
        <v>59</v>
      </c>
      <c r="M43" s="79">
        <v>1.4902609564706082E-3</v>
      </c>
      <c r="O43" s="65">
        <v>6</v>
      </c>
      <c r="P43" s="56" t="str">
        <f>_xll.qlPeriodEquivalent(P42&amp;"+"&amp;O43&amp;"M")</f>
        <v>12Y6M</v>
      </c>
      <c r="Q43" s="57">
        <f>_xll.qlCalendarAdvance(Calendar,SettlementDate,P43,"f",,Trigger)</f>
        <v>46699</v>
      </c>
      <c r="R43" s="57">
        <f>_xll.qlInterestRateIndexValueDate(Index,Q43,Trigger)</f>
        <v>46701</v>
      </c>
      <c r="S43" s="57">
        <f>_xll.qlInterestRateIndexMaturity(Index,R43,Trigger)</f>
        <v>46883</v>
      </c>
      <c r="T43" s="58">
        <f>_xll.qlDayCounterYearFraction(DayCounter,R43,S43,,,Trigger)</f>
        <v>0.50555555555555554</v>
      </c>
      <c r="U43" s="59">
        <f>_xll.qlIndexFixing(Index,Q43,,AllTriggers)</f>
        <v>1.6598171181517241E-2</v>
      </c>
      <c r="V43" s="60">
        <f>_xll.qlYieldTSDiscount(OisCurve,R43,,AllTriggers)</f>
        <v>0.9013427925598354</v>
      </c>
      <c r="W43" s="60">
        <f>_xll.qlYieldTSDiscount(OisCurve,S43,,AllTriggers)</f>
        <v>0.89454894640362959</v>
      </c>
      <c r="X43" s="59">
        <f t="shared" si="8"/>
        <v>1.502251728796025E-2</v>
      </c>
      <c r="Y43" s="59">
        <f t="shared" si="17"/>
        <v>1.5756538935569903E-3</v>
      </c>
      <c r="Z43" s="59">
        <f>_xll.qlIntegralTenorBasisIntegrate($M$11,R43)</f>
        <v>1.5565690841228472E-3</v>
      </c>
      <c r="AA43" s="59">
        <f t="shared" si="18"/>
        <v>-1.9084809434143134E-5</v>
      </c>
      <c r="AB43" s="58">
        <f>_xll.qlDayCounterYearFraction(DayCounter,SettlementDate,R43,,,Trigger)</f>
        <v>12.691666666666666</v>
      </c>
      <c r="AC43" s="59">
        <f>_xll.qlAbcdMathFunctionValue($M$28,AB43)</f>
        <v>1.4751064619975664E-3</v>
      </c>
      <c r="AD43" s="59">
        <f t="shared" si="9"/>
        <v>-1.0054743155942392E-4</v>
      </c>
      <c r="AE43" s="59">
        <f t="shared" si="19"/>
        <v>3.1373919818314892E-3</v>
      </c>
      <c r="AJ43" s="65" t="s">
        <v>44</v>
      </c>
      <c r="AK43" s="79">
        <f>_xll.qlAbcdIntegralTenorBasisA($AK$34)</f>
        <v>1.4992173285913947E-3</v>
      </c>
      <c r="AM43" s="79">
        <f>AL58*$AK$30</f>
        <v>1.3834141301342603E-3</v>
      </c>
      <c r="AN43" s="86">
        <f>AK43-AM43</f>
        <v>1.1580319845713445E-4</v>
      </c>
    </row>
    <row r="44" spans="12:40" x14ac:dyDescent="0.2">
      <c r="L44" s="85" t="s">
        <v>60</v>
      </c>
      <c r="M44" s="80">
        <v>6.4325544299884271E-4</v>
      </c>
      <c r="O44" s="65">
        <v>6</v>
      </c>
      <c r="P44" s="56" t="str">
        <f>_xll.qlPeriodEquivalent(P43&amp;"+"&amp;O44&amp;"M")</f>
        <v>13Y</v>
      </c>
      <c r="Q44" s="57">
        <f>_xll.qlCalendarAdvance(Calendar,SettlementDate,P44,"f",,Trigger)</f>
        <v>46881</v>
      </c>
      <c r="R44" s="57">
        <f>_xll.qlInterestRateIndexValueDate(Index,Q44,Trigger)</f>
        <v>46883</v>
      </c>
      <c r="S44" s="57">
        <f>_xll.qlInterestRateIndexMaturity(Index,R44,Trigger)</f>
        <v>47067</v>
      </c>
      <c r="T44" s="58">
        <f>_xll.qlDayCounterYearFraction(DayCounter,R44,S44,,,Trigger)</f>
        <v>0.51111111111111107</v>
      </c>
      <c r="U44" s="59">
        <f>_xll.qlIndexFixing(Index,Q44,,AllTriggers)</f>
        <v>1.6599785941672125E-2</v>
      </c>
      <c r="V44" s="60">
        <f>_xll.qlYieldTSDiscount(OisCurve,R44,,AllTriggers)</f>
        <v>0.89454894640362959</v>
      </c>
      <c r="W44" s="60">
        <f>_xll.qlYieldTSDiscount(OisCurve,S44,,AllTriggers)</f>
        <v>0.88769859083203673</v>
      </c>
      <c r="X44" s="59">
        <f t="shared" si="8"/>
        <v>1.5098446404012363E-2</v>
      </c>
      <c r="Y44" s="59">
        <f t="shared" si="17"/>
        <v>1.5013395376597613E-3</v>
      </c>
      <c r="Z44" s="59">
        <f>_xll.qlIntegralTenorBasisIntegrate($M$11,R44)</f>
        <v>1.5145320736789417E-3</v>
      </c>
      <c r="AA44" s="59">
        <f t="shared" si="18"/>
        <v>1.3192536019180408E-5</v>
      </c>
      <c r="AB44" s="58">
        <f>_xll.qlDayCounterYearFraction(DayCounter,SettlementDate,R44,,,Trigger)</f>
        <v>13.197222222222223</v>
      </c>
      <c r="AC44" s="59">
        <f>_xll.qlAbcdMathFunctionValue($M$28,AB44)</f>
        <v>1.4144768248911415E-3</v>
      </c>
      <c r="AD44" s="59">
        <f t="shared" si="9"/>
        <v>-8.6862712768619784E-5</v>
      </c>
      <c r="AE44" s="59">
        <f t="shared" si="19"/>
        <v>3.0209102497744658E-3</v>
      </c>
      <c r="AJ44" s="65" t="s">
        <v>45</v>
      </c>
      <c r="AK44" s="80">
        <f>_xll.qlAbcdIntegralTenorBasisB($AK$34)</f>
        <v>6.8867114515226192E-4</v>
      </c>
      <c r="AM44" s="80">
        <f>AL59*$AK$30</f>
        <v>7.1912026960701636E-4</v>
      </c>
      <c r="AN44" s="86">
        <f t="shared" ref="AN44:AN46" si="20">AK44-AM44</f>
        <v>-3.0449124454754437E-5</v>
      </c>
    </row>
    <row r="45" spans="12:40" x14ac:dyDescent="0.2">
      <c r="L45" s="85" t="s">
        <v>61</v>
      </c>
      <c r="M45" s="80">
        <v>0.15930106689592477</v>
      </c>
      <c r="O45" s="65">
        <v>6</v>
      </c>
      <c r="P45" s="56" t="str">
        <f>_xll.qlPeriodEquivalent(P44&amp;"+"&amp;O45&amp;"M")</f>
        <v>13Y6M</v>
      </c>
      <c r="Q45" s="57">
        <f>_xll.qlCalendarAdvance(Calendar,SettlementDate,P45,"f",,Trigger)</f>
        <v>47065</v>
      </c>
      <c r="R45" s="57">
        <f>_xll.qlInterestRateIndexValueDate(Index,Q45,Trigger)</f>
        <v>47067</v>
      </c>
      <c r="S45" s="57">
        <f>_xll.qlInterestRateIndexMaturity(Index,R45,Trigger)</f>
        <v>47248</v>
      </c>
      <c r="T45" s="58">
        <f>_xll.qlDayCounterYearFraction(DayCounter,R45,S45,,,Trigger)</f>
        <v>0.50277777777777777</v>
      </c>
      <c r="U45" s="59">
        <f>_xll.qlIndexFixing(Index,Q45,,AllTriggers)</f>
        <v>1.6565888910980181E-2</v>
      </c>
      <c r="V45" s="60">
        <f>_xll.qlYieldTSDiscount(OisCurve,R45,,AllTriggers)</f>
        <v>0.88769859083203673</v>
      </c>
      <c r="W45" s="60">
        <f>_xll.qlYieldTSDiscount(OisCurve,S45,,AllTriggers)</f>
        <v>0.88099235344641702</v>
      </c>
      <c r="X45" s="59">
        <f t="shared" si="8"/>
        <v>1.514016852530089E-2</v>
      </c>
      <c r="Y45" s="59">
        <f t="shared" si="17"/>
        <v>1.4257203856792907E-3</v>
      </c>
      <c r="Z45" s="59">
        <f>_xll.qlIntegralTenorBasisIntegrate($M$11,R45)</f>
        <v>1.433317996261012E-3</v>
      </c>
      <c r="AA45" s="59">
        <f t="shared" si="18"/>
        <v>7.59761058172128E-6</v>
      </c>
      <c r="AB45" s="58">
        <f>_xll.qlDayCounterYearFraction(DayCounter,SettlementDate,R45,,,Trigger)</f>
        <v>13.708333333333334</v>
      </c>
      <c r="AC45" s="59">
        <f>_xll.qlAbcdMathFunctionValue($M$28,AB45)</f>
        <v>1.3551449239538099E-3</v>
      </c>
      <c r="AD45" s="59">
        <f t="shared" si="9"/>
        <v>-7.0575461725480787E-5</v>
      </c>
      <c r="AE45" s="59">
        <f t="shared" si="19"/>
        <v>2.906026050268587E-3</v>
      </c>
      <c r="AJ45" s="65" t="s">
        <v>46</v>
      </c>
      <c r="AK45" s="80">
        <f>_xll.qlAbcdIntegralTenorBasisC($AK$34)</f>
        <v>0.16961366061643124</v>
      </c>
      <c r="AM45" s="80">
        <f>AL60</f>
        <v>0.16961366061643124</v>
      </c>
      <c r="AN45" s="86">
        <f t="shared" si="20"/>
        <v>0</v>
      </c>
    </row>
    <row r="46" spans="12:40" x14ac:dyDescent="0.2">
      <c r="L46" s="85" t="s">
        <v>62</v>
      </c>
      <c r="M46" s="79">
        <v>3.0598776355106685E-4</v>
      </c>
      <c r="O46" s="65">
        <v>6</v>
      </c>
      <c r="P46" s="56" t="str">
        <f>_xll.qlPeriodEquivalent(P45&amp;"+"&amp;O46&amp;"M")</f>
        <v>14Y</v>
      </c>
      <c r="Q46" s="57">
        <f>_xll.qlCalendarAdvance(Calendar,SettlementDate,P46,"f",,Trigger)</f>
        <v>47246</v>
      </c>
      <c r="R46" s="57">
        <f>_xll.qlInterestRateIndexValueDate(Index,Q46,Trigger)</f>
        <v>47248</v>
      </c>
      <c r="S46" s="57">
        <f>_xll.qlInterestRateIndexMaturity(Index,R46,Trigger)</f>
        <v>47434</v>
      </c>
      <c r="T46" s="58">
        <f>_xll.qlDayCounterYearFraction(DayCounter,R46,S46,,,Trigger)</f>
        <v>0.51666666666666672</v>
      </c>
      <c r="U46" s="59">
        <f>_xll.qlIndexFixing(Index,Q46,,AllTriggers)</f>
        <v>1.6500811750669916E-2</v>
      </c>
      <c r="V46" s="60">
        <f>_xll.qlYieldTSDiscount(OisCurve,R46,,AllTriggers)</f>
        <v>0.88099235344641702</v>
      </c>
      <c r="W46" s="60">
        <f>_xll.qlYieldTSDiscount(OisCurve,S46,,AllTriggers)</f>
        <v>0.87414912709610071</v>
      </c>
      <c r="X46" s="59">
        <f t="shared" si="8"/>
        <v>1.5151824575307804E-2</v>
      </c>
      <c r="Y46" s="59">
        <f t="shared" si="17"/>
        <v>1.3489871753621114E-3</v>
      </c>
      <c r="Z46" s="59">
        <f>_xll.qlIntegralTenorBasisIntegrate($M$11,R46)</f>
        <v>1.4161941080895963E-3</v>
      </c>
      <c r="AA46" s="59">
        <f t="shared" si="18"/>
        <v>6.7206932727484868E-5</v>
      </c>
      <c r="AB46" s="58">
        <f>_xll.qlDayCounterYearFraction(DayCounter,SettlementDate,R46,,,Trigger)</f>
        <v>14.21111111111111</v>
      </c>
      <c r="AC46" s="59">
        <f>_xll.qlAbcdMathFunctionValue($M$28,AB46)</f>
        <v>1.2987988280033537E-3</v>
      </c>
      <c r="AD46" s="59">
        <f t="shared" si="9"/>
        <v>-5.0188347358757698E-5</v>
      </c>
      <c r="AE46" s="59">
        <f t="shared" si="19"/>
        <v>2.7960986001040527E-3</v>
      </c>
      <c r="AJ46" s="65" t="s">
        <v>47</v>
      </c>
      <c r="AK46" s="79">
        <f>_xll.qlAbcdIntegralTenorBasisD($AK$34)</f>
        <v>2.8554739833637884E-4</v>
      </c>
      <c r="AM46" s="79">
        <f>AL61*$AK$30</f>
        <v>2.8554739833637884E-4</v>
      </c>
      <c r="AN46" s="86">
        <f t="shared" si="20"/>
        <v>0</v>
      </c>
    </row>
    <row r="47" spans="12:40" x14ac:dyDescent="0.2">
      <c r="L47" s="85" t="s">
        <v>57</v>
      </c>
      <c r="M47" s="67" t="str">
        <f>_xll.qlAbcdCalibration(,AB3:AB135,Y3:Y135,M6,M7,M8,M9,,,,,FALSE)</f>
        <v>obj_00c39#0022</v>
      </c>
      <c r="O47" s="65">
        <v>6</v>
      </c>
      <c r="P47" s="56" t="str">
        <f>_xll.qlPeriodEquivalent(P46&amp;"+"&amp;O47&amp;"M")</f>
        <v>14Y6M</v>
      </c>
      <c r="Q47" s="57">
        <f>_xll.qlCalendarAdvance(Calendar,SettlementDate,P47,"f",,Trigger)</f>
        <v>47430</v>
      </c>
      <c r="R47" s="57">
        <f>_xll.qlInterestRateIndexValueDate(Index,Q47,Trigger)</f>
        <v>47434</v>
      </c>
      <c r="S47" s="57">
        <f>_xll.qlInterestRateIndexMaturity(Index,R47,Trigger)</f>
        <v>47616</v>
      </c>
      <c r="T47" s="58">
        <f>_xll.qlDayCounterYearFraction(DayCounter,R47,S47,,,Trigger)</f>
        <v>0.50555555555555554</v>
      </c>
      <c r="U47" s="59">
        <f>_xll.qlIndexFixing(Index,Q47,,AllTriggers)</f>
        <v>1.6398157751196216E-2</v>
      </c>
      <c r="V47" s="60">
        <f>_xll.qlYieldTSDiscount(OisCurve,R47,,AllTriggers)</f>
        <v>0.87414912709610071</v>
      </c>
      <c r="W47" s="60">
        <f>_xll.qlYieldTSDiscount(OisCurve,S47,,AllTriggers)</f>
        <v>0.86751440966334392</v>
      </c>
      <c r="X47" s="59">
        <f t="shared" si="8"/>
        <v>1.5127837363590609E-2</v>
      </c>
      <c r="Y47" s="59">
        <f t="shared" si="17"/>
        <v>1.2703203876056075E-3</v>
      </c>
      <c r="Z47" s="59">
        <f>_xll.qlIntegralTenorBasisIntegrate($M$11,R47)</f>
        <v>1.3318245551337345E-3</v>
      </c>
      <c r="AA47" s="59">
        <f t="shared" si="18"/>
        <v>6.150416752812699E-5</v>
      </c>
      <c r="AB47" s="58">
        <f>_xll.qlDayCounterYearFraction(DayCounter,SettlementDate,R47,,,Trigger)</f>
        <v>14.727777777777778</v>
      </c>
      <c r="AC47" s="59">
        <f>_xll.qlAbcdMathFunctionValue($M$28,AB47)</f>
        <v>1.2430478151334828E-3</v>
      </c>
      <c r="AD47" s="59">
        <f t="shared" si="9"/>
        <v>-2.7272572472124669E-5</v>
      </c>
      <c r="AE47" s="59">
        <f t="shared" si="19"/>
        <v>2.6865319067637793E-3</v>
      </c>
    </row>
    <row r="48" spans="12:40" x14ac:dyDescent="0.2">
      <c r="L48" s="85" t="s">
        <v>58</v>
      </c>
      <c r="M48" s="67" t="b">
        <f>_xll.qlAbcdCalibrationCompute(M47)</f>
        <v>1</v>
      </c>
      <c r="O48" s="65">
        <v>6</v>
      </c>
      <c r="P48" s="56" t="str">
        <f>_xll.qlPeriodEquivalent(P47&amp;"+"&amp;O48&amp;"M")</f>
        <v>15Y</v>
      </c>
      <c r="Q48" s="57">
        <f>_xll.qlCalendarAdvance(Calendar,SettlementDate,P48,"f",,Trigger)</f>
        <v>47611</v>
      </c>
      <c r="R48" s="57">
        <f>_xll.qlInterestRateIndexValueDate(Index,Q48,Trigger)</f>
        <v>47613</v>
      </c>
      <c r="S48" s="57">
        <f>_xll.qlInterestRateIndexMaturity(Index,R48,Trigger)</f>
        <v>47798</v>
      </c>
      <c r="T48" s="58">
        <f>_xll.qlDayCounterYearFraction(DayCounter,R48,S48,,,Trigger)</f>
        <v>0.51388888888888884</v>
      </c>
      <c r="U48" s="59">
        <f>_xll.qlIndexFixing(Index,Q48,,AllTriggers)</f>
        <v>1.6271596038787806E-2</v>
      </c>
      <c r="V48" s="60">
        <f>_xll.qlYieldTSDiscount(OisCurve,R48,,AllTriggers)</f>
        <v>0.86762320851632657</v>
      </c>
      <c r="W48" s="60">
        <f>_xll.qlYieldTSDiscount(OisCurve,S48,,AllTriggers)</f>
        <v>0.86095203772018625</v>
      </c>
      <c r="X48" s="59">
        <f t="shared" si="8"/>
        <v>1.5078351867123833E-2</v>
      </c>
      <c r="Y48" s="59">
        <f t="shared" si="17"/>
        <v>1.1932441716639725E-3</v>
      </c>
      <c r="Z48" s="59">
        <f>_xll.qlIntegralTenorBasisIntegrate($M$11,R48)</f>
        <v>1.301814185505805E-3</v>
      </c>
      <c r="AA48" s="59">
        <f t="shared" si="18"/>
        <v>1.0857001384183252E-4</v>
      </c>
      <c r="AB48" s="58">
        <f>_xll.qlDayCounterYearFraction(DayCounter,SettlementDate,R48,,,Trigger)</f>
        <v>15.225</v>
      </c>
      <c r="AC48" s="59">
        <f>_xll.qlAbcdMathFunctionValue($M$28,AB48)</f>
        <v>1.1914931024472677E-3</v>
      </c>
      <c r="AD48" s="59">
        <f t="shared" si="9"/>
        <v>-1.7510692167047731E-6</v>
      </c>
      <c r="AE48" s="59">
        <f t="shared" si="19"/>
        <v>2.5844912618713549E-3</v>
      </c>
    </row>
    <row r="49" spans="12:40" x14ac:dyDescent="0.2">
      <c r="O49" s="65">
        <v>6</v>
      </c>
      <c r="P49" s="56" t="str">
        <f>_xll.qlPeriodEquivalent(P48&amp;"+"&amp;O49&amp;"M")</f>
        <v>15Y6M</v>
      </c>
      <c r="Q49" s="57">
        <f>_xll.qlCalendarAdvance(Calendar,SettlementDate,P49,"f",,Trigger)</f>
        <v>47795</v>
      </c>
      <c r="R49" s="57">
        <f>_xll.qlInterestRateIndexValueDate(Index,Q49,Trigger)</f>
        <v>47799</v>
      </c>
      <c r="S49" s="57">
        <f>_xll.qlInterestRateIndexMaturity(Index,R49,Trigger)</f>
        <v>47980</v>
      </c>
      <c r="T49" s="58">
        <f>_xll.qlDayCounterYearFraction(DayCounter,R49,S49,,,Trigger)</f>
        <v>0.50277777777777777</v>
      </c>
      <c r="U49" s="59">
        <f>_xll.qlIndexFixing(Index,Q49,,AllTriggers)</f>
        <v>1.6129642934062001E-2</v>
      </c>
      <c r="V49" s="60">
        <f>_xll.qlYieldTSDiscount(OisCurve,R49,,AllTriggers)</f>
        <v>0.86091619083126425</v>
      </c>
      <c r="W49" s="60">
        <f>_xll.qlYieldTSDiscount(OisCurve,S49,,AllTriggers)</f>
        <v>0.85446678565475853</v>
      </c>
      <c r="X49" s="59">
        <f t="shared" si="8"/>
        <v>1.5012340353973384E-2</v>
      </c>
      <c r="Y49" s="59">
        <f t="shared" si="17"/>
        <v>1.1173025800886166E-3</v>
      </c>
      <c r="Z49" s="59">
        <f>_xll.qlIntegralTenorBasisIntegrate($M$11,R49)</f>
        <v>1.2236670602916949E-3</v>
      </c>
      <c r="AA49" s="59">
        <f t="shared" si="18"/>
        <v>1.0636448020307832E-4</v>
      </c>
      <c r="AB49" s="58">
        <f>_xll.qlDayCounterYearFraction(DayCounter,SettlementDate,R49,,,Trigger)</f>
        <v>15.741666666666667</v>
      </c>
      <c r="AC49" s="59">
        <f>_xll.qlAbcdMathFunctionValue($M$28,AB49)</f>
        <v>1.1401217885371824E-3</v>
      </c>
      <c r="AD49" s="59">
        <f t="shared" si="9"/>
        <v>2.2819208448565794E-5</v>
      </c>
      <c r="AE49" s="59">
        <f t="shared" si="19"/>
        <v>2.4821087562856997E-3</v>
      </c>
      <c r="AJ49" s="65" t="s">
        <v>66</v>
      </c>
      <c r="AK49" s="65" t="str">
        <f>_xll.qlAbcdMathFunction(,AK43,AK44,AK45,AK46)</f>
        <v>obj_00c40#0001</v>
      </c>
    </row>
    <row r="50" spans="12:40" x14ac:dyDescent="0.2">
      <c r="L50" s="85" t="s">
        <v>44</v>
      </c>
      <c r="M50" s="79">
        <f>_xll.qlAbcdCalibrationA($M$47)</f>
        <v>2.7130000000000001E-3</v>
      </c>
      <c r="O50" s="65">
        <v>6</v>
      </c>
      <c r="P50" s="56" t="str">
        <f>_xll.qlPeriodEquivalent(P49&amp;"+"&amp;O50&amp;"M")</f>
        <v>16Y</v>
      </c>
      <c r="Q50" s="57">
        <f>_xll.qlCalendarAdvance(Calendar,SettlementDate,P50,"f",,Trigger)</f>
        <v>47976</v>
      </c>
      <c r="R50" s="57">
        <f>_xll.qlInterestRateIndexValueDate(Index,Q50,Trigger)</f>
        <v>47980</v>
      </c>
      <c r="S50" s="57">
        <f>_xll.qlInterestRateIndexMaturity(Index,R50,Trigger)</f>
        <v>48164</v>
      </c>
      <c r="T50" s="58">
        <f>_xll.qlDayCounterYearFraction(DayCounter,R50,S50,,,Trigger)</f>
        <v>0.51111111111111107</v>
      </c>
      <c r="U50" s="59">
        <f>_xll.qlIndexFixing(Index,Q50,,AllTriggers)</f>
        <v>1.5985272635378384E-2</v>
      </c>
      <c r="V50" s="60">
        <f>_xll.qlYieldTSDiscount(OisCurve,R50,,AllTriggers)</f>
        <v>0.85446678565475853</v>
      </c>
      <c r="W50" s="60">
        <f>_xll.qlYieldTSDiscount(OisCurve,S50,,AllTriggers)</f>
        <v>0.8479918729176289</v>
      </c>
      <c r="X50" s="59">
        <f t="shared" si="8"/>
        <v>1.4939185072116085E-2</v>
      </c>
      <c r="Y50" s="59">
        <f t="shared" si="17"/>
        <v>1.046087563262299E-3</v>
      </c>
      <c r="Z50" s="59">
        <f>_xll.qlIntegralTenorBasisIntegrate($M$11,R50)</f>
        <v>1.1954261062859487E-3</v>
      </c>
      <c r="AA50" s="59">
        <f t="shared" si="18"/>
        <v>1.4933854302364965E-4</v>
      </c>
      <c r="AB50" s="58">
        <f>_xll.qlDayCounterYearFraction(DayCounter,SettlementDate,R50,,,Trigger)</f>
        <v>16.244444444444444</v>
      </c>
      <c r="AC50" s="59">
        <f>_xll.qlAbcdMathFunctionValue($M$28,AB50)</f>
        <v>1.0922846792720648E-3</v>
      </c>
      <c r="AD50" s="59">
        <f t="shared" si="9"/>
        <v>4.6197116009765804E-5</v>
      </c>
      <c r="AE50" s="59">
        <f t="shared" si="19"/>
        <v>2.3861199231945372E-3</v>
      </c>
      <c r="AJ50" s="65" t="s">
        <v>77</v>
      </c>
      <c r="AK50" s="65" t="str">
        <f>_xll.qlAbcdTenorBasis(,SettlementDate,Index,"EURON",AK49)</f>
        <v>obj_00c41#0001</v>
      </c>
    </row>
    <row r="51" spans="12:40" x14ac:dyDescent="0.2">
      <c r="L51" s="85" t="s">
        <v>45</v>
      </c>
      <c r="M51" s="80">
        <f>_xll.qlAbcdCalibrationB($M$47)</f>
        <v>1.2999999999999999E-3</v>
      </c>
      <c r="O51" s="65">
        <v>6</v>
      </c>
      <c r="P51" s="56" t="str">
        <f>_xll.qlPeriodEquivalent(P50&amp;"+"&amp;O51&amp;"M")</f>
        <v>16Y6M</v>
      </c>
      <c r="Q51" s="57">
        <f>_xll.qlCalendarAdvance(Calendar,SettlementDate,P51,"f",,Trigger)</f>
        <v>48162</v>
      </c>
      <c r="R51" s="57">
        <f>_xll.qlInterestRateIndexValueDate(Index,Q51,Trigger)</f>
        <v>48164</v>
      </c>
      <c r="S51" s="57">
        <f>_xll.qlInterestRateIndexMaturity(Index,R51,Trigger)</f>
        <v>48346</v>
      </c>
      <c r="T51" s="58">
        <f>_xll.qlDayCounterYearFraction(DayCounter,R51,S51,,,Trigger)</f>
        <v>0.50555555555555554</v>
      </c>
      <c r="U51" s="59">
        <f>_xll.qlIndexFixing(Index,Q51,,AllTriggers)</f>
        <v>1.5832671075070675E-2</v>
      </c>
      <c r="V51" s="60">
        <f>_xll.qlYieldTSDiscount(OisCurve,R51,,AllTriggers)</f>
        <v>0.8479918729176289</v>
      </c>
      <c r="W51" s="60">
        <f>_xll.qlYieldTSDiscount(OisCurve,S51,,AllTriggers)</f>
        <v>0.84167112354938589</v>
      </c>
      <c r="X51" s="59">
        <f t="shared" si="8"/>
        <v>1.4854473223732526E-2</v>
      </c>
      <c r="Y51" s="59">
        <f t="shared" si="17"/>
        <v>9.7819785133814938E-4</v>
      </c>
      <c r="Z51" s="59">
        <f>_xll.qlIntegralTenorBasisIntegrate($M$11,R51)</f>
        <v>1.1361787984814041E-3</v>
      </c>
      <c r="AA51" s="59">
        <f t="shared" si="18"/>
        <v>1.5798094714325472E-4</v>
      </c>
      <c r="AB51" s="58">
        <f>_xll.qlDayCounterYearFraction(DayCounter,SettlementDate,R51,,,Trigger)</f>
        <v>16.755555555555556</v>
      </c>
      <c r="AC51" s="59">
        <f>_xll.qlAbcdMathFunctionValue($M$28,AB51)</f>
        <v>1.0458178230423843E-3</v>
      </c>
      <c r="AD51" s="59">
        <f t="shared" si="9"/>
        <v>6.761997170423497E-5</v>
      </c>
      <c r="AE51" s="59">
        <f t="shared" si="19"/>
        <v>2.2922614482191826E-3</v>
      </c>
      <c r="AJ51" s="65" t="s">
        <v>69</v>
      </c>
    </row>
    <row r="52" spans="12:40" x14ac:dyDescent="0.2">
      <c r="L52" s="85" t="s">
        <v>46</v>
      </c>
      <c r="M52" s="80">
        <f>_xll.qlAbcdCalibrationC($M$47)</f>
        <v>0.15959999999999999</v>
      </c>
      <c r="O52" s="65">
        <v>6</v>
      </c>
      <c r="P52" s="56" t="str">
        <f>_xll.qlPeriodEquivalent(P51&amp;"+"&amp;O52&amp;"M")</f>
        <v>17Y</v>
      </c>
      <c r="Q52" s="57">
        <f>_xll.qlCalendarAdvance(Calendar,SettlementDate,P52,"f",,Trigger)</f>
        <v>48344</v>
      </c>
      <c r="R52" s="57">
        <f>_xll.qlInterestRateIndexValueDate(Index,Q52,Trigger)</f>
        <v>48346</v>
      </c>
      <c r="S52" s="57">
        <f>_xll.qlInterestRateIndexMaturity(Index,R52,Trigger)</f>
        <v>48530</v>
      </c>
      <c r="T52" s="58">
        <f>_xll.qlDayCounterYearFraction(DayCounter,R52,S52,,,Trigger)</f>
        <v>0.51111111111111107</v>
      </c>
      <c r="U52" s="59">
        <f>_xll.qlIndexFixing(Index,Q52,,AllTriggers)</f>
        <v>1.5675369497051381E-2</v>
      </c>
      <c r="V52" s="60">
        <f>_xll.qlYieldTSDiscount(OisCurve,R52,,AllTriggers)</f>
        <v>0.84167112354938589</v>
      </c>
      <c r="W52" s="60">
        <f>_xll.qlYieldTSDiscount(OisCurve,S52,,AllTriggers)</f>
        <v>0.83536862179284521</v>
      </c>
      <c r="X52" s="59">
        <f t="shared" si="8"/>
        <v>1.4761126257190544E-2</v>
      </c>
      <c r="Y52" s="59">
        <f t="shared" si="17"/>
        <v>9.142432398608364E-4</v>
      </c>
      <c r="Z52" s="59">
        <f>_xll.qlIntegralTenorBasisIntegrate($M$11,R52)</f>
        <v>1.1038059158622719E-3</v>
      </c>
      <c r="AA52" s="59">
        <f t="shared" si="18"/>
        <v>1.8956267600143549E-4</v>
      </c>
      <c r="AB52" s="58">
        <f>_xll.qlDayCounterYearFraction(DayCounter,SettlementDate,R52,,,Trigger)</f>
        <v>17.261111111111113</v>
      </c>
      <c r="AC52" s="59">
        <f>_xll.qlAbcdMathFunctionValue($M$28,AB52)</f>
        <v>1.001975414143761E-3</v>
      </c>
      <c r="AD52" s="59">
        <f t="shared" si="9"/>
        <v>8.7732174282924551E-5</v>
      </c>
      <c r="AE52" s="59">
        <f t="shared" si="19"/>
        <v>2.2031250030487264E-3</v>
      </c>
      <c r="AJ52" s="65" t="s">
        <v>44</v>
      </c>
      <c r="AK52" s="79">
        <f>_xll.qlAbcdMathFunctionA($AK$49)</f>
        <v>1.4992173285913947E-3</v>
      </c>
    </row>
    <row r="53" spans="12:40" x14ac:dyDescent="0.2">
      <c r="L53" s="85" t="s">
        <v>47</v>
      </c>
      <c r="M53" s="79">
        <f>_xll.qlAbcdCalibrationD($M$47)</f>
        <v>6.0300000000000002E-4</v>
      </c>
      <c r="O53" s="65">
        <v>6</v>
      </c>
      <c r="P53" s="56" t="str">
        <f>_xll.qlPeriodEquivalent(P52&amp;"+"&amp;O53&amp;"M")</f>
        <v>17Y6M</v>
      </c>
      <c r="Q53" s="57">
        <f>_xll.qlCalendarAdvance(Calendar,SettlementDate,P53,"f",,Trigger)</f>
        <v>48526</v>
      </c>
      <c r="R53" s="57">
        <f>_xll.qlInterestRateIndexValueDate(Index,Q53,Trigger)</f>
        <v>48528</v>
      </c>
      <c r="S53" s="57">
        <f>_xll.qlInterestRateIndexMaturity(Index,R53,Trigger)</f>
        <v>48709</v>
      </c>
      <c r="T53" s="58">
        <f>_xll.qlDayCounterYearFraction(DayCounter,R53,S53,,,Trigger)</f>
        <v>0.50277777777777777</v>
      </c>
      <c r="U53" s="59">
        <f>_xll.qlIndexFixing(Index,Q53,,AllTriggers)</f>
        <v>1.5512593012303406E-2</v>
      </c>
      <c r="V53" s="60">
        <f>_xll.qlYieldTSDiscount(OisCurve,R53,,AllTriggers)</f>
        <v>0.83543664272978901</v>
      </c>
      <c r="W53" s="60">
        <f>_xll.qlYieldTSDiscount(OisCurve,S53,,AllTriggers)</f>
        <v>0.82932477798374826</v>
      </c>
      <c r="X53" s="59">
        <f t="shared" si="8"/>
        <v>1.4657942699544291E-2</v>
      </c>
      <c r="Y53" s="59">
        <f t="shared" si="17"/>
        <v>8.5465031275911568E-4</v>
      </c>
      <c r="Z53" s="59">
        <f>_xll.qlIntegralTenorBasisIntegrate($M$11,R53)</f>
        <v>1.0441000036108612E-3</v>
      </c>
      <c r="AA53" s="59">
        <f t="shared" si="18"/>
        <v>1.8944969085174556E-4</v>
      </c>
      <c r="AB53" s="58">
        <f>_xll.qlDayCounterYearFraction(DayCounter,SettlementDate,R53,,,Trigger)</f>
        <v>17.766666666666666</v>
      </c>
      <c r="AC53" s="59">
        <f>_xll.qlAbcdMathFunctionValue($M$28,AB53)</f>
        <v>9.6020458358450937E-4</v>
      </c>
      <c r="AD53" s="59">
        <f t="shared" si="9"/>
        <v>1.0555427082539369E-4</v>
      </c>
      <c r="AE53" s="59">
        <f t="shared" si="19"/>
        <v>2.1176571333930217E-3</v>
      </c>
      <c r="AJ53" s="65" t="s">
        <v>45</v>
      </c>
      <c r="AK53" s="80">
        <f>_xll.qlAbcdMathFunctionB($AK$49)</f>
        <v>6.8867114515226192E-4</v>
      </c>
    </row>
    <row r="54" spans="12:40" x14ac:dyDescent="0.2">
      <c r="O54" s="65">
        <v>6</v>
      </c>
      <c r="P54" s="56" t="str">
        <f>_xll.qlPeriodEquivalent(P53&amp;"+"&amp;O54&amp;"M")</f>
        <v>18Y</v>
      </c>
      <c r="Q54" s="57">
        <f>_xll.qlCalendarAdvance(Calendar,SettlementDate,P54,"f",,Trigger)</f>
        <v>48708</v>
      </c>
      <c r="R54" s="57">
        <f>_xll.qlInterestRateIndexValueDate(Index,Q54,Trigger)</f>
        <v>48710</v>
      </c>
      <c r="S54" s="57">
        <f>_xll.qlInterestRateIndexMaturity(Index,R54,Trigger)</f>
        <v>48894</v>
      </c>
      <c r="T54" s="58">
        <f>_xll.qlDayCounterYearFraction(DayCounter,R54,S54,,,Trigger)</f>
        <v>0.51111111111111107</v>
      </c>
      <c r="U54" s="59">
        <f>_xll.qlIndexFixing(Index,Q54,,AllTriggers)</f>
        <v>1.5343052987331606E-2</v>
      </c>
      <c r="V54" s="60">
        <f>_xll.qlYieldTSDiscount(OisCurve,R54,,AllTriggers)</f>
        <v>0.82929126058656544</v>
      </c>
      <c r="W54" s="60">
        <f>_xll.qlYieldTSDiscount(OisCurve,S54,,AllTriggers)</f>
        <v>0.82317170725327082</v>
      </c>
      <c r="X54" s="59">
        <f t="shared" si="8"/>
        <v>1.4545008076516907E-2</v>
      </c>
      <c r="Y54" s="59">
        <f t="shared" si="17"/>
        <v>7.9804491081469919E-4</v>
      </c>
      <c r="Z54" s="59">
        <f>_xll.qlIntegralTenorBasisIntegrate($M$11,R54)</f>
        <v>1.020166669782287E-3</v>
      </c>
      <c r="AA54" s="59">
        <f t="shared" si="18"/>
        <v>2.2212175896758782E-4</v>
      </c>
      <c r="AB54" s="58">
        <f>_xll.qlDayCounterYearFraction(DayCounter,SettlementDate,R54,,,Trigger)</f>
        <v>18.272222222222222</v>
      </c>
      <c r="AC54" s="59">
        <f>_xll.qlAbcdMathFunctionValue($M$28,AB54)</f>
        <v>9.204609251003441E-4</v>
      </c>
      <c r="AD54" s="59">
        <f t="shared" si="9"/>
        <v>1.2241601428564491E-4</v>
      </c>
      <c r="AE54" s="59">
        <f t="shared" si="19"/>
        <v>2.0358246979944377E-3</v>
      </c>
      <c r="AJ54" s="65" t="s">
        <v>46</v>
      </c>
      <c r="AK54" s="80">
        <f>_xll.qlAbcdMathFunctionC($AK$49)</f>
        <v>0.16961366061643124</v>
      </c>
      <c r="AN54" s="86"/>
    </row>
    <row r="55" spans="12:40" x14ac:dyDescent="0.2">
      <c r="O55" s="65">
        <v>6</v>
      </c>
      <c r="P55" s="56" t="str">
        <f>_xll.qlPeriodEquivalent(P54&amp;"+"&amp;O55&amp;"M")</f>
        <v>18Y6M</v>
      </c>
      <c r="Q55" s="57">
        <f>_xll.qlCalendarAdvance(Calendar,SettlementDate,P55,"f",,Trigger)</f>
        <v>48891</v>
      </c>
      <c r="R55" s="57">
        <f>_xll.qlInterestRateIndexValueDate(Index,Q55,Trigger)</f>
        <v>48893</v>
      </c>
      <c r="S55" s="57">
        <f>_xll.qlInterestRateIndexMaturity(Index,R55,Trigger)</f>
        <v>49074</v>
      </c>
      <c r="T55" s="58">
        <f>_xll.qlDayCounterYearFraction(DayCounter,R55,S55,,,Trigger)</f>
        <v>0.50277777777777777</v>
      </c>
      <c r="U55" s="59">
        <f>_xll.qlIndexFixing(Index,Q55,,AllTriggers)</f>
        <v>1.5167424814248721E-2</v>
      </c>
      <c r="V55" s="60">
        <f>_xll.qlYieldTSDiscount(OisCurve,R55,,AllTriggers)</f>
        <v>0.82320470708351334</v>
      </c>
      <c r="W55" s="60">
        <f>_xll.qlYieldTSDiscount(OisCurve,S55,,AllTriggers)</f>
        <v>0.81727862938373796</v>
      </c>
      <c r="X55" s="59">
        <f t="shared" si="8"/>
        <v>1.4421854988296717E-2</v>
      </c>
      <c r="Y55" s="59">
        <f t="shared" si="17"/>
        <v>7.4556982595200445E-4</v>
      </c>
      <c r="Z55" s="59">
        <f>_xll.qlIntegralTenorBasisIntegrate($M$11,R55)</f>
        <v>9.6519126901533964E-4</v>
      </c>
      <c r="AA55" s="59">
        <f t="shared" si="18"/>
        <v>2.1962144306333518E-4</v>
      </c>
      <c r="AB55" s="58">
        <f>_xll.qlDayCounterYearFraction(DayCounter,SettlementDate,R55,,,Trigger)</f>
        <v>18.780555555555555</v>
      </c>
      <c r="AC55" s="59">
        <f>_xll.qlAbcdMathFunctionValue($M$28,AB55)</f>
        <v>8.8249118401122163E-4</v>
      </c>
      <c r="AD55" s="59">
        <f t="shared" si="9"/>
        <v>1.3692135805921718E-4</v>
      </c>
      <c r="AE55" s="59">
        <f t="shared" si="19"/>
        <v>1.9571575119805848E-3</v>
      </c>
      <c r="AJ55" s="65" t="s">
        <v>47</v>
      </c>
      <c r="AK55" s="79">
        <f>_xll.qlAbcdMathFunctionD($AK$49)</f>
        <v>2.8554739833637884E-4</v>
      </c>
      <c r="AN55" s="86"/>
    </row>
    <row r="56" spans="12:40" x14ac:dyDescent="0.2">
      <c r="O56" s="65">
        <v>6</v>
      </c>
      <c r="P56" s="56" t="str">
        <f>_xll.qlPeriodEquivalent(P55&amp;"+"&amp;O56&amp;"M")</f>
        <v>19Y</v>
      </c>
      <c r="Q56" s="57">
        <f>_xll.qlCalendarAdvance(Calendar,SettlementDate,P56,"f",,Trigger)</f>
        <v>49072</v>
      </c>
      <c r="R56" s="57">
        <f>_xll.qlInterestRateIndexValueDate(Index,Q56,Trigger)</f>
        <v>49074</v>
      </c>
      <c r="S56" s="57">
        <f>_xll.qlInterestRateIndexMaturity(Index,R56,Trigger)</f>
        <v>49258</v>
      </c>
      <c r="T56" s="58">
        <f>_xll.qlDayCounterYearFraction(DayCounter,R56,S56,,,Trigger)</f>
        <v>0.51111111111111107</v>
      </c>
      <c r="U56" s="59">
        <f>_xll.qlIndexFixing(Index,Q56,,AllTriggers)</f>
        <v>1.4986707883112921E-2</v>
      </c>
      <c r="V56" s="60">
        <f>_xll.qlYieldTSDiscount(OisCurve,R56,,AllTriggers)</f>
        <v>0.81727862938373796</v>
      </c>
      <c r="W56" s="60">
        <f>_xll.qlYieldTSDiscount(OisCurve,S56,,AllTriggers)</f>
        <v>0.81135269898621032</v>
      </c>
      <c r="X56" s="59">
        <f t="shared" si="8"/>
        <v>1.4289977295723321E-2</v>
      </c>
      <c r="Y56" s="59">
        <f t="shared" si="17"/>
        <v>6.9673058738960007E-4</v>
      </c>
      <c r="Z56" s="59">
        <f>_xll.qlIntegralTenorBasisIntegrate($M$11,R56)</f>
        <v>9.4378687842851131E-4</v>
      </c>
      <c r="AA56" s="59">
        <f t="shared" si="18"/>
        <v>2.4705629103891123E-4</v>
      </c>
      <c r="AB56" s="58">
        <f>_xll.qlDayCounterYearFraction(DayCounter,SettlementDate,R56,,,Trigger)</f>
        <v>19.283333333333335</v>
      </c>
      <c r="AC56" s="59">
        <f>_xll.qlAbcdMathFunctionValue($M$28,AB56)</f>
        <v>8.4684544491786247E-4</v>
      </c>
      <c r="AD56" s="59">
        <f t="shared" si="9"/>
        <v>1.5011485752826239E-4</v>
      </c>
      <c r="AE56" s="59">
        <f t="shared" si="19"/>
        <v>1.8828518542098732E-3</v>
      </c>
      <c r="AN56" s="86"/>
    </row>
    <row r="57" spans="12:40" x14ac:dyDescent="0.2">
      <c r="O57" s="65">
        <v>6</v>
      </c>
      <c r="P57" s="56" t="str">
        <f>_xll.qlPeriodEquivalent(P56&amp;"+"&amp;O57&amp;"M")</f>
        <v>19Y6M</v>
      </c>
      <c r="Q57" s="57">
        <f>_xll.qlCalendarAdvance(Calendar,SettlementDate,P57,"f",,Trigger)</f>
        <v>49256</v>
      </c>
      <c r="R57" s="57">
        <f>_xll.qlInterestRateIndexValueDate(Index,Q57,Trigger)</f>
        <v>49258</v>
      </c>
      <c r="S57" s="57">
        <f>_xll.qlInterestRateIndexMaturity(Index,R57,Trigger)</f>
        <v>49439</v>
      </c>
      <c r="T57" s="58">
        <f>_xll.qlDayCounterYearFraction(DayCounter,R57,S57,,,Trigger)</f>
        <v>0.50277777777777777</v>
      </c>
      <c r="U57" s="59">
        <f>_xll.qlIndexFixing(Index,Q57,,AllTriggers)</f>
        <v>1.4798104237698624E-2</v>
      </c>
      <c r="V57" s="60">
        <f>_xll.qlYieldTSDiscount(OisCurve,R57,,AllTriggers)</f>
        <v>0.81135269898621032</v>
      </c>
      <c r="W57" s="60">
        <f>_xll.qlYieldTSDiscount(OisCurve,S57,,AllTriggers)</f>
        <v>0.80562260967852384</v>
      </c>
      <c r="X57" s="59">
        <f t="shared" si="8"/>
        <v>1.414665201113006E-2</v>
      </c>
      <c r="Y57" s="59">
        <f t="shared" si="17"/>
        <v>6.5145222656856454E-4</v>
      </c>
      <c r="Z57" s="59">
        <f>_xll.qlIntegralTenorBasisIntegrate($M$11,R57)</f>
        <v>8.9332256924287245E-4</v>
      </c>
      <c r="AA57" s="59">
        <f t="shared" si="18"/>
        <v>2.4187034267430792E-4</v>
      </c>
      <c r="AB57" s="58">
        <f>_xll.qlDayCounterYearFraction(DayCounter,SettlementDate,R57,,,Trigger)</f>
        <v>19.794444444444444</v>
      </c>
      <c r="AC57" s="59">
        <f>_xll.qlAbcdMathFunctionValue($M$28,AB57)</f>
        <v>8.1249336167721819E-4</v>
      </c>
      <c r="AD57" s="59">
        <f t="shared" si="9"/>
        <v>1.6104113510865365E-4</v>
      </c>
      <c r="AE57" s="59">
        <f t="shared" si="19"/>
        <v>1.8108071077062053E-3</v>
      </c>
      <c r="AJ57" s="65" t="s">
        <v>75</v>
      </c>
      <c r="AM57" s="65" t="s">
        <v>70</v>
      </c>
      <c r="AN57" s="86"/>
    </row>
    <row r="58" spans="12:40" x14ac:dyDescent="0.2">
      <c r="O58" s="65">
        <v>6</v>
      </c>
      <c r="P58" s="56" t="str">
        <f>_xll.qlPeriodEquivalent(P57&amp;"+"&amp;O58&amp;"M")</f>
        <v>20Y</v>
      </c>
      <c r="Q58" s="57">
        <f>_xll.qlCalendarAdvance(Calendar,SettlementDate,P58,"f",,Trigger)</f>
        <v>49437</v>
      </c>
      <c r="R58" s="57">
        <f>_xll.qlInterestRateIndexValueDate(Index,Q58,Trigger)</f>
        <v>49439</v>
      </c>
      <c r="S58" s="57">
        <f>_xll.qlInterestRateIndexMaturity(Index,R58,Trigger)</f>
        <v>49625</v>
      </c>
      <c r="T58" s="58">
        <f>_xll.qlDayCounterYearFraction(DayCounter,R58,S58,,,Trigger)</f>
        <v>0.51666666666666672</v>
      </c>
      <c r="U58" s="59">
        <f>_xll.qlIndexFixing(Index,Q58,,AllTriggers)</f>
        <v>1.4609875662053956E-2</v>
      </c>
      <c r="V58" s="60">
        <f>_xll.qlYieldTSDiscount(OisCurve,R58,,AllTriggers)</f>
        <v>0.80562260967852384</v>
      </c>
      <c r="W58" s="60">
        <f>_xll.qlYieldTSDiscount(OisCurve,S58,,AllTriggers)</f>
        <v>0.79983735931008193</v>
      </c>
      <c r="X58" s="59">
        <f t="shared" si="8"/>
        <v>1.3999419566107828E-2</v>
      </c>
      <c r="Y58" s="59">
        <f t="shared" si="17"/>
        <v>6.1045609594612832E-4</v>
      </c>
      <c r="Z58" s="59">
        <f>_xll.qlIntegralTenorBasisIntegrate($M$11,R58)</f>
        <v>8.8349895847197836E-4</v>
      </c>
      <c r="AA58" s="59">
        <f t="shared" si="18"/>
        <v>2.7304286252585004E-4</v>
      </c>
      <c r="AB58" s="58">
        <f>_xll.qlDayCounterYearFraction(DayCounter,SettlementDate,R58,,,Trigger)</f>
        <v>20.297222222222221</v>
      </c>
      <c r="AC58" s="59">
        <f>_xll.qlAbcdMathFunctionValue($M$28,AB58)</f>
        <v>7.8049178185175621E-4</v>
      </c>
      <c r="AD58" s="59">
        <f t="shared" si="9"/>
        <v>1.7003568590562789E-4</v>
      </c>
      <c r="AE58" s="59">
        <f t="shared" si="19"/>
        <v>1.74328759500293E-3</v>
      </c>
      <c r="AJ58" s="65" t="s">
        <v>44</v>
      </c>
      <c r="AK58" s="79">
        <f>_xll.qlAbcdImpliedContinuousBasisA($AK$50)</f>
        <v>1.3834141301342603E-3</v>
      </c>
      <c r="AL58" s="65">
        <f>(AK52*AK54-AK53+(AK53*AK54*AK30*EXP(-AK54*AK30))/(1-EXP(-AK54*AK30)))/(1-EXP(-AK54*AK30))</f>
        <v>2.6920491180991014E-3</v>
      </c>
      <c r="AM58" s="79">
        <f>AL58*$AK$30</f>
        <v>1.3834141301342603E-3</v>
      </c>
      <c r="AN58" s="86">
        <f>AK58-AM58</f>
        <v>0</v>
      </c>
    </row>
    <row r="59" spans="12:40" x14ac:dyDescent="0.2">
      <c r="O59" s="65">
        <v>6</v>
      </c>
      <c r="P59" s="56" t="str">
        <f>_xll.qlPeriodEquivalent(P58&amp;"+"&amp;O59&amp;"M")</f>
        <v>20Y6M</v>
      </c>
      <c r="Q59" s="57">
        <f>_xll.qlCalendarAdvance(Calendar,SettlementDate,P59,"f",,Trigger)</f>
        <v>49621</v>
      </c>
      <c r="R59" s="57">
        <f>_xll.qlInterestRateIndexValueDate(Index,Q59,Trigger)</f>
        <v>49625</v>
      </c>
      <c r="S59" s="57">
        <f>_xll.qlInterestRateIndexMaturity(Index,R59,Trigger)</f>
        <v>49807</v>
      </c>
      <c r="T59" s="58">
        <f>_xll.qlDayCounterYearFraction(DayCounter,R59,S59,,,Trigger)</f>
        <v>0.50555555555555554</v>
      </c>
      <c r="U59" s="59">
        <f>_xll.qlIndexFixing(Index,Q59,,AllTriggers)</f>
        <v>1.4436657429793527E-2</v>
      </c>
      <c r="V59" s="60">
        <f>_xll.qlYieldTSDiscount(OisCurve,R59,,AllTriggers)</f>
        <v>0.79983735931008193</v>
      </c>
      <c r="W59" s="60">
        <f>_xll.qlYieldTSDiscount(OisCurve,S59,,AllTriggers)</f>
        <v>0.79427142714834198</v>
      </c>
      <c r="X59" s="59">
        <f t="shared" si="8"/>
        <v>1.3861176126690515E-2</v>
      </c>
      <c r="Y59" s="59">
        <f t="shared" si="17"/>
        <v>5.7548130310301239E-4</v>
      </c>
      <c r="Z59" s="59">
        <f>_xll.qlIntegralTenorBasisIntegrate($M$11,R59)</f>
        <v>8.3230126444898086E-4</v>
      </c>
      <c r="AA59" s="59">
        <f t="shared" si="18"/>
        <v>2.5681996134596847E-4</v>
      </c>
      <c r="AB59" s="58">
        <f>_xll.qlDayCounterYearFraction(DayCounter,SettlementDate,R59,,,Trigger)</f>
        <v>20.81388888888889</v>
      </c>
      <c r="AC59" s="59">
        <f>_xll.qlAbcdMathFunctionValue($M$28,AB59)</f>
        <v>7.4938789341828414E-4</v>
      </c>
      <c r="AD59" s="59">
        <f t="shared" si="9"/>
        <v>1.7390659031527175E-4</v>
      </c>
      <c r="AE59" s="59">
        <f t="shared" si="19"/>
        <v>1.6772684999064415E-3</v>
      </c>
      <c r="AJ59" s="65" t="s">
        <v>45</v>
      </c>
      <c r="AK59" s="80">
        <f>_xll.qlAbcdImpliedContinuousBasisB($AK$50)</f>
        <v>7.1912026960701636E-4</v>
      </c>
      <c r="AL59" s="65">
        <f>AK53*AK54/(1-EXP(-AK54*AK30))</f>
        <v>1.3993691732893292E-3</v>
      </c>
      <c r="AM59" s="80">
        <f t="shared" ref="AM59:AM61" si="21">AL59*$AK$30</f>
        <v>7.1912026960701636E-4</v>
      </c>
      <c r="AN59" s="86">
        <f>AK59-AM59</f>
        <v>0</v>
      </c>
    </row>
    <row r="60" spans="12:40" x14ac:dyDescent="0.2">
      <c r="O60" s="65">
        <v>6</v>
      </c>
      <c r="P60" s="56" t="str">
        <f>_xll.qlPeriodEquivalent(P59&amp;"+"&amp;O60&amp;"M")</f>
        <v>21Y</v>
      </c>
      <c r="Q60" s="57">
        <f>_xll.qlCalendarAdvance(Calendar,SettlementDate,P60,"f",,Trigger)</f>
        <v>49803</v>
      </c>
      <c r="R60" s="57">
        <f>_xll.qlInterestRateIndexValueDate(Index,Q60,Trigger)</f>
        <v>49807</v>
      </c>
      <c r="S60" s="57">
        <f>_xll.qlInterestRateIndexMaturity(Index,R60,Trigger)</f>
        <v>49991</v>
      </c>
      <c r="T60" s="58">
        <f>_xll.qlDayCounterYearFraction(DayCounter,R60,S60,,,Trigger)</f>
        <v>0.51111111111111107</v>
      </c>
      <c r="U60" s="59">
        <f>_xll.qlIndexFixing(Index,Q60,,AllTriggers)</f>
        <v>1.4288848024485061E-2</v>
      </c>
      <c r="V60" s="60">
        <f>_xll.qlYieldTSDiscount(OisCurve,R60,,AllTriggers)</f>
        <v>0.79427142714834198</v>
      </c>
      <c r="W60" s="60">
        <f>_xll.qlYieldTSDiscount(OisCurve,S60,,AllTriggers)</f>
        <v>0.78873194893245779</v>
      </c>
      <c r="X60" s="59">
        <f t="shared" si="8"/>
        <v>1.3741182371889874E-2</v>
      </c>
      <c r="Y60" s="59">
        <f t="shared" si="17"/>
        <v>5.4766565259518722E-4</v>
      </c>
      <c r="Z60" s="59">
        <f>_xll.qlIntegralTenorBasisIntegrate($M$11,R60)</f>
        <v>8.1069154677324679E-4</v>
      </c>
      <c r="AA60" s="59">
        <f t="shared" si="18"/>
        <v>2.6302589417805957E-4</v>
      </c>
      <c r="AB60" s="58">
        <f>_xll.qlDayCounterYearFraction(DayCounter,SettlementDate,R60,,,Trigger)</f>
        <v>21.319444444444443</v>
      </c>
      <c r="AC60" s="59">
        <f>_xll.qlAbcdMathFunctionValue($M$28,AB60)</f>
        <v>7.206329743616657E-4</v>
      </c>
      <c r="AD60" s="59">
        <f t="shared" si="9"/>
        <v>1.7296732176647848E-4</v>
      </c>
      <c r="AE60" s="59">
        <f t="shared" si="19"/>
        <v>1.6158711622035313E-3</v>
      </c>
      <c r="AJ60" s="65" t="s">
        <v>46</v>
      </c>
      <c r="AK60" s="80">
        <f>_xll.qlAbcdImpliedContinuousBasisC($AK$50)</f>
        <v>0.16961366061643124</v>
      </c>
      <c r="AL60" s="78">
        <f>AK54</f>
        <v>0.16961366061643124</v>
      </c>
      <c r="AM60" s="80">
        <f>AL60</f>
        <v>0.16961366061643124</v>
      </c>
      <c r="AN60" s="86">
        <f t="shared" ref="AN60:AN61" si="22">AK60-AM60</f>
        <v>0</v>
      </c>
    </row>
    <row r="61" spans="12:40" x14ac:dyDescent="0.2">
      <c r="O61" s="65">
        <v>6</v>
      </c>
      <c r="P61" s="56" t="str">
        <f>_xll.qlPeriodEquivalent(P60&amp;"+"&amp;O61&amp;"M")</f>
        <v>21Y6M</v>
      </c>
      <c r="Q61" s="57">
        <f>_xll.qlCalendarAdvance(Calendar,SettlementDate,P61,"f",,Trigger)</f>
        <v>49989</v>
      </c>
      <c r="R61" s="57">
        <f>_xll.qlInterestRateIndexValueDate(Index,Q61,Trigger)</f>
        <v>49991</v>
      </c>
      <c r="S61" s="57">
        <f>_xll.qlInterestRateIndexMaturity(Index,R61,Trigger)</f>
        <v>50172</v>
      </c>
      <c r="T61" s="58">
        <f>_xll.qlDayCounterYearFraction(DayCounter,R61,S61,,,Trigger)</f>
        <v>0.50277777777777777</v>
      </c>
      <c r="U61" s="59">
        <f>_xll.qlIndexFixing(Index,Q61,,AllTriggers)</f>
        <v>1.4162487560666469E-2</v>
      </c>
      <c r="V61" s="60">
        <f>_xll.qlYieldTSDiscount(OisCurve,R61,,AllTriggers)</f>
        <v>0.78873194893245779</v>
      </c>
      <c r="W61" s="60">
        <f>_xll.qlYieldTSDiscount(OisCurve,S61,,AllTriggers)</f>
        <v>0.78336135125122341</v>
      </c>
      <c r="X61" s="59">
        <f t="shared" si="8"/>
        <v>1.3635918755271636E-2</v>
      </c>
      <c r="Y61" s="59">
        <f t="shared" si="17"/>
        <v>5.2656880539483399E-4</v>
      </c>
      <c r="Z61" s="59">
        <f>_xll.qlIntegralTenorBasisIntegrate($M$11,R61)</f>
        <v>7.68822413578816E-4</v>
      </c>
      <c r="AA61" s="59">
        <f t="shared" si="18"/>
        <v>2.4225360818398202E-4</v>
      </c>
      <c r="AB61" s="58">
        <f>_xll.qlDayCounterYearFraction(DayCounter,SettlementDate,R61,,,Trigger)</f>
        <v>21.830555555555556</v>
      </c>
      <c r="AC61" s="59">
        <f>_xll.qlAbcdMathFunctionValue($M$28,AB61)</f>
        <v>6.9318185116036719E-4</v>
      </c>
      <c r="AD61" s="59">
        <f t="shared" si="9"/>
        <v>1.6661304576553321E-4</v>
      </c>
      <c r="AE61" s="59">
        <f t="shared" si="19"/>
        <v>1.5569129233503555E-3</v>
      </c>
      <c r="AJ61" s="65" t="s">
        <v>47</v>
      </c>
      <c r="AK61" s="79">
        <f>_xll.qlAbcdImpliedContinuousBasisD($AK$50)</f>
        <v>2.8554739833637884E-4</v>
      </c>
      <c r="AL61" s="65">
        <f>AK55/AK30</f>
        <v>5.5565980216808859E-4</v>
      </c>
      <c r="AM61" s="79">
        <f t="shared" si="21"/>
        <v>2.8554739833637884E-4</v>
      </c>
      <c r="AN61" s="86">
        <f t="shared" si="22"/>
        <v>0</v>
      </c>
    </row>
    <row r="62" spans="12:40" x14ac:dyDescent="0.2">
      <c r="O62" s="65">
        <v>6</v>
      </c>
      <c r="P62" s="56" t="str">
        <f>_xll.qlPeriodEquivalent(P61&amp;"+"&amp;O62&amp;"M")</f>
        <v>22Y</v>
      </c>
      <c r="Q62" s="57">
        <f>_xll.qlCalendarAdvance(Calendar,SettlementDate,P62,"f",,Trigger)</f>
        <v>50168</v>
      </c>
      <c r="R62" s="57">
        <f>_xll.qlInterestRateIndexValueDate(Index,Q62,Trigger)</f>
        <v>50172</v>
      </c>
      <c r="S62" s="57">
        <f>_xll.qlInterestRateIndexMaturity(Index,R62,Trigger)</f>
        <v>50356</v>
      </c>
      <c r="T62" s="58">
        <f>_xll.qlDayCounterYearFraction(DayCounter,R62,S62,,,Trigger)</f>
        <v>0.51111111111111107</v>
      </c>
      <c r="U62" s="59">
        <f>_xll.qlIndexFixing(Index,Q62,,AllTriggers)</f>
        <v>1.406032727960925E-2</v>
      </c>
      <c r="V62" s="60">
        <f>_xll.qlYieldTSDiscount(OisCurve,R62,,AllTriggers)</f>
        <v>0.78336135125122341</v>
      </c>
      <c r="W62" s="60">
        <f>_xll.qlYieldTSDiscount(OisCurve,S62,,AllTriggers)</f>
        <v>0.77797425754143712</v>
      </c>
      <c r="X62" s="59">
        <f t="shared" si="8"/>
        <v>1.3547962354484784E-2</v>
      </c>
      <c r="Y62" s="59">
        <f t="shared" si="17"/>
        <v>5.1236492512446614E-4</v>
      </c>
      <c r="Z62" s="59">
        <f>_xll.qlIntegralTenorBasisIntegrate($M$11,R62)</f>
        <v>7.5393497124209992E-4</v>
      </c>
      <c r="AA62" s="59">
        <f t="shared" si="18"/>
        <v>2.4157004611763378E-4</v>
      </c>
      <c r="AB62" s="58">
        <f>_xll.qlDayCounterYearFraction(DayCounter,SettlementDate,R62,,,Trigger)</f>
        <v>22.333333333333332</v>
      </c>
      <c r="AC62" s="59">
        <f>_xll.qlAbcdMathFunctionValue($M$28,AB62)</f>
        <v>6.6769964118739062E-4</v>
      </c>
      <c r="AD62" s="59">
        <f t="shared" si="9"/>
        <v>1.5533471606292448E-4</v>
      </c>
      <c r="AE62" s="59">
        <f t="shared" si="19"/>
        <v>1.5018646905605372E-3</v>
      </c>
    </row>
    <row r="63" spans="12:40" x14ac:dyDescent="0.2">
      <c r="O63" s="65">
        <v>6</v>
      </c>
      <c r="P63" s="56" t="str">
        <f>_xll.qlPeriodEquivalent(P62&amp;"+"&amp;O63&amp;"M")</f>
        <v>22Y6M</v>
      </c>
      <c r="Q63" s="57">
        <f>_xll.qlCalendarAdvance(Calendar,SettlementDate,P63,"f",,Trigger)</f>
        <v>50353</v>
      </c>
      <c r="R63" s="57">
        <f>_xll.qlInterestRateIndexValueDate(Index,Q63,Trigger)</f>
        <v>50355</v>
      </c>
      <c r="S63" s="57">
        <f>_xll.qlInterestRateIndexMaturity(Index,R63,Trigger)</f>
        <v>50536</v>
      </c>
      <c r="T63" s="58">
        <f>_xll.qlDayCounterYearFraction(DayCounter,R63,S63,,,Trigger)</f>
        <v>0.50277777777777777</v>
      </c>
      <c r="U63" s="59">
        <f>_xll.qlIndexFixing(Index,Q63,,AllTriggers)</f>
        <v>1.3979307012165669E-2</v>
      </c>
      <c r="V63" s="60">
        <f>_xll.qlYieldTSDiscount(OisCurve,R63,,AllTriggers)</f>
        <v>0.77800335063464254</v>
      </c>
      <c r="W63" s="60">
        <f>_xll.qlYieldTSDiscount(OisCurve,S63,,AllTriggers)</f>
        <v>0.77276809145720071</v>
      </c>
      <c r="X63" s="59">
        <f t="shared" si="8"/>
        <v>1.3474508461577665E-2</v>
      </c>
      <c r="Y63" s="59">
        <f t="shared" si="17"/>
        <v>5.0479855058800475E-4</v>
      </c>
      <c r="Z63" s="59">
        <f>_xll.qlIntegralTenorBasisIntegrate($M$11,R63)</f>
        <v>7.1600868758141842E-4</v>
      </c>
      <c r="AA63" s="59">
        <f t="shared" si="18"/>
        <v>2.1121013699341366E-4</v>
      </c>
      <c r="AB63" s="58">
        <f>_xll.qlDayCounterYearFraction(DayCounter,SettlementDate,R63,,,Trigger)</f>
        <v>22.841666666666665</v>
      </c>
      <c r="AC63" s="59">
        <f>_xll.qlAbcdMathFunctionValue($M$28,AB63)</f>
        <v>6.4340181008083687E-4</v>
      </c>
      <c r="AD63" s="59">
        <f t="shared" si="9"/>
        <v>1.3860325949283212E-4</v>
      </c>
      <c r="AE63" s="59">
        <f t="shared" si="19"/>
        <v>1.4490723455092606E-3</v>
      </c>
    </row>
    <row r="64" spans="12:40" x14ac:dyDescent="0.2">
      <c r="O64" s="65">
        <v>6</v>
      </c>
      <c r="P64" s="56" t="str">
        <f>_xll.qlPeriodEquivalent(P63&amp;"+"&amp;O64&amp;"M")</f>
        <v>23Y</v>
      </c>
      <c r="Q64" s="57">
        <f>_xll.qlCalendarAdvance(Calendar,SettlementDate,P64,"f",,Trigger)</f>
        <v>50535</v>
      </c>
      <c r="R64" s="57">
        <f>_xll.qlInterestRateIndexValueDate(Index,Q64,Trigger)</f>
        <v>50537</v>
      </c>
      <c r="S64" s="57">
        <f>_xll.qlInterestRateIndexMaturity(Index,R64,Trigger)</f>
        <v>50721</v>
      </c>
      <c r="T64" s="58">
        <f>_xll.qlDayCounterYearFraction(DayCounter,R64,S64,,,Trigger)</f>
        <v>0.51111111111111107</v>
      </c>
      <c r="U64" s="59">
        <f>_xll.qlIndexFixing(Index,Q64,,AllTriggers)</f>
        <v>1.3921677438050511E-2</v>
      </c>
      <c r="V64" s="60">
        <f>_xll.qlYieldTSDiscount(OisCurve,R64,,AllTriggers)</f>
        <v>0.77273933202963518</v>
      </c>
      <c r="W64" s="60">
        <f>_xll.qlYieldTSDiscount(OisCurve,S64,,AllTriggers)</f>
        <v>0.76747606717201655</v>
      </c>
      <c r="X64" s="59">
        <f t="shared" si="8"/>
        <v>1.3417606819554522E-2</v>
      </c>
      <c r="Y64" s="59">
        <f t="shared" si="17"/>
        <v>5.0407061849598936E-4</v>
      </c>
      <c r="Z64" s="59">
        <f>_xll.qlIntegralTenorBasisIntegrate($M$11,R64)</f>
        <v>7.0292136323457134E-4</v>
      </c>
      <c r="AA64" s="59">
        <f t="shared" si="18"/>
        <v>1.9885074473858198E-4</v>
      </c>
      <c r="AB64" s="58">
        <f>_xll.qlDayCounterYearFraction(DayCounter,SettlementDate,R64,,,Trigger)</f>
        <v>23.347222222222221</v>
      </c>
      <c r="AC64" s="59">
        <f>_xll.qlAbcdMathFunctionValue($M$28,AB64)</f>
        <v>6.2063192095392506E-4</v>
      </c>
      <c r="AD64" s="59">
        <f t="shared" si="9"/>
        <v>1.165613024579357E-4</v>
      </c>
      <c r="AE64" s="59">
        <f t="shared" si="19"/>
        <v>1.399315489693483E-3</v>
      </c>
    </row>
    <row r="65" spans="15:31" x14ac:dyDescent="0.2">
      <c r="O65" s="65">
        <v>6</v>
      </c>
      <c r="P65" s="56" t="str">
        <f>_xll.qlPeriodEquivalent(P64&amp;"+"&amp;O65&amp;"M")</f>
        <v>23Y6M</v>
      </c>
      <c r="Q65" s="57">
        <f>_xll.qlCalendarAdvance(Calendar,SettlementDate,P65,"f",,Trigger)</f>
        <v>50717</v>
      </c>
      <c r="R65" s="57">
        <f>_xll.qlInterestRateIndexValueDate(Index,Q65,Trigger)</f>
        <v>50719</v>
      </c>
      <c r="S65" s="57">
        <f>_xll.qlInterestRateIndexMaturity(Index,R65,Trigger)</f>
        <v>50900</v>
      </c>
      <c r="T65" s="58">
        <f>_xll.qlDayCounterYearFraction(DayCounter,R65,S65,,,Trigger)</f>
        <v>0.50277777777777777</v>
      </c>
      <c r="U65" s="59">
        <f>_xll.qlIndexFixing(Index,Q65,,AllTriggers)</f>
        <v>1.388548413390355E-2</v>
      </c>
      <c r="V65" s="60">
        <f>_xll.qlYieldTSDiscount(OisCurve,R65,,AllTriggers)</f>
        <v>0.76753298441513551</v>
      </c>
      <c r="W65" s="60">
        <f>_xll.qlYieldTSDiscount(OisCurve,S65,,AllTriggers)</f>
        <v>0.76240583812464113</v>
      </c>
      <c r="X65" s="59">
        <f t="shared" si="8"/>
        <v>1.337560459387553E-2</v>
      </c>
      <c r="Y65" s="59">
        <f t="shared" si="17"/>
        <v>5.0987954002802011E-4</v>
      </c>
      <c r="Z65" s="59">
        <f>_xll.qlIntegralTenorBasisIntegrate($M$11,R65)</f>
        <v>6.6859476230111947E-4</v>
      </c>
      <c r="AA65" s="59">
        <f t="shared" si="18"/>
        <v>1.5871522227309937E-4</v>
      </c>
      <c r="AB65" s="58">
        <f>_xll.qlDayCounterYearFraction(DayCounter,SettlementDate,R65,,,Trigger)</f>
        <v>23.852777777777778</v>
      </c>
      <c r="AC65" s="59">
        <f>_xll.qlAbcdMathFunctionValue($M$28,AB65)</f>
        <v>5.9918776147058878E-4</v>
      </c>
      <c r="AD65" s="59">
        <f t="shared" si="9"/>
        <v>8.9308221442568675E-5</v>
      </c>
      <c r="AE65" s="59">
        <f t="shared" si="19"/>
        <v>1.3521886768018568E-3</v>
      </c>
    </row>
    <row r="66" spans="15:31" x14ac:dyDescent="0.2">
      <c r="O66" s="65">
        <v>6</v>
      </c>
      <c r="P66" s="56" t="str">
        <f>_xll.qlPeriodEquivalent(P65&amp;"+"&amp;O66&amp;"M")</f>
        <v>24Y</v>
      </c>
      <c r="Q66" s="57">
        <f>_xll.qlCalendarAdvance(Calendar,SettlementDate,P66,"f",,Trigger)</f>
        <v>50899</v>
      </c>
      <c r="R66" s="57">
        <f>_xll.qlInterestRateIndexValueDate(Index,Q66,Trigger)</f>
        <v>50901</v>
      </c>
      <c r="S66" s="57">
        <f>_xll.qlInterestRateIndexMaturity(Index,R66,Trigger)</f>
        <v>51085</v>
      </c>
      <c r="T66" s="58">
        <f>_xll.qlDayCounterYearFraction(DayCounter,R66,S66,,,Trigger)</f>
        <v>0.51111111111111107</v>
      </c>
      <c r="U66" s="59">
        <f>_xll.qlIndexFixing(Index,Q66,,AllTriggers)</f>
        <v>1.3872890486749065E-2</v>
      </c>
      <c r="V66" s="60">
        <f>_xll.qlYieldTSDiscount(OisCurve,R66,,AllTriggers)</f>
        <v>0.76237763952056292</v>
      </c>
      <c r="W66" s="60">
        <f>_xll.qlYieldTSDiscount(OisCurve,S66,,AllTriggers)</f>
        <v>0.75721085910199926</v>
      </c>
      <c r="X66" s="59">
        <f t="shared" si="8"/>
        <v>1.3350202375890097E-2</v>
      </c>
      <c r="Y66" s="59">
        <f t="shared" si="17"/>
        <v>5.2268811085896816E-4</v>
      </c>
      <c r="Z66" s="59">
        <f>_xll.qlIntegralTenorBasisIntegrate($M$11,R66)</f>
        <v>6.5732000038729813E-4</v>
      </c>
      <c r="AA66" s="59">
        <f t="shared" si="18"/>
        <v>1.3463188952832997E-4</v>
      </c>
      <c r="AB66" s="58">
        <f>_xll.qlDayCounterYearFraction(DayCounter,SettlementDate,R66,,,Trigger)</f>
        <v>24.358333333333334</v>
      </c>
      <c r="AC66" s="59">
        <f>_xll.qlAbcdMathFunctionValue($M$28,AB66)</f>
        <v>5.7900520748229919E-4</v>
      </c>
      <c r="AD66" s="59">
        <f t="shared" si="9"/>
        <v>5.6317096623331037E-5</v>
      </c>
      <c r="AE66" s="59">
        <f t="shared" si="19"/>
        <v>1.3075831447575161E-3</v>
      </c>
    </row>
    <row r="67" spans="15:31" x14ac:dyDescent="0.2">
      <c r="O67" s="65">
        <v>6</v>
      </c>
      <c r="P67" s="56" t="str">
        <f>_xll.qlPeriodEquivalent(P66&amp;"+"&amp;O67&amp;"M")</f>
        <v>24Y6M</v>
      </c>
      <c r="Q67" s="57">
        <f>_xll.qlCalendarAdvance(Calendar,SettlementDate,P67,"f",,Trigger)</f>
        <v>51082</v>
      </c>
      <c r="R67" s="57">
        <f>_xll.qlInterestRateIndexValueDate(Index,Q67,Trigger)</f>
        <v>51084</v>
      </c>
      <c r="S67" s="57">
        <f>_xll.qlInterestRateIndexMaturity(Index,R67,Trigger)</f>
        <v>51266</v>
      </c>
      <c r="T67" s="58">
        <f>_xll.qlDayCounterYearFraction(DayCounter,R67,S67,,,Trigger)</f>
        <v>0.50555555555555554</v>
      </c>
      <c r="U67" s="59">
        <f>_xll.qlIndexFixing(Index,Q67,,AllTriggers)</f>
        <v>1.3881449958115171E-2</v>
      </c>
      <c r="V67" s="60">
        <f>_xll.qlYieldTSDiscount(OisCurve,R67,,AllTriggers)</f>
        <v>0.75723882832781886</v>
      </c>
      <c r="W67" s="60">
        <f>_xll.qlYieldTSDiscount(OisCurve,S67,,AllTriggers)</f>
        <v>0.75216635129791753</v>
      </c>
      <c r="X67" s="59">
        <f t="shared" si="8"/>
        <v>1.3339430873028418E-2</v>
      </c>
      <c r="Y67" s="59">
        <f t="shared" ref="Y67:Y98" si="23">U67-X67</f>
        <v>5.420190850867531E-4</v>
      </c>
      <c r="Z67" s="59">
        <f>_xll.qlIntegralTenorBasisIntegrate($M$11,R67)</f>
        <v>6.2943784939483468E-4</v>
      </c>
      <c r="AA67" s="59">
        <f t="shared" ref="AA67:AA98" si="24">(Z67-Y67)</f>
        <v>8.7418764308081582E-5</v>
      </c>
      <c r="AB67" s="58">
        <f>_xll.qlDayCounterYearFraction(DayCounter,SettlementDate,R67,,,Trigger)</f>
        <v>24.866666666666667</v>
      </c>
      <c r="AC67" s="59">
        <f>_xll.qlAbcdMathFunctionValue($M$28,AB67)</f>
        <v>5.5992061559009051E-4</v>
      </c>
      <c r="AD67" s="59">
        <f t="shared" si="9"/>
        <v>1.7901530503337403E-5</v>
      </c>
      <c r="AE67" s="59">
        <f t="shared" ref="AE67:AE98" si="25">($M$50+$M$51*AB67)*EXP(-AB67*$M$52)+$M$53</f>
        <v>1.2651658359664839E-3</v>
      </c>
    </row>
    <row r="68" spans="15:31" x14ac:dyDescent="0.2">
      <c r="O68" s="65">
        <v>6</v>
      </c>
      <c r="P68" s="56" t="str">
        <f>_xll.qlPeriodEquivalent(P67&amp;"+"&amp;O68&amp;"M")</f>
        <v>25Y</v>
      </c>
      <c r="Q68" s="57">
        <f>_xll.qlCalendarAdvance(Calendar,SettlementDate,P68,"f",,Trigger)</f>
        <v>51264</v>
      </c>
      <c r="R68" s="57">
        <f>_xll.qlInterestRateIndexValueDate(Index,Q68,Trigger)</f>
        <v>51266</v>
      </c>
      <c r="S68" s="57">
        <f>_xll.qlInterestRateIndexMaturity(Index,R68,Trigger)</f>
        <v>51452</v>
      </c>
      <c r="T68" s="58">
        <f>_xll.qlDayCounterYearFraction(DayCounter,R68,S68,,,Trigger)</f>
        <v>0.51666666666666672</v>
      </c>
      <c r="U68" s="59">
        <f>_xll.qlIndexFixing(Index,Q68,,AllTriggers)</f>
        <v>1.3909568569078963E-2</v>
      </c>
      <c r="V68" s="60">
        <f>_xll.qlYieldTSDiscount(OisCurve,R68,,AllTriggers)</f>
        <v>0.75216635129791753</v>
      </c>
      <c r="W68" s="60">
        <f>_xll.qlYieldTSDiscount(OisCurve,S68,,AllTriggers)</f>
        <v>0.74701620743212771</v>
      </c>
      <c r="X68" s="59">
        <f t="shared" ref="X68:X131" si="26">(V68/W68-1)/T68</f>
        <v>1.334378061175516E-2</v>
      </c>
      <c r="Y68" s="59">
        <f t="shared" si="23"/>
        <v>5.6578795732380345E-4</v>
      </c>
      <c r="Z68" s="59">
        <f t="shared" ref="Z68:Z131" si="27">_xll.qlIntegralTenorBasisIntegrate($M$11,R68)</f>
        <v>6.2303274667932312E-4</v>
      </c>
      <c r="AA68" s="59">
        <f t="shared" si="24"/>
        <v>5.7244789355519665E-5</v>
      </c>
      <c r="AB68" s="58">
        <f>_xll.qlDayCounterYearFraction(DayCounter,SettlementDate,R68,,,Trigger)</f>
        <v>25.372222222222224</v>
      </c>
      <c r="AC68" s="59">
        <f>_xll.qlAbcdMathFunctionValue($M$28,AB68)</f>
        <v>5.4208150815330928E-4</v>
      </c>
      <c r="AD68" s="59">
        <f t="shared" ref="AD68:AD131" si="28">(AC68-Y68)</f>
        <v>-2.3706449170494167E-5</v>
      </c>
      <c r="AE68" s="59">
        <f t="shared" si="25"/>
        <v>1.2252936897599958E-3</v>
      </c>
    </row>
    <row r="69" spans="15:31" x14ac:dyDescent="0.2">
      <c r="O69" s="65">
        <v>6</v>
      </c>
      <c r="P69" s="56" t="str">
        <f>_xll.qlPeriodEquivalent(P68&amp;"+"&amp;O69&amp;"M")</f>
        <v>25Y6M</v>
      </c>
      <c r="Q69" s="57">
        <f>_xll.qlCalendarAdvance(Calendar,SettlementDate,P69,"f",,Trigger)</f>
        <v>51448</v>
      </c>
      <c r="R69" s="57">
        <f>_xll.qlInterestRateIndexValueDate(Index,Q69,Trigger)</f>
        <v>51452</v>
      </c>
      <c r="S69" s="57">
        <f>_xll.qlInterestRateIndexMaturity(Index,R69,Trigger)</f>
        <v>51634</v>
      </c>
      <c r="T69" s="58">
        <f>_xll.qlDayCounterYearFraction(DayCounter,R69,S69,,,Trigger)</f>
        <v>0.50555555555555554</v>
      </c>
      <c r="U69" s="59">
        <f>_xll.qlIndexFixing(Index,Q69,,AllTriggers)</f>
        <v>1.3934853404030265E-2</v>
      </c>
      <c r="V69" s="60">
        <f>_xll.qlYieldTSDiscount(OisCurve,R69,,AllTriggers)</f>
        <v>0.74701620743212771</v>
      </c>
      <c r="W69" s="60">
        <f>_xll.qlYieldTSDiscount(OisCurve,S69,,AllTriggers)</f>
        <v>0.74200763359538369</v>
      </c>
      <c r="X69" s="59">
        <f t="shared" si="26"/>
        <v>1.3351707824919562E-2</v>
      </c>
      <c r="Y69" s="59">
        <f t="shared" si="23"/>
        <v>5.8314557911070229E-4</v>
      </c>
      <c r="Z69" s="59">
        <f t="shared" si="27"/>
        <v>5.9093767474373326E-4</v>
      </c>
      <c r="AA69" s="59">
        <f t="shared" si="24"/>
        <v>7.7920956330309633E-6</v>
      </c>
      <c r="AB69" s="58">
        <f>_xll.qlDayCounterYearFraction(DayCounter,SettlementDate,R69,,,Trigger)</f>
        <v>25.888888888888889</v>
      </c>
      <c r="AC69" s="59">
        <f>_xll.qlAbcdMathFunctionValue($M$28,AB69)</f>
        <v>5.2496481666087515E-4</v>
      </c>
      <c r="AD69" s="59">
        <f t="shared" si="28"/>
        <v>-5.818076244982714E-5</v>
      </c>
      <c r="AE69" s="59">
        <f t="shared" si="25"/>
        <v>1.1868202563628883E-3</v>
      </c>
    </row>
    <row r="70" spans="15:31" x14ac:dyDescent="0.2">
      <c r="O70" s="65">
        <v>6</v>
      </c>
      <c r="P70" s="56" t="str">
        <f>_xll.qlPeriodEquivalent(P69&amp;"+"&amp;O70&amp;"M")</f>
        <v>26Y</v>
      </c>
      <c r="Q70" s="57">
        <f>_xll.qlCalendarAdvance(Calendar,SettlementDate,P70,"f",,Trigger)</f>
        <v>51629</v>
      </c>
      <c r="R70" s="57">
        <f>_xll.qlInterestRateIndexValueDate(Index,Q70,Trigger)</f>
        <v>51631</v>
      </c>
      <c r="S70" s="57">
        <f>_xll.qlInterestRateIndexMaturity(Index,R70,Trigger)</f>
        <v>51816</v>
      </c>
      <c r="T70" s="58">
        <f>_xll.qlDayCounterYearFraction(DayCounter,R70,S70,,,Trigger)</f>
        <v>0.51388888888888884</v>
      </c>
      <c r="U70" s="59">
        <f>_xll.qlIndexFixing(Index,Q70,,AllTriggers)</f>
        <v>1.3956531273850296E-2</v>
      </c>
      <c r="V70" s="60">
        <f>_xll.qlYieldTSDiscount(OisCurve,R70,,AllTriggers)</f>
        <v>0.74208995345435336</v>
      </c>
      <c r="W70" s="60">
        <f>_xll.qlYieldTSDiscount(OisCurve,S70,,AllTriggers)</f>
        <v>0.73702805891119771</v>
      </c>
      <c r="X70" s="59">
        <f t="shared" si="26"/>
        <v>1.3364719356290222E-2</v>
      </c>
      <c r="Y70" s="59">
        <f t="shared" si="23"/>
        <v>5.9181191756007417E-4</v>
      </c>
      <c r="Z70" s="59">
        <f t="shared" si="27"/>
        <v>5.830844778525094E-4</v>
      </c>
      <c r="AA70" s="59">
        <f t="shared" si="24"/>
        <v>-8.7274397075647785E-6</v>
      </c>
      <c r="AB70" s="58">
        <f>_xll.qlDayCounterYearFraction(DayCounter,SettlementDate,R70,,,Trigger)</f>
        <v>26.386111111111113</v>
      </c>
      <c r="AC70" s="59">
        <f>_xll.qlAbcdMathFunctionValue($M$28,AB70)</f>
        <v>5.094999102215835E-4</v>
      </c>
      <c r="AD70" s="59">
        <f t="shared" si="28"/>
        <v>-8.2312007338490676E-5</v>
      </c>
      <c r="AE70" s="59">
        <f t="shared" si="25"/>
        <v>1.151865642731328E-3</v>
      </c>
    </row>
    <row r="71" spans="15:31" x14ac:dyDescent="0.2">
      <c r="O71" s="65">
        <v>6</v>
      </c>
      <c r="P71" s="56" t="str">
        <f>_xll.qlPeriodEquivalent(P70&amp;"+"&amp;O71&amp;"M")</f>
        <v>26Y6M</v>
      </c>
      <c r="Q71" s="57">
        <f>_xll.qlCalendarAdvance(Calendar,SettlementDate,P71,"f",,Trigger)</f>
        <v>51813</v>
      </c>
      <c r="R71" s="57">
        <f>_xll.qlInterestRateIndexValueDate(Index,Q71,Trigger)</f>
        <v>51817</v>
      </c>
      <c r="S71" s="57">
        <f>_xll.qlInterestRateIndexMaturity(Index,R71,Trigger)</f>
        <v>51998</v>
      </c>
      <c r="T71" s="58">
        <f>_xll.qlDayCounterYearFraction(DayCounter,R71,S71,,,Trigger)</f>
        <v>0.50277777777777777</v>
      </c>
      <c r="U71" s="59">
        <f>_xll.qlIndexFixing(Index,Q71,,AllTriggers)</f>
        <v>1.3971672281285461E-2</v>
      </c>
      <c r="V71" s="60">
        <f>_xll.qlYieldTSDiscount(OisCurve,R71,,AllTriggers)</f>
        <v>0.73700077605329883</v>
      </c>
      <c r="W71" s="60">
        <f>_xll.qlYieldTSDiscount(OisCurve,S71,,AllTriggers)</f>
        <v>0.73207605002978782</v>
      </c>
      <c r="X71" s="59">
        <f t="shared" si="26"/>
        <v>1.337980553316169E-2</v>
      </c>
      <c r="Y71" s="59">
        <f t="shared" si="23"/>
        <v>5.9186674812377119E-4</v>
      </c>
      <c r="Z71" s="59">
        <f t="shared" si="27"/>
        <v>5.5391981590458624E-4</v>
      </c>
      <c r="AA71" s="59">
        <f t="shared" si="24"/>
        <v>-3.7946932219184949E-5</v>
      </c>
      <c r="AB71" s="58">
        <f>_xll.qlDayCounterYearFraction(DayCounter,SettlementDate,R71,,,Trigger)</f>
        <v>26.902777777777779</v>
      </c>
      <c r="AC71" s="59">
        <f>_xll.qlAbcdMathFunctionValue($M$28,AB71)</f>
        <v>4.9442057737704957E-4</v>
      </c>
      <c r="AD71" s="59">
        <f t="shared" si="28"/>
        <v>-9.7446170746721614E-5</v>
      </c>
      <c r="AE71" s="59">
        <f t="shared" si="25"/>
        <v>1.1175932764015571E-3</v>
      </c>
    </row>
    <row r="72" spans="15:31" x14ac:dyDescent="0.2">
      <c r="O72" s="65">
        <v>6</v>
      </c>
      <c r="P72" s="56" t="str">
        <f>_xll.qlPeriodEquivalent(P71&amp;"+"&amp;O72&amp;"M")</f>
        <v>27Y</v>
      </c>
      <c r="Q72" s="57">
        <f>_xll.qlCalendarAdvance(Calendar,SettlementDate,P72,"f",,Trigger)</f>
        <v>51994</v>
      </c>
      <c r="R72" s="57">
        <f>_xll.qlInterestRateIndexValueDate(Index,Q72,Trigger)</f>
        <v>51998</v>
      </c>
      <c r="S72" s="57">
        <f>_xll.qlInterestRateIndexMaturity(Index,R72,Trigger)</f>
        <v>52182</v>
      </c>
      <c r="T72" s="58">
        <f>_xll.qlDayCounterYearFraction(DayCounter,R72,S72,,,Trigger)</f>
        <v>0.51111111111111107</v>
      </c>
      <c r="U72" s="59">
        <f>_xll.qlIndexFixing(Index,Q72,,AllTriggers)</f>
        <v>1.3983503078461664E-2</v>
      </c>
      <c r="V72" s="60">
        <f>_xll.qlYieldTSDiscount(OisCurve,R72,,AllTriggers)</f>
        <v>0.73207605002978782</v>
      </c>
      <c r="W72" s="60">
        <f>_xll.qlYieldTSDiscount(OisCurve,S72,,AllTriggers)</f>
        <v>0.72709621907367661</v>
      </c>
      <c r="X72" s="59">
        <f t="shared" si="26"/>
        <v>1.3400080026876027E-2</v>
      </c>
      <c r="Y72" s="59">
        <f t="shared" si="23"/>
        <v>5.8342305158563638E-4</v>
      </c>
      <c r="Z72" s="59">
        <f t="shared" si="27"/>
        <v>5.4736685415509028E-4</v>
      </c>
      <c r="AA72" s="59">
        <f t="shared" si="24"/>
        <v>-3.6056197430546109E-5</v>
      </c>
      <c r="AB72" s="58">
        <f>_xll.qlDayCounterYearFraction(DayCounter,SettlementDate,R72,,,Trigger)</f>
        <v>27.405555555555555</v>
      </c>
      <c r="AC72" s="59">
        <f>_xll.qlAbcdMathFunctionValue($M$28,AB72)</f>
        <v>4.8066279157080432E-4</v>
      </c>
      <c r="AD72" s="59">
        <f t="shared" si="28"/>
        <v>-1.0276026001483207E-4</v>
      </c>
      <c r="AE72" s="59">
        <f t="shared" si="25"/>
        <v>1.086150474243018E-3</v>
      </c>
    </row>
    <row r="73" spans="15:31" x14ac:dyDescent="0.2">
      <c r="O73" s="65">
        <v>6</v>
      </c>
      <c r="P73" s="56" t="str">
        <f>_xll.qlPeriodEquivalent(P72&amp;"+"&amp;O73&amp;"M")</f>
        <v>27Y6M</v>
      </c>
      <c r="Q73" s="57">
        <f>_xll.qlCalendarAdvance(Calendar,SettlementDate,P73,"f",,Trigger)</f>
        <v>52180</v>
      </c>
      <c r="R73" s="57">
        <f>_xll.qlInterestRateIndexValueDate(Index,Q73,Trigger)</f>
        <v>52182</v>
      </c>
      <c r="S73" s="57">
        <f>_xll.qlInterestRateIndexMaturity(Index,R73,Trigger)</f>
        <v>52363</v>
      </c>
      <c r="T73" s="58">
        <f>_xll.qlDayCounterYearFraction(DayCounter,R73,S73,,,Trigger)</f>
        <v>0.50277777777777777</v>
      </c>
      <c r="U73" s="59">
        <f>_xll.qlIndexFixing(Index,Q73,,AllTriggers)</f>
        <v>1.398868849339157E-2</v>
      </c>
      <c r="V73" s="60">
        <f>_xll.qlYieldTSDiscount(OisCurve,R73,,AllTriggers)</f>
        <v>0.72709621907367661</v>
      </c>
      <c r="W73" s="60">
        <f>_xll.qlYieldTSDiscount(OisCurve,S73,,AllTriggers)</f>
        <v>0.7222223097942686</v>
      </c>
      <c r="X73" s="59">
        <f t="shared" si="26"/>
        <v>1.3422408967709409E-2</v>
      </c>
      <c r="Y73" s="59">
        <f t="shared" si="23"/>
        <v>5.6627952568216039E-4</v>
      </c>
      <c r="Z73" s="59">
        <f t="shared" si="27"/>
        <v>5.238539188846446E-4</v>
      </c>
      <c r="AA73" s="59">
        <f t="shared" si="24"/>
        <v>-4.2425606797515786E-5</v>
      </c>
      <c r="AB73" s="58">
        <f>_xll.qlDayCounterYearFraction(DayCounter,SettlementDate,R73,,,Trigger)</f>
        <v>27.916666666666668</v>
      </c>
      <c r="AC73" s="59">
        <f>_xll.qlAbcdMathFunctionValue($M$28,AB73)</f>
        <v>4.6755157313340594E-4</v>
      </c>
      <c r="AD73" s="59">
        <f t="shared" si="28"/>
        <v>-9.8727952548754451E-5</v>
      </c>
      <c r="AE73" s="59">
        <f t="shared" si="25"/>
        <v>1.0560201365647833E-3</v>
      </c>
    </row>
    <row r="74" spans="15:31" x14ac:dyDescent="0.2">
      <c r="O74" s="65">
        <v>6</v>
      </c>
      <c r="P74" s="56" t="str">
        <f>_xll.qlPeriodEquivalent(P73&amp;"+"&amp;O74&amp;"M")</f>
        <v>28Y</v>
      </c>
      <c r="Q74" s="57">
        <f>_xll.qlCalendarAdvance(Calendar,SettlementDate,P74,"f",,Trigger)</f>
        <v>52359</v>
      </c>
      <c r="R74" s="57">
        <f>_xll.qlInterestRateIndexValueDate(Index,Q74,Trigger)</f>
        <v>52363</v>
      </c>
      <c r="S74" s="57">
        <f>_xll.qlInterestRateIndexMaturity(Index,R74,Trigger)</f>
        <v>52547</v>
      </c>
      <c r="T74" s="58">
        <f>_xll.qlDayCounterYearFraction(DayCounter,R74,S74,,,Trigger)</f>
        <v>0.51111111111111107</v>
      </c>
      <c r="U74" s="59">
        <f>_xll.qlIndexFixing(Index,Q74,,AllTriggers)</f>
        <v>1.3990452816579697E-2</v>
      </c>
      <c r="V74" s="60">
        <f>_xll.qlYieldTSDiscount(OisCurve,R74,,AllTriggers)</f>
        <v>0.7222223097942686</v>
      </c>
      <c r="W74" s="60">
        <f>_xll.qlYieldTSDiscount(OisCurve,S74,,AllTriggers)</f>
        <v>0.71729140201594654</v>
      </c>
      <c r="X74" s="59">
        <f t="shared" si="26"/>
        <v>1.3449803294477619E-2</v>
      </c>
      <c r="Y74" s="59">
        <f t="shared" si="23"/>
        <v>5.4064952210207753E-4</v>
      </c>
      <c r="Z74" s="59">
        <f t="shared" si="27"/>
        <v>5.185690217617805E-4</v>
      </c>
      <c r="AA74" s="59">
        <f t="shared" si="24"/>
        <v>-2.2080500340297031E-5</v>
      </c>
      <c r="AB74" s="58">
        <f>_xll.qlDayCounterYearFraction(DayCounter,SettlementDate,R74,,,Trigger)</f>
        <v>28.419444444444444</v>
      </c>
      <c r="AC74" s="59">
        <f>_xll.qlAbcdMathFunctionValue($M$28,AB74)</f>
        <v>4.5546620740764354E-4</v>
      </c>
      <c r="AD74" s="59">
        <f t="shared" si="28"/>
        <v>-8.5183314694433992E-5</v>
      </c>
      <c r="AE74" s="59">
        <f t="shared" si="25"/>
        <v>1.0280945620567976E-3</v>
      </c>
    </row>
    <row r="75" spans="15:31" x14ac:dyDescent="0.2">
      <c r="O75" s="65">
        <v>6</v>
      </c>
      <c r="P75" s="56" t="str">
        <f>_xll.qlPeriodEquivalent(P74&amp;"+"&amp;O75&amp;"M")</f>
        <v>28Y6M</v>
      </c>
      <c r="Q75" s="57">
        <f>_xll.qlCalendarAdvance(Calendar,SettlementDate,P75,"f",,Trigger)</f>
        <v>52544</v>
      </c>
      <c r="R75" s="57">
        <f>_xll.qlInterestRateIndexValueDate(Index,Q75,Trigger)</f>
        <v>52546</v>
      </c>
      <c r="S75" s="57">
        <f>_xll.qlInterestRateIndexMaturity(Index,R75,Trigger)</f>
        <v>52728</v>
      </c>
      <c r="T75" s="58">
        <f>_xll.qlDayCounterYearFraction(DayCounter,R75,S75,,,Trigger)</f>
        <v>0.50555555555555554</v>
      </c>
      <c r="U75" s="59">
        <f>_xll.qlIndexFixing(Index,Q75,,AllTriggers)</f>
        <v>1.398585687975267E-2</v>
      </c>
      <c r="V75" s="60">
        <f>_xll.qlYieldTSDiscount(OisCurve,R75,,AllTriggers)</f>
        <v>0.71731813801800315</v>
      </c>
      <c r="W75" s="60">
        <f>_xll.qlYieldTSDiscount(OisCurve,S75,,AllTriggers)</f>
        <v>0.71246299543927383</v>
      </c>
      <c r="X75" s="59">
        <f t="shared" si="26"/>
        <v>1.3479407055008726E-2</v>
      </c>
      <c r="Y75" s="59">
        <f t="shared" si="23"/>
        <v>5.0644982474394411E-4</v>
      </c>
      <c r="Z75" s="59">
        <f t="shared" si="27"/>
        <v>4.9995670362068415E-4</v>
      </c>
      <c r="AA75" s="59">
        <f t="shared" si="24"/>
        <v>-6.4931211232599614E-6</v>
      </c>
      <c r="AB75" s="58">
        <f>_xll.qlDayCounterYearFraction(DayCounter,SettlementDate,R75,,,Trigger)</f>
        <v>28.927777777777777</v>
      </c>
      <c r="AC75" s="59">
        <f>_xll.qlAbcdMathFunctionValue($M$28,AB75)</f>
        <v>4.4401942553787006E-4</v>
      </c>
      <c r="AD75" s="59">
        <f t="shared" si="28"/>
        <v>-6.2430399206074051E-5</v>
      </c>
      <c r="AE75" s="59">
        <f t="shared" si="25"/>
        <v>1.001500009995677E-3</v>
      </c>
    </row>
    <row r="76" spans="15:31" x14ac:dyDescent="0.2">
      <c r="O76" s="65">
        <v>6</v>
      </c>
      <c r="P76" s="56" t="str">
        <f>_xll.qlPeriodEquivalent(P75&amp;"+"&amp;O76&amp;"M")</f>
        <v>29Y</v>
      </c>
      <c r="Q76" s="57">
        <f>_xll.qlCalendarAdvance(Calendar,SettlementDate,P76,"f",,Trigger)</f>
        <v>52726</v>
      </c>
      <c r="R76" s="57">
        <f>_xll.qlInterestRateIndexValueDate(Index,Q76,Trigger)</f>
        <v>52728</v>
      </c>
      <c r="S76" s="57">
        <f>_xll.qlInterestRateIndexMaturity(Index,R76,Trigger)</f>
        <v>52912</v>
      </c>
      <c r="T76" s="58">
        <f>_xll.qlDayCounterYearFraction(DayCounter,R76,S76,,,Trigger)</f>
        <v>0.51111111111111107</v>
      </c>
      <c r="U76" s="59">
        <f>_xll.qlIndexFixing(Index,Q76,,AllTriggers)</f>
        <v>1.3977265573024726E-2</v>
      </c>
      <c r="V76" s="60">
        <f>_xll.qlYieldTSDiscount(OisCurve,R76,,AllTriggers)</f>
        <v>0.71246299543927383</v>
      </c>
      <c r="W76" s="60">
        <f>_xll.qlYieldTSDiscount(OisCurve,S76,,AllTriggers)</f>
        <v>0.70757574735233042</v>
      </c>
      <c r="X76" s="59">
        <f t="shared" si="26"/>
        <v>1.3513757590488819E-2</v>
      </c>
      <c r="Y76" s="59">
        <f t="shared" si="23"/>
        <v>4.6350798253590696E-4</v>
      </c>
      <c r="Z76" s="59">
        <f t="shared" si="27"/>
        <v>4.930376516437524E-4</v>
      </c>
      <c r="AA76" s="59">
        <f t="shared" si="24"/>
        <v>2.9529669107845446E-5</v>
      </c>
      <c r="AB76" s="58">
        <f>_xll.qlDayCounterYearFraction(DayCounter,SettlementDate,R76,,,Trigger)</f>
        <v>29.433333333333334</v>
      </c>
      <c r="AC76" s="59">
        <f>_xll.qlAbcdMathFunctionValue($M$28,AB76)</f>
        <v>4.3336093872217631E-4</v>
      </c>
      <c r="AD76" s="59">
        <f t="shared" si="28"/>
        <v>-3.0147043813730646E-5</v>
      </c>
      <c r="AE76" s="59">
        <f t="shared" si="25"/>
        <v>9.7660158290721003E-4</v>
      </c>
    </row>
    <row r="77" spans="15:31" x14ac:dyDescent="0.2">
      <c r="O77" s="65">
        <v>6</v>
      </c>
      <c r="P77" s="56" t="str">
        <f>_xll.qlPeriodEquivalent(P76&amp;"+"&amp;O77&amp;"M")</f>
        <v>29Y6M</v>
      </c>
      <c r="Q77" s="57">
        <f>_xll.qlCalendarAdvance(Calendar,SettlementDate,P77,"f",,Trigger)</f>
        <v>52909</v>
      </c>
      <c r="R77" s="57">
        <f>_xll.qlInterestRateIndexValueDate(Index,Q77,Trigger)</f>
        <v>52911</v>
      </c>
      <c r="S77" s="57">
        <f>_xll.qlInterestRateIndexMaturity(Index,R77,Trigger)</f>
        <v>53092</v>
      </c>
      <c r="T77" s="58">
        <f>_xll.qlDayCounterYearFraction(DayCounter,R77,S77,,,Trigger)</f>
        <v>0.50277777777777777</v>
      </c>
      <c r="U77" s="59">
        <f>_xll.qlIndexFixing(Index,Q77,,AllTriggers)</f>
        <v>1.3962408380383822E-2</v>
      </c>
      <c r="V77" s="60">
        <f>_xll.qlYieldTSDiscount(OisCurve,R77,,AllTriggers)</f>
        <v>0.70760225302667445</v>
      </c>
      <c r="W77" s="60">
        <f>_xll.qlYieldTSDiscount(OisCurve,S77,,AllTriggers)</f>
        <v>0.70281420205639789</v>
      </c>
      <c r="X77" s="59">
        <f t="shared" si="26"/>
        <v>1.355008944345916E-2</v>
      </c>
      <c r="Y77" s="59">
        <f t="shared" si="23"/>
        <v>4.1231893692466291E-4</v>
      </c>
      <c r="Z77" s="59">
        <f t="shared" si="27"/>
        <v>4.7360287523340035E-4</v>
      </c>
      <c r="AA77" s="59">
        <f t="shared" si="24"/>
        <v>6.1283938308737433E-5</v>
      </c>
      <c r="AB77" s="58">
        <f>_xll.qlDayCounterYearFraction(DayCounter,SettlementDate,R77,,,Trigger)</f>
        <v>29.941666666666666</v>
      </c>
      <c r="AC77" s="59">
        <f>_xll.qlAbcdMathFunctionValue($M$28,AB77)</f>
        <v>4.2333104263632876E-4</v>
      </c>
      <c r="AD77" s="59">
        <f t="shared" si="28"/>
        <v>1.1012105711665843E-5</v>
      </c>
      <c r="AE77" s="59">
        <f t="shared" si="25"/>
        <v>9.5304386558249E-4</v>
      </c>
    </row>
    <row r="78" spans="15:31" x14ac:dyDescent="0.2">
      <c r="O78" s="65">
        <v>6</v>
      </c>
      <c r="P78" s="56" t="str">
        <f>_xll.qlPeriodEquivalent(P77&amp;"+"&amp;O78&amp;"M")</f>
        <v>30Y</v>
      </c>
      <c r="Q78" s="57">
        <f>_xll.qlCalendarAdvance(Calendar,SettlementDate,P78,"f",,Trigger)</f>
        <v>53090</v>
      </c>
      <c r="R78" s="57">
        <f>_xll.qlInterestRateIndexValueDate(Index,Q78,Trigger)</f>
        <v>53092</v>
      </c>
      <c r="S78" s="57">
        <f>_xll.qlInterestRateIndexMaturity(Index,R78,Trigger)</f>
        <v>53276</v>
      </c>
      <c r="T78" s="58">
        <f>_xll.qlDayCounterYearFraction(DayCounter,R78,S78,,,Trigger)</f>
        <v>0.51111111111111107</v>
      </c>
      <c r="U78" s="59">
        <f>_xll.qlIndexFixing(Index,Q78,,AllTriggers)</f>
        <v>1.3944303088451135E-2</v>
      </c>
      <c r="V78" s="60">
        <f>_xll.qlYieldTSDiscount(OisCurve,R78,,AllTriggers)</f>
        <v>0.70281420205639789</v>
      </c>
      <c r="W78" s="60">
        <f>_xll.qlYieldTSDiscount(OisCurve,S78,,AllTriggers)</f>
        <v>0.69796666967170229</v>
      </c>
      <c r="X78" s="59">
        <f t="shared" si="26"/>
        <v>1.3588474785274411E-2</v>
      </c>
      <c r="Y78" s="59">
        <f t="shared" si="23"/>
        <v>3.5582830317672405E-4</v>
      </c>
      <c r="Z78" s="59">
        <f t="shared" si="27"/>
        <v>4.7049769926482189E-4</v>
      </c>
      <c r="AA78" s="59">
        <f t="shared" si="24"/>
        <v>1.1466939608809784E-4</v>
      </c>
      <c r="AB78" s="58">
        <f>_xll.qlDayCounterYearFraction(DayCounter,SettlementDate,R78,,,Trigger)</f>
        <v>30.444444444444443</v>
      </c>
      <c r="AC78" s="59">
        <f>_xll.qlAbcdMathFunctionValue($M$28,AB78)</f>
        <v>4.1404872060282196E-4</v>
      </c>
      <c r="AD78" s="59">
        <f t="shared" si="28"/>
        <v>5.8220417426097914E-5</v>
      </c>
      <c r="AE78" s="59">
        <f t="shared" si="25"/>
        <v>9.3112380403497863E-4</v>
      </c>
    </row>
    <row r="79" spans="15:31" x14ac:dyDescent="0.2">
      <c r="O79" s="65">
        <v>6</v>
      </c>
      <c r="P79" s="56" t="str">
        <f>_xll.qlPeriodEquivalent(P78&amp;"+"&amp;O79&amp;"M")</f>
        <v>30Y6M</v>
      </c>
      <c r="Q79" s="57">
        <f>_xll.qlCalendarAdvance(Calendar,SettlementDate,P79,"f",,Trigger)</f>
        <v>53274</v>
      </c>
      <c r="R79" s="57">
        <f>_xll.qlInterestRateIndexValueDate(Index,Q79,Trigger)</f>
        <v>53276</v>
      </c>
      <c r="S79" s="57">
        <f>_xll.qlInterestRateIndexMaturity(Index,R79,Trigger)</f>
        <v>53457</v>
      </c>
      <c r="T79" s="58">
        <f>_xll.qlDayCounterYearFraction(DayCounter,R79,S79,,,Trigger)</f>
        <v>0.50277777777777777</v>
      </c>
      <c r="U79" s="59">
        <f>_xll.qlIndexFixing(Index,Q79,,AllTriggers)</f>
        <v>1.3920723971931991E-2</v>
      </c>
      <c r="V79" s="60">
        <f>_xll.qlYieldTSDiscount(OisCurve,R79,,AllTriggers)</f>
        <v>0.69796666967170229</v>
      </c>
      <c r="W79" s="60">
        <f>_xll.qlYieldTSDiscount(OisCurve,S79,,AllTriggers)</f>
        <v>0.69322191342407102</v>
      </c>
      <c r="X79" s="59">
        <f t="shared" si="26"/>
        <v>1.3613366898370376E-2</v>
      </c>
      <c r="Y79" s="59">
        <f t="shared" si="23"/>
        <v>3.0735707356161455E-4</v>
      </c>
      <c r="Z79" s="59">
        <f t="shared" si="27"/>
        <v>4.5269418811193197E-4</v>
      </c>
      <c r="AA79" s="59">
        <f t="shared" si="24"/>
        <v>1.4533711455031741E-4</v>
      </c>
      <c r="AB79" s="58">
        <f>_xll.qlDayCounterYearFraction(DayCounter,SettlementDate,R79,,,Trigger)</f>
        <v>30.955555555555556</v>
      </c>
      <c r="AC79" s="59">
        <f>_xll.qlAbcdMathFunctionValue($M$28,AB79)</f>
        <v>4.0522413596115806E-4</v>
      </c>
      <c r="AD79" s="59">
        <f t="shared" si="28"/>
        <v>9.7867062399543503E-5</v>
      </c>
      <c r="AE79" s="59">
        <f t="shared" si="25"/>
        <v>9.1017168990345184E-4</v>
      </c>
    </row>
    <row r="80" spans="15:31" x14ac:dyDescent="0.2">
      <c r="O80" s="65">
        <v>6</v>
      </c>
      <c r="P80" s="56" t="str">
        <f>_xll.qlPeriodEquivalent(P79&amp;"+"&amp;O80&amp;"M")</f>
        <v>31Y</v>
      </c>
      <c r="Q80" s="57">
        <f>_xll.qlCalendarAdvance(Calendar,SettlementDate,P80,"f",,Trigger)</f>
        <v>53455</v>
      </c>
      <c r="R80" s="57">
        <f>_xll.qlInterestRateIndexValueDate(Index,Q80,Trigger)</f>
        <v>53457</v>
      </c>
      <c r="S80" s="57">
        <f>_xll.qlInterestRateIndexMaturity(Index,R80,Trigger)</f>
        <v>53643</v>
      </c>
      <c r="T80" s="58">
        <f>_xll.qlDayCounterYearFraction(DayCounter,R80,S80,,,Trigger)</f>
        <v>0.51666666666666672</v>
      </c>
      <c r="U80" s="59">
        <f>_xll.qlIndexFixing(Index,Q80,,AllTriggers)</f>
        <v>1.3895474959073043E-2</v>
      </c>
      <c r="V80" s="60">
        <f>_xll.qlYieldTSDiscount(OisCurve,R80,,AllTriggers)</f>
        <v>0.69322191342407102</v>
      </c>
      <c r="W80" s="60">
        <f>_xll.qlYieldTSDiscount(OisCurve,S80,,AllTriggers)</f>
        <v>0.68837591133764786</v>
      </c>
      <c r="X80" s="59">
        <f t="shared" si="26"/>
        <v>1.3625344412070237E-2</v>
      </c>
      <c r="Y80" s="59">
        <f t="shared" si="23"/>
        <v>2.7013054700280627E-4</v>
      </c>
      <c r="Z80" s="59">
        <f t="shared" si="27"/>
        <v>4.5536495924842769E-4</v>
      </c>
      <c r="AA80" s="59">
        <f t="shared" si="24"/>
        <v>1.8523441224562142E-4</v>
      </c>
      <c r="AB80" s="58">
        <f>_xll.qlDayCounterYearFraction(DayCounter,SettlementDate,R80,,,Trigger)</f>
        <v>31.458333333333332</v>
      </c>
      <c r="AC80" s="59">
        <f>_xll.qlAbcdMathFunctionValue($M$28,AB80)</f>
        <v>3.9710901337090354E-4</v>
      </c>
      <c r="AD80" s="59">
        <f t="shared" si="28"/>
        <v>1.2697846636809727E-4</v>
      </c>
      <c r="AE80" s="59">
        <f t="shared" si="25"/>
        <v>8.9079977371784354E-4</v>
      </c>
    </row>
    <row r="81" spans="15:31" x14ac:dyDescent="0.2">
      <c r="O81" s="65">
        <v>6</v>
      </c>
      <c r="P81" s="56" t="str">
        <f>_xll.qlPeriodEquivalent(P80&amp;"+"&amp;O81&amp;"M")</f>
        <v>31Y6M</v>
      </c>
      <c r="Q81" s="57">
        <f>_xll.qlCalendarAdvance(Calendar,SettlementDate,P81,"f",,Trigger)</f>
        <v>53639</v>
      </c>
      <c r="R81" s="57">
        <f>_xll.qlInterestRateIndexValueDate(Index,Q81,Trigger)</f>
        <v>53643</v>
      </c>
      <c r="S81" s="57">
        <f>_xll.qlInterestRateIndexMaturity(Index,R81,Trigger)</f>
        <v>53825</v>
      </c>
      <c r="T81" s="58">
        <f>_xll.qlDayCounterYearFraction(DayCounter,R81,S81,,,Trigger)</f>
        <v>0.50555555555555554</v>
      </c>
      <c r="U81" s="59">
        <f>_xll.qlIndexFixing(Index,Q81,,AllTriggers)</f>
        <v>1.3864057270209004E-2</v>
      </c>
      <c r="V81" s="60">
        <f>_xll.qlYieldTSDiscount(OisCurve,R81,,AllTriggers)</f>
        <v>0.68837591133764786</v>
      </c>
      <c r="W81" s="60">
        <f>_xll.qlYieldTSDiscount(OisCurve,S81,,AllTriggers)</f>
        <v>0.68366841905511988</v>
      </c>
      <c r="X81" s="59">
        <f t="shared" si="26"/>
        <v>1.3619940510164769E-2</v>
      </c>
      <c r="Y81" s="59">
        <f t="shared" si="23"/>
        <v>2.4411676004423496E-4</v>
      </c>
      <c r="Z81" s="59">
        <f t="shared" si="27"/>
        <v>4.3650895661667905E-4</v>
      </c>
      <c r="AA81" s="59">
        <f t="shared" si="24"/>
        <v>1.9239219657244408E-4</v>
      </c>
      <c r="AB81" s="58">
        <f>_xll.qlDayCounterYearFraction(DayCounter,SettlementDate,R81,,,Trigger)</f>
        <v>31.975000000000001</v>
      </c>
      <c r="AC81" s="59">
        <f>_xll.qlAbcdMathFunctionValue($M$28,AB81)</f>
        <v>3.8931848417340649E-4</v>
      </c>
      <c r="AD81" s="59">
        <f t="shared" si="28"/>
        <v>1.4520172412917152E-4</v>
      </c>
      <c r="AE81" s="59">
        <f t="shared" si="25"/>
        <v>8.7210178166467051E-4</v>
      </c>
    </row>
    <row r="82" spans="15:31" x14ac:dyDescent="0.2">
      <c r="O82" s="65">
        <v>6</v>
      </c>
      <c r="P82" s="56" t="str">
        <f>_xll.qlPeriodEquivalent(P81&amp;"+"&amp;O82&amp;"M")</f>
        <v>32Y</v>
      </c>
      <c r="Q82" s="57">
        <f>_xll.qlCalendarAdvance(Calendar,SettlementDate,P82,"f",,Trigger)</f>
        <v>53820</v>
      </c>
      <c r="R82" s="57">
        <f>_xll.qlInterestRateIndexValueDate(Index,Q82,Trigger)</f>
        <v>53822</v>
      </c>
      <c r="S82" s="57">
        <f>_xll.qlInterestRateIndexMaturity(Index,R82,Trigger)</f>
        <v>54007</v>
      </c>
      <c r="T82" s="58">
        <f>_xll.qlDayCounterYearFraction(DayCounter,R82,S82,,,Trigger)</f>
        <v>0.51388888888888884</v>
      </c>
      <c r="U82" s="59">
        <f>_xll.qlIndexFixing(Index,Q82,,AllTriggers)</f>
        <v>1.3831468100470572E-2</v>
      </c>
      <c r="V82" s="60">
        <f>_xll.qlYieldTSDiscount(OisCurve,R82,,AllTriggers)</f>
        <v>0.68374571385796223</v>
      </c>
      <c r="W82" s="60">
        <f>_xll.qlYieldTSDiscount(OisCurve,S82,,AllTriggers)</f>
        <v>0.67899969437000285</v>
      </c>
      <c r="X82" s="59">
        <f t="shared" si="26"/>
        <v>1.3601622296080911E-2</v>
      </c>
      <c r="Y82" s="59">
        <f t="shared" si="23"/>
        <v>2.2984580438966187E-4</v>
      </c>
      <c r="Z82" s="59">
        <f t="shared" si="27"/>
        <v>4.352181725302502E-4</v>
      </c>
      <c r="AA82" s="59">
        <f t="shared" si="24"/>
        <v>2.0537236814058832E-4</v>
      </c>
      <c r="AB82" s="58">
        <f>_xll.qlDayCounterYearFraction(DayCounter,SettlementDate,R82,,,Trigger)</f>
        <v>32.472222222222221</v>
      </c>
      <c r="AC82" s="59">
        <f>_xll.qlAbcdMathFunctionValue($M$28,AB82)</f>
        <v>3.8231437979743647E-4</v>
      </c>
      <c r="AD82" s="59">
        <f t="shared" si="28"/>
        <v>1.524685754077746E-4</v>
      </c>
      <c r="AE82" s="59">
        <f t="shared" si="25"/>
        <v>8.5520067235466508E-4</v>
      </c>
    </row>
    <row r="83" spans="15:31" x14ac:dyDescent="0.2">
      <c r="O83" s="65">
        <v>6</v>
      </c>
      <c r="P83" s="56" t="str">
        <f>_xll.qlPeriodEquivalent(P82&amp;"+"&amp;O83&amp;"M")</f>
        <v>32Y6M</v>
      </c>
      <c r="Q83" s="57">
        <f>_xll.qlCalendarAdvance(Calendar,SettlementDate,P83,"f",,Trigger)</f>
        <v>54004</v>
      </c>
      <c r="R83" s="57">
        <f>_xll.qlInterestRateIndexValueDate(Index,Q83,Trigger)</f>
        <v>54008</v>
      </c>
      <c r="S83" s="57">
        <f>_xll.qlInterestRateIndexMaturity(Index,R83,Trigger)</f>
        <v>54190</v>
      </c>
      <c r="T83" s="58">
        <f>_xll.qlDayCounterYearFraction(DayCounter,R83,S83,,,Trigger)</f>
        <v>0.50555555555555554</v>
      </c>
      <c r="U83" s="59">
        <f>_xll.qlIndexFixing(Index,Q83,,AllTriggers)</f>
        <v>1.379287173545251E-2</v>
      </c>
      <c r="V83" s="60">
        <f>_xll.qlYieldTSDiscount(OisCurve,R83,,AllTriggers)</f>
        <v>0.67897415781797277</v>
      </c>
      <c r="W83" s="60">
        <f>_xll.qlYieldTSDiscount(OisCurve,S83,,AllTriggers)</f>
        <v>0.6743491255198597</v>
      </c>
      <c r="X83" s="59">
        <f t="shared" si="26"/>
        <v>1.356628960952044E-2</v>
      </c>
      <c r="Y83" s="59">
        <f t="shared" si="23"/>
        <v>2.2658212593206981E-4</v>
      </c>
      <c r="Z83" s="59">
        <f t="shared" si="27"/>
        <v>4.2014796513142557E-4</v>
      </c>
      <c r="AA83" s="59">
        <f t="shared" si="24"/>
        <v>1.9356583919935577E-4</v>
      </c>
      <c r="AB83" s="58">
        <f>_xll.qlDayCounterYearFraction(DayCounter,SettlementDate,R83,,,Trigger)</f>
        <v>32.988888888888887</v>
      </c>
      <c r="AC83" s="59">
        <f>_xll.qlAbcdMathFunctionValue($M$28,AB83)</f>
        <v>3.755171383210121E-4</v>
      </c>
      <c r="AD83" s="59">
        <f t="shared" si="28"/>
        <v>1.489350123889423E-4</v>
      </c>
      <c r="AE83" s="59">
        <f t="shared" si="25"/>
        <v>8.3871056949137083E-4</v>
      </c>
    </row>
    <row r="84" spans="15:31" x14ac:dyDescent="0.2">
      <c r="O84" s="65">
        <v>6</v>
      </c>
      <c r="P84" s="56" t="str">
        <f>_xll.qlPeriodEquivalent(P83&amp;"+"&amp;O84&amp;"M")</f>
        <v>33Y</v>
      </c>
      <c r="Q84" s="57">
        <f>_xll.qlCalendarAdvance(Calendar,SettlementDate,P84,"f",,Trigger)</f>
        <v>54186</v>
      </c>
      <c r="R84" s="57">
        <f>_xll.qlInterestRateIndexValueDate(Index,Q84,Trigger)</f>
        <v>54190</v>
      </c>
      <c r="S84" s="57">
        <f>_xll.qlInterestRateIndexMaturity(Index,R84,Trigger)</f>
        <v>54374</v>
      </c>
      <c r="T84" s="58">
        <f>_xll.qlDayCounterYearFraction(DayCounter,R84,S84,,,Trigger)</f>
        <v>0.51111111111111107</v>
      </c>
      <c r="U84" s="59">
        <f>_xll.qlIndexFixing(Index,Q84,,AllTriggers)</f>
        <v>1.3752211707601996E-2</v>
      </c>
      <c r="V84" s="60">
        <f>_xll.qlYieldTSDiscount(OisCurve,R84,,AllTriggers)</f>
        <v>0.6743491255198597</v>
      </c>
      <c r="W84" s="60">
        <f>_xll.qlYieldTSDiscount(OisCurve,S84,,AllTriggers)</f>
        <v>0.66972208528722443</v>
      </c>
      <c r="X84" s="59">
        <f t="shared" si="26"/>
        <v>1.3517405207115824E-2</v>
      </c>
      <c r="Y84" s="59">
        <f t="shared" si="23"/>
        <v>2.348065004861722E-4</v>
      </c>
      <c r="Z84" s="59">
        <f t="shared" si="27"/>
        <v>4.1722860739041722E-4</v>
      </c>
      <c r="AA84" s="59">
        <f t="shared" si="24"/>
        <v>1.8242210690424501E-4</v>
      </c>
      <c r="AB84" s="58">
        <f>_xll.qlDayCounterYearFraction(DayCounter,SettlementDate,R84,,,Trigger)</f>
        <v>33.494444444444447</v>
      </c>
      <c r="AC84" s="59">
        <f>_xll.qlAbcdMathFunctionValue($M$28,AB84)</f>
        <v>3.6931097111884774E-4</v>
      </c>
      <c r="AD84" s="59">
        <f t="shared" si="28"/>
        <v>1.3450447063267554E-4</v>
      </c>
      <c r="AE84" s="59">
        <f t="shared" si="25"/>
        <v>8.2357291637490939E-4</v>
      </c>
    </row>
    <row r="85" spans="15:31" x14ac:dyDescent="0.2">
      <c r="O85" s="65">
        <v>6</v>
      </c>
      <c r="P85" s="56" t="str">
        <f>_xll.qlPeriodEquivalent(P84&amp;"+"&amp;O85&amp;"M")</f>
        <v>33Y6M</v>
      </c>
      <c r="Q85" s="57">
        <f>_xll.qlCalendarAdvance(Calendar,SettlementDate,P85,"f",,Trigger)</f>
        <v>54371</v>
      </c>
      <c r="R85" s="57">
        <f>_xll.qlInterestRateIndexValueDate(Index,Q85,Trigger)</f>
        <v>54373</v>
      </c>
      <c r="S85" s="57">
        <f>_xll.qlInterestRateIndexMaturity(Index,R85,Trigger)</f>
        <v>54554</v>
      </c>
      <c r="T85" s="58">
        <f>_xll.qlDayCounterYearFraction(DayCounter,R85,S85,,,Trigger)</f>
        <v>0.50277777777777777</v>
      </c>
      <c r="U85" s="59">
        <f>_xll.qlIndexFixing(Index,Q85,,AllTriggers)</f>
        <v>1.3706967243721504E-2</v>
      </c>
      <c r="V85" s="60">
        <f>_xll.qlYieldTSDiscount(OisCurve,R85,,AllTriggers)</f>
        <v>0.66974709139026212</v>
      </c>
      <c r="W85" s="60">
        <f>_xll.qlYieldTSDiscount(OisCurve,S85,,AllTriggers)</f>
        <v>0.66524748813160794</v>
      </c>
      <c r="X85" s="59">
        <f t="shared" si="26"/>
        <v>1.3452868750274797E-2</v>
      </c>
      <c r="Y85" s="59">
        <f t="shared" si="23"/>
        <v>2.5409849344670658E-4</v>
      </c>
      <c r="Z85" s="59">
        <f t="shared" si="27"/>
        <v>4.0352583159742396E-4</v>
      </c>
      <c r="AA85" s="59">
        <f t="shared" si="24"/>
        <v>1.4942733815071738E-4</v>
      </c>
      <c r="AB85" s="58">
        <f>_xll.qlDayCounterYearFraction(DayCounter,SettlementDate,R85,,,Trigger)</f>
        <v>34.00277777777778</v>
      </c>
      <c r="AC85" s="59">
        <f>_xll.qlAbcdMathFunctionValue($M$28,AB85)</f>
        <v>3.6348650196661497E-4</v>
      </c>
      <c r="AD85" s="59">
        <f t="shared" si="28"/>
        <v>1.0938800851990839E-4</v>
      </c>
      <c r="AE85" s="59">
        <f t="shared" si="25"/>
        <v>8.0929016380716732E-4</v>
      </c>
    </row>
    <row r="86" spans="15:31" x14ac:dyDescent="0.2">
      <c r="O86" s="65">
        <v>6</v>
      </c>
      <c r="P86" s="56" t="str">
        <f>_xll.qlPeriodEquivalent(P85&amp;"+"&amp;O86&amp;"M")</f>
        <v>34Y</v>
      </c>
      <c r="Q86" s="57">
        <f>_xll.qlCalendarAdvance(Calendar,SettlementDate,P86,"f",,Trigger)</f>
        <v>54553</v>
      </c>
      <c r="R86" s="57">
        <f>_xll.qlInterestRateIndexValueDate(Index,Q86,Trigger)</f>
        <v>54555</v>
      </c>
      <c r="S86" s="57">
        <f>_xll.qlInterestRateIndexMaturity(Index,R86,Trigger)</f>
        <v>54739</v>
      </c>
      <c r="T86" s="58">
        <f>_xll.qlDayCounterYearFraction(DayCounter,R86,S86,,,Trigger)</f>
        <v>0.51111111111111107</v>
      </c>
      <c r="U86" s="59">
        <f>_xll.qlIndexFixing(Index,Q86,,AllTriggers)</f>
        <v>1.3659118211070905E-2</v>
      </c>
      <c r="V86" s="60">
        <f>_xll.qlYieldTSDiscount(OisCurve,R86,,AllTriggers)</f>
        <v>0.66522278038846294</v>
      </c>
      <c r="W86" s="60">
        <f>_xll.qlYieldTSDiscount(OisCurve,S86,,AllTriggers)</f>
        <v>0.66070642777439648</v>
      </c>
      <c r="X86" s="59">
        <f t="shared" si="26"/>
        <v>1.337408219375886E-2</v>
      </c>
      <c r="Y86" s="59">
        <f t="shared" si="23"/>
        <v>2.8503601731204482E-4</v>
      </c>
      <c r="Z86" s="59">
        <f t="shared" si="27"/>
        <v>4.0356343476736573E-4</v>
      </c>
      <c r="AA86" s="59">
        <f t="shared" si="24"/>
        <v>1.1852741745532091E-4</v>
      </c>
      <c r="AB86" s="58">
        <f>_xll.qlDayCounterYearFraction(DayCounter,SettlementDate,R86,,,Trigger)</f>
        <v>34.508333333333333</v>
      </c>
      <c r="AC86" s="59">
        <f>_xll.qlAbcdMathFunctionValue($M$28,AB86)</f>
        <v>3.580813957834852E-4</v>
      </c>
      <c r="AD86" s="59">
        <f t="shared" si="28"/>
        <v>7.3045378471440375E-5</v>
      </c>
      <c r="AE86" s="59">
        <f t="shared" si="25"/>
        <v>7.9596487339009714E-4</v>
      </c>
    </row>
    <row r="87" spans="15:31" x14ac:dyDescent="0.2">
      <c r="O87" s="65">
        <v>6</v>
      </c>
      <c r="P87" s="56" t="str">
        <f>_xll.qlPeriodEquivalent(P86&amp;"+"&amp;O87&amp;"M")</f>
        <v>34Y6M</v>
      </c>
      <c r="Q87" s="57">
        <f>_xll.qlCalendarAdvance(Calendar,SettlementDate,P87,"f",,Trigger)</f>
        <v>54735</v>
      </c>
      <c r="R87" s="57">
        <f>_xll.qlInterestRateIndexValueDate(Index,Q87,Trigger)</f>
        <v>54737</v>
      </c>
      <c r="S87" s="57">
        <f>_xll.qlInterestRateIndexMaturity(Index,R87,Trigger)</f>
        <v>54918</v>
      </c>
      <c r="T87" s="58">
        <f>_xll.qlDayCounterYearFraction(DayCounter,R87,S87,,,Trigger)</f>
        <v>0.50277777777777777</v>
      </c>
      <c r="U87" s="59">
        <f>_xll.qlIndexFixing(Index,Q87,,AllTriggers)</f>
        <v>1.3606926707557473E-2</v>
      </c>
      <c r="V87" s="60">
        <f>_xll.qlYieldTSDiscount(OisCurve,R87,,AllTriggers)</f>
        <v>0.66075519147149042</v>
      </c>
      <c r="W87" s="60">
        <f>_xll.qlYieldTSDiscount(OisCurve,S87,,AllTriggers)</f>
        <v>0.65637252395487455</v>
      </c>
      <c r="X87" s="59">
        <f t="shared" si="26"/>
        <v>1.3280427576907712E-2</v>
      </c>
      <c r="Y87" s="59">
        <f t="shared" si="23"/>
        <v>3.2649913064976104E-4</v>
      </c>
      <c r="Z87" s="59">
        <f t="shared" si="27"/>
        <v>3.9094715579425168E-4</v>
      </c>
      <c r="AA87" s="59">
        <f t="shared" si="24"/>
        <v>6.4448025144490646E-5</v>
      </c>
      <c r="AB87" s="58">
        <f>_xll.qlDayCounterYearFraction(DayCounter,SettlementDate,R87,,,Trigger)</f>
        <v>35.013888888888886</v>
      </c>
      <c r="AC87" s="59">
        <f>_xll.qlAbcdMathFunctionValue($M$28,AB87)</f>
        <v>3.5303831594687908E-4</v>
      </c>
      <c r="AD87" s="59">
        <f t="shared" si="28"/>
        <v>2.6539185297118047E-5</v>
      </c>
      <c r="AE87" s="59">
        <f t="shared" si="25"/>
        <v>7.8346588046818112E-4</v>
      </c>
    </row>
    <row r="88" spans="15:31" x14ac:dyDescent="0.2">
      <c r="O88" s="65">
        <v>6</v>
      </c>
      <c r="P88" s="56" t="str">
        <f>_xll.qlPeriodEquivalent(P87&amp;"+"&amp;O88&amp;"M")</f>
        <v>35Y</v>
      </c>
      <c r="Q88" s="57">
        <f>_xll.qlCalendarAdvance(Calendar,SettlementDate,P88,"f",,Trigger)</f>
        <v>54917</v>
      </c>
      <c r="R88" s="57">
        <f>_xll.qlInterestRateIndexValueDate(Index,Q88,Trigger)</f>
        <v>54919</v>
      </c>
      <c r="S88" s="57">
        <f>_xll.qlInterestRateIndexMaturity(Index,R88,Trigger)</f>
        <v>55103</v>
      </c>
      <c r="T88" s="58">
        <f>_xll.qlDayCounterYearFraction(DayCounter,R88,S88,,,Trigger)</f>
        <v>0.51111111111111107</v>
      </c>
      <c r="U88" s="59">
        <f>_xll.qlIndexFixing(Index,Q88,,AllTriggers)</f>
        <v>1.3549414879615392E-2</v>
      </c>
      <c r="V88" s="60">
        <f>_xll.qlYieldTSDiscount(OisCurve,R88,,AllTriggers)</f>
        <v>0.65634848501773657</v>
      </c>
      <c r="W88" s="60">
        <f>_xll.qlYieldTSDiscount(OisCurve,S88,,AllTriggers)</f>
        <v>0.65195936672579091</v>
      </c>
      <c r="X88" s="59">
        <f t="shared" si="26"/>
        <v>1.3171687979472895E-2</v>
      </c>
      <c r="Y88" s="59">
        <f t="shared" si="23"/>
        <v>3.777269001424971E-4</v>
      </c>
      <c r="Z88" s="59">
        <f t="shared" si="27"/>
        <v>3.9157868425919435E-4</v>
      </c>
      <c r="AA88" s="59">
        <f t="shared" si="24"/>
        <v>1.3851784116697245E-5</v>
      </c>
      <c r="AB88" s="58">
        <f>_xll.qlDayCounterYearFraction(DayCounter,SettlementDate,R88,,,Trigger)</f>
        <v>35.519444444444446</v>
      </c>
      <c r="AC88" s="59">
        <f>_xll.qlAbcdMathFunctionValue($M$28,AB88)</f>
        <v>3.4833426274177176E-4</v>
      </c>
      <c r="AD88" s="59">
        <f t="shared" si="28"/>
        <v>-2.9392637400725346E-5</v>
      </c>
      <c r="AE88" s="59">
        <f t="shared" si="25"/>
        <v>7.7174515110492469E-4</v>
      </c>
    </row>
    <row r="89" spans="15:31" x14ac:dyDescent="0.2">
      <c r="O89" s="65">
        <v>6</v>
      </c>
      <c r="P89" s="56" t="str">
        <f>_xll.qlPeriodEquivalent(P88&amp;"+"&amp;O89&amp;"M")</f>
        <v>35Y6M</v>
      </c>
      <c r="Q89" s="57">
        <f>_xll.qlCalendarAdvance(Calendar,SettlementDate,P89,"f",,Trigger)</f>
        <v>55100</v>
      </c>
      <c r="R89" s="57">
        <f>_xll.qlInterestRateIndexValueDate(Index,Q89,Trigger)</f>
        <v>55102</v>
      </c>
      <c r="S89" s="57">
        <f>_xll.qlInterestRateIndexMaturity(Index,R89,Trigger)</f>
        <v>55283</v>
      </c>
      <c r="T89" s="58">
        <f>_xll.qlDayCounterYearFraction(DayCounter,R89,S89,,,Trigger)</f>
        <v>0.50277777777777777</v>
      </c>
      <c r="U89" s="59">
        <f>_xll.qlIndexFixing(Index,Q89,,AllTriggers)</f>
        <v>1.3476274009890297E-2</v>
      </c>
      <c r="V89" s="60">
        <f>_xll.qlYieldTSDiscount(OisCurve,R89,,AllTriggers)</f>
        <v>0.65198303394025625</v>
      </c>
      <c r="W89" s="60">
        <f>_xll.qlYieldTSDiscount(OisCurve,S89,,AllTriggers)</f>
        <v>0.64773377456675352</v>
      </c>
      <c r="X89" s="59">
        <f t="shared" si="26"/>
        <v>1.3047900135221292E-2</v>
      </c>
      <c r="Y89" s="59">
        <f t="shared" si="23"/>
        <v>4.2837387466900488E-4</v>
      </c>
      <c r="Z89" s="59">
        <f t="shared" si="27"/>
        <v>3.7986046493099012E-4</v>
      </c>
      <c r="AA89" s="59">
        <f t="shared" si="24"/>
        <v>-4.8513409738014759E-5</v>
      </c>
      <c r="AB89" s="58">
        <f>_xll.qlDayCounterYearFraction(DayCounter,SettlementDate,R89,,,Trigger)</f>
        <v>36.027777777777779</v>
      </c>
      <c r="AC89" s="59">
        <f>_xll.qlAbcdMathFunctionValue($M$28,AB89)</f>
        <v>3.4392430752505713E-4</v>
      </c>
      <c r="AD89" s="59">
        <f t="shared" si="28"/>
        <v>-8.4449567143947749E-5</v>
      </c>
      <c r="AE89" s="59">
        <f t="shared" si="25"/>
        <v>7.6069870261753628E-4</v>
      </c>
    </row>
    <row r="90" spans="15:31" x14ac:dyDescent="0.2">
      <c r="O90" s="65">
        <v>6</v>
      </c>
      <c r="P90" s="56" t="str">
        <f>_xll.qlPeriodEquivalent(P89&amp;"+"&amp;O90&amp;"M")</f>
        <v>36Y</v>
      </c>
      <c r="Q90" s="57">
        <f>_xll.qlCalendarAdvance(Calendar,SettlementDate,P90,"f",,Trigger)</f>
        <v>55281</v>
      </c>
      <c r="R90" s="57">
        <f>_xll.qlInterestRateIndexValueDate(Index,Q90,Trigger)</f>
        <v>55283</v>
      </c>
      <c r="S90" s="57">
        <f>_xll.qlInterestRateIndexMaturity(Index,R90,Trigger)</f>
        <v>55467</v>
      </c>
      <c r="T90" s="58">
        <f>_xll.qlDayCounterYearFraction(DayCounter,R90,S90,,,Trigger)</f>
        <v>0.51111111111111107</v>
      </c>
      <c r="U90" s="59">
        <f>_xll.qlIndexFixing(Index,Q90,,AllTriggers)</f>
        <v>1.3387235544189873E-2</v>
      </c>
      <c r="V90" s="60">
        <f>_xll.qlYieldTSDiscount(OisCurve,R90,,AllTriggers)</f>
        <v>0.64773377456675352</v>
      </c>
      <c r="W90" s="60">
        <f>_xll.qlYieldTSDiscount(OisCurve,S90,,AllTriggers)</f>
        <v>0.64348777929717271</v>
      </c>
      <c r="X90" s="59">
        <f t="shared" si="26"/>
        <v>1.290992978647287E-2</v>
      </c>
      <c r="Y90" s="59">
        <f t="shared" si="23"/>
        <v>4.7730575771700277E-4</v>
      </c>
      <c r="Z90" s="59">
        <f t="shared" si="27"/>
        <v>3.8104811145552367E-4</v>
      </c>
      <c r="AA90" s="59">
        <f t="shared" si="24"/>
        <v>-9.6257646261479102E-5</v>
      </c>
      <c r="AB90" s="58">
        <f>_xll.qlDayCounterYearFraction(DayCounter,SettlementDate,R90,,,Trigger)</f>
        <v>36.530555555555559</v>
      </c>
      <c r="AC90" s="59">
        <f>_xll.qlAbcdMathFunctionValue($M$28,AB90)</f>
        <v>3.3985784986331801E-4</v>
      </c>
      <c r="AD90" s="59">
        <f t="shared" si="28"/>
        <v>-1.3744790785368477E-4</v>
      </c>
      <c r="AE90" s="59">
        <f t="shared" si="25"/>
        <v>7.5045865996565338E-4</v>
      </c>
    </row>
    <row r="91" spans="15:31" x14ac:dyDescent="0.2">
      <c r="O91" s="65">
        <v>6</v>
      </c>
      <c r="P91" s="56" t="str">
        <f>_xll.qlPeriodEquivalent(P90&amp;"+"&amp;O91&amp;"M")</f>
        <v>36Y6M</v>
      </c>
      <c r="Q91" s="57">
        <f>_xll.qlCalendarAdvance(Calendar,SettlementDate,P91,"f",,Trigger)</f>
        <v>55465</v>
      </c>
      <c r="R91" s="57">
        <f>_xll.qlInterestRateIndexValueDate(Index,Q91,Trigger)</f>
        <v>55467</v>
      </c>
      <c r="S91" s="57">
        <f>_xll.qlInterestRateIndexMaturity(Index,R91,Trigger)</f>
        <v>55649</v>
      </c>
      <c r="T91" s="58">
        <f>_xll.qlDayCounterYearFraction(DayCounter,R91,S91,,,Trigger)</f>
        <v>0.50555555555555554</v>
      </c>
      <c r="U91" s="59">
        <f>_xll.qlIndexFixing(Index,Q91,,AllTriggers)</f>
        <v>1.3279669868365743E-2</v>
      </c>
      <c r="V91" s="60">
        <f>_xll.qlYieldTSDiscount(OisCurve,R91,,AllTriggers)</f>
        <v>0.64348777929717271</v>
      </c>
      <c r="W91" s="60">
        <f>_xll.qlYieldTSDiscount(OisCurve,S91,,AllTriggers)</f>
        <v>0.63936477029192806</v>
      </c>
      <c r="X91" s="59">
        <f t="shared" si="26"/>
        <v>1.2755476696397785E-2</v>
      </c>
      <c r="Y91" s="59">
        <f t="shared" si="23"/>
        <v>5.2419317196795816E-4</v>
      </c>
      <c r="Z91" s="59">
        <f t="shared" si="27"/>
        <v>3.7215985112263895E-4</v>
      </c>
      <c r="AA91" s="59">
        <f t="shared" si="24"/>
        <v>-1.5203332084531921E-4</v>
      </c>
      <c r="AB91" s="58">
        <f>_xll.qlDayCounterYearFraction(DayCounter,SettlementDate,R91,,,Trigger)</f>
        <v>37.041666666666664</v>
      </c>
      <c r="AC91" s="59">
        <f>_xll.qlAbcdMathFunctionValue($M$28,AB91)</f>
        <v>3.3600549778406603E-4</v>
      </c>
      <c r="AD91" s="59">
        <f t="shared" si="28"/>
        <v>-1.8818767418389212E-4</v>
      </c>
      <c r="AE91" s="59">
        <f t="shared" si="25"/>
        <v>7.4070627003703662E-4</v>
      </c>
    </row>
    <row r="92" spans="15:31" x14ac:dyDescent="0.2">
      <c r="O92" s="65">
        <v>6</v>
      </c>
      <c r="P92" s="56" t="str">
        <f>_xll.qlPeriodEquivalent(P91&amp;"+"&amp;O92&amp;"M")</f>
        <v>37Y</v>
      </c>
      <c r="Q92" s="57">
        <f>_xll.qlCalendarAdvance(Calendar,SettlementDate,P92,"f",,Trigger)</f>
        <v>55647</v>
      </c>
      <c r="R92" s="57">
        <f>_xll.qlInterestRateIndexValueDate(Index,Q92,Trigger)</f>
        <v>55649</v>
      </c>
      <c r="S92" s="57">
        <f>_xll.qlInterestRateIndexMaturity(Index,R92,Trigger)</f>
        <v>55834</v>
      </c>
      <c r="T92" s="58">
        <f>_xll.qlDayCounterYearFraction(DayCounter,R92,S92,,,Trigger)</f>
        <v>0.51388888888888884</v>
      </c>
      <c r="U92" s="59">
        <f>_xll.qlIndexFixing(Index,Q92,,AllTriggers)</f>
        <v>1.3155822946330791E-2</v>
      </c>
      <c r="V92" s="60">
        <f>_xll.qlYieldTSDiscount(OisCurve,R92,,AllTriggers)</f>
        <v>0.63936477029192806</v>
      </c>
      <c r="W92" s="60">
        <f>_xll.qlYieldTSDiscount(OisCurve,S92,,AllTriggers)</f>
        <v>0.63525585215734226</v>
      </c>
      <c r="X92" s="59">
        <f t="shared" si="26"/>
        <v>1.2586633494311356E-2</v>
      </c>
      <c r="Y92" s="59">
        <f t="shared" si="23"/>
        <v>5.6918945201943523E-4</v>
      </c>
      <c r="Z92" s="59">
        <f t="shared" si="27"/>
        <v>3.7376555524802694E-4</v>
      </c>
      <c r="AA92" s="59">
        <f t="shared" si="24"/>
        <v>-1.9542389677140829E-4</v>
      </c>
      <c r="AB92" s="58">
        <f>_xll.qlDayCounterYearFraction(DayCounter,SettlementDate,R92,,,Trigger)</f>
        <v>37.547222222222224</v>
      </c>
      <c r="AC92" s="59">
        <f>_xll.qlAbcdMathFunctionValue($M$28,AB92)</f>
        <v>3.3245606591273481E-4</v>
      </c>
      <c r="AD92" s="59">
        <f t="shared" si="28"/>
        <v>-2.3673338610670042E-4</v>
      </c>
      <c r="AE92" s="59">
        <f t="shared" si="25"/>
        <v>7.316729454633446E-4</v>
      </c>
    </row>
    <row r="93" spans="15:31" x14ac:dyDescent="0.2">
      <c r="O93" s="65">
        <v>6</v>
      </c>
      <c r="P93" s="56" t="str">
        <f>_xll.qlPeriodEquivalent(P92&amp;"+"&amp;O93&amp;"M")</f>
        <v>37Y6M</v>
      </c>
      <c r="Q93" s="57">
        <f>_xll.qlCalendarAdvance(Calendar,SettlementDate,P93,"f",,Trigger)</f>
        <v>55831</v>
      </c>
      <c r="R93" s="57">
        <f>_xll.qlInterestRateIndexValueDate(Index,Q93,Trigger)</f>
        <v>55835</v>
      </c>
      <c r="S93" s="57">
        <f>_xll.qlInterestRateIndexMaturity(Index,R93,Trigger)</f>
        <v>56016</v>
      </c>
      <c r="T93" s="58">
        <f>_xll.qlDayCounterYearFraction(DayCounter,R93,S93,,,Trigger)</f>
        <v>0.50277777777777777</v>
      </c>
      <c r="U93" s="59">
        <f>_xll.qlIndexFixing(Index,Q93,,AllTriggers)</f>
        <v>1.301276121809675E-2</v>
      </c>
      <c r="V93" s="60">
        <f>_xll.qlYieldTSDiscount(OisCurve,R93,,AllTriggers)</f>
        <v>0.63523387327814274</v>
      </c>
      <c r="W93" s="60">
        <f>_xll.qlYieldTSDiscount(OisCurve,S93,,AllTriggers)</f>
        <v>0.63129785591475518</v>
      </c>
      <c r="X93" s="59">
        <f t="shared" si="26"/>
        <v>1.2400711880865832E-2</v>
      </c>
      <c r="Y93" s="59">
        <f t="shared" si="23"/>
        <v>6.1204933723091846E-4</v>
      </c>
      <c r="Z93" s="59">
        <f t="shared" si="27"/>
        <v>3.615252438602862E-4</v>
      </c>
      <c r="AA93" s="59">
        <f t="shared" si="24"/>
        <v>-2.5052409337063226E-4</v>
      </c>
      <c r="AB93" s="58">
        <f>_xll.qlDayCounterYearFraction(DayCounter,SettlementDate,R93,,,Trigger)</f>
        <v>38.06388888888889</v>
      </c>
      <c r="AC93" s="59">
        <f>_xll.qlAbcdMathFunctionValue($M$28,AB93)</f>
        <v>3.2907917784491964E-4</v>
      </c>
      <c r="AD93" s="59">
        <f t="shared" si="28"/>
        <v>-2.8297015938599882E-4</v>
      </c>
      <c r="AE93" s="59">
        <f t="shared" si="25"/>
        <v>7.2303286019796589E-4</v>
      </c>
    </row>
    <row r="94" spans="15:31" x14ac:dyDescent="0.2">
      <c r="O94" s="65">
        <v>6</v>
      </c>
      <c r="P94" s="56" t="str">
        <f>_xll.qlPeriodEquivalent(P93&amp;"+"&amp;O94&amp;"M")</f>
        <v>38Y</v>
      </c>
      <c r="Q94" s="57">
        <f>_xll.qlCalendarAdvance(Calendar,SettlementDate,P94,"f",,Trigger)</f>
        <v>56012</v>
      </c>
      <c r="R94" s="57">
        <f>_xll.qlInterestRateIndexValueDate(Index,Q94,Trigger)</f>
        <v>56016</v>
      </c>
      <c r="S94" s="57">
        <f>_xll.qlInterestRateIndexMaturity(Index,R94,Trigger)</f>
        <v>56200</v>
      </c>
      <c r="T94" s="58">
        <f>_xll.qlDayCounterYearFraction(DayCounter,R94,S94,,,Trigger)</f>
        <v>0.51111111111111107</v>
      </c>
      <c r="U94" s="59">
        <f>_xll.qlIndexFixing(Index,Q94,,AllTriggers)</f>
        <v>1.2855385226676234E-2</v>
      </c>
      <c r="V94" s="60">
        <f>_xll.qlYieldTSDiscount(OisCurve,R94,,AllTriggers)</f>
        <v>0.63129785591475518</v>
      </c>
      <c r="W94" s="60">
        <f>_xll.qlYieldTSDiscount(OisCurve,S94,,AllTriggers)</f>
        <v>0.62738487019517597</v>
      </c>
      <c r="X94" s="59">
        <f t="shared" si="26"/>
        <v>1.2202783313665186E-2</v>
      </c>
      <c r="Y94" s="59">
        <f t="shared" si="23"/>
        <v>6.5260191301104789E-4</v>
      </c>
      <c r="Z94" s="59">
        <f t="shared" si="27"/>
        <v>3.6359395993851377E-4</v>
      </c>
      <c r="AA94" s="59">
        <f t="shared" si="24"/>
        <v>-2.8900795307253412E-4</v>
      </c>
      <c r="AB94" s="58">
        <f>_xll.qlDayCounterYearFraction(DayCounter,SettlementDate,R94,,,Trigger)</f>
        <v>38.56666666666667</v>
      </c>
      <c r="AC94" s="59">
        <f>_xll.qlAbcdMathFunctionValue($M$28,AB94)</f>
        <v>3.2602019484825401E-4</v>
      </c>
      <c r="AD94" s="59">
        <f t="shared" si="28"/>
        <v>-3.2658171816279388E-4</v>
      </c>
      <c r="AE94" s="59">
        <f t="shared" si="25"/>
        <v>7.1516451574599855E-4</v>
      </c>
    </row>
    <row r="95" spans="15:31" x14ac:dyDescent="0.2">
      <c r="O95" s="65">
        <v>6</v>
      </c>
      <c r="P95" s="56" t="str">
        <f>_xll.qlPeriodEquivalent(P94&amp;"+"&amp;O95&amp;"M")</f>
        <v>38Y6M</v>
      </c>
      <c r="Q95" s="57">
        <f>_xll.qlCalendarAdvance(Calendar,SettlementDate,P95,"f",,Trigger)</f>
        <v>56198</v>
      </c>
      <c r="R95" s="57">
        <f>_xll.qlInterestRateIndexValueDate(Index,Q95,Trigger)</f>
        <v>56200</v>
      </c>
      <c r="S95" s="57">
        <f>_xll.qlInterestRateIndexMaturity(Index,R95,Trigger)</f>
        <v>56381</v>
      </c>
      <c r="T95" s="58">
        <f>_xll.qlDayCounterYearFraction(DayCounter,R95,S95,,,Trigger)</f>
        <v>0.50277777777777777</v>
      </c>
      <c r="U95" s="59">
        <f>_xll.qlIndexFixing(Index,Q95,,AllTriggers)</f>
        <v>1.2679690682194994E-2</v>
      </c>
      <c r="V95" s="60">
        <f>_xll.qlYieldTSDiscount(OisCurve,R95,,AllTriggers)</f>
        <v>0.62738487019517597</v>
      </c>
      <c r="W95" s="60">
        <f>_xll.qlYieldTSDiscount(OisCurve,S95,,AllTriggers)</f>
        <v>0.6236258524935735</v>
      </c>
      <c r="X95" s="59">
        <f t="shared" si="26"/>
        <v>1.1988757788199399E-2</v>
      </c>
      <c r="Y95" s="59">
        <f t="shared" si="23"/>
        <v>6.9093289399559457E-4</v>
      </c>
      <c r="Z95" s="59">
        <f t="shared" si="27"/>
        <v>3.5405317729596503E-4</v>
      </c>
      <c r="AA95" s="59">
        <f t="shared" si="24"/>
        <v>-3.3687971669962955E-4</v>
      </c>
      <c r="AB95" s="58">
        <f>_xll.qlDayCounterYearFraction(DayCounter,SettlementDate,R95,,,Trigger)</f>
        <v>39.077777777777776</v>
      </c>
      <c r="AC95" s="59">
        <f>_xll.qlAbcdMathFunctionValue($M$28,AB95)</f>
        <v>3.231248868799841E-4</v>
      </c>
      <c r="AD95" s="59">
        <f t="shared" si="28"/>
        <v>-3.6780800711561047E-4</v>
      </c>
      <c r="AE95" s="59">
        <f t="shared" si="25"/>
        <v>7.0767782751441396E-4</v>
      </c>
    </row>
    <row r="96" spans="15:31" x14ac:dyDescent="0.2">
      <c r="O96" s="65">
        <v>6</v>
      </c>
      <c r="P96" s="56" t="str">
        <f>_xll.qlPeriodEquivalent(P95&amp;"+"&amp;O96&amp;"M")</f>
        <v>39Y</v>
      </c>
      <c r="Q96" s="57">
        <f>_xll.qlCalendarAdvance(Calendar,SettlementDate,P96,"f",,Trigger)</f>
        <v>56377</v>
      </c>
      <c r="R96" s="57">
        <f>_xll.qlInterestRateIndexValueDate(Index,Q96,Trigger)</f>
        <v>56381</v>
      </c>
      <c r="S96" s="57">
        <f>_xll.qlInterestRateIndexMaturity(Index,R96,Trigger)</f>
        <v>56565</v>
      </c>
      <c r="T96" s="58">
        <f>_xll.qlDayCounterYearFraction(DayCounter,R96,S96,,,Trigger)</f>
        <v>0.51111111111111107</v>
      </c>
      <c r="U96" s="59">
        <f>_xll.qlIndexFixing(Index,Q96,,AllTriggers)</f>
        <v>1.2488298471845518E-2</v>
      </c>
      <c r="V96" s="60">
        <f>_xll.qlYieldTSDiscount(OisCurve,R96,,AllTriggers)</f>
        <v>0.6236258524935735</v>
      </c>
      <c r="W96" s="60">
        <f>_xll.qlYieldTSDiscount(OisCurve,S96,,AllTriggers)</f>
        <v>0.61989952909722201</v>
      </c>
      <c r="X96" s="59">
        <f t="shared" si="26"/>
        <v>1.1760990918334231E-2</v>
      </c>
      <c r="Y96" s="59">
        <f t="shared" si="23"/>
        <v>7.2730755351128711E-4</v>
      </c>
      <c r="Z96" s="59">
        <f t="shared" si="27"/>
        <v>3.5648580992089248E-4</v>
      </c>
      <c r="AA96" s="59">
        <f t="shared" si="24"/>
        <v>-3.7082174359039463E-4</v>
      </c>
      <c r="AB96" s="58">
        <f>_xll.qlDayCounterYearFraction(DayCounter,SettlementDate,R96,,,Trigger)</f>
        <v>39.580555555555556</v>
      </c>
      <c r="AC96" s="59">
        <f>_xll.qlAbcdMathFunctionValue($M$28,AB96)</f>
        <v>3.2047371717605958E-4</v>
      </c>
      <c r="AD96" s="59">
        <f t="shared" si="28"/>
        <v>-4.0683383633522753E-4</v>
      </c>
      <c r="AE96" s="59">
        <f t="shared" si="25"/>
        <v>7.0078623418768694E-4</v>
      </c>
    </row>
    <row r="97" spans="15:31" x14ac:dyDescent="0.2">
      <c r="O97" s="65">
        <v>6</v>
      </c>
      <c r="P97" s="56" t="str">
        <f>_xll.qlPeriodEquivalent(P96&amp;"+"&amp;O97&amp;"M")</f>
        <v>39Y6M</v>
      </c>
      <c r="Q97" s="57">
        <f>_xll.qlCalendarAdvance(Calendar,SettlementDate,P97,"f",,Trigger)</f>
        <v>56562</v>
      </c>
      <c r="R97" s="57">
        <f>_xll.qlInterestRateIndexValueDate(Index,Q97,Trigger)</f>
        <v>56564</v>
      </c>
      <c r="S97" s="57">
        <f>_xll.qlInterestRateIndexMaturity(Index,R97,Trigger)</f>
        <v>56745</v>
      </c>
      <c r="T97" s="58">
        <f>_xll.qlDayCounterYearFraction(DayCounter,R97,S97,,,Trigger)</f>
        <v>0.50277777777777777</v>
      </c>
      <c r="U97" s="59">
        <f>_xll.qlIndexFixing(Index,Q97,,AllTriggers)</f>
        <v>1.2279865785840198E-2</v>
      </c>
      <c r="V97" s="60">
        <f>_xll.qlYieldTSDiscount(OisCurve,R97,,AllTriggers)</f>
        <v>0.61991951607482143</v>
      </c>
      <c r="W97" s="60">
        <f>_xll.qlYieldTSDiscount(OisCurve,S97,,AllTriggers)</f>
        <v>0.61635005099949824</v>
      </c>
      <c r="X97" s="59">
        <f t="shared" si="26"/>
        <v>1.1518598134438946E-2</v>
      </c>
      <c r="Y97" s="59">
        <f t="shared" si="23"/>
        <v>7.6126765140125188E-4</v>
      </c>
      <c r="Z97" s="59">
        <f t="shared" si="27"/>
        <v>3.4752811467294871E-4</v>
      </c>
      <c r="AA97" s="59">
        <f t="shared" si="24"/>
        <v>-4.1373953672830318E-4</v>
      </c>
      <c r="AB97" s="58">
        <f>_xll.qlDayCounterYearFraction(DayCounter,SettlementDate,R97,,,Trigger)</f>
        <v>40.088888888888889</v>
      </c>
      <c r="AC97" s="59">
        <f>_xll.qlAbcdMathFunctionValue($M$28,AB97)</f>
        <v>3.1797857952705445E-4</v>
      </c>
      <c r="AD97" s="59">
        <f t="shared" si="28"/>
        <v>-4.4328907187419743E-4</v>
      </c>
      <c r="AE97" s="59">
        <f t="shared" si="25"/>
        <v>6.9426613121992319E-4</v>
      </c>
    </row>
    <row r="98" spans="15:31" x14ac:dyDescent="0.2">
      <c r="O98" s="65">
        <v>6</v>
      </c>
      <c r="P98" s="56" t="str">
        <f>_xll.qlPeriodEquivalent(P97&amp;"+"&amp;O98&amp;"M")</f>
        <v>40Y</v>
      </c>
      <c r="Q98" s="57">
        <f>_xll.qlCalendarAdvance(Calendar,SettlementDate,P98,"f",,Trigger)</f>
        <v>56744</v>
      </c>
      <c r="R98" s="57">
        <f>_xll.qlInterestRateIndexValueDate(Index,Q98,Trigger)</f>
        <v>56746</v>
      </c>
      <c r="S98" s="57">
        <f>_xll.qlInterestRateIndexMaturity(Index,R98,Trigger)</f>
        <v>56930</v>
      </c>
      <c r="T98" s="58">
        <f>_xll.qlDayCounterYearFraction(DayCounter,R98,S98,,,Trigger)</f>
        <v>0.51111111111111107</v>
      </c>
      <c r="U98" s="59">
        <f>_xll.qlIndexFixing(Index,Q98,,AllTriggers)</f>
        <v>1.2056992295777913E-2</v>
      </c>
      <c r="V98" s="60">
        <f>_xll.qlYieldTSDiscount(OisCurve,R98,,AllTriggers)</f>
        <v>0.61633060218494462</v>
      </c>
      <c r="W98" s="60">
        <f>_xll.qlYieldTSDiscount(OisCurve,S98,,AllTriggers)</f>
        <v>0.61280208948941739</v>
      </c>
      <c r="X98" s="59">
        <f t="shared" si="26"/>
        <v>1.1265646632094164E-2</v>
      </c>
      <c r="Y98" s="59">
        <f t="shared" si="23"/>
        <v>7.9134566368374917E-4</v>
      </c>
      <c r="Z98" s="59">
        <f t="shared" si="27"/>
        <v>3.5026515530491524E-4</v>
      </c>
      <c r="AA98" s="59">
        <f t="shared" si="24"/>
        <v>-4.4108050837883393E-4</v>
      </c>
      <c r="AB98" s="58">
        <f>_xll.qlDayCounterYearFraction(DayCounter,SettlementDate,R98,,,Trigger)</f>
        <v>40.594444444444441</v>
      </c>
      <c r="AC98" s="59">
        <f>_xll.qlAbcdMathFunctionValue($M$28,AB98)</f>
        <v>3.1566957192401425E-4</v>
      </c>
      <c r="AD98" s="59">
        <f t="shared" si="28"/>
        <v>-4.7567609175973492E-4</v>
      </c>
      <c r="AE98" s="59">
        <f t="shared" si="25"/>
        <v>6.8820061714591513E-4</v>
      </c>
    </row>
    <row r="99" spans="15:31" x14ac:dyDescent="0.2">
      <c r="O99" s="65">
        <v>6</v>
      </c>
      <c r="P99" s="56" t="str">
        <f>_xll.qlPeriodEquivalent(P98&amp;"+"&amp;O99&amp;"M")</f>
        <v>40Y6M</v>
      </c>
      <c r="Q99" s="57">
        <f>_xll.qlCalendarAdvance(Calendar,SettlementDate,P99,"f",,Trigger)</f>
        <v>56926</v>
      </c>
      <c r="R99" s="57">
        <f>_xll.qlInterestRateIndexValueDate(Index,Q99,Trigger)</f>
        <v>56928</v>
      </c>
      <c r="S99" s="57">
        <f>_xll.qlInterestRateIndexMaturity(Index,R99,Trigger)</f>
        <v>57110</v>
      </c>
      <c r="T99" s="58">
        <f>_xll.qlDayCounterYearFraction(DayCounter,R99,S99,,,Trigger)</f>
        <v>0.50555555555555554</v>
      </c>
      <c r="U99" s="59">
        <f>_xll.qlIndexFixing(Index,Q99,,AllTriggers)</f>
        <v>1.1836963663312605E-2</v>
      </c>
      <c r="V99" s="60">
        <f>_xll.qlYieldTSDiscount(OisCurve,R99,,AllTriggers)</f>
        <v>0.61283992108096419</v>
      </c>
      <c r="W99" s="60">
        <f>_xll.qlYieldTSDiscount(OisCurve,S99,,AllTriggers)</f>
        <v>0.60944180389505676</v>
      </c>
      <c r="X99" s="59">
        <f t="shared" si="26"/>
        <v>1.1029027603063237E-2</v>
      </c>
      <c r="Y99" s="59">
        <f t="shared" ref="Y99:Y130" si="29">U99-X99</f>
        <v>8.0793606024936841E-4</v>
      </c>
      <c r="Z99" s="59">
        <f t="shared" si="27"/>
        <v>3.4369912897900845E-4</v>
      </c>
      <c r="AA99" s="59">
        <f t="shared" ref="AA99:AA130" si="30">(Z99-Y99)</f>
        <v>-4.6423693127035996E-4</v>
      </c>
      <c r="AB99" s="58">
        <f>_xll.qlDayCounterYearFraction(DayCounter,SettlementDate,R99,,,Trigger)</f>
        <v>41.1</v>
      </c>
      <c r="AC99" s="59">
        <f>_xll.qlAbcdMathFunctionValue($M$28,AB99)</f>
        <v>3.1352105030445394E-4</v>
      </c>
      <c r="AD99" s="59">
        <f t="shared" si="28"/>
        <v>-4.9441500994491447E-4</v>
      </c>
      <c r="AE99" s="59">
        <f t="shared" ref="AE99:AE135" si="31">($M$50+$M$51*AB99)*EXP(-AB99*$M$52)+$M$53</f>
        <v>6.8252705564339359E-4</v>
      </c>
    </row>
    <row r="100" spans="15:31" x14ac:dyDescent="0.2">
      <c r="O100" s="65">
        <v>6</v>
      </c>
      <c r="P100" s="56" t="str">
        <f>_xll.qlPeriodEquivalent(P99&amp;"+"&amp;O100&amp;"M")</f>
        <v>41Y</v>
      </c>
      <c r="Q100" s="57">
        <f>_xll.qlCalendarAdvance(Calendar,SettlementDate,P100,"f",,Trigger)</f>
        <v>57108</v>
      </c>
      <c r="R100" s="57">
        <f>_xll.qlInterestRateIndexValueDate(Index,Q100,Trigger)</f>
        <v>57110</v>
      </c>
      <c r="S100" s="57">
        <f>_xll.qlInterestRateIndexMaturity(Index,R100,Trigger)</f>
        <v>57294</v>
      </c>
      <c r="T100" s="58">
        <f>_xll.qlDayCounterYearFraction(DayCounter,R100,S100,,,Trigger)</f>
        <v>0.51111111111111107</v>
      </c>
      <c r="U100" s="59">
        <f>_xll.qlIndexFixing(Index,Q100,,AllTriggers)</f>
        <v>1.1619531074531992E-2</v>
      </c>
      <c r="V100" s="60">
        <f>_xll.qlYieldTSDiscount(OisCurve,R100,,AllTriggers)</f>
        <v>0.60944180389505676</v>
      </c>
      <c r="W100" s="60">
        <f>_xll.qlYieldTSDiscount(OisCurve,S100,,AllTriggers)</f>
        <v>0.60609308403481965</v>
      </c>
      <c r="X100" s="59">
        <f t="shared" si="26"/>
        <v>1.0809961996588893E-2</v>
      </c>
      <c r="Y100" s="59">
        <f t="shared" si="29"/>
        <v>8.0956907794309946E-4</v>
      </c>
      <c r="Z100" s="59">
        <f t="shared" si="27"/>
        <v>3.4483939481250289E-4</v>
      </c>
      <c r="AA100" s="59">
        <f t="shared" si="30"/>
        <v>-4.6472968313059657E-4</v>
      </c>
      <c r="AB100" s="58">
        <f>_xll.qlDayCounterYearFraction(DayCounter,SettlementDate,R100,,,Trigger)</f>
        <v>41.605555555555554</v>
      </c>
      <c r="AC100" s="59">
        <f>_xll.qlAbcdMathFunctionValue($M$28,AB100)</f>
        <v>3.1152223093503401E-4</v>
      </c>
      <c r="AD100" s="59">
        <f t="shared" si="28"/>
        <v>-4.980468470080655E-4</v>
      </c>
      <c r="AE100" s="59">
        <f t="shared" si="31"/>
        <v>6.7722112776406635E-4</v>
      </c>
    </row>
    <row r="101" spans="15:31" x14ac:dyDescent="0.2">
      <c r="O101" s="65">
        <v>6</v>
      </c>
      <c r="P101" s="56" t="str">
        <f>_xll.qlPeriodEquivalent(P100&amp;"+"&amp;O101&amp;"M")</f>
        <v>41Y6M</v>
      </c>
      <c r="Q101" s="57">
        <f>_xll.qlCalendarAdvance(Calendar,SettlementDate,P101,"f",,Trigger)</f>
        <v>57292</v>
      </c>
      <c r="R101" s="57">
        <f>_xll.qlInterestRateIndexValueDate(Index,Q101,Trigger)</f>
        <v>57294</v>
      </c>
      <c r="S101" s="57">
        <f>_xll.qlInterestRateIndexMaturity(Index,R101,Trigger)</f>
        <v>57475</v>
      </c>
      <c r="T101" s="58">
        <f>_xll.qlDayCounterYearFraction(DayCounter,R101,S101,,,Trigger)</f>
        <v>0.50277777777777777</v>
      </c>
      <c r="U101" s="59">
        <f>_xll.qlIndexFixing(Index,Q101,,AllTriggers)</f>
        <v>1.1405997321617052E-2</v>
      </c>
      <c r="V101" s="60">
        <f>_xll.qlYieldTSDiscount(OisCurve,R101,,AllTriggers)</f>
        <v>0.60609308403481965</v>
      </c>
      <c r="W101" s="60">
        <f>_xll.qlYieldTSDiscount(OisCurve,S101,,AllTriggers)</f>
        <v>0.60287701688152529</v>
      </c>
      <c r="X101" s="59">
        <f t="shared" si="26"/>
        <v>1.0610120263082029E-2</v>
      </c>
      <c r="Y101" s="59">
        <f t="shared" si="29"/>
        <v>7.9587705853502271E-4</v>
      </c>
      <c r="Z101" s="59">
        <f t="shared" si="27"/>
        <v>3.3679901324439781E-4</v>
      </c>
      <c r="AA101" s="59">
        <f t="shared" si="30"/>
        <v>-4.590780452906249E-4</v>
      </c>
      <c r="AB101" s="58">
        <f>_xll.qlDayCounterYearFraction(DayCounter,SettlementDate,R101,,,Trigger)</f>
        <v>42.116666666666667</v>
      </c>
      <c r="AC101" s="59">
        <f>_xll.qlAbcdMathFunctionValue($M$28,AB101)</f>
        <v>3.0964332751334578E-4</v>
      </c>
      <c r="AD101" s="59">
        <f t="shared" si="28"/>
        <v>-4.8623373102167693E-4</v>
      </c>
      <c r="AE101" s="59">
        <f t="shared" si="31"/>
        <v>6.7220724441026088E-4</v>
      </c>
    </row>
    <row r="102" spans="15:31" x14ac:dyDescent="0.2">
      <c r="O102" s="65">
        <v>6</v>
      </c>
      <c r="P102" s="56" t="str">
        <f>_xll.qlPeriodEquivalent(P101&amp;"+"&amp;O102&amp;"M")</f>
        <v>42Y</v>
      </c>
      <c r="Q102" s="57">
        <f>_xll.qlCalendarAdvance(Calendar,SettlementDate,P102,"f",,Trigger)</f>
        <v>57473</v>
      </c>
      <c r="R102" s="57">
        <f>_xll.qlInterestRateIndexValueDate(Index,Q102,Trigger)</f>
        <v>57475</v>
      </c>
      <c r="S102" s="57">
        <f>_xll.qlInterestRateIndexMaturity(Index,R102,Trigger)</f>
        <v>57661</v>
      </c>
      <c r="T102" s="58">
        <f>_xll.qlDayCounterYearFraction(DayCounter,R102,S102,,,Trigger)</f>
        <v>0.51666666666666672</v>
      </c>
      <c r="U102" s="59">
        <f>_xll.qlIndexFixing(Index,Q102,,AllTriggers)</f>
        <v>1.1197012156426898E-2</v>
      </c>
      <c r="V102" s="60">
        <f>_xll.qlYieldTSDiscount(OisCurve,R102,,AllTriggers)</f>
        <v>0.60287701688152529</v>
      </c>
      <c r="W102" s="60">
        <f>_xll.qlYieldTSDiscount(OisCurve,S102,,AllTriggers)</f>
        <v>0.59964559654753746</v>
      </c>
      <c r="X102" s="59">
        <f t="shared" si="26"/>
        <v>1.0430097332090899E-2</v>
      </c>
      <c r="Y102" s="59">
        <f t="shared" si="29"/>
        <v>7.6691482433599925E-4</v>
      </c>
      <c r="Z102" s="59">
        <f t="shared" si="27"/>
        <v>3.4376882659702189E-4</v>
      </c>
      <c r="AA102" s="59">
        <f t="shared" si="30"/>
        <v>-4.2314599773897736E-4</v>
      </c>
      <c r="AB102" s="58">
        <f>_xll.qlDayCounterYearFraction(DayCounter,SettlementDate,R102,,,Trigger)</f>
        <v>42.619444444444447</v>
      </c>
      <c r="AC102" s="59">
        <f>_xll.qlAbcdMathFunctionValue($M$28,AB102)</f>
        <v>3.0792480926396216E-4</v>
      </c>
      <c r="AD102" s="59">
        <f t="shared" si="28"/>
        <v>-4.5899001507203709E-4</v>
      </c>
      <c r="AE102" s="59">
        <f t="shared" si="31"/>
        <v>6.6759727012270602E-4</v>
      </c>
    </row>
    <row r="103" spans="15:31" x14ac:dyDescent="0.2">
      <c r="O103" s="65">
        <v>6</v>
      </c>
      <c r="P103" s="56" t="str">
        <f>_xll.qlPeriodEquivalent(P102&amp;"+"&amp;O103&amp;"M")</f>
        <v>42Y6M</v>
      </c>
      <c r="Q103" s="57">
        <f>_xll.qlCalendarAdvance(Calendar,SettlementDate,P103,"f",,Trigger)</f>
        <v>57657</v>
      </c>
      <c r="R103" s="57">
        <f>_xll.qlInterestRateIndexValueDate(Index,Q103,Trigger)</f>
        <v>57661</v>
      </c>
      <c r="S103" s="57">
        <f>_xll.qlInterestRateIndexMaturity(Index,R103,Trigger)</f>
        <v>57843</v>
      </c>
      <c r="T103" s="58">
        <f>_xll.qlDayCounterYearFraction(DayCounter,R103,S103,,,Trigger)</f>
        <v>0.50555555555555554</v>
      </c>
      <c r="U103" s="59">
        <f>_xll.qlIndexFixing(Index,Q103,,AllTriggers)</f>
        <v>1.0990164883132741E-2</v>
      </c>
      <c r="V103" s="60">
        <f>_xll.qlYieldTSDiscount(OisCurve,R103,,AllTriggers)</f>
        <v>0.59964559654753746</v>
      </c>
      <c r="W103" s="60">
        <f>_xll.qlYieldTSDiscount(OisCurve,S103,,AllTriggers)</f>
        <v>0.59654892445143515</v>
      </c>
      <c r="X103" s="59">
        <f t="shared" si="26"/>
        <v>1.026786775359686E-2</v>
      </c>
      <c r="Y103" s="59">
        <f t="shared" si="29"/>
        <v>7.222971295358805E-4</v>
      </c>
      <c r="Z103" s="59">
        <f t="shared" si="27"/>
        <v>3.3423641865037832E-4</v>
      </c>
      <c r="AA103" s="59">
        <f t="shared" si="30"/>
        <v>-3.8806071088550218E-4</v>
      </c>
      <c r="AB103" s="58">
        <f>_xll.qlDayCounterYearFraction(DayCounter,SettlementDate,R103,,,Trigger)</f>
        <v>43.136111111111113</v>
      </c>
      <c r="AC103" s="59">
        <f>_xll.qlAbcdMathFunctionValue($M$28,AB103)</f>
        <v>3.0628370149292562E-4</v>
      </c>
      <c r="AD103" s="59">
        <f t="shared" si="28"/>
        <v>-4.1601342804295488E-4</v>
      </c>
      <c r="AE103" s="59">
        <f t="shared" si="31"/>
        <v>6.6317173796618409E-4</v>
      </c>
    </row>
    <row r="104" spans="15:31" x14ac:dyDescent="0.2">
      <c r="O104" s="65">
        <v>6</v>
      </c>
      <c r="P104" s="56" t="str">
        <f>_xll.qlPeriodEquivalent(P103&amp;"+"&amp;O104&amp;"M")</f>
        <v>43Y</v>
      </c>
      <c r="Q104" s="57">
        <f>_xll.qlCalendarAdvance(Calendar,SettlementDate,P104,"f",,Trigger)</f>
        <v>57838</v>
      </c>
      <c r="R104" s="57">
        <f>_xll.qlInterestRateIndexValueDate(Index,Q104,Trigger)</f>
        <v>57840</v>
      </c>
      <c r="S104" s="57">
        <f>_xll.qlInterestRateIndexMaturity(Index,R104,Trigger)</f>
        <v>58025</v>
      </c>
      <c r="T104" s="58">
        <f>_xll.qlDayCounterYearFraction(DayCounter,R104,S104,,,Trigger)</f>
        <v>0.51388888888888884</v>
      </c>
      <c r="U104" s="59">
        <f>_xll.qlIndexFixing(Index,Q104,,AllTriggers)</f>
        <v>1.0792612330266418E-2</v>
      </c>
      <c r="V104" s="60">
        <f>_xll.qlYieldTSDiscount(OisCurve,R104,,AllTriggers)</f>
        <v>0.59659948121949458</v>
      </c>
      <c r="W104" s="60">
        <f>_xll.qlYieldTSDiscount(OisCurve,S104,,AllTriggers)</f>
        <v>0.59351015506598326</v>
      </c>
      <c r="X104" s="59">
        <f t="shared" si="26"/>
        <v>1.0128995524030935E-2</v>
      </c>
      <c r="Y104" s="59">
        <f t="shared" si="29"/>
        <v>6.6361680623548344E-4</v>
      </c>
      <c r="Z104" s="59">
        <f t="shared" si="27"/>
        <v>3.3775285155069939E-4</v>
      </c>
      <c r="AA104" s="59">
        <f t="shared" si="30"/>
        <v>-3.2586395468478405E-4</v>
      </c>
      <c r="AB104" s="58">
        <f>_xll.qlDayCounterYearFraction(DayCounter,SettlementDate,R104,,,Trigger)</f>
        <v>43.633333333333333</v>
      </c>
      <c r="AC104" s="59">
        <f>_xll.qlAbcdMathFunctionValue($M$28,AB104)</f>
        <v>3.0481574211761546E-4</v>
      </c>
      <c r="AD104" s="59">
        <f t="shared" si="28"/>
        <v>-3.5880106411786798E-4</v>
      </c>
      <c r="AE104" s="59">
        <f t="shared" si="31"/>
        <v>6.5919237045379076E-4</v>
      </c>
    </row>
    <row r="105" spans="15:31" x14ac:dyDescent="0.2">
      <c r="O105" s="65">
        <v>6</v>
      </c>
      <c r="P105" s="56" t="str">
        <f>_xll.qlPeriodEquivalent(P104&amp;"+"&amp;O105&amp;"M")</f>
        <v>43Y6M</v>
      </c>
      <c r="Q105" s="57">
        <f>_xll.qlCalendarAdvance(Calendar,SettlementDate,P105,"f",,Trigger)</f>
        <v>58022</v>
      </c>
      <c r="R105" s="57">
        <f>_xll.qlInterestRateIndexValueDate(Index,Q105,Trigger)</f>
        <v>58026</v>
      </c>
      <c r="S105" s="57">
        <f>_xll.qlInterestRateIndexMaturity(Index,R105,Trigger)</f>
        <v>58207</v>
      </c>
      <c r="T105" s="58">
        <f>_xll.qlDayCounterYearFraction(DayCounter,R105,S105,,,Trigger)</f>
        <v>0.50277777777777777</v>
      </c>
      <c r="U105" s="59">
        <f>_xll.qlIndexFixing(Index,Q105,,AllTriggers)</f>
        <v>1.0594341769973269E-2</v>
      </c>
      <c r="V105" s="60">
        <f>_xll.qlYieldTSDiscount(OisCurve,R105,,AllTriggers)</f>
        <v>0.59349360649054639</v>
      </c>
      <c r="W105" s="60">
        <f>_xll.qlYieldTSDiscount(OisCurve,S105,,AllTriggers)</f>
        <v>0.59052282944374113</v>
      </c>
      <c r="X105" s="59">
        <f t="shared" si="26"/>
        <v>1.0005926161171221E-2</v>
      </c>
      <c r="Y105" s="59">
        <f t="shared" si="29"/>
        <v>5.8841560880204882E-4</v>
      </c>
      <c r="Z105" s="59">
        <f t="shared" si="27"/>
        <v>3.285927503813224E-4</v>
      </c>
      <c r="AA105" s="59">
        <f t="shared" si="30"/>
        <v>-2.5982285842072642E-4</v>
      </c>
      <c r="AB105" s="58">
        <f>_xll.qlDayCounterYearFraction(DayCounter,SettlementDate,R105,,,Trigger)</f>
        <v>44.15</v>
      </c>
      <c r="AC105" s="59">
        <f>_xll.qlAbcdMathFunctionValue($M$28,AB105)</f>
        <v>3.0339814028642367E-4</v>
      </c>
      <c r="AD105" s="59">
        <f t="shared" si="28"/>
        <v>-2.8501746851562515E-4</v>
      </c>
      <c r="AE105" s="59">
        <f t="shared" si="31"/>
        <v>6.5532939312002846E-4</v>
      </c>
    </row>
    <row r="106" spans="15:31" x14ac:dyDescent="0.2">
      <c r="O106" s="65">
        <v>6</v>
      </c>
      <c r="P106" s="56" t="str">
        <f>_xll.qlPeriodEquivalent(P105&amp;"+"&amp;O106&amp;"M")</f>
        <v>44Y</v>
      </c>
      <c r="Q106" s="57">
        <f>_xll.qlCalendarAdvance(Calendar,SettlementDate,P106,"f",,Trigger)</f>
        <v>58203</v>
      </c>
      <c r="R106" s="57">
        <f>_xll.qlInterestRateIndexValueDate(Index,Q106,Trigger)</f>
        <v>58207</v>
      </c>
      <c r="S106" s="57">
        <f>_xll.qlInterestRateIndexMaturity(Index,R106,Trigger)</f>
        <v>58391</v>
      </c>
      <c r="T106" s="58">
        <f>_xll.qlDayCounterYearFraction(DayCounter,R106,S106,,,Trigger)</f>
        <v>0.51111111111111107</v>
      </c>
      <c r="U106" s="59">
        <f>_xll.qlIndexFixing(Index,Q106,,AllTriggers)</f>
        <v>1.0403038826290964E-2</v>
      </c>
      <c r="V106" s="60">
        <f>_xll.qlYieldTSDiscount(OisCurve,R106,,AllTriggers)</f>
        <v>0.59052282944374113</v>
      </c>
      <c r="W106" s="60">
        <f>_xll.qlYieldTSDiscount(OisCurve,S106,,AllTriggers)</f>
        <v>0.58754851376066397</v>
      </c>
      <c r="X106" s="59">
        <f t="shared" si="26"/>
        <v>9.9043962442009782E-3</v>
      </c>
      <c r="Y106" s="59">
        <f t="shared" si="29"/>
        <v>4.9864258208998612E-4</v>
      </c>
      <c r="Z106" s="59">
        <f t="shared" si="27"/>
        <v>3.3229082966568685E-4</v>
      </c>
      <c r="AA106" s="59">
        <f t="shared" si="30"/>
        <v>-1.6635175242429926E-4</v>
      </c>
      <c r="AB106" s="58">
        <f>_xll.qlDayCounterYearFraction(DayCounter,SettlementDate,R106,,,Trigger)</f>
        <v>44.652777777777779</v>
      </c>
      <c r="AC106" s="59">
        <f>_xll.qlAbcdMathFunctionValue($M$28,AB106)</f>
        <v>3.0211686151767611E-4</v>
      </c>
      <c r="AD106" s="59">
        <f t="shared" si="28"/>
        <v>-1.9652572057231001E-4</v>
      </c>
      <c r="AE106" s="59">
        <f t="shared" si="31"/>
        <v>6.5181951541717236E-4</v>
      </c>
    </row>
    <row r="107" spans="15:31" x14ac:dyDescent="0.2">
      <c r="O107" s="65">
        <v>6</v>
      </c>
      <c r="P107" s="56" t="str">
        <f>_xll.qlPeriodEquivalent(P106&amp;"+"&amp;O107&amp;"M")</f>
        <v>44Y6M</v>
      </c>
      <c r="Q107" s="57">
        <f>_xll.qlCalendarAdvance(Calendar,SettlementDate,P107,"f",,Trigger)</f>
        <v>58389</v>
      </c>
      <c r="R107" s="57">
        <f>_xll.qlInterestRateIndexValueDate(Index,Q107,Trigger)</f>
        <v>58391</v>
      </c>
      <c r="S107" s="57">
        <f>_xll.qlInterestRateIndexMaturity(Index,R107,Trigger)</f>
        <v>58573</v>
      </c>
      <c r="T107" s="58">
        <f>_xll.qlDayCounterYearFraction(DayCounter,R107,S107,,,Trigger)</f>
        <v>0.50555555555555554</v>
      </c>
      <c r="U107" s="59">
        <f>_xll.qlIndexFixing(Index,Q107,,AllTriggers)</f>
        <v>1.0214691230987408E-2</v>
      </c>
      <c r="V107" s="60">
        <f>_xll.qlYieldTSDiscount(OisCurve,R107,,AllTriggers)</f>
        <v>0.58754851376066397</v>
      </c>
      <c r="W107" s="60">
        <f>_xll.qlYieldTSDiscount(OisCurve,S107,,AllTriggers)</f>
        <v>0.5846456064073221</v>
      </c>
      <c r="X107" s="59">
        <f t="shared" si="26"/>
        <v>9.8213592681502884E-3</v>
      </c>
      <c r="Y107" s="59">
        <f t="shared" si="29"/>
        <v>3.933319628371193E-4</v>
      </c>
      <c r="Z107" s="59">
        <f t="shared" si="27"/>
        <v>3.2705965660703604E-4</v>
      </c>
      <c r="AA107" s="59">
        <f t="shared" si="30"/>
        <v>-6.6272306230083261E-5</v>
      </c>
      <c r="AB107" s="58">
        <f>_xll.qlDayCounterYearFraction(DayCounter,SettlementDate,R107,,,Trigger)</f>
        <v>45.163888888888891</v>
      </c>
      <c r="AC107" s="59">
        <f>_xll.qlAbcdMathFunctionValue($M$28,AB107)</f>
        <v>3.0090675920417612E-4</v>
      </c>
      <c r="AD107" s="59">
        <f t="shared" si="28"/>
        <v>-9.2425203632943173E-5</v>
      </c>
      <c r="AE107" s="59">
        <f t="shared" si="31"/>
        <v>6.4848727948161114E-4</v>
      </c>
    </row>
    <row r="108" spans="15:31" x14ac:dyDescent="0.2">
      <c r="O108" s="65">
        <v>6</v>
      </c>
      <c r="P108" s="56" t="str">
        <f>_xll.qlPeriodEquivalent(P107&amp;"+"&amp;O108&amp;"M")</f>
        <v>45Y</v>
      </c>
      <c r="Q108" s="57">
        <f>_xll.qlCalendarAdvance(Calendar,SettlementDate,P108,"f",,Trigger)</f>
        <v>58571</v>
      </c>
      <c r="R108" s="57">
        <f>_xll.qlInterestRateIndexValueDate(Index,Q108,Trigger)</f>
        <v>58573</v>
      </c>
      <c r="S108" s="57">
        <f>_xll.qlInterestRateIndexMaturity(Index,R108,Trigger)</f>
        <v>58757</v>
      </c>
      <c r="T108" s="58">
        <f>_xll.qlDayCounterYearFraction(DayCounter,R108,S108,,,Trigger)</f>
        <v>0.51111111111111107</v>
      </c>
      <c r="U108" s="59">
        <f>_xll.qlIndexFixing(Index,Q108,,AllTriggers)</f>
        <v>1.0036199473174145E-2</v>
      </c>
      <c r="V108" s="60">
        <f>_xll.qlYieldTSDiscount(OisCurve,R108,,AllTriggers)</f>
        <v>0.5846456064073221</v>
      </c>
      <c r="W108" s="60">
        <f>_xll.qlYieldTSDiscount(OisCurve,S108,,AllTriggers)</f>
        <v>0.58174407884828661</v>
      </c>
      <c r="X108" s="59">
        <f t="shared" si="26"/>
        <v>9.7584177516305357E-3</v>
      </c>
      <c r="Y108" s="59">
        <f t="shared" si="29"/>
        <v>2.777817215436091E-4</v>
      </c>
      <c r="Z108" s="59">
        <f t="shared" si="27"/>
        <v>3.2912564687899708E-4</v>
      </c>
      <c r="AA108" s="59">
        <f t="shared" si="30"/>
        <v>5.1343925335387984E-5</v>
      </c>
      <c r="AB108" s="58">
        <f>_xll.qlDayCounterYearFraction(DayCounter,SettlementDate,R108,,,Trigger)</f>
        <v>45.669444444444444</v>
      </c>
      <c r="AC108" s="59">
        <f>_xll.qlAbcdMathFunctionValue($M$28,AB108)</f>
        <v>2.9979514012115692E-4</v>
      </c>
      <c r="AD108" s="59">
        <f t="shared" si="28"/>
        <v>2.201341857754782E-5</v>
      </c>
      <c r="AE108" s="59">
        <f t="shared" si="31"/>
        <v>6.4541018812688865E-4</v>
      </c>
    </row>
    <row r="109" spans="15:31" x14ac:dyDescent="0.2">
      <c r="O109" s="65">
        <v>6</v>
      </c>
      <c r="P109" s="56" t="str">
        <f>_xll.qlPeriodEquivalent(P108&amp;"+"&amp;O109&amp;"M")</f>
        <v>45Y6M</v>
      </c>
      <c r="Q109" s="57">
        <f>_xll.qlCalendarAdvance(Calendar,SettlementDate,P109,"f",,Trigger)</f>
        <v>58753</v>
      </c>
      <c r="R109" s="57">
        <f>_xll.qlInterestRateIndexValueDate(Index,Q109,Trigger)</f>
        <v>58755</v>
      </c>
      <c r="S109" s="57">
        <f>_xll.qlInterestRateIndexMaturity(Index,R109,Trigger)</f>
        <v>58936</v>
      </c>
      <c r="T109" s="58">
        <f>_xll.qlDayCounterYearFraction(DayCounter,R109,S109,,,Trigger)</f>
        <v>0.50277777777777777</v>
      </c>
      <c r="U109" s="59">
        <f>_xll.qlIndexFixing(Index,Q109,,AllTriggers)</f>
        <v>9.8872492937466666E-3</v>
      </c>
      <c r="V109" s="60">
        <f>_xll.qlYieldTSDiscount(OisCurve,R109,,AllTriggers)</f>
        <v>0.58177545926641139</v>
      </c>
      <c r="W109" s="60">
        <f>_xll.qlYieldTSDiscount(OisCurve,S109,,AllTriggers)</f>
        <v>0.57894766720599833</v>
      </c>
      <c r="X109" s="59">
        <f t="shared" si="26"/>
        <v>9.7147602767958998E-3</v>
      </c>
      <c r="Y109" s="59">
        <f t="shared" si="29"/>
        <v>1.7248901695076681E-4</v>
      </c>
      <c r="Z109" s="59">
        <f t="shared" si="27"/>
        <v>3.2237476598854728E-4</v>
      </c>
      <c r="AA109" s="59">
        <f t="shared" si="30"/>
        <v>1.4988574903778047E-4</v>
      </c>
      <c r="AB109" s="58">
        <f>_xll.qlDayCounterYearFraction(DayCounter,SettlementDate,R109,,,Trigger)</f>
        <v>46.174999999999997</v>
      </c>
      <c r="AC109" s="59">
        <f>_xll.qlAbcdMathFunctionValue($M$28,AB109)</f>
        <v>2.9876249784485697E-4</v>
      </c>
      <c r="AD109" s="59">
        <f t="shared" si="28"/>
        <v>1.2627348089409016E-4</v>
      </c>
      <c r="AE109" s="59">
        <f t="shared" si="31"/>
        <v>6.4253682243105596E-4</v>
      </c>
    </row>
    <row r="110" spans="15:31" x14ac:dyDescent="0.2">
      <c r="O110" s="65">
        <v>6</v>
      </c>
      <c r="P110" s="56" t="str">
        <f>_xll.qlPeriodEquivalent(P109&amp;"+"&amp;O110&amp;"M")</f>
        <v>46Y</v>
      </c>
      <c r="Q110" s="57">
        <f>_xll.qlCalendarAdvance(Calendar,SettlementDate,P110,"f",,Trigger)</f>
        <v>58935</v>
      </c>
      <c r="R110" s="57">
        <f>_xll.qlInterestRateIndexValueDate(Index,Q110,Trigger)</f>
        <v>58937</v>
      </c>
      <c r="S110" s="57">
        <f>_xll.qlInterestRateIndexMaturity(Index,R110,Trigger)</f>
        <v>59121</v>
      </c>
      <c r="T110" s="58">
        <f>_xll.qlDayCounterYearFraction(DayCounter,R110,S110,,,Trigger)</f>
        <v>0.51111111111111107</v>
      </c>
      <c r="U110" s="59">
        <f>_xll.qlIndexFixing(Index,Q110,,AllTriggers)</f>
        <v>9.7697164856228643E-3</v>
      </c>
      <c r="V110" s="60">
        <f>_xll.qlYieldTSDiscount(OisCurve,R110,,AllTriggers)</f>
        <v>0.57893210691853481</v>
      </c>
      <c r="W110" s="60">
        <f>_xll.qlYieldTSDiscount(OisCurve,S110,,AllTriggers)</f>
        <v>0.57607877740495517</v>
      </c>
      <c r="X110" s="59">
        <f t="shared" si="26"/>
        <v>9.6906906506239628E-3</v>
      </c>
      <c r="Y110" s="59">
        <f t="shared" si="29"/>
        <v>7.9025834998901548E-5</v>
      </c>
      <c r="Z110" s="59">
        <f t="shared" si="27"/>
        <v>3.2638222711574012E-4</v>
      </c>
      <c r="AA110" s="59">
        <f t="shared" si="30"/>
        <v>2.4735639211683857E-4</v>
      </c>
      <c r="AB110" s="58">
        <f>_xll.qlDayCounterYearFraction(DayCounter,SettlementDate,R110,,,Trigger)</f>
        <v>46.680555555555557</v>
      </c>
      <c r="AC110" s="59">
        <f>_xll.qlAbcdMathFunctionValue($M$28,AB110)</f>
        <v>2.978033590147169E-4</v>
      </c>
      <c r="AD110" s="59">
        <f t="shared" si="28"/>
        <v>2.1877752401581535E-4</v>
      </c>
      <c r="AE110" s="59">
        <f t="shared" si="31"/>
        <v>6.3985408790081242E-4</v>
      </c>
    </row>
    <row r="111" spans="15:31" x14ac:dyDescent="0.2">
      <c r="O111" s="65">
        <v>6</v>
      </c>
      <c r="P111" s="56" t="str">
        <f>_xll.qlPeriodEquivalent(P110&amp;"+"&amp;O111&amp;"M")</f>
        <v>46Y6M</v>
      </c>
      <c r="Q111" s="57">
        <f>_xll.qlCalendarAdvance(Calendar,SettlementDate,P111,"f",,Trigger)</f>
        <v>59118</v>
      </c>
      <c r="R111" s="57">
        <f>_xll.qlInterestRateIndexValueDate(Index,Q111,Trigger)</f>
        <v>59120</v>
      </c>
      <c r="S111" s="57">
        <f>_xll.qlInterestRateIndexMaturity(Index,R111,Trigger)</f>
        <v>59301</v>
      </c>
      <c r="T111" s="58">
        <f>_xll.qlDayCounterYearFraction(DayCounter,R111,S111,,,Trigger)</f>
        <v>0.50277777777777777</v>
      </c>
      <c r="U111" s="59">
        <f>_xll.qlIndexFixing(Index,Q111,,AllTriggers)</f>
        <v>9.685289022412254E-3</v>
      </c>
      <c r="V111" s="60">
        <f>_xll.qlYieldTSDiscount(OisCurve,R111,,AllTriggers)</f>
        <v>0.57609423748492894</v>
      </c>
      <c r="W111" s="60">
        <f>_xll.qlYieldTSDiscount(OisCurve,S111,,AllTriggers)</f>
        <v>0.57330249297022429</v>
      </c>
      <c r="X111" s="59">
        <f t="shared" si="26"/>
        <v>9.6853599832684503E-3</v>
      </c>
      <c r="Y111" s="59">
        <f t="shared" si="29"/>
        <v>-7.0960856196275457E-8</v>
      </c>
      <c r="Z111" s="59">
        <f t="shared" si="27"/>
        <v>3.1984759977476219E-4</v>
      </c>
      <c r="AA111" s="59">
        <f t="shared" si="30"/>
        <v>3.1991856063095847E-4</v>
      </c>
      <c r="AB111" s="58">
        <f>_xll.qlDayCounterYearFraction(DayCounter,SettlementDate,R111,,,Trigger)</f>
        <v>47.18888888888889</v>
      </c>
      <c r="AC111" s="59">
        <f>_xll.qlAbcdMathFunctionValue($M$28,AB111)</f>
        <v>2.969079023027346E-4</v>
      </c>
      <c r="AD111" s="59">
        <f t="shared" si="28"/>
        <v>2.9697886315893087E-4</v>
      </c>
      <c r="AE111" s="59">
        <f t="shared" si="31"/>
        <v>6.3733640659175881E-4</v>
      </c>
    </row>
    <row r="112" spans="15:31" x14ac:dyDescent="0.2">
      <c r="O112" s="65">
        <v>6</v>
      </c>
      <c r="P112" s="56" t="str">
        <f>_xll.qlPeriodEquivalent(P111&amp;"+"&amp;O112&amp;"M")</f>
        <v>47Y</v>
      </c>
      <c r="Q112" s="57">
        <f>_xll.qlCalendarAdvance(Calendar,SettlementDate,P112,"f",,Trigger)</f>
        <v>59299</v>
      </c>
      <c r="R112" s="57">
        <f>_xll.qlInterestRateIndexValueDate(Index,Q112,Trigger)</f>
        <v>59301</v>
      </c>
      <c r="S112" s="57">
        <f>_xll.qlInterestRateIndexMaturity(Index,R112,Trigger)</f>
        <v>59485</v>
      </c>
      <c r="T112" s="58">
        <f>_xll.qlDayCounterYearFraction(DayCounter,R112,S112,,,Trigger)</f>
        <v>0.51111111111111107</v>
      </c>
      <c r="U112" s="59">
        <f>_xll.qlIndexFixing(Index,Q112,,AllTriggers)</f>
        <v>9.6340615978977567E-3</v>
      </c>
      <c r="V112" s="60">
        <f>_xll.qlYieldTSDiscount(OisCurve,R112,,AllTriggers)</f>
        <v>0.57330249297022429</v>
      </c>
      <c r="W112" s="60">
        <f>_xll.qlYieldTSDiscount(OisCurve,S112,,AllTriggers)</f>
        <v>0.57047415144896207</v>
      </c>
      <c r="X112" s="59">
        <f t="shared" si="26"/>
        <v>9.7001970343081195E-3</v>
      </c>
      <c r="Y112" s="59">
        <f t="shared" si="29"/>
        <v>-6.6135436410362861E-5</v>
      </c>
      <c r="Z112" s="59">
        <f t="shared" si="27"/>
        <v>3.2399175690340436E-4</v>
      </c>
      <c r="AA112" s="59">
        <f t="shared" si="30"/>
        <v>3.9012719331376722E-4</v>
      </c>
      <c r="AB112" s="58">
        <f>_xll.qlDayCounterYearFraction(DayCounter,SettlementDate,R112,,,Trigger)</f>
        <v>47.69166666666667</v>
      </c>
      <c r="AC112" s="59">
        <f>_xll.qlAbcdMathFunctionValue($M$28,AB112)</f>
        <v>2.9608550620294037E-4</v>
      </c>
      <c r="AD112" s="59">
        <f t="shared" si="28"/>
        <v>3.6222094261330323E-4</v>
      </c>
      <c r="AE112" s="59">
        <f t="shared" si="31"/>
        <v>6.3501211773086879E-4</v>
      </c>
    </row>
    <row r="113" spans="15:31" x14ac:dyDescent="0.2">
      <c r="O113" s="65">
        <v>6</v>
      </c>
      <c r="P113" s="56" t="str">
        <f>_xll.qlPeriodEquivalent(P112&amp;"+"&amp;O113&amp;"M")</f>
        <v>47Y6M</v>
      </c>
      <c r="Q113" s="57">
        <f>_xll.qlCalendarAdvance(Calendar,SettlementDate,P113,"f",,Trigger)</f>
        <v>59483</v>
      </c>
      <c r="R113" s="57">
        <f>_xll.qlInterestRateIndexValueDate(Index,Q113,Trigger)</f>
        <v>59485</v>
      </c>
      <c r="S113" s="57">
        <f>_xll.qlInterestRateIndexMaturity(Index,R113,Trigger)</f>
        <v>59666</v>
      </c>
      <c r="T113" s="58">
        <f>_xll.qlDayCounterYearFraction(DayCounter,R113,S113,,,Trigger)</f>
        <v>0.50277777777777777</v>
      </c>
      <c r="U113" s="59">
        <f>_xll.qlIndexFixing(Index,Q113,,AllTriggers)</f>
        <v>9.6148490477758666E-3</v>
      </c>
      <c r="V113" s="60">
        <f>_xll.qlYieldTSDiscount(OisCurve,R113,,AllTriggers)</f>
        <v>0.57047415144896207</v>
      </c>
      <c r="W113" s="60">
        <f>_xll.qlYieldTSDiscount(OisCurve,S113,,AllTriggers)</f>
        <v>0.56769593641163252</v>
      </c>
      <c r="X113" s="59">
        <f t="shared" si="26"/>
        <v>9.7336112724129894E-3</v>
      </c>
      <c r="Y113" s="59">
        <f t="shared" si="29"/>
        <v>-1.1876222463712283E-4</v>
      </c>
      <c r="Z113" s="59">
        <f t="shared" si="27"/>
        <v>3.176470031798623E-4</v>
      </c>
      <c r="AA113" s="59">
        <f t="shared" si="30"/>
        <v>4.3640922781698513E-4</v>
      </c>
      <c r="AB113" s="58">
        <f>_xll.qlDayCounterYearFraction(DayCounter,SettlementDate,R113,,,Trigger)</f>
        <v>48.202777777777776</v>
      </c>
      <c r="AC113" s="59">
        <f>_xll.qlAbcdMathFunctionValue($M$28,AB113)</f>
        <v>2.9530945951017167E-4</v>
      </c>
      <c r="AD113" s="59">
        <f t="shared" si="28"/>
        <v>4.1407168414729449E-4</v>
      </c>
      <c r="AE113" s="59">
        <f t="shared" si="31"/>
        <v>6.328073948446639E-4</v>
      </c>
    </row>
    <row r="114" spans="15:31" x14ac:dyDescent="0.2">
      <c r="O114" s="65">
        <v>6</v>
      </c>
      <c r="P114" s="56" t="str">
        <f>_xll.qlPeriodEquivalent(P113&amp;"+"&amp;O114&amp;"M")</f>
        <v>48Y</v>
      </c>
      <c r="Q114" s="57">
        <f>_xll.qlCalendarAdvance(Calendar,SettlementDate,P114,"f",,Trigger)</f>
        <v>59664</v>
      </c>
      <c r="R114" s="57">
        <f>_xll.qlInterestRateIndexValueDate(Index,Q114,Trigger)</f>
        <v>59666</v>
      </c>
      <c r="S114" s="57">
        <f>_xll.qlInterestRateIndexMaturity(Index,R114,Trigger)</f>
        <v>59852</v>
      </c>
      <c r="T114" s="58">
        <f>_xll.qlDayCounterYearFraction(DayCounter,R114,S114,,,Trigger)</f>
        <v>0.51666666666666672</v>
      </c>
      <c r="U114" s="59">
        <f>_xll.qlIndexFixing(Index,Q114,,AllTriggers)</f>
        <v>9.6298299705316857E-3</v>
      </c>
      <c r="V114" s="60">
        <f>_xll.qlYieldTSDiscount(OisCurve,R114,,AllTriggers)</f>
        <v>0.56769593641163252</v>
      </c>
      <c r="W114" s="60">
        <f>_xll.qlYieldTSDiscount(OisCurve,S114,,AllTriggers)</f>
        <v>0.56483949357099916</v>
      </c>
      <c r="X114" s="59">
        <f t="shared" si="26"/>
        <v>9.7879116267781778E-3</v>
      </c>
      <c r="Y114" s="59">
        <f t="shared" si="29"/>
        <v>-1.5808165624649206E-4</v>
      </c>
      <c r="Z114" s="59">
        <f t="shared" si="27"/>
        <v>3.2539827576563241E-4</v>
      </c>
      <c r="AA114" s="59">
        <f t="shared" si="30"/>
        <v>4.8347993201212447E-4</v>
      </c>
      <c r="AB114" s="58">
        <f>_xll.qlDayCounterYearFraction(DayCounter,SettlementDate,R114,,,Trigger)</f>
        <v>48.705555555555556</v>
      </c>
      <c r="AC114" s="59">
        <f>_xll.qlAbcdMathFunctionValue($M$28,AB114)</f>
        <v>2.9460093864121088E-4</v>
      </c>
      <c r="AD114" s="59">
        <f t="shared" si="28"/>
        <v>4.5268259488770294E-4</v>
      </c>
      <c r="AE114" s="59">
        <f t="shared" si="31"/>
        <v>6.3078402352050294E-4</v>
      </c>
    </row>
    <row r="115" spans="15:31" x14ac:dyDescent="0.2">
      <c r="O115" s="65">
        <v>6</v>
      </c>
      <c r="P115" s="56" t="str">
        <f>_xll.qlPeriodEquivalent(P114&amp;"+"&amp;O115&amp;"M")</f>
        <v>48Y6M</v>
      </c>
      <c r="Q115" s="57">
        <f>_xll.qlCalendarAdvance(Calendar,SettlementDate,P115,"f",,Trigger)</f>
        <v>59848</v>
      </c>
      <c r="R115" s="57">
        <f>_xll.qlInterestRateIndexValueDate(Index,Q115,Trigger)</f>
        <v>59852</v>
      </c>
      <c r="S115" s="57">
        <f>_xll.qlInterestRateIndexMaturity(Index,R115,Trigger)</f>
        <v>60034</v>
      </c>
      <c r="T115" s="58">
        <f>_xll.qlDayCounterYearFraction(DayCounter,R115,S115,,,Trigger)</f>
        <v>0.50555555555555554</v>
      </c>
      <c r="U115" s="59">
        <f>_xll.qlIndexFixing(Index,Q115,,AllTriggers)</f>
        <v>9.6769319667997546E-3</v>
      </c>
      <c r="V115" s="60">
        <f>_xll.qlYieldTSDiscount(OisCurve,R115,,AllTriggers)</f>
        <v>0.56483949357099916</v>
      </c>
      <c r="W115" s="60">
        <f>_xll.qlYieldTSDiscount(OisCurve,S115,,AllTriggers)</f>
        <v>0.56203763536284035</v>
      </c>
      <c r="X115" s="59">
        <f t="shared" si="26"/>
        <v>9.8607935951861691E-3</v>
      </c>
      <c r="Y115" s="59">
        <f t="shared" si="29"/>
        <v>-1.8386162838641452E-4</v>
      </c>
      <c r="Z115" s="59">
        <f t="shared" si="27"/>
        <v>3.1746392045468755E-4</v>
      </c>
      <c r="AA115" s="59">
        <f t="shared" si="30"/>
        <v>5.0132554884110207E-4</v>
      </c>
      <c r="AB115" s="58">
        <f>_xll.qlDayCounterYearFraction(DayCounter,SettlementDate,R115,,,Trigger)</f>
        <v>49.222222222222221</v>
      </c>
      <c r="AC115" s="59">
        <f>_xll.qlAbcdMathFunctionValue($M$28,AB115)</f>
        <v>2.9392553095453717E-4</v>
      </c>
      <c r="AD115" s="59">
        <f t="shared" si="28"/>
        <v>4.777871593409517E-4</v>
      </c>
      <c r="AE115" s="59">
        <f t="shared" si="31"/>
        <v>6.2884512212726463E-4</v>
      </c>
    </row>
    <row r="116" spans="15:31" x14ac:dyDescent="0.2">
      <c r="O116" s="65">
        <v>6</v>
      </c>
      <c r="P116" s="56" t="str">
        <f>_xll.qlPeriodEquivalent(P115&amp;"+"&amp;O116&amp;"M")</f>
        <v>49Y</v>
      </c>
      <c r="Q116" s="57">
        <f>_xll.qlCalendarAdvance(Calendar,SettlementDate,P116,"f",,Trigger)</f>
        <v>60030</v>
      </c>
      <c r="R116" s="57">
        <f>_xll.qlInterestRateIndexValueDate(Index,Q116,Trigger)</f>
        <v>60034</v>
      </c>
      <c r="S116" s="57">
        <f>_xll.qlInterestRateIndexMaturity(Index,R116,Trigger)</f>
        <v>60218</v>
      </c>
      <c r="T116" s="58">
        <f>_xll.qlDayCounterYearFraction(DayCounter,R116,S116,,,Trigger)</f>
        <v>0.51111111111111107</v>
      </c>
      <c r="U116" s="59">
        <f>_xll.qlIndexFixing(Index,Q116,,AllTriggers)</f>
        <v>9.7577947395116847E-3</v>
      </c>
      <c r="V116" s="60">
        <f>_xll.qlYieldTSDiscount(OisCurve,R116,,AllTriggers)</f>
        <v>0.56203763536284035</v>
      </c>
      <c r="W116" s="60">
        <f>_xll.qlYieldTSDiscount(OisCurve,S116,,AllTriggers)</f>
        <v>0.55919276789678662</v>
      </c>
      <c r="X116" s="59">
        <f t="shared" si="26"/>
        <v>9.9537142857081505E-3</v>
      </c>
      <c r="Y116" s="59">
        <f t="shared" si="29"/>
        <v>-1.9591954619646579E-4</v>
      </c>
      <c r="Z116" s="59">
        <f t="shared" si="27"/>
        <v>3.2007476646940341E-4</v>
      </c>
      <c r="AA116" s="59">
        <f t="shared" si="30"/>
        <v>5.1599431266586919E-4</v>
      </c>
      <c r="AB116" s="58">
        <f>_xll.qlDayCounterYearFraction(DayCounter,SettlementDate,R116,,,Trigger)</f>
        <v>49.727777777777774</v>
      </c>
      <c r="AC116" s="59">
        <f>_xll.qlAbcdMathFunctionValue($M$28,AB116)</f>
        <v>2.9331268778193492E-4</v>
      </c>
      <c r="AD116" s="59">
        <f t="shared" si="28"/>
        <v>4.8923223397840071E-4</v>
      </c>
      <c r="AE116" s="59">
        <f t="shared" si="31"/>
        <v>6.2707659289604645E-4</v>
      </c>
    </row>
    <row r="117" spans="15:31" x14ac:dyDescent="0.2">
      <c r="O117" s="65">
        <v>6</v>
      </c>
      <c r="P117" s="56" t="str">
        <f>_xll.qlPeriodEquivalent(P116&amp;"+"&amp;O117&amp;"M")</f>
        <v>49Y6M</v>
      </c>
      <c r="Q117" s="57">
        <f>_xll.qlCalendarAdvance(Calendar,SettlementDate,P117,"f",,Trigger)</f>
        <v>60216</v>
      </c>
      <c r="R117" s="57">
        <f>_xll.qlInterestRateIndexValueDate(Index,Q117,Trigger)</f>
        <v>60218</v>
      </c>
      <c r="S117" s="57">
        <f>_xll.qlInterestRateIndexMaturity(Index,R117,Trigger)</f>
        <v>60399</v>
      </c>
      <c r="T117" s="58">
        <f>_xll.qlDayCounterYearFraction(DayCounter,R117,S117,,,Trigger)</f>
        <v>0.50277777777777777</v>
      </c>
      <c r="U117" s="59">
        <f>_xll.qlIndexFixing(Index,Q117,,AllTriggers)</f>
        <v>9.8706281760472508E-3</v>
      </c>
      <c r="V117" s="60">
        <f>_xll.qlYieldTSDiscount(OisCurve,R117,,AllTriggers)</f>
        <v>0.55919276789678662</v>
      </c>
      <c r="W117" s="60">
        <f>_xll.qlYieldTSDiscount(OisCurve,S117,,AllTriggers)</f>
        <v>0.55637721752596325</v>
      </c>
      <c r="X117" s="59">
        <f t="shared" si="26"/>
        <v>1.006509524729826E-2</v>
      </c>
      <c r="Y117" s="59">
        <f t="shared" si="29"/>
        <v>-1.9446707125100882E-4</v>
      </c>
      <c r="Z117" s="59">
        <f t="shared" si="27"/>
        <v>3.1405309494035127E-4</v>
      </c>
      <c r="AA117" s="59">
        <f t="shared" si="30"/>
        <v>5.0852016619136009E-4</v>
      </c>
      <c r="AB117" s="58">
        <f>_xll.qlDayCounterYearFraction(DayCounter,SettlementDate,R117,,,Trigger)</f>
        <v>50.238888888888887</v>
      </c>
      <c r="AC117" s="59">
        <f>_xll.qlAbcdMathFunctionValue($M$28,AB117)</f>
        <v>2.9273797401826296E-4</v>
      </c>
      <c r="AD117" s="59">
        <f t="shared" si="28"/>
        <v>4.8720504526927178E-4</v>
      </c>
      <c r="AE117" s="59">
        <f t="shared" si="31"/>
        <v>6.2540944815882044E-4</v>
      </c>
    </row>
    <row r="118" spans="15:31" x14ac:dyDescent="0.2">
      <c r="O118" s="65">
        <v>6</v>
      </c>
      <c r="P118" s="56" t="str">
        <f>_xll.qlPeriodEquivalent(P117&amp;"+"&amp;O118&amp;"M")</f>
        <v>50Y</v>
      </c>
      <c r="Q118" s="57">
        <f>_xll.qlCalendarAdvance(Calendar,SettlementDate,P118,"f",,Trigger)</f>
        <v>60395</v>
      </c>
      <c r="R118" s="57">
        <f>_xll.qlInterestRateIndexValueDate(Index,Q118,Trigger)</f>
        <v>60399</v>
      </c>
      <c r="S118" s="57">
        <f>_xll.qlInterestRateIndexMaturity(Index,R118,Trigger)</f>
        <v>60583</v>
      </c>
      <c r="T118" s="58">
        <f>_xll.qlDayCounterYearFraction(DayCounter,R118,S118,,,Trigger)</f>
        <v>0.51111111111111107</v>
      </c>
      <c r="U118" s="59">
        <f>_xll.qlIndexFixing(Index,Q118,,AllTriggers)</f>
        <v>1.0011366998086184E-2</v>
      </c>
      <c r="V118" s="60">
        <f>_xll.qlYieldTSDiscount(OisCurve,R118,,AllTriggers)</f>
        <v>0.55637721752596325</v>
      </c>
      <c r="W118" s="60">
        <f>_xll.qlYieldTSDiscount(OisCurve,S118,,AllTriggers)</f>
        <v>0.55349390195649117</v>
      </c>
      <c r="X118" s="59">
        <f t="shared" si="26"/>
        <v>1.0192107939228501E-2</v>
      </c>
      <c r="Y118" s="59">
        <f t="shared" si="29"/>
        <v>-1.8074094114231727E-4</v>
      </c>
      <c r="Z118" s="59">
        <f t="shared" si="27"/>
        <v>3.184973306549213E-4</v>
      </c>
      <c r="AA118" s="59">
        <f t="shared" si="30"/>
        <v>4.9923827179723852E-4</v>
      </c>
      <c r="AB118" s="58">
        <f>_xll.qlDayCounterYearFraction(DayCounter,SettlementDate,R118,,,Trigger)</f>
        <v>50.741666666666667</v>
      </c>
      <c r="AC118" s="59">
        <f>_xll.qlAbcdMathFunctionValue($M$28,AB118)</f>
        <v>2.922135293694228E-4</v>
      </c>
      <c r="AD118" s="59">
        <f t="shared" si="28"/>
        <v>4.7295447051174007E-4</v>
      </c>
      <c r="AE118" s="59">
        <f t="shared" si="31"/>
        <v>6.2388021500289683E-4</v>
      </c>
    </row>
    <row r="119" spans="15:31" x14ac:dyDescent="0.2">
      <c r="O119" s="65">
        <v>6</v>
      </c>
      <c r="P119" s="56" t="str">
        <f>_xll.qlPeriodEquivalent(P118&amp;"+"&amp;O119&amp;"M")</f>
        <v>50Y6M</v>
      </c>
      <c r="Q119" s="57">
        <f>_xll.qlCalendarAdvance(Calendar,SettlementDate,P119,"f",,Trigger)</f>
        <v>60580</v>
      </c>
      <c r="R119" s="57">
        <f>_xll.qlInterestRateIndexValueDate(Index,Q119,Trigger)</f>
        <v>60582</v>
      </c>
      <c r="S119" s="57">
        <f>_xll.qlInterestRateIndexMaturity(Index,R119,Trigger)</f>
        <v>60763</v>
      </c>
      <c r="T119" s="58">
        <f>_xll.qlDayCounterYearFraction(DayCounter,R119,S119,,,Trigger)</f>
        <v>0.50277777777777777</v>
      </c>
      <c r="U119" s="59">
        <f>_xll.qlIndexFixing(Index,Q119,,AllTriggers)</f>
        <v>1.0155783921132897E-2</v>
      </c>
      <c r="V119" s="60">
        <f>_xll.qlYieldTSDiscount(OisCurve,R119,,AllTriggers)</f>
        <v>0.5535096284989568</v>
      </c>
      <c r="W119" s="60">
        <f>_xll.qlYieldTSDiscount(OisCurve,S119,,AllTriggers)</f>
        <v>0.55065383549203573</v>
      </c>
      <c r="X119" s="59">
        <f t="shared" si="26"/>
        <v>1.0315065334891326E-2</v>
      </c>
      <c r="Y119" s="59">
        <f t="shared" si="29"/>
        <v>-1.5928141375842926E-4</v>
      </c>
      <c r="Z119" s="59">
        <f t="shared" si="27"/>
        <v>3.1261001155810051E-4</v>
      </c>
      <c r="AA119" s="59">
        <f t="shared" si="30"/>
        <v>4.7189142531652977E-4</v>
      </c>
      <c r="AB119" s="58">
        <f>_xll.qlDayCounterYearFraction(DayCounter,SettlementDate,R119,,,Trigger)</f>
        <v>51.25</v>
      </c>
      <c r="AC119" s="59">
        <f>_xll.qlAbcdMathFunctionValue($M$28,AB119)</f>
        <v>2.9172159918423673E-4</v>
      </c>
      <c r="AD119" s="59">
        <f t="shared" si="28"/>
        <v>4.5100301294266599E-4</v>
      </c>
      <c r="AE119" s="59">
        <f t="shared" si="31"/>
        <v>6.2243835887469212E-4</v>
      </c>
    </row>
    <row r="120" spans="15:31" x14ac:dyDescent="0.2">
      <c r="O120" s="65">
        <v>6</v>
      </c>
      <c r="P120" s="56" t="str">
        <f>_xll.qlPeriodEquivalent(P119&amp;"+"&amp;O120&amp;"M")</f>
        <v>51Y</v>
      </c>
      <c r="Q120" s="57">
        <f>_xll.qlCalendarAdvance(Calendar,SettlementDate,P120,"f",,Trigger)</f>
        <v>60762</v>
      </c>
      <c r="R120" s="57">
        <f>_xll.qlInterestRateIndexValueDate(Index,Q120,Trigger)</f>
        <v>60764</v>
      </c>
      <c r="S120" s="57">
        <f>_xll.qlInterestRateIndexMaturity(Index,R120,Trigger)</f>
        <v>60948</v>
      </c>
      <c r="T120" s="58">
        <f>_xll.qlDayCounterYearFraction(DayCounter,R120,S120,,,Trigger)</f>
        <v>0.51111111111111107</v>
      </c>
      <c r="U120" s="59">
        <f>_xll.qlIndexFixing(Index,Q120,,AllTriggers)</f>
        <v>1.0302975767980865E-2</v>
      </c>
      <c r="V120" s="60">
        <f>_xll.qlYieldTSDiscount(OisCurve,R120,,AllTriggers)</f>
        <v>0.55063800778827177</v>
      </c>
      <c r="W120" s="60">
        <f>_xll.qlYieldTSDiscount(OisCurve,S120,,AllTriggers)</f>
        <v>0.54771715637389939</v>
      </c>
      <c r="X120" s="59">
        <f t="shared" si="26"/>
        <v>1.0433686844544219E-2</v>
      </c>
      <c r="Y120" s="59">
        <f t="shared" si="29"/>
        <v>-1.3071107656335325E-4</v>
      </c>
      <c r="Z120" s="59">
        <f t="shared" si="27"/>
        <v>3.1712618247160145E-4</v>
      </c>
      <c r="AA120" s="59">
        <f t="shared" si="30"/>
        <v>4.478372590349547E-4</v>
      </c>
      <c r="AB120" s="58">
        <f>_xll.qlDayCounterYearFraction(DayCounter,SettlementDate,R120,,,Trigger)</f>
        <v>51.755555555555553</v>
      </c>
      <c r="AC120" s="59">
        <f>_xll.qlAbcdMathFunctionValue($M$28,AB120)</f>
        <v>2.9126785358985006E-4</v>
      </c>
      <c r="AD120" s="59">
        <f t="shared" si="28"/>
        <v>4.2197893015320331E-4</v>
      </c>
      <c r="AE120" s="59">
        <f t="shared" si="31"/>
        <v>6.2110151430563886E-4</v>
      </c>
    </row>
    <row r="121" spans="15:31" x14ac:dyDescent="0.2">
      <c r="O121" s="65">
        <v>6</v>
      </c>
      <c r="P121" s="56" t="str">
        <f>_xll.qlPeriodEquivalent(P120&amp;"+"&amp;O121&amp;"M")</f>
        <v>51Y6M</v>
      </c>
      <c r="Q121" s="57">
        <f>_xll.qlCalendarAdvance(Calendar,SettlementDate,P121,"f",,Trigger)</f>
        <v>60944</v>
      </c>
      <c r="R121" s="57">
        <f>_xll.qlInterestRateIndexValueDate(Index,Q121,Trigger)</f>
        <v>60946</v>
      </c>
      <c r="S121" s="57">
        <f>_xll.qlInterestRateIndexMaturity(Index,R121,Trigger)</f>
        <v>61127</v>
      </c>
      <c r="T121" s="58">
        <f>_xll.qlDayCounterYearFraction(DayCounter,R121,S121,,,Trigger)</f>
        <v>0.50277777777777777</v>
      </c>
      <c r="U121" s="59">
        <f>_xll.qlIndexFixing(Index,Q121,,AllTriggers)</f>
        <v>1.044719825932662E-2</v>
      </c>
      <c r="V121" s="60">
        <f>_xll.qlYieldTSDiscount(OisCurve,R121,,AllTriggers)</f>
        <v>0.54774899215553208</v>
      </c>
      <c r="W121" s="60">
        <f>_xll.qlYieldTSDiscount(OisCurve,S121,,AllTriggers)</f>
        <v>0.54486078793434045</v>
      </c>
      <c r="X121" s="59">
        <f t="shared" si="26"/>
        <v>1.0543050097922849E-2</v>
      </c>
      <c r="Y121" s="59">
        <f t="shared" si="29"/>
        <v>-9.5851838596228145E-5</v>
      </c>
      <c r="Z121" s="59">
        <f t="shared" si="27"/>
        <v>3.1135545329954924E-4</v>
      </c>
      <c r="AA121" s="59">
        <f t="shared" si="30"/>
        <v>4.0720729189577738E-4</v>
      </c>
      <c r="AB121" s="58">
        <f>_xll.qlDayCounterYearFraction(DayCounter,SettlementDate,R121,,,Trigger)</f>
        <v>52.261111111111113</v>
      </c>
      <c r="AC121" s="59">
        <f>_xll.qlAbcdMathFunctionValue($M$28,AB121)</f>
        <v>2.9084698831066935E-4</v>
      </c>
      <c r="AD121" s="59">
        <f t="shared" si="28"/>
        <v>3.8669882690689749E-4</v>
      </c>
      <c r="AE121" s="59">
        <f t="shared" si="31"/>
        <v>6.1985512312369591E-4</v>
      </c>
    </row>
    <row r="122" spans="15:31" x14ac:dyDescent="0.2">
      <c r="O122" s="65">
        <v>6</v>
      </c>
      <c r="P122" s="56" t="str">
        <f>_xll.qlPeriodEquivalent(P121&amp;"+"&amp;O122&amp;"M")</f>
        <v>52Y</v>
      </c>
      <c r="Q122" s="57">
        <f>_xll.qlCalendarAdvance(Calendar,SettlementDate,P122,"f",,Trigger)</f>
        <v>61126</v>
      </c>
      <c r="R122" s="57">
        <f>_xll.qlInterestRateIndexValueDate(Index,Q122,Trigger)</f>
        <v>61128</v>
      </c>
      <c r="S122" s="57">
        <f>_xll.qlInterestRateIndexMaturity(Index,R122,Trigger)</f>
        <v>61312</v>
      </c>
      <c r="T122" s="58">
        <f>_xll.qlDayCounterYearFraction(DayCounter,R122,S122,,,Trigger)</f>
        <v>0.51111111111111107</v>
      </c>
      <c r="U122" s="59">
        <f>_xll.qlIndexFixing(Index,Q122,,AllTriggers)</f>
        <v>1.0595053342111412E-2</v>
      </c>
      <c r="V122" s="60">
        <f>_xll.qlYieldTSDiscount(OisCurve,R122,,AllTriggers)</f>
        <v>0.54484479328125524</v>
      </c>
      <c r="W122" s="60">
        <f>_xll.qlYieldTSDiscount(OisCurve,S122,,AllTriggers)</f>
        <v>0.54189546388969356</v>
      </c>
      <c r="X122" s="59">
        <f t="shared" si="26"/>
        <v>1.064859821676121E-2</v>
      </c>
      <c r="Y122" s="59">
        <f t="shared" si="29"/>
        <v>-5.3544874649797888E-5</v>
      </c>
      <c r="Z122" s="59">
        <f t="shared" si="27"/>
        <v>3.1593793211956401E-4</v>
      </c>
      <c r="AA122" s="59">
        <f t="shared" si="30"/>
        <v>3.694828067693619E-4</v>
      </c>
      <c r="AB122" s="58">
        <f>_xll.qlDayCounterYearFraction(DayCounter,SettlementDate,R122,,,Trigger)</f>
        <v>52.766666666666666</v>
      </c>
      <c r="AC122" s="59">
        <f>_xll.qlAbcdMathFunctionValue($M$28,AB122)</f>
        <v>2.9045666349343454E-4</v>
      </c>
      <c r="AD122" s="59">
        <f t="shared" si="28"/>
        <v>3.4400153814323242E-4</v>
      </c>
      <c r="AE122" s="59">
        <f t="shared" si="31"/>
        <v>6.1869319493225948E-4</v>
      </c>
    </row>
    <row r="123" spans="15:31" x14ac:dyDescent="0.2">
      <c r="O123" s="65">
        <v>6</v>
      </c>
      <c r="P123" s="56" t="str">
        <f>_xll.qlPeriodEquivalent(P122&amp;"+"&amp;O123&amp;"M")</f>
        <v>52Y6M</v>
      </c>
      <c r="Q123" s="57">
        <f>_xll.qlCalendarAdvance(Calendar,SettlementDate,P123,"f",,Trigger)</f>
        <v>61309</v>
      </c>
      <c r="R123" s="57">
        <f>_xll.qlInterestRateIndexValueDate(Index,Q123,Trigger)</f>
        <v>61311</v>
      </c>
      <c r="S123" s="57">
        <f>_xll.qlInterestRateIndexMaturity(Index,R123,Trigger)</f>
        <v>61493</v>
      </c>
      <c r="T123" s="58">
        <f>_xll.qlDayCounterYearFraction(DayCounter,R123,S123,,,Trigger)</f>
        <v>0.50555555555555554</v>
      </c>
      <c r="U123" s="59">
        <f>_xll.qlIndexFixing(Index,Q123,,AllTriggers)</f>
        <v>1.0741246855278365E-2</v>
      </c>
      <c r="V123" s="60">
        <f>_xll.qlYieldTSDiscount(OisCurve,R123,,AllTriggers)</f>
        <v>0.54191152480528515</v>
      </c>
      <c r="W123" s="60">
        <f>_xll.qlYieldTSDiscount(OisCurve,S123,,AllTriggers)</f>
        <v>0.53898339022145647</v>
      </c>
      <c r="X123" s="59">
        <f t="shared" si="26"/>
        <v>1.0745998237607265E-2</v>
      </c>
      <c r="Y123" s="59">
        <f t="shared" si="29"/>
        <v>-4.7513823289001972E-6</v>
      </c>
      <c r="Z123" s="59">
        <f t="shared" si="27"/>
        <v>3.1197526250109197E-4</v>
      </c>
      <c r="AA123" s="59">
        <f t="shared" si="30"/>
        <v>3.1672664482999217E-4</v>
      </c>
      <c r="AB123" s="58">
        <f>_xll.qlDayCounterYearFraction(DayCounter,SettlementDate,R123,,,Trigger)</f>
        <v>53.274999999999999</v>
      </c>
      <c r="AC123" s="59">
        <f>_xll.qlAbcdMathFunctionValue($M$28,AB123)</f>
        <v>2.9009278754835074E-4</v>
      </c>
      <c r="AD123" s="59">
        <f t="shared" si="28"/>
        <v>2.9484416987725094E-4</v>
      </c>
      <c r="AE123" s="59">
        <f t="shared" si="31"/>
        <v>6.1760438157864011E-4</v>
      </c>
    </row>
    <row r="124" spans="15:31" x14ac:dyDescent="0.2">
      <c r="O124" s="65">
        <v>6</v>
      </c>
      <c r="P124" s="56" t="str">
        <f>_xll.qlPeriodEquivalent(P123&amp;"+"&amp;O124&amp;"M")</f>
        <v>53Y</v>
      </c>
      <c r="Q124" s="57">
        <f>_xll.qlCalendarAdvance(Calendar,SettlementDate,P124,"f",,Trigger)</f>
        <v>61491</v>
      </c>
      <c r="R124" s="57">
        <f>_xll.qlInterestRateIndexValueDate(Index,Q124,Trigger)</f>
        <v>61493</v>
      </c>
      <c r="S124" s="57">
        <f>_xll.qlInterestRateIndexMaturity(Index,R124,Trigger)</f>
        <v>61679</v>
      </c>
      <c r="T124" s="58">
        <f>_xll.qlDayCounterYearFraction(DayCounter,R124,S124,,,Trigger)</f>
        <v>0.51666666666666672</v>
      </c>
      <c r="U124" s="59">
        <f>_xll.qlIndexFixing(Index,Q124,,AllTriggers)</f>
        <v>1.0890341846912885E-2</v>
      </c>
      <c r="V124" s="60">
        <f>_xll.qlYieldTSDiscount(OisCurve,R124,,AllTriggers)</f>
        <v>0.53898339022145647</v>
      </c>
      <c r="W124" s="60">
        <f>_xll.qlYieldTSDiscount(OisCurve,S124,,AllTriggers)</f>
        <v>0.53598186206078668</v>
      </c>
      <c r="X124" s="59">
        <f t="shared" si="26"/>
        <v>1.0838817046710112E-2</v>
      </c>
      <c r="Y124" s="59">
        <f t="shared" si="29"/>
        <v>5.1524800202772808E-5</v>
      </c>
      <c r="Z124" s="59">
        <f t="shared" si="27"/>
        <v>3.1832318465217628E-4</v>
      </c>
      <c r="AA124" s="59">
        <f t="shared" si="30"/>
        <v>2.6679838444940347E-4</v>
      </c>
      <c r="AB124" s="58">
        <f>_xll.qlDayCounterYearFraction(DayCounter,SettlementDate,R124,,,Trigger)</f>
        <v>53.780555555555559</v>
      </c>
      <c r="AC124" s="59">
        <f>_xll.qlAbcdMathFunctionValue($M$28,AB124)</f>
        <v>2.8975730265632781E-4</v>
      </c>
      <c r="AD124" s="59">
        <f t="shared" si="28"/>
        <v>2.38232502453555E-4</v>
      </c>
      <c r="AE124" s="59">
        <f t="shared" si="31"/>
        <v>6.165953158422606E-4</v>
      </c>
    </row>
    <row r="125" spans="15:31" x14ac:dyDescent="0.2">
      <c r="O125" s="65">
        <v>6</v>
      </c>
      <c r="P125" s="56" t="str">
        <f>_xll.qlPeriodEquivalent(P124&amp;"+"&amp;O125&amp;"M")</f>
        <v>53Y6M</v>
      </c>
      <c r="Q125" s="57">
        <f>_xll.qlCalendarAdvance(Calendar,SettlementDate,P125,"f",,Trigger)</f>
        <v>61675</v>
      </c>
      <c r="R125" s="57">
        <f>_xll.qlInterestRateIndexValueDate(Index,Q125,Trigger)</f>
        <v>61679</v>
      </c>
      <c r="S125" s="57">
        <f>_xll.qlInterestRateIndexMaturity(Index,R125,Trigger)</f>
        <v>61861</v>
      </c>
      <c r="T125" s="58">
        <f>_xll.qlDayCounterYearFraction(DayCounter,R125,S125,,,Trigger)</f>
        <v>0.50555555555555554</v>
      </c>
      <c r="U125" s="59">
        <f>_xll.qlIndexFixing(Index,Q125,,AllTriggers)</f>
        <v>1.1038444085235707E-2</v>
      </c>
      <c r="V125" s="60">
        <f>_xll.qlYieldTSDiscount(OisCurve,R125,,AllTriggers)</f>
        <v>0.53598186206078668</v>
      </c>
      <c r="W125" s="60">
        <f>_xll.qlYieldTSDiscount(OisCurve,S125,,AllTriggers)</f>
        <v>0.53303813445060066</v>
      </c>
      <c r="X125" s="59">
        <f t="shared" si="26"/>
        <v>1.0923717336395751E-2</v>
      </c>
      <c r="Y125" s="59">
        <f t="shared" si="29"/>
        <v>1.1472674883995608E-4</v>
      </c>
      <c r="Z125" s="59">
        <f t="shared" si="27"/>
        <v>3.1101392997900771E-4</v>
      </c>
      <c r="AA125" s="59">
        <f t="shared" si="30"/>
        <v>1.9628718113905163E-4</v>
      </c>
      <c r="AB125" s="58">
        <f>_xll.qlDayCounterYearFraction(DayCounter,SettlementDate,R125,,,Trigger)</f>
        <v>54.297222222222224</v>
      </c>
      <c r="AC125" s="59">
        <f>_xll.qlAbcdMathFunctionValue($M$28,AB125)</f>
        <v>2.8943968580869901E-4</v>
      </c>
      <c r="AD125" s="59">
        <f t="shared" si="28"/>
        <v>1.7471293696874293E-4</v>
      </c>
      <c r="AE125" s="59">
        <f t="shared" si="31"/>
        <v>6.1563500180946145E-4</v>
      </c>
    </row>
    <row r="126" spans="15:31" x14ac:dyDescent="0.2">
      <c r="O126" s="65">
        <v>6</v>
      </c>
      <c r="P126" s="56" t="str">
        <f>_xll.qlPeriodEquivalent(P125&amp;"+"&amp;O126&amp;"M")</f>
        <v>54Y</v>
      </c>
      <c r="Q126" s="57">
        <f>_xll.qlCalendarAdvance(Calendar,SettlementDate,P126,"f",,Trigger)</f>
        <v>61856</v>
      </c>
      <c r="R126" s="57">
        <f>_xll.qlInterestRateIndexValueDate(Index,Q126,Trigger)</f>
        <v>61858</v>
      </c>
      <c r="S126" s="57">
        <f>_xll.qlInterestRateIndexMaturity(Index,R126,Trigger)</f>
        <v>62043</v>
      </c>
      <c r="T126" s="58">
        <f>_xll.qlDayCounterYearFraction(DayCounter,R126,S126,,,Trigger)</f>
        <v>0.51388888888888884</v>
      </c>
      <c r="U126" s="59">
        <f>_xll.qlIndexFixing(Index,Q126,,AllTriggers)</f>
        <v>1.1185210061028664E-2</v>
      </c>
      <c r="V126" s="60">
        <f>_xll.qlYieldTSDiscount(OisCurve,R126,,AllTriggers)</f>
        <v>0.5330867005466654</v>
      </c>
      <c r="W126" s="60">
        <f>_xll.qlYieldTSDiscount(OisCurve,S126,,AllTriggers)</f>
        <v>0.53008976545275677</v>
      </c>
      <c r="X126" s="59">
        <f t="shared" si="26"/>
        <v>1.100167193621187E-2</v>
      </c>
      <c r="Y126" s="59">
        <f t="shared" si="29"/>
        <v>1.835381248167945E-4</v>
      </c>
      <c r="Z126" s="59">
        <f t="shared" si="27"/>
        <v>3.1570993615900737E-4</v>
      </c>
      <c r="AA126" s="59">
        <f t="shared" si="30"/>
        <v>1.3217181134221286E-4</v>
      </c>
      <c r="AB126" s="58">
        <f>_xll.qlDayCounterYearFraction(DayCounter,SettlementDate,R126,,,Trigger)</f>
        <v>54.794444444444444</v>
      </c>
      <c r="AC126" s="59">
        <f>_xll.qlAbcdMathFunctionValue($M$28,AB126)</f>
        <v>2.8915638570107627E-4</v>
      </c>
      <c r="AD126" s="59">
        <f t="shared" si="28"/>
        <v>1.0561826088428177E-4</v>
      </c>
      <c r="AE126" s="59">
        <f t="shared" si="31"/>
        <v>6.1477400384932549E-4</v>
      </c>
    </row>
    <row r="127" spans="15:31" x14ac:dyDescent="0.2">
      <c r="O127" s="65">
        <v>6</v>
      </c>
      <c r="P127" s="56" t="str">
        <f>_xll.qlPeriodEquivalent(P126&amp;"+"&amp;O127&amp;"M")</f>
        <v>54Y6M</v>
      </c>
      <c r="Q127" s="57">
        <f>_xll.qlCalendarAdvance(Calendar,SettlementDate,P127,"f",,Trigger)</f>
        <v>62040</v>
      </c>
      <c r="R127" s="57">
        <f>_xll.qlInterestRateIndexValueDate(Index,Q127,Trigger)</f>
        <v>62044</v>
      </c>
      <c r="S127" s="57">
        <f>_xll.qlInterestRateIndexMaturity(Index,R127,Trigger)</f>
        <v>62225</v>
      </c>
      <c r="T127" s="58">
        <f>_xll.qlDayCounterYearFraction(DayCounter,R127,S127,,,Trigger)</f>
        <v>0.50277777777777777</v>
      </c>
      <c r="U127" s="59">
        <f>_xll.qlIndexFixing(Index,Q127,,AllTriggers)</f>
        <v>1.1333912872761105E-2</v>
      </c>
      <c r="V127" s="60">
        <f>_xll.qlYieldTSDiscount(OisCurve,R127,,AllTriggers)</f>
        <v>0.53007355647515431</v>
      </c>
      <c r="W127" s="60">
        <f>_xll.qlYieldTSDiscount(OisCurve,S127,,AllTriggers)</f>
        <v>0.52713873438348569</v>
      </c>
      <c r="X127" s="59">
        <f t="shared" si="26"/>
        <v>1.1073394590848266E-2</v>
      </c>
      <c r="Y127" s="59">
        <f t="shared" si="29"/>
        <v>2.6051828191283807E-4</v>
      </c>
      <c r="Z127" s="59">
        <f t="shared" si="27"/>
        <v>3.0848359786737992E-4</v>
      </c>
      <c r="AA127" s="59">
        <f t="shared" si="30"/>
        <v>4.7965315954541846E-5</v>
      </c>
      <c r="AB127" s="58">
        <f>_xll.qlDayCounterYearFraction(DayCounter,SettlementDate,R127,,,Trigger)</f>
        <v>55.31111111111111</v>
      </c>
      <c r="AC127" s="59">
        <f>_xll.qlAbcdMathFunctionValue($M$28,AB127)</f>
        <v>2.8888356185599926E-4</v>
      </c>
      <c r="AD127" s="59">
        <f t="shared" si="28"/>
        <v>2.8365279943161185E-5</v>
      </c>
      <c r="AE127" s="59">
        <f t="shared" si="31"/>
        <v>6.1394055213676588E-4</v>
      </c>
    </row>
    <row r="128" spans="15:31" x14ac:dyDescent="0.2">
      <c r="O128" s="65">
        <v>6</v>
      </c>
      <c r="P128" s="56" t="str">
        <f>_xll.qlPeriodEquivalent(P127&amp;"+"&amp;O128&amp;"M")</f>
        <v>55Y</v>
      </c>
      <c r="Q128" s="57">
        <f>_xll.qlCalendarAdvance(Calendar,SettlementDate,P128,"f",,Trigger)</f>
        <v>62221</v>
      </c>
      <c r="R128" s="57">
        <f>_xll.qlInterestRateIndexValueDate(Index,Q128,Trigger)</f>
        <v>62225</v>
      </c>
      <c r="S128" s="57">
        <f>_xll.qlInterestRateIndexMaturity(Index,R128,Trigger)</f>
        <v>62409</v>
      </c>
      <c r="T128" s="58">
        <f>_xll.qlDayCounterYearFraction(DayCounter,R128,S128,,,Trigger)</f>
        <v>0.51111111111111107</v>
      </c>
      <c r="U128" s="59">
        <f>_xll.qlIndexFixing(Index,Q128,,AllTriggers)</f>
        <v>1.1480222853401089E-2</v>
      </c>
      <c r="V128" s="60">
        <f>_xll.qlYieldTSDiscount(OisCurve,R128,,AllTriggers)</f>
        <v>0.52713873438348569</v>
      </c>
      <c r="W128" s="60">
        <f>_xll.qlYieldTSDiscount(OisCurve,S128,,AllTriggers)</f>
        <v>0.52415454727821498</v>
      </c>
      <c r="X128" s="59">
        <f t="shared" si="26"/>
        <v>1.1139132485663368E-2</v>
      </c>
      <c r="Y128" s="59">
        <f t="shared" si="29"/>
        <v>3.4109036773772097E-4</v>
      </c>
      <c r="Z128" s="59">
        <f t="shared" si="27"/>
        <v>3.1322095832231128E-4</v>
      </c>
      <c r="AA128" s="59">
        <f t="shared" si="30"/>
        <v>-2.7869409415409697E-5</v>
      </c>
      <c r="AB128" s="58">
        <f>_xll.qlDayCounterYearFraction(DayCounter,SettlementDate,R128,,,Trigger)</f>
        <v>55.81388888888889</v>
      </c>
      <c r="AC128" s="59">
        <f>_xll.qlAbcdMathFunctionValue($M$28,AB128)</f>
        <v>2.8863764610548846E-4</v>
      </c>
      <c r="AD128" s="59">
        <f t="shared" si="28"/>
        <v>-5.2452721632232518E-5</v>
      </c>
      <c r="AE128" s="59">
        <f t="shared" si="31"/>
        <v>6.1318538943269186E-4</v>
      </c>
    </row>
    <row r="129" spans="15:31" x14ac:dyDescent="0.2">
      <c r="O129" s="65">
        <v>6</v>
      </c>
      <c r="P129" s="56" t="str">
        <f>_xll.qlPeriodEquivalent(P128&amp;"+"&amp;O129&amp;"M")</f>
        <v>55Y6M</v>
      </c>
      <c r="Q129" s="57">
        <f>_xll.qlCalendarAdvance(Calendar,SettlementDate,P129,"f",,Trigger)</f>
        <v>62407</v>
      </c>
      <c r="R129" s="57">
        <f>_xll.qlInterestRateIndexValueDate(Index,Q129,Trigger)</f>
        <v>62409</v>
      </c>
      <c r="S129" s="57">
        <f>_xll.qlInterestRateIndexMaturity(Index,R129,Trigger)</f>
        <v>62590</v>
      </c>
      <c r="T129" s="58">
        <f>_xll.qlDayCounterYearFraction(DayCounter,R129,S129,,,Trigger)</f>
        <v>0.50277777777777777</v>
      </c>
      <c r="U129" s="59">
        <f>_xll.qlIndexFixing(Index,Q129,,AllTriggers)</f>
        <v>1.1612968094308044E-2</v>
      </c>
      <c r="V129" s="60">
        <f>_xll.qlYieldTSDiscount(OisCurve,R129,,AllTriggers)</f>
        <v>0.52415454727821498</v>
      </c>
      <c r="W129" s="60">
        <f>_xll.qlYieldTSDiscount(OisCurve,S129,,AllTriggers)</f>
        <v>0.52122020031851268</v>
      </c>
      <c r="X129" s="59">
        <f t="shared" si="26"/>
        <v>1.1197321578339688E-2</v>
      </c>
      <c r="Y129" s="59">
        <f t="shared" si="29"/>
        <v>4.1564651596835527E-4</v>
      </c>
      <c r="Z129" s="59">
        <f t="shared" si="27"/>
        <v>3.077698971360833E-4</v>
      </c>
      <c r="AA129" s="59">
        <f t="shared" si="30"/>
        <v>-1.0787661883227196E-4</v>
      </c>
      <c r="AB129" s="58">
        <f>_xll.qlDayCounterYearFraction(DayCounter,SettlementDate,R129,,,Trigger)</f>
        <v>56.325000000000003</v>
      </c>
      <c r="AC129" s="59">
        <f>_xll.qlAbcdMathFunctionValue($M$28,AB129)</f>
        <v>2.8840600658850497E-4</v>
      </c>
      <c r="AD129" s="59">
        <f t="shared" si="28"/>
        <v>-1.2724050937985029E-4</v>
      </c>
      <c r="AE129" s="59">
        <f t="shared" si="31"/>
        <v>6.1247038512927975E-4</v>
      </c>
    </row>
    <row r="130" spans="15:31" x14ac:dyDescent="0.2">
      <c r="O130" s="65">
        <v>6</v>
      </c>
      <c r="P130" s="56" t="str">
        <f>_xll.qlPeriodEquivalent(P129&amp;"+"&amp;O130&amp;"M")</f>
        <v>56Y</v>
      </c>
      <c r="Q130" s="57">
        <f>_xll.qlCalendarAdvance(Calendar,SettlementDate,P130,"f",,Trigger)</f>
        <v>62586</v>
      </c>
      <c r="R130" s="57">
        <f>_xll.qlInterestRateIndexValueDate(Index,Q130,Trigger)</f>
        <v>62590</v>
      </c>
      <c r="S130" s="57">
        <f>_xll.qlInterestRateIndexMaturity(Index,R130,Trigger)</f>
        <v>62774</v>
      </c>
      <c r="T130" s="58">
        <f>_xll.qlDayCounterYearFraction(DayCounter,R130,S130,,,Trigger)</f>
        <v>0.51111111111111107</v>
      </c>
      <c r="U130" s="59">
        <f>_xll.qlIndexFixing(Index,Q130,,AllTriggers)</f>
        <v>1.1731958521566268E-2</v>
      </c>
      <c r="V130" s="60">
        <f>_xll.qlYieldTSDiscount(OisCurve,R130,,AllTriggers)</f>
        <v>0.52122020031851268</v>
      </c>
      <c r="W130" s="60">
        <f>_xll.qlYieldTSDiscount(OisCurve,S130,,AllTriggers)</f>
        <v>0.51824031853571551</v>
      </c>
      <c r="X130" s="59">
        <f t="shared" si="26"/>
        <v>1.1249999815828039E-2</v>
      </c>
      <c r="Y130" s="59">
        <f t="shared" si="29"/>
        <v>4.8195870573822935E-4</v>
      </c>
      <c r="Z130" s="59">
        <f t="shared" si="27"/>
        <v>3.1254527387444603E-4</v>
      </c>
      <c r="AA130" s="59">
        <f t="shared" si="30"/>
        <v>-1.6941343186378333E-4</v>
      </c>
      <c r="AB130" s="58">
        <f>_xll.qlDayCounterYearFraction(DayCounter,SettlementDate,R130,,,Trigger)</f>
        <v>56.827777777777776</v>
      </c>
      <c r="AC130" s="59">
        <f>_xll.qlAbcdMathFunctionValue($M$28,AB130)</f>
        <v>2.8819489459229643E-4</v>
      </c>
      <c r="AD130" s="59">
        <f t="shared" si="28"/>
        <v>-1.9376381114593293E-4</v>
      </c>
      <c r="AE130" s="59">
        <f t="shared" si="31"/>
        <v>6.1181537062427978E-4</v>
      </c>
    </row>
    <row r="131" spans="15:31" x14ac:dyDescent="0.2">
      <c r="O131" s="65">
        <v>6</v>
      </c>
      <c r="P131" s="56" t="str">
        <f>_xll.qlPeriodEquivalent(P130&amp;"+"&amp;O131&amp;"M")</f>
        <v>56Y6M</v>
      </c>
      <c r="Q131" s="57">
        <f>_xll.qlCalendarAdvance(Calendar,SettlementDate,P131,"f",,Trigger)</f>
        <v>62771</v>
      </c>
      <c r="R131" s="57">
        <f>_xll.qlInterestRateIndexValueDate(Index,Q131,Trigger)</f>
        <v>62773</v>
      </c>
      <c r="S131" s="57">
        <f>_xll.qlInterestRateIndexMaturity(Index,R131,Trigger)</f>
        <v>62955</v>
      </c>
      <c r="T131" s="58">
        <f>_xll.qlDayCounterYearFraction(DayCounter,R131,S131,,,Trigger)</f>
        <v>0.50555555555555554</v>
      </c>
      <c r="U131" s="59">
        <f>_xll.qlIndexFixing(Index,Q131,,AllTriggers)</f>
        <v>1.1834931607543238E-2</v>
      </c>
      <c r="V131" s="60">
        <f>_xll.qlYieldTSDiscount(OisCurve,R131,,AllTriggers)</f>
        <v>0.51825650172546911</v>
      </c>
      <c r="W131" s="60">
        <f>_xll.qlYieldTSDiscount(OisCurve,S131,,AllTriggers)</f>
        <v>0.51531388752034024</v>
      </c>
      <c r="X131" s="59">
        <f t="shared" si="26"/>
        <v>1.1295165357550785E-2</v>
      </c>
      <c r="Y131" s="59">
        <f t="shared" ref="Y131:Y135" si="32">U131-X131</f>
        <v>5.3976624999245264E-4</v>
      </c>
      <c r="Z131" s="59">
        <f t="shared" si="27"/>
        <v>3.088487291661358E-4</v>
      </c>
      <c r="AA131" s="59">
        <f t="shared" ref="AA131:AA135" si="33">(Z131-Y131)</f>
        <v>-2.3091752082631683E-4</v>
      </c>
      <c r="AB131" s="58">
        <f>_xll.qlDayCounterYearFraction(DayCounter,SettlementDate,R131,,,Trigger)</f>
        <v>57.336111111111109</v>
      </c>
      <c r="AC131" s="59">
        <f>_xll.qlAbcdMathFunctionValue($M$28,AB131)</f>
        <v>2.8799711491126189E-4</v>
      </c>
      <c r="AD131" s="59">
        <f t="shared" si="28"/>
        <v>-2.5176913508119075E-4</v>
      </c>
      <c r="AE131" s="59">
        <f t="shared" si="31"/>
        <v>6.1119855682853302E-4</v>
      </c>
    </row>
    <row r="132" spans="15:31" x14ac:dyDescent="0.2">
      <c r="O132" s="65">
        <v>6</v>
      </c>
      <c r="P132" s="56" t="str">
        <f>_xll.qlPeriodEquivalent(P131&amp;"+"&amp;O132&amp;"M")</f>
        <v>57Y</v>
      </c>
      <c r="Q132" s="57">
        <f>_xll.qlCalendarAdvance(Calendar,SettlementDate,P132,"f",,Trigger)</f>
        <v>62953</v>
      </c>
      <c r="R132" s="57">
        <f>_xll.qlInterestRateIndexValueDate(Index,Q132,Trigger)</f>
        <v>62955</v>
      </c>
      <c r="S132" s="57">
        <f>_xll.qlInterestRateIndexMaturity(Index,R132,Trigger)</f>
        <v>63139</v>
      </c>
      <c r="T132" s="58">
        <f>_xll.qlDayCounterYearFraction(DayCounter,R132,S132,,,Trigger)</f>
        <v>0.51111111111111107</v>
      </c>
      <c r="U132" s="59">
        <f>_xll.qlIndexFixing(Index,Q132,,AllTriggers)</f>
        <v>1.1924340436882326E-2</v>
      </c>
      <c r="V132" s="60">
        <f>_xll.qlYieldTSDiscount(OisCurve,R132,,AllTriggers)</f>
        <v>0.51531388752034024</v>
      </c>
      <c r="W132" s="60">
        <f>_xll.qlYieldTSDiscount(OisCurve,S132,,AllTriggers)</f>
        <v>0.5123457139643165</v>
      </c>
      <c r="X132" s="59">
        <f t="shared" ref="X132:X135" si="34">(V132/W132-1)/T132</f>
        <v>1.1334721711513975E-2</v>
      </c>
      <c r="Y132" s="59">
        <f t="shared" si="32"/>
        <v>5.8961872536835054E-4</v>
      </c>
      <c r="Z132" s="59">
        <f t="shared" ref="Z132:Z135" si="35">_xll.qlIntegralTenorBasisIntegrate($M$11,R132)</f>
        <v>3.1195941391538894E-4</v>
      </c>
      <c r="AA132" s="59">
        <f t="shared" si="33"/>
        <v>-2.776593114529616E-4</v>
      </c>
      <c r="AB132" s="58">
        <f>_xll.qlDayCounterYearFraction(DayCounter,SettlementDate,R132,,,Trigger)</f>
        <v>57.841666666666669</v>
      </c>
      <c r="AC132" s="59">
        <f>_xll.qlAbcdMathFunctionValue($M$28,AB132)</f>
        <v>2.8781490806088224E-4</v>
      </c>
      <c r="AD132" s="59">
        <f t="shared" ref="AD132:AD135" si="36">(AC132-Y132)</f>
        <v>-3.018038173074683E-4</v>
      </c>
      <c r="AE132" s="59">
        <f t="shared" si="31"/>
        <v>6.1062737100715217E-4</v>
      </c>
    </row>
    <row r="133" spans="15:31" x14ac:dyDescent="0.2">
      <c r="O133" s="65">
        <v>6</v>
      </c>
      <c r="P133" s="56" t="str">
        <f>_xll.qlPeriodEquivalent(P132&amp;"+"&amp;O133&amp;"M")</f>
        <v>57Y6M</v>
      </c>
      <c r="Q133" s="57">
        <f>_xll.qlCalendarAdvance(Calendar,SettlementDate,P133,"f",,Trigger)</f>
        <v>63136</v>
      </c>
      <c r="R133" s="57">
        <f>_xll.qlInterestRateIndexValueDate(Index,Q133,Trigger)</f>
        <v>63138</v>
      </c>
      <c r="S133" s="57">
        <f>_xll.qlInterestRateIndexMaturity(Index,R133,Trigger)</f>
        <v>63319</v>
      </c>
      <c r="T133" s="58">
        <f>_xll.qlDayCounterYearFraction(DayCounter,R133,S133,,,Trigger)</f>
        <v>0.50277777777777777</v>
      </c>
      <c r="U133" s="59">
        <f>_xll.qlIndexFixing(Index,Q133,,AllTriggers)</f>
        <v>1.1997325237573429E-2</v>
      </c>
      <c r="V133" s="60">
        <f>_xll.qlYieldTSDiscount(OisCurve,R133,,AllTriggers)</f>
        <v>0.51236182369204653</v>
      </c>
      <c r="W133" s="60">
        <f>_xll.qlYieldTSDiscount(OisCurve,S133,,AllTriggers)</f>
        <v>0.50945038205813131</v>
      </c>
      <c r="X133" s="59">
        <f t="shared" si="34"/>
        <v>1.1366588083902111E-2</v>
      </c>
      <c r="Y133" s="59">
        <f t="shared" si="32"/>
        <v>6.30737153671318E-4</v>
      </c>
      <c r="Z133" s="59">
        <f t="shared" si="35"/>
        <v>3.066157686279904E-4</v>
      </c>
      <c r="AA133" s="59">
        <f t="shared" si="33"/>
        <v>-3.2412138504332759E-4</v>
      </c>
      <c r="AB133" s="58">
        <f>_xll.qlDayCounterYearFraction(DayCounter,SettlementDate,R133,,,Trigger)</f>
        <v>58.35</v>
      </c>
      <c r="AC133" s="59">
        <f>_xll.qlAbcdMathFunctionValue($M$28,AB133)</f>
        <v>2.8764521231439919E-4</v>
      </c>
      <c r="AD133" s="59">
        <f t="shared" si="36"/>
        <v>-3.4309194135691881E-4</v>
      </c>
      <c r="AE133" s="59">
        <f t="shared" si="31"/>
        <v>6.1009265520784557E-4</v>
      </c>
    </row>
    <row r="134" spans="15:31" x14ac:dyDescent="0.2">
      <c r="O134" s="65">
        <v>6</v>
      </c>
      <c r="P134" s="56" t="str">
        <f>_xll.qlPeriodEquivalent(P133&amp;"+"&amp;O134&amp;"M")</f>
        <v>58Y</v>
      </c>
      <c r="Q134" s="57">
        <f>_xll.qlCalendarAdvance(Calendar,SettlementDate,P134,"f",,Trigger)</f>
        <v>63317</v>
      </c>
      <c r="R134" s="57">
        <f>_xll.qlInterestRateIndexValueDate(Index,Q134,Trigger)</f>
        <v>63319</v>
      </c>
      <c r="S134" s="57">
        <f>_xll.qlInterestRateIndexMaturity(Index,R134,Trigger)</f>
        <v>63503</v>
      </c>
      <c r="T134" s="58">
        <f>_xll.qlDayCounterYearFraction(DayCounter,R134,S134,,,Trigger)</f>
        <v>0.51111111111111107</v>
      </c>
      <c r="U134" s="59">
        <f>_xll.qlIndexFixing(Index,Q134,,AllTriggers)</f>
        <v>1.2057067896518364E-2</v>
      </c>
      <c r="V134" s="60">
        <f>_xll.qlYieldTSDiscount(OisCurve,R134,,AllTriggers)</f>
        <v>0.50945038205813131</v>
      </c>
      <c r="W134" s="60">
        <f>_xll.qlYieldTSDiscount(OisCurve,S134,,AllTriggers)</f>
        <v>0.50650093805245799</v>
      </c>
      <c r="X134" s="59">
        <f t="shared" si="34"/>
        <v>1.1393170045521457E-2</v>
      </c>
      <c r="Y134" s="59">
        <f t="shared" si="32"/>
        <v>6.6389785099690672E-4</v>
      </c>
      <c r="Z134" s="59">
        <f t="shared" si="35"/>
        <v>3.1145291467830509E-4</v>
      </c>
      <c r="AA134" s="59">
        <f t="shared" si="33"/>
        <v>-3.5244493631860163E-4</v>
      </c>
      <c r="AB134" s="58">
        <f>_xll.qlDayCounterYearFraction(DayCounter,SettlementDate,R134,,,Trigger)</f>
        <v>58.852777777777774</v>
      </c>
      <c r="AC134" s="59">
        <f>_xll.qlAbcdMathFunctionValue($M$28,AB134)</f>
        <v>2.8748973210407282E-4</v>
      </c>
      <c r="AD134" s="59">
        <f t="shared" si="36"/>
        <v>-3.764081188928339E-4</v>
      </c>
      <c r="AE134" s="59">
        <f t="shared" si="31"/>
        <v>6.0960020741340543E-4</v>
      </c>
    </row>
    <row r="135" spans="15:31" x14ac:dyDescent="0.2">
      <c r="O135" s="65">
        <v>6</v>
      </c>
      <c r="P135" s="56" t="str">
        <f>_xll.qlPeriodEquivalent(P134&amp;"+"&amp;O135&amp;"M")</f>
        <v>58Y6M</v>
      </c>
      <c r="Q135" s="61">
        <f>_xll.qlCalendarAdvance(Calendar,SettlementDate,P135,"f",,Trigger)</f>
        <v>63501</v>
      </c>
      <c r="R135" s="61">
        <f>_xll.qlInterestRateIndexValueDate(Index,Q135,Trigger)</f>
        <v>63503</v>
      </c>
      <c r="S135" s="61">
        <f>_xll.qlInterestRateIndexMaturity(Index,R135,Trigger)</f>
        <v>63684</v>
      </c>
      <c r="T135" s="62">
        <f>_xll.qlDayCounterYearFraction(DayCounter,R135,S135,,,Trigger)</f>
        <v>0.50277777777777777</v>
      </c>
      <c r="U135" s="63">
        <f>_xll.qlIndexFixing(Index,Q135,,AllTriggers)</f>
        <v>1.2100797896070537E-2</v>
      </c>
      <c r="V135" s="64">
        <f>_xll.qlYieldTSDiscount(OisCurve,R135,,AllTriggers)</f>
        <v>0.50650093805245799</v>
      </c>
      <c r="W135" s="64">
        <f>_xll.qlYieldTSDiscount(OisCurve,S135,,AllTriggers)</f>
        <v>0.50361132855293078</v>
      </c>
      <c r="X135" s="63">
        <f t="shared" si="34"/>
        <v>1.1412153155556439E-2</v>
      </c>
      <c r="Y135" s="63">
        <f t="shared" si="32"/>
        <v>6.8864474051409837E-4</v>
      </c>
      <c r="Z135" s="59">
        <f t="shared" si="35"/>
        <v>3.0615060566604302E-4</v>
      </c>
      <c r="AA135" s="59">
        <f t="shared" si="33"/>
        <v>-3.8249413484805534E-4</v>
      </c>
      <c r="AB135" s="58">
        <f>_xll.qlDayCounterYearFraction(DayCounter,SettlementDate,R135,,,Trigger)</f>
        <v>59.363888888888887</v>
      </c>
      <c r="AC135" s="59">
        <f>_xll.qlAbcdMathFunctionValue($M$28,AB135)</f>
        <v>2.8734335656033677E-4</v>
      </c>
      <c r="AD135" s="59">
        <f t="shared" si="36"/>
        <v>-4.0130138395376159E-4</v>
      </c>
      <c r="AE135" s="59">
        <f t="shared" si="31"/>
        <v>6.0913420156933924E-4</v>
      </c>
    </row>
    <row r="136" spans="15:31" x14ac:dyDescent="0.2">
      <c r="P136" s="69"/>
      <c r="Q136" s="70"/>
      <c r="R136" s="70"/>
      <c r="S136" s="70"/>
      <c r="T136" s="71"/>
      <c r="U136" s="72"/>
      <c r="V136" s="73"/>
      <c r="W136" s="73"/>
      <c r="X136" s="72"/>
      <c r="Y136" s="72"/>
      <c r="Z136" s="69"/>
      <c r="AA136" s="69"/>
      <c r="AB136" s="68"/>
      <c r="AC136" s="68"/>
      <c r="AD136" s="68"/>
      <c r="AE136" s="68"/>
    </row>
    <row r="137" spans="15:31" x14ac:dyDescent="0.2">
      <c r="P137" s="68"/>
      <c r="Q137" s="74"/>
      <c r="R137" s="74"/>
      <c r="S137" s="74"/>
      <c r="T137" s="75"/>
      <c r="U137" s="76"/>
      <c r="V137" s="77"/>
      <c r="W137" s="77"/>
      <c r="X137" s="76"/>
      <c r="Y137" s="76"/>
      <c r="Z137" s="68"/>
      <c r="AA137" s="68"/>
      <c r="AB137" s="68"/>
      <c r="AC137" s="68"/>
      <c r="AD137" s="68"/>
      <c r="AE137" s="68"/>
    </row>
    <row r="138" spans="15:31" x14ac:dyDescent="0.2">
      <c r="P138" s="68"/>
      <c r="Q138" s="74"/>
      <c r="R138" s="74"/>
      <c r="S138" s="74"/>
      <c r="T138" s="75"/>
      <c r="U138" s="76"/>
      <c r="V138" s="77"/>
      <c r="W138" s="77"/>
      <c r="X138" s="76"/>
      <c r="Y138" s="76"/>
      <c r="Z138" s="68"/>
      <c r="AA138" s="68"/>
      <c r="AB138" s="68"/>
      <c r="AC138" s="68"/>
      <c r="AD138" s="68"/>
      <c r="AE138" s="68"/>
    </row>
    <row r="139" spans="15:31" x14ac:dyDescent="0.2">
      <c r="P139" s="68"/>
      <c r="Q139" s="74"/>
      <c r="R139" s="74"/>
      <c r="S139" s="74"/>
      <c r="T139" s="75"/>
      <c r="U139" s="76"/>
      <c r="V139" s="77"/>
      <c r="W139" s="77"/>
      <c r="X139" s="76"/>
      <c r="Y139" s="76"/>
      <c r="Z139" s="68"/>
      <c r="AA139" s="68"/>
      <c r="AB139" s="68"/>
      <c r="AC139" s="68"/>
      <c r="AD139" s="68"/>
      <c r="AE139" s="68"/>
    </row>
    <row r="140" spans="15:31" x14ac:dyDescent="0.2">
      <c r="P140" s="68"/>
      <c r="Q140" s="74"/>
      <c r="R140" s="74"/>
      <c r="S140" s="74"/>
      <c r="T140" s="75"/>
      <c r="U140" s="76"/>
      <c r="V140" s="77"/>
      <c r="W140" s="77"/>
      <c r="X140" s="76"/>
      <c r="Y140" s="76"/>
      <c r="Z140" s="68"/>
      <c r="AA140" s="68"/>
      <c r="AB140" s="68"/>
      <c r="AC140" s="68"/>
      <c r="AD140" s="68"/>
      <c r="AE140" s="68"/>
    </row>
    <row r="141" spans="15:31" x14ac:dyDescent="0.2">
      <c r="P141" s="68"/>
      <c r="Q141" s="74"/>
      <c r="R141" s="74"/>
      <c r="S141" s="74"/>
      <c r="T141" s="75"/>
      <c r="U141" s="76"/>
      <c r="V141" s="77"/>
      <c r="W141" s="77"/>
      <c r="X141" s="76"/>
      <c r="Y141" s="76"/>
      <c r="Z141" s="68"/>
      <c r="AA141" s="68"/>
      <c r="AB141" s="68"/>
      <c r="AC141" s="68"/>
      <c r="AD141" s="68"/>
      <c r="AE141" s="68"/>
    </row>
    <row r="142" spans="15:31" x14ac:dyDescent="0.2">
      <c r="P142" s="68"/>
      <c r="Q142" s="74"/>
      <c r="R142" s="74"/>
      <c r="S142" s="74"/>
      <c r="T142" s="75"/>
      <c r="U142" s="76"/>
      <c r="V142" s="77"/>
      <c r="W142" s="77"/>
      <c r="X142" s="76"/>
      <c r="Y142" s="76"/>
      <c r="Z142" s="68"/>
      <c r="AA142" s="68"/>
      <c r="AB142" s="68"/>
      <c r="AC142" s="68"/>
      <c r="AD142" s="68"/>
      <c r="AE142" s="68"/>
    </row>
    <row r="143" spans="15:31" x14ac:dyDescent="0.2">
      <c r="P143" s="68"/>
      <c r="Q143" s="74"/>
      <c r="R143" s="74"/>
      <c r="S143" s="74"/>
      <c r="T143" s="75"/>
      <c r="U143" s="76"/>
      <c r="V143" s="77"/>
      <c r="W143" s="77"/>
      <c r="X143" s="76"/>
      <c r="Y143" s="76"/>
      <c r="Z143" s="68"/>
      <c r="AA143" s="68"/>
      <c r="AB143" s="68"/>
      <c r="AC143" s="68"/>
      <c r="AD143" s="68"/>
      <c r="AE143" s="68"/>
    </row>
    <row r="144" spans="15:31" x14ac:dyDescent="0.2">
      <c r="P144" s="68"/>
      <c r="Q144" s="74"/>
      <c r="R144" s="74"/>
      <c r="S144" s="74"/>
      <c r="T144" s="75"/>
      <c r="U144" s="76"/>
      <c r="V144" s="77"/>
      <c r="W144" s="77"/>
      <c r="X144" s="76"/>
      <c r="Y144" s="76"/>
      <c r="Z144" s="68"/>
      <c r="AA144" s="68"/>
      <c r="AB144" s="68"/>
      <c r="AC144" s="68"/>
      <c r="AD144" s="68"/>
      <c r="AE144" s="68"/>
    </row>
    <row r="145" spans="16:31" x14ac:dyDescent="0.2">
      <c r="P145" s="68"/>
      <c r="Q145" s="74"/>
      <c r="R145" s="74"/>
      <c r="S145" s="74"/>
      <c r="T145" s="75"/>
      <c r="U145" s="76"/>
      <c r="V145" s="77"/>
      <c r="W145" s="77"/>
      <c r="X145" s="76"/>
      <c r="Y145" s="76"/>
      <c r="Z145" s="68"/>
      <c r="AA145" s="68"/>
      <c r="AB145" s="68"/>
      <c r="AC145" s="68"/>
      <c r="AD145" s="68"/>
      <c r="AE145" s="68"/>
    </row>
    <row r="146" spans="16:31" x14ac:dyDescent="0.2">
      <c r="P146" s="68"/>
      <c r="Q146" s="74"/>
      <c r="R146" s="74"/>
      <c r="S146" s="74"/>
      <c r="T146" s="75"/>
      <c r="U146" s="76"/>
      <c r="V146" s="77"/>
      <c r="W146" s="77"/>
      <c r="X146" s="76"/>
      <c r="Y146" s="76"/>
      <c r="Z146" s="68"/>
      <c r="AA146" s="68"/>
      <c r="AB146" s="68"/>
      <c r="AC146" s="68"/>
      <c r="AD146" s="68"/>
      <c r="AE146" s="68"/>
    </row>
    <row r="147" spans="16:31" x14ac:dyDescent="0.2">
      <c r="P147" s="68"/>
      <c r="Q147" s="74"/>
      <c r="R147" s="74"/>
      <c r="S147" s="74"/>
      <c r="T147" s="75"/>
      <c r="U147" s="76"/>
      <c r="V147" s="77"/>
      <c r="W147" s="77"/>
      <c r="X147" s="76"/>
      <c r="Y147" s="76"/>
      <c r="Z147" s="68"/>
      <c r="AA147" s="68"/>
      <c r="AB147" s="68"/>
      <c r="AC147" s="68"/>
      <c r="AD147" s="68"/>
      <c r="AE147" s="68"/>
    </row>
    <row r="148" spans="16:31" x14ac:dyDescent="0.2">
      <c r="P148" s="68"/>
      <c r="Q148" s="74"/>
      <c r="R148" s="74"/>
      <c r="S148" s="74"/>
      <c r="T148" s="75"/>
      <c r="U148" s="76"/>
      <c r="V148" s="77"/>
      <c r="W148" s="77"/>
      <c r="X148" s="76"/>
      <c r="Y148" s="76"/>
      <c r="Z148" s="68"/>
      <c r="AA148" s="68"/>
      <c r="AB148" s="68"/>
      <c r="AC148" s="68"/>
      <c r="AD148" s="68"/>
      <c r="AE148" s="68"/>
    </row>
    <row r="149" spans="16:31" x14ac:dyDescent="0.2">
      <c r="P149" s="68"/>
      <c r="Q149" s="74"/>
      <c r="R149" s="74"/>
      <c r="S149" s="74"/>
      <c r="T149" s="75"/>
      <c r="U149" s="76"/>
      <c r="V149" s="77"/>
      <c r="W149" s="77"/>
      <c r="X149" s="76"/>
      <c r="Y149" s="76"/>
      <c r="Z149" s="68"/>
      <c r="AA149" s="68"/>
      <c r="AB149" s="68"/>
      <c r="AC149" s="68"/>
      <c r="AD149" s="68"/>
      <c r="AE149" s="68"/>
    </row>
    <row r="150" spans="16:31" x14ac:dyDescent="0.2">
      <c r="P150" s="68"/>
      <c r="Q150" s="74"/>
      <c r="R150" s="74"/>
      <c r="S150" s="74"/>
      <c r="T150" s="75"/>
      <c r="U150" s="76"/>
      <c r="V150" s="77"/>
      <c r="W150" s="77"/>
      <c r="X150" s="76"/>
      <c r="Y150" s="76"/>
      <c r="Z150" s="68"/>
      <c r="AA150" s="68"/>
      <c r="AB150" s="68"/>
      <c r="AC150" s="68"/>
      <c r="AD150" s="68"/>
      <c r="AE150" s="68"/>
    </row>
    <row r="151" spans="16:31" x14ac:dyDescent="0.2">
      <c r="P151" s="68"/>
      <c r="Q151" s="74"/>
      <c r="R151" s="74"/>
      <c r="S151" s="74"/>
      <c r="T151" s="75"/>
      <c r="U151" s="76"/>
      <c r="V151" s="77"/>
      <c r="W151" s="77"/>
      <c r="X151" s="76"/>
      <c r="Y151" s="76"/>
      <c r="Z151" s="68"/>
      <c r="AA151" s="68"/>
      <c r="AB151" s="68"/>
      <c r="AC151" s="68"/>
      <c r="AD151" s="68"/>
      <c r="AE151" s="68"/>
    </row>
    <row r="152" spans="16:31" x14ac:dyDescent="0.2">
      <c r="P152" s="68"/>
      <c r="Q152" s="74"/>
      <c r="R152" s="74"/>
      <c r="S152" s="74"/>
      <c r="T152" s="75"/>
      <c r="U152" s="76"/>
      <c r="V152" s="77"/>
      <c r="W152" s="77"/>
      <c r="X152" s="76"/>
      <c r="Y152" s="76"/>
      <c r="Z152" s="68"/>
      <c r="AA152" s="68"/>
      <c r="AB152" s="68"/>
      <c r="AC152" s="68"/>
      <c r="AD152" s="68"/>
      <c r="AE152" s="68"/>
    </row>
    <row r="153" spans="16:31" x14ac:dyDescent="0.2">
      <c r="P153" s="68"/>
      <c r="Q153" s="74"/>
      <c r="R153" s="74"/>
      <c r="S153" s="74"/>
      <c r="T153" s="75"/>
      <c r="U153" s="76"/>
      <c r="V153" s="77"/>
      <c r="W153" s="77"/>
      <c r="X153" s="76"/>
      <c r="Y153" s="76"/>
      <c r="Z153" s="68"/>
      <c r="AA153" s="68"/>
      <c r="AB153" s="68"/>
      <c r="AC153" s="68"/>
      <c r="AD153" s="68"/>
      <c r="AE153" s="68"/>
    </row>
    <row r="154" spans="16:31" x14ac:dyDescent="0.2">
      <c r="P154" s="68"/>
      <c r="Q154" s="74"/>
      <c r="R154" s="74"/>
      <c r="S154" s="74"/>
      <c r="T154" s="75"/>
      <c r="U154" s="76"/>
      <c r="V154" s="77"/>
      <c r="W154" s="77"/>
      <c r="X154" s="76"/>
      <c r="Y154" s="76"/>
      <c r="Z154" s="68"/>
      <c r="AA154" s="68"/>
      <c r="AB154" s="68"/>
      <c r="AC154" s="68"/>
      <c r="AD154" s="68"/>
      <c r="AE154" s="68"/>
    </row>
    <row r="155" spans="16:31" x14ac:dyDescent="0.2">
      <c r="P155" s="68"/>
      <c r="Q155" s="74"/>
      <c r="R155" s="74"/>
      <c r="S155" s="74"/>
      <c r="T155" s="75"/>
      <c r="U155" s="76"/>
      <c r="V155" s="77"/>
      <c r="W155" s="77"/>
      <c r="X155" s="76"/>
      <c r="Y155" s="76"/>
      <c r="Z155" s="68"/>
      <c r="AA155" s="68"/>
      <c r="AB155" s="68"/>
      <c r="AC155" s="68"/>
      <c r="AD155" s="68"/>
      <c r="AE155" s="68"/>
    </row>
    <row r="156" spans="16:31" x14ac:dyDescent="0.2">
      <c r="P156" s="68"/>
      <c r="Q156" s="74"/>
      <c r="R156" s="74"/>
      <c r="S156" s="74"/>
      <c r="T156" s="75"/>
      <c r="U156" s="76"/>
      <c r="V156" s="77"/>
      <c r="W156" s="77"/>
      <c r="X156" s="76"/>
      <c r="Y156" s="76"/>
      <c r="Z156" s="68"/>
      <c r="AA156" s="68"/>
      <c r="AB156" s="68"/>
      <c r="AC156" s="68"/>
      <c r="AD156" s="68"/>
      <c r="AE156" s="68"/>
    </row>
    <row r="157" spans="16:31" x14ac:dyDescent="0.2">
      <c r="P157" s="68"/>
      <c r="Q157" s="74"/>
      <c r="R157" s="74"/>
      <c r="S157" s="74"/>
      <c r="T157" s="75"/>
      <c r="U157" s="76"/>
      <c r="V157" s="77"/>
      <c r="W157" s="77"/>
      <c r="X157" s="76"/>
      <c r="Y157" s="76"/>
      <c r="Z157" s="68"/>
      <c r="AA157" s="68"/>
      <c r="AB157" s="68"/>
      <c r="AC157" s="68"/>
      <c r="AD157" s="68"/>
      <c r="AE157" s="68"/>
    </row>
    <row r="158" spans="16:31" x14ac:dyDescent="0.2">
      <c r="P158" s="68"/>
      <c r="Q158" s="74"/>
      <c r="R158" s="74"/>
      <c r="S158" s="74"/>
      <c r="T158" s="75"/>
      <c r="U158" s="76"/>
      <c r="V158" s="77"/>
      <c r="W158" s="77"/>
      <c r="X158" s="76"/>
      <c r="Y158" s="76"/>
      <c r="Z158" s="68"/>
      <c r="AA158" s="68"/>
      <c r="AB158" s="68"/>
      <c r="AC158" s="68"/>
      <c r="AD158" s="68"/>
      <c r="AE158" s="68"/>
    </row>
    <row r="159" spans="16:31" x14ac:dyDescent="0.2">
      <c r="P159" s="68"/>
      <c r="Q159" s="74"/>
      <c r="R159" s="74"/>
      <c r="S159" s="74"/>
      <c r="T159" s="75"/>
      <c r="U159" s="76"/>
      <c r="V159" s="77"/>
      <c r="W159" s="77"/>
      <c r="X159" s="76"/>
      <c r="Y159" s="76"/>
      <c r="Z159" s="68"/>
      <c r="AA159" s="68"/>
      <c r="AB159" s="68"/>
      <c r="AC159" s="68"/>
      <c r="AD159" s="68"/>
      <c r="AE159" s="68"/>
    </row>
    <row r="160" spans="16:31" x14ac:dyDescent="0.2">
      <c r="P160" s="68"/>
      <c r="Q160" s="74"/>
      <c r="R160" s="74"/>
      <c r="S160" s="74"/>
      <c r="T160" s="75"/>
      <c r="U160" s="76"/>
      <c r="V160" s="77"/>
      <c r="W160" s="77"/>
      <c r="X160" s="76"/>
      <c r="Y160" s="76"/>
      <c r="Z160" s="68"/>
      <c r="AA160" s="68"/>
      <c r="AB160" s="68"/>
      <c r="AC160" s="68"/>
      <c r="AD160" s="68"/>
      <c r="AE160" s="68"/>
    </row>
    <row r="161" spans="16:31" x14ac:dyDescent="0.2">
      <c r="P161" s="68"/>
      <c r="Q161" s="74"/>
      <c r="R161" s="74"/>
      <c r="S161" s="74"/>
      <c r="T161" s="75"/>
      <c r="U161" s="76"/>
      <c r="V161" s="77"/>
      <c r="W161" s="77"/>
      <c r="X161" s="76"/>
      <c r="Y161" s="76"/>
      <c r="Z161" s="68"/>
      <c r="AA161" s="68"/>
      <c r="AB161" s="68"/>
      <c r="AC161" s="68"/>
      <c r="AD161" s="68"/>
      <c r="AE161" s="68"/>
    </row>
    <row r="162" spans="16:31" x14ac:dyDescent="0.2">
      <c r="P162" s="68"/>
      <c r="Q162" s="74"/>
      <c r="R162" s="74"/>
      <c r="S162" s="74"/>
      <c r="T162" s="75"/>
      <c r="U162" s="76"/>
      <c r="V162" s="77"/>
      <c r="W162" s="77"/>
      <c r="X162" s="76"/>
      <c r="Y162" s="76"/>
      <c r="Z162" s="68"/>
      <c r="AA162" s="68"/>
      <c r="AB162" s="68"/>
      <c r="AC162" s="68"/>
      <c r="AD162" s="68"/>
      <c r="AE162" s="68"/>
    </row>
    <row r="163" spans="16:31" x14ac:dyDescent="0.2">
      <c r="P163" s="68"/>
      <c r="Q163" s="74"/>
      <c r="R163" s="74"/>
      <c r="S163" s="74"/>
      <c r="T163" s="75"/>
      <c r="U163" s="76"/>
      <c r="V163" s="77"/>
      <c r="W163" s="77"/>
      <c r="X163" s="76"/>
      <c r="Y163" s="76"/>
      <c r="Z163" s="68"/>
      <c r="AA163" s="68"/>
      <c r="AB163" s="68"/>
      <c r="AC163" s="68"/>
      <c r="AD163" s="68"/>
      <c r="AE163" s="68"/>
    </row>
    <row r="164" spans="16:31" x14ac:dyDescent="0.2">
      <c r="P164" s="68"/>
      <c r="Q164" s="74"/>
      <c r="R164" s="74"/>
      <c r="S164" s="74"/>
      <c r="T164" s="75"/>
      <c r="U164" s="76"/>
      <c r="V164" s="77"/>
      <c r="W164" s="77"/>
      <c r="X164" s="76"/>
      <c r="Y164" s="76"/>
      <c r="Z164" s="68"/>
      <c r="AA164" s="68"/>
      <c r="AB164" s="68"/>
      <c r="AC164" s="68"/>
      <c r="AD164" s="68"/>
      <c r="AE164" s="68"/>
    </row>
    <row r="165" spans="16:31" x14ac:dyDescent="0.2">
      <c r="P165" s="68"/>
      <c r="Q165" s="74"/>
      <c r="R165" s="74"/>
      <c r="S165" s="74"/>
      <c r="T165" s="75"/>
      <c r="U165" s="76"/>
      <c r="V165" s="77"/>
      <c r="W165" s="77"/>
      <c r="X165" s="76"/>
      <c r="Y165" s="76"/>
      <c r="Z165" s="68"/>
      <c r="AA165" s="68"/>
      <c r="AB165" s="68"/>
      <c r="AC165" s="68"/>
      <c r="AD165" s="68"/>
      <c r="AE165" s="68"/>
    </row>
    <row r="166" spans="16:31" x14ac:dyDescent="0.2">
      <c r="P166" s="68"/>
      <c r="Q166" s="74"/>
      <c r="R166" s="74"/>
      <c r="S166" s="74"/>
      <c r="T166" s="75"/>
      <c r="U166" s="76"/>
      <c r="V166" s="77"/>
      <c r="W166" s="77"/>
      <c r="X166" s="76"/>
      <c r="Y166" s="76"/>
      <c r="Z166" s="68"/>
      <c r="AA166" s="68"/>
      <c r="AB166" s="68"/>
      <c r="AC166" s="68"/>
      <c r="AD166" s="68"/>
      <c r="AE166" s="68"/>
    </row>
    <row r="167" spans="16:31" x14ac:dyDescent="0.2">
      <c r="P167" s="68"/>
      <c r="Q167" s="74"/>
      <c r="R167" s="74"/>
      <c r="S167" s="74"/>
      <c r="T167" s="75"/>
      <c r="U167" s="76"/>
      <c r="V167" s="77"/>
      <c r="W167" s="77"/>
      <c r="X167" s="76"/>
      <c r="Y167" s="76"/>
      <c r="Z167" s="68"/>
      <c r="AA167" s="68"/>
      <c r="AB167" s="68"/>
      <c r="AC167" s="68"/>
      <c r="AD167" s="68"/>
      <c r="AE167" s="68"/>
    </row>
    <row r="168" spans="16:31" x14ac:dyDescent="0.2">
      <c r="P168" s="68"/>
      <c r="Q168" s="74"/>
      <c r="R168" s="74"/>
      <c r="S168" s="74"/>
      <c r="T168" s="75"/>
      <c r="U168" s="76"/>
      <c r="V168" s="77"/>
      <c r="W168" s="77"/>
      <c r="X168" s="76"/>
      <c r="Y168" s="76"/>
      <c r="Z168" s="68"/>
      <c r="AA168" s="68"/>
      <c r="AB168" s="68"/>
      <c r="AC168" s="68"/>
      <c r="AD168" s="68"/>
      <c r="AE168" s="68"/>
    </row>
    <row r="169" spans="16:31" x14ac:dyDescent="0.2">
      <c r="P169" s="68"/>
      <c r="Q169" s="74"/>
      <c r="R169" s="74"/>
      <c r="S169" s="74"/>
      <c r="T169" s="75"/>
      <c r="U169" s="76"/>
      <c r="V169" s="77"/>
      <c r="W169" s="77"/>
      <c r="X169" s="76"/>
      <c r="Y169" s="76"/>
      <c r="Z169" s="68"/>
      <c r="AA169" s="68"/>
      <c r="AB169" s="68"/>
      <c r="AC169" s="68"/>
      <c r="AD169" s="68"/>
      <c r="AE169" s="68"/>
    </row>
    <row r="170" spans="16:31" x14ac:dyDescent="0.2">
      <c r="P170" s="68"/>
      <c r="Q170" s="74"/>
      <c r="R170" s="74"/>
      <c r="S170" s="74"/>
      <c r="T170" s="75"/>
      <c r="U170" s="76"/>
      <c r="V170" s="77"/>
      <c r="W170" s="77"/>
      <c r="X170" s="76"/>
      <c r="Y170" s="76"/>
      <c r="Z170" s="68"/>
      <c r="AA170" s="68"/>
      <c r="AB170" s="68"/>
      <c r="AC170" s="68"/>
      <c r="AD170" s="68"/>
      <c r="AE170" s="68"/>
    </row>
    <row r="171" spans="16:31" x14ac:dyDescent="0.2">
      <c r="P171" s="68"/>
      <c r="Q171" s="74"/>
      <c r="R171" s="74"/>
      <c r="S171" s="74"/>
      <c r="T171" s="75"/>
      <c r="U171" s="76"/>
      <c r="V171" s="77"/>
      <c r="W171" s="77"/>
      <c r="X171" s="76"/>
      <c r="Y171" s="76"/>
      <c r="Z171" s="68"/>
      <c r="AA171" s="68"/>
      <c r="AB171" s="68"/>
      <c r="AC171" s="68"/>
      <c r="AD171" s="68"/>
      <c r="AE171" s="68"/>
    </row>
    <row r="172" spans="16:31" x14ac:dyDescent="0.2">
      <c r="P172" s="68"/>
      <c r="Q172" s="74"/>
      <c r="R172" s="74"/>
      <c r="S172" s="74"/>
      <c r="T172" s="75"/>
      <c r="U172" s="76"/>
      <c r="V172" s="77"/>
      <c r="W172" s="77"/>
      <c r="X172" s="76"/>
      <c r="Y172" s="76"/>
      <c r="Z172" s="68"/>
      <c r="AA172" s="68"/>
      <c r="AB172" s="68"/>
      <c r="AC172" s="68"/>
      <c r="AD172" s="68"/>
      <c r="AE172" s="68"/>
    </row>
    <row r="173" spans="16:31" x14ac:dyDescent="0.2">
      <c r="P173" s="68"/>
      <c r="Q173" s="74"/>
      <c r="R173" s="74"/>
      <c r="S173" s="74"/>
      <c r="T173" s="75"/>
      <c r="U173" s="76"/>
      <c r="V173" s="77"/>
      <c r="W173" s="77"/>
      <c r="X173" s="76"/>
      <c r="Y173" s="76"/>
      <c r="Z173" s="68"/>
      <c r="AA173" s="68"/>
      <c r="AB173" s="68"/>
      <c r="AC173" s="68"/>
      <c r="AD173" s="68"/>
      <c r="AE173" s="68"/>
    </row>
    <row r="174" spans="16:31" x14ac:dyDescent="0.2">
      <c r="P174" s="68"/>
      <c r="Q174" s="74"/>
      <c r="R174" s="74"/>
      <c r="S174" s="74"/>
      <c r="T174" s="75"/>
      <c r="U174" s="76"/>
      <c r="V174" s="77"/>
      <c r="W174" s="77"/>
      <c r="X174" s="76"/>
      <c r="Y174" s="76"/>
      <c r="Z174" s="68"/>
      <c r="AA174" s="68"/>
      <c r="AB174" s="68"/>
      <c r="AC174" s="68"/>
      <c r="AD174" s="68"/>
      <c r="AE174" s="68"/>
    </row>
    <row r="175" spans="16:31" x14ac:dyDescent="0.2">
      <c r="P175" s="68"/>
      <c r="Q175" s="74"/>
      <c r="R175" s="74"/>
      <c r="S175" s="74"/>
      <c r="T175" s="75"/>
      <c r="U175" s="76"/>
      <c r="V175" s="77"/>
      <c r="W175" s="77"/>
      <c r="X175" s="76"/>
      <c r="Y175" s="76"/>
      <c r="Z175" s="68"/>
      <c r="AA175" s="68"/>
      <c r="AB175" s="68"/>
      <c r="AC175" s="68"/>
      <c r="AD175" s="68"/>
      <c r="AE175" s="68"/>
    </row>
    <row r="176" spans="16:31" x14ac:dyDescent="0.2">
      <c r="P176" s="68"/>
      <c r="Q176" s="74"/>
      <c r="R176" s="74"/>
      <c r="S176" s="74"/>
      <c r="T176" s="75"/>
      <c r="U176" s="76"/>
      <c r="V176" s="77"/>
      <c r="W176" s="77"/>
      <c r="X176" s="76"/>
      <c r="Y176" s="76"/>
      <c r="Z176" s="68"/>
      <c r="AA176" s="68"/>
      <c r="AB176" s="68"/>
      <c r="AC176" s="68"/>
      <c r="AD176" s="68"/>
      <c r="AE176" s="68"/>
    </row>
    <row r="177" spans="16:31" x14ac:dyDescent="0.2">
      <c r="P177" s="68"/>
      <c r="Q177" s="74"/>
      <c r="R177" s="74"/>
      <c r="S177" s="74"/>
      <c r="T177" s="75"/>
      <c r="U177" s="76"/>
      <c r="V177" s="77"/>
      <c r="W177" s="77"/>
      <c r="X177" s="76"/>
      <c r="Y177" s="76"/>
      <c r="Z177" s="68"/>
      <c r="AA177" s="68"/>
      <c r="AB177" s="68"/>
      <c r="AC177" s="68"/>
      <c r="AD177" s="68"/>
      <c r="AE177" s="68"/>
    </row>
    <row r="178" spans="16:31" x14ac:dyDescent="0.2">
      <c r="P178" s="68"/>
      <c r="Q178" s="74"/>
      <c r="R178" s="74"/>
      <c r="S178" s="74"/>
      <c r="T178" s="75"/>
      <c r="U178" s="76"/>
      <c r="V178" s="77"/>
      <c r="W178" s="77"/>
      <c r="X178" s="76"/>
      <c r="Y178" s="76"/>
      <c r="Z178" s="68"/>
      <c r="AA178" s="68"/>
      <c r="AB178" s="68"/>
      <c r="AC178" s="68"/>
      <c r="AD178" s="68"/>
      <c r="AE178" s="68"/>
    </row>
    <row r="179" spans="16:31" x14ac:dyDescent="0.2">
      <c r="P179" s="68"/>
      <c r="Q179" s="74"/>
      <c r="R179" s="74"/>
      <c r="S179" s="74"/>
      <c r="T179" s="75"/>
      <c r="U179" s="76"/>
      <c r="V179" s="77"/>
      <c r="W179" s="77"/>
      <c r="X179" s="76"/>
      <c r="Y179" s="76"/>
      <c r="Z179" s="68"/>
      <c r="AA179" s="68"/>
      <c r="AB179" s="68"/>
      <c r="AC179" s="68"/>
      <c r="AD179" s="68"/>
      <c r="AE179" s="68"/>
    </row>
    <row r="180" spans="16:31" x14ac:dyDescent="0.2">
      <c r="P180" s="68"/>
      <c r="Q180" s="74"/>
      <c r="R180" s="74"/>
      <c r="S180" s="74"/>
      <c r="T180" s="75"/>
      <c r="U180" s="76"/>
      <c r="V180" s="77"/>
      <c r="W180" s="77"/>
      <c r="X180" s="76"/>
      <c r="Y180" s="76"/>
      <c r="Z180" s="68"/>
      <c r="AA180" s="68"/>
      <c r="AB180" s="68"/>
      <c r="AC180" s="68"/>
      <c r="AD180" s="68"/>
      <c r="AE180" s="68"/>
    </row>
    <row r="181" spans="16:31" x14ac:dyDescent="0.2">
      <c r="P181" s="68"/>
      <c r="Q181" s="74"/>
      <c r="R181" s="74"/>
      <c r="S181" s="74"/>
      <c r="T181" s="75"/>
      <c r="U181" s="76"/>
      <c r="V181" s="77"/>
      <c r="W181" s="77"/>
      <c r="X181" s="76"/>
      <c r="Y181" s="76"/>
      <c r="Z181" s="68"/>
      <c r="AA181" s="68"/>
      <c r="AB181" s="68"/>
      <c r="AC181" s="68"/>
      <c r="AD181" s="68"/>
      <c r="AE181" s="68"/>
    </row>
    <row r="182" spans="16:31" x14ac:dyDescent="0.2">
      <c r="P182" s="68"/>
      <c r="Q182" s="74"/>
      <c r="R182" s="74"/>
      <c r="S182" s="74"/>
      <c r="T182" s="75"/>
      <c r="U182" s="76"/>
      <c r="V182" s="77"/>
      <c r="W182" s="77"/>
      <c r="X182" s="76"/>
      <c r="Y182" s="76"/>
      <c r="Z182" s="68"/>
      <c r="AA182" s="68"/>
      <c r="AB182" s="68"/>
      <c r="AC182" s="68"/>
      <c r="AD182" s="68"/>
      <c r="AE182" s="68"/>
    </row>
    <row r="183" spans="16:31" x14ac:dyDescent="0.2">
      <c r="P183" s="68"/>
      <c r="Q183" s="74"/>
      <c r="R183" s="74"/>
      <c r="S183" s="74"/>
      <c r="T183" s="75"/>
      <c r="U183" s="76"/>
      <c r="V183" s="77"/>
      <c r="W183" s="77"/>
      <c r="X183" s="76"/>
      <c r="Y183" s="76"/>
      <c r="Z183" s="68"/>
      <c r="AA183" s="68"/>
      <c r="AB183" s="68"/>
      <c r="AC183" s="68"/>
      <c r="AD183" s="68"/>
      <c r="AE183" s="68"/>
    </row>
    <row r="184" spans="16:31" x14ac:dyDescent="0.2">
      <c r="P184" s="68"/>
      <c r="Q184" s="74"/>
      <c r="R184" s="74"/>
      <c r="S184" s="74"/>
      <c r="T184" s="75"/>
      <c r="U184" s="76"/>
      <c r="V184" s="77"/>
      <c r="W184" s="77"/>
      <c r="X184" s="76"/>
      <c r="Y184" s="76"/>
      <c r="Z184" s="68"/>
      <c r="AA184" s="68"/>
      <c r="AB184" s="68"/>
      <c r="AC184" s="68"/>
      <c r="AD184" s="68"/>
      <c r="AE184" s="68"/>
    </row>
    <row r="185" spans="16:31" x14ac:dyDescent="0.2">
      <c r="P185" s="68"/>
      <c r="Q185" s="74"/>
      <c r="R185" s="74"/>
      <c r="S185" s="74"/>
      <c r="T185" s="75"/>
      <c r="U185" s="76"/>
      <c r="V185" s="77"/>
      <c r="W185" s="77"/>
      <c r="X185" s="76"/>
      <c r="Y185" s="76"/>
      <c r="Z185" s="68"/>
      <c r="AA185" s="68"/>
      <c r="AB185" s="68"/>
      <c r="AC185" s="68"/>
      <c r="AD185" s="68"/>
      <c r="AE185" s="68"/>
    </row>
    <row r="186" spans="16:31" x14ac:dyDescent="0.2">
      <c r="P186" s="68"/>
      <c r="Q186" s="74"/>
      <c r="R186" s="74"/>
      <c r="S186" s="74"/>
      <c r="T186" s="75"/>
      <c r="U186" s="76"/>
      <c r="V186" s="77"/>
      <c r="W186" s="77"/>
      <c r="X186" s="76"/>
      <c r="Y186" s="76"/>
      <c r="Z186" s="68"/>
      <c r="AA186" s="68"/>
      <c r="AB186" s="68"/>
      <c r="AC186" s="68"/>
      <c r="AD186" s="68"/>
      <c r="AE186" s="68"/>
    </row>
    <row r="187" spans="16:31" x14ac:dyDescent="0.2">
      <c r="P187" s="68"/>
      <c r="Q187" s="74"/>
      <c r="R187" s="74"/>
      <c r="S187" s="74"/>
      <c r="T187" s="75"/>
      <c r="U187" s="76"/>
      <c r="V187" s="77"/>
      <c r="W187" s="77"/>
      <c r="X187" s="76"/>
      <c r="Y187" s="76"/>
      <c r="Z187" s="68"/>
      <c r="AA187" s="68"/>
      <c r="AB187" s="68"/>
      <c r="AC187" s="68"/>
      <c r="AD187" s="68"/>
      <c r="AE187" s="68"/>
    </row>
    <row r="188" spans="16:31" x14ac:dyDescent="0.2">
      <c r="P188" s="68"/>
      <c r="Q188" s="74"/>
      <c r="R188" s="74"/>
      <c r="S188" s="74"/>
      <c r="T188" s="75"/>
      <c r="U188" s="76"/>
      <c r="V188" s="77"/>
      <c r="W188" s="77"/>
      <c r="X188" s="76"/>
      <c r="Y188" s="76"/>
      <c r="Z188" s="68"/>
      <c r="AA188" s="68"/>
      <c r="AB188" s="68"/>
      <c r="AC188" s="68"/>
      <c r="AD188" s="68"/>
      <c r="AE188" s="68"/>
    </row>
    <row r="189" spans="16:31" x14ac:dyDescent="0.2">
      <c r="P189" s="68"/>
      <c r="Q189" s="74"/>
      <c r="R189" s="74"/>
      <c r="S189" s="74"/>
      <c r="T189" s="75"/>
      <c r="U189" s="76"/>
      <c r="V189" s="77"/>
      <c r="W189" s="77"/>
      <c r="X189" s="76"/>
      <c r="Y189" s="76"/>
      <c r="Z189" s="68"/>
      <c r="AA189" s="68"/>
      <c r="AB189" s="68"/>
      <c r="AC189" s="68"/>
      <c r="AD189" s="68"/>
      <c r="AE189" s="68"/>
    </row>
    <row r="190" spans="16:31" x14ac:dyDescent="0.2">
      <c r="P190" s="68"/>
      <c r="Q190" s="74"/>
      <c r="R190" s="74"/>
      <c r="S190" s="74"/>
      <c r="T190" s="75"/>
      <c r="U190" s="76"/>
      <c r="V190" s="77"/>
      <c r="W190" s="77"/>
      <c r="X190" s="76"/>
      <c r="Y190" s="76"/>
      <c r="Z190" s="68"/>
      <c r="AA190" s="68"/>
      <c r="AB190" s="68"/>
      <c r="AC190" s="68"/>
      <c r="AD190" s="68"/>
      <c r="AE190" s="68"/>
    </row>
    <row r="191" spans="16:31" x14ac:dyDescent="0.2">
      <c r="P191" s="68"/>
      <c r="Q191" s="74"/>
      <c r="R191" s="74"/>
      <c r="S191" s="74"/>
      <c r="T191" s="75"/>
      <c r="U191" s="76"/>
      <c r="V191" s="77"/>
      <c r="W191" s="77"/>
      <c r="X191" s="76"/>
      <c r="Y191" s="76"/>
      <c r="Z191" s="68"/>
      <c r="AA191" s="68"/>
      <c r="AB191" s="68"/>
      <c r="AC191" s="68"/>
      <c r="AD191" s="68"/>
      <c r="AE191" s="68"/>
    </row>
    <row r="192" spans="16:31" x14ac:dyDescent="0.2">
      <c r="P192" s="68"/>
      <c r="Q192" s="74"/>
      <c r="R192" s="74"/>
      <c r="S192" s="74"/>
      <c r="T192" s="75"/>
      <c r="U192" s="76"/>
      <c r="V192" s="77"/>
      <c r="W192" s="77"/>
      <c r="X192" s="76"/>
      <c r="Y192" s="76"/>
      <c r="Z192" s="68"/>
      <c r="AA192" s="68"/>
      <c r="AB192" s="68"/>
      <c r="AC192" s="68"/>
      <c r="AD192" s="68"/>
      <c r="AE192" s="68"/>
    </row>
    <row r="193" spans="16:31" x14ac:dyDescent="0.2">
      <c r="P193" s="68"/>
      <c r="Q193" s="74"/>
      <c r="R193" s="74"/>
      <c r="S193" s="74"/>
      <c r="T193" s="75"/>
      <c r="U193" s="76"/>
      <c r="V193" s="77"/>
      <c r="W193" s="77"/>
      <c r="X193" s="76"/>
      <c r="Y193" s="76"/>
      <c r="Z193" s="68"/>
      <c r="AA193" s="68"/>
      <c r="AB193" s="68"/>
      <c r="AC193" s="68"/>
      <c r="AD193" s="68"/>
      <c r="AE193" s="68"/>
    </row>
    <row r="194" spans="16:31" x14ac:dyDescent="0.2">
      <c r="P194" s="68"/>
      <c r="Q194" s="74"/>
      <c r="R194" s="74"/>
      <c r="S194" s="74"/>
      <c r="T194" s="75"/>
      <c r="U194" s="76"/>
      <c r="V194" s="77"/>
      <c r="W194" s="77"/>
      <c r="X194" s="76"/>
      <c r="Y194" s="76"/>
      <c r="Z194" s="68"/>
      <c r="AA194" s="68"/>
      <c r="AB194" s="68"/>
      <c r="AC194" s="68"/>
      <c r="AD194" s="68"/>
      <c r="AE194" s="68"/>
    </row>
    <row r="195" spans="16:31" x14ac:dyDescent="0.2">
      <c r="P195" s="68"/>
      <c r="Q195" s="74"/>
      <c r="R195" s="74"/>
      <c r="S195" s="74"/>
      <c r="T195" s="75"/>
      <c r="U195" s="76"/>
      <c r="V195" s="77"/>
      <c r="W195" s="77"/>
      <c r="X195" s="76"/>
      <c r="Y195" s="76"/>
      <c r="Z195" s="68"/>
      <c r="AA195" s="68"/>
      <c r="AB195" s="68"/>
      <c r="AC195" s="68"/>
      <c r="AD195" s="68"/>
      <c r="AE195" s="68"/>
    </row>
    <row r="196" spans="16:31" x14ac:dyDescent="0.2">
      <c r="P196" s="68"/>
      <c r="Q196" s="74"/>
      <c r="R196" s="74"/>
      <c r="S196" s="74"/>
      <c r="T196" s="75"/>
      <c r="U196" s="76"/>
      <c r="V196" s="77"/>
      <c r="W196" s="77"/>
      <c r="X196" s="76"/>
      <c r="Y196" s="76"/>
      <c r="Z196" s="68"/>
      <c r="AA196" s="68"/>
      <c r="AB196" s="68"/>
      <c r="AC196" s="68"/>
      <c r="AD196" s="68"/>
      <c r="AE196" s="68"/>
    </row>
    <row r="197" spans="16:31" x14ac:dyDescent="0.2">
      <c r="P197" s="68"/>
      <c r="Q197" s="74"/>
      <c r="R197" s="74"/>
      <c r="S197" s="74"/>
      <c r="T197" s="75"/>
      <c r="U197" s="76"/>
      <c r="V197" s="77"/>
      <c r="W197" s="77"/>
      <c r="X197" s="76"/>
      <c r="Y197" s="76"/>
      <c r="Z197" s="68"/>
      <c r="AA197" s="68"/>
      <c r="AB197" s="68"/>
      <c r="AC197" s="68"/>
      <c r="AD197" s="68"/>
      <c r="AE197" s="68"/>
    </row>
    <row r="198" spans="16:31" x14ac:dyDescent="0.2">
      <c r="P198" s="68"/>
      <c r="Q198" s="74"/>
      <c r="R198" s="74"/>
      <c r="S198" s="74"/>
      <c r="T198" s="75"/>
      <c r="U198" s="76"/>
      <c r="V198" s="77"/>
      <c r="W198" s="77"/>
      <c r="X198" s="76"/>
      <c r="Y198" s="76"/>
      <c r="Z198" s="68"/>
      <c r="AA198" s="68"/>
      <c r="AB198" s="68"/>
      <c r="AC198" s="68"/>
      <c r="AD198" s="68"/>
      <c r="AE198" s="68"/>
    </row>
    <row r="199" spans="16:31" x14ac:dyDescent="0.2">
      <c r="P199" s="68"/>
      <c r="Q199" s="74"/>
      <c r="R199" s="74"/>
      <c r="S199" s="74"/>
      <c r="T199" s="75"/>
      <c r="U199" s="76"/>
      <c r="V199" s="77"/>
      <c r="W199" s="77"/>
      <c r="X199" s="76"/>
      <c r="Y199" s="76"/>
      <c r="Z199" s="68"/>
      <c r="AA199" s="68"/>
      <c r="AB199" s="68"/>
      <c r="AC199" s="68"/>
      <c r="AD199" s="68"/>
      <c r="AE199" s="68"/>
    </row>
    <row r="200" spans="16:31" x14ac:dyDescent="0.2">
      <c r="P200" s="68"/>
      <c r="Q200" s="74"/>
      <c r="R200" s="74"/>
      <c r="S200" s="74"/>
      <c r="T200" s="75"/>
      <c r="U200" s="76"/>
      <c r="V200" s="77"/>
      <c r="W200" s="77"/>
      <c r="X200" s="76"/>
      <c r="Y200" s="76"/>
      <c r="Z200" s="68"/>
      <c r="AA200" s="68"/>
      <c r="AB200" s="68"/>
      <c r="AC200" s="68"/>
      <c r="AD200" s="68"/>
      <c r="AE200" s="68"/>
    </row>
    <row r="201" spans="16:31" x14ac:dyDescent="0.2">
      <c r="P201" s="68"/>
      <c r="Q201" s="74"/>
      <c r="R201" s="74"/>
      <c r="S201" s="74"/>
      <c r="T201" s="75"/>
      <c r="U201" s="76"/>
      <c r="V201" s="77"/>
      <c r="W201" s="77"/>
      <c r="X201" s="76"/>
      <c r="Y201" s="76"/>
      <c r="Z201" s="68"/>
      <c r="AA201" s="68"/>
      <c r="AB201" s="68"/>
      <c r="AC201" s="68"/>
      <c r="AD201" s="68"/>
      <c r="AE201" s="68"/>
    </row>
    <row r="202" spans="16:31" x14ac:dyDescent="0.2">
      <c r="P202" s="68"/>
      <c r="Q202" s="74"/>
      <c r="R202" s="74"/>
      <c r="S202" s="74"/>
      <c r="T202" s="75"/>
      <c r="U202" s="76"/>
      <c r="V202" s="77"/>
      <c r="W202" s="77"/>
      <c r="X202" s="76"/>
      <c r="Y202" s="76"/>
      <c r="Z202" s="68"/>
      <c r="AA202" s="68"/>
      <c r="AB202" s="68"/>
      <c r="AC202" s="68"/>
      <c r="AD202" s="68"/>
      <c r="AE202" s="68"/>
    </row>
    <row r="203" spans="16:31" x14ac:dyDescent="0.2">
      <c r="P203" s="68"/>
      <c r="Q203" s="74"/>
      <c r="R203" s="74"/>
      <c r="S203" s="74"/>
      <c r="T203" s="75"/>
      <c r="U203" s="76"/>
      <c r="V203" s="77"/>
      <c r="W203" s="77"/>
      <c r="X203" s="76"/>
      <c r="Y203" s="76"/>
      <c r="Z203" s="68"/>
      <c r="AA203" s="68"/>
      <c r="AB203" s="68"/>
      <c r="AC203" s="68"/>
      <c r="AD203" s="68"/>
      <c r="AE203" s="68"/>
    </row>
    <row r="204" spans="16:31" x14ac:dyDescent="0.2">
      <c r="P204" s="68"/>
      <c r="Q204" s="74"/>
      <c r="R204" s="74"/>
      <c r="S204" s="74"/>
      <c r="T204" s="75"/>
      <c r="U204" s="76"/>
      <c r="V204" s="77"/>
      <c r="W204" s="77"/>
      <c r="X204" s="76"/>
      <c r="Y204" s="76"/>
      <c r="Z204" s="68"/>
      <c r="AA204" s="68"/>
      <c r="AB204" s="68"/>
      <c r="AC204" s="68"/>
      <c r="AD204" s="68"/>
      <c r="AE204" s="68"/>
    </row>
    <row r="205" spans="16:31" x14ac:dyDescent="0.2">
      <c r="P205" s="68"/>
      <c r="Q205" s="74"/>
      <c r="R205" s="74"/>
      <c r="S205" s="74"/>
      <c r="T205" s="75"/>
      <c r="U205" s="76"/>
      <c r="V205" s="77"/>
      <c r="W205" s="77"/>
      <c r="X205" s="76"/>
      <c r="Y205" s="76"/>
      <c r="Z205" s="68"/>
      <c r="AA205" s="68"/>
      <c r="AB205" s="68"/>
      <c r="AC205" s="68"/>
      <c r="AD205" s="68"/>
      <c r="AE205" s="68"/>
    </row>
    <row r="206" spans="16:31" x14ac:dyDescent="0.2">
      <c r="P206" s="68"/>
      <c r="Q206" s="74"/>
      <c r="R206" s="74"/>
      <c r="S206" s="74"/>
      <c r="T206" s="75"/>
      <c r="U206" s="76"/>
      <c r="V206" s="77"/>
      <c r="W206" s="77"/>
      <c r="X206" s="76"/>
      <c r="Y206" s="76"/>
      <c r="Z206" s="68"/>
      <c r="AA206" s="68"/>
      <c r="AB206" s="68"/>
      <c r="AC206" s="68"/>
      <c r="AD206" s="68"/>
      <c r="AE206" s="68"/>
    </row>
    <row r="207" spans="16:31" x14ac:dyDescent="0.2">
      <c r="P207" s="68"/>
      <c r="Q207" s="74"/>
      <c r="R207" s="74"/>
      <c r="S207" s="74"/>
      <c r="T207" s="75"/>
      <c r="U207" s="76"/>
      <c r="V207" s="77"/>
      <c r="W207" s="77"/>
      <c r="X207" s="76"/>
      <c r="Y207" s="76"/>
      <c r="Z207" s="68"/>
      <c r="AA207" s="68"/>
      <c r="AB207" s="68"/>
      <c r="AC207" s="68"/>
      <c r="AD207" s="68"/>
      <c r="AE207" s="68"/>
    </row>
    <row r="208" spans="16:31" x14ac:dyDescent="0.2">
      <c r="P208" s="68"/>
      <c r="Q208" s="74"/>
      <c r="R208" s="74"/>
      <c r="S208" s="74"/>
      <c r="T208" s="75"/>
      <c r="U208" s="76"/>
      <c r="V208" s="77"/>
      <c r="W208" s="77"/>
      <c r="X208" s="76"/>
      <c r="Y208" s="76"/>
      <c r="Z208" s="68"/>
      <c r="AA208" s="68"/>
      <c r="AB208" s="68"/>
      <c r="AC208" s="68"/>
      <c r="AD208" s="68"/>
      <c r="AE208" s="68"/>
    </row>
    <row r="209" spans="16:31" x14ac:dyDescent="0.2">
      <c r="P209" s="68"/>
      <c r="Q209" s="74"/>
      <c r="R209" s="74"/>
      <c r="S209" s="74"/>
      <c r="T209" s="75"/>
      <c r="U209" s="76"/>
      <c r="V209" s="77"/>
      <c r="W209" s="77"/>
      <c r="X209" s="76"/>
      <c r="Y209" s="76"/>
      <c r="Z209" s="68"/>
      <c r="AA209" s="68"/>
      <c r="AB209" s="68"/>
      <c r="AC209" s="68"/>
      <c r="AD209" s="68"/>
      <c r="AE209" s="68"/>
    </row>
    <row r="210" spans="16:31" x14ac:dyDescent="0.2">
      <c r="P210" s="68"/>
      <c r="Q210" s="74"/>
      <c r="R210" s="74"/>
      <c r="S210" s="74"/>
      <c r="T210" s="75"/>
      <c r="U210" s="76"/>
      <c r="V210" s="77"/>
      <c r="W210" s="77"/>
      <c r="X210" s="76"/>
      <c r="Y210" s="76"/>
      <c r="Z210" s="68"/>
      <c r="AA210" s="68"/>
      <c r="AB210" s="68"/>
      <c r="AC210" s="68"/>
      <c r="AD210" s="68"/>
      <c r="AE210" s="68"/>
    </row>
    <row r="211" spans="16:31" x14ac:dyDescent="0.2">
      <c r="P211" s="68"/>
      <c r="Q211" s="74"/>
      <c r="R211" s="74"/>
      <c r="S211" s="74"/>
      <c r="T211" s="75"/>
      <c r="U211" s="76"/>
      <c r="V211" s="77"/>
      <c r="W211" s="77"/>
      <c r="X211" s="76"/>
      <c r="Y211" s="76"/>
      <c r="Z211" s="68"/>
      <c r="AA211" s="68"/>
      <c r="AB211" s="68"/>
      <c r="AC211" s="68"/>
      <c r="AD211" s="68"/>
      <c r="AE211" s="68"/>
    </row>
    <row r="212" spans="16:31" x14ac:dyDescent="0.2">
      <c r="P212" s="68"/>
      <c r="Q212" s="74"/>
      <c r="R212" s="74"/>
      <c r="S212" s="74"/>
      <c r="T212" s="75"/>
      <c r="U212" s="76"/>
      <c r="V212" s="77"/>
      <c r="W212" s="77"/>
      <c r="X212" s="76"/>
      <c r="Y212" s="76"/>
      <c r="Z212" s="68"/>
      <c r="AA212" s="68"/>
      <c r="AB212" s="68"/>
      <c r="AC212" s="68"/>
      <c r="AD212" s="68"/>
      <c r="AE212" s="68"/>
    </row>
    <row r="213" spans="16:31" x14ac:dyDescent="0.2">
      <c r="P213" s="68"/>
      <c r="Q213" s="74"/>
      <c r="R213" s="74"/>
      <c r="S213" s="74"/>
      <c r="T213" s="75"/>
      <c r="U213" s="76"/>
      <c r="V213" s="77"/>
      <c r="W213" s="77"/>
      <c r="X213" s="76"/>
      <c r="Y213" s="76"/>
      <c r="Z213" s="68"/>
      <c r="AA213" s="68"/>
      <c r="AB213" s="68"/>
      <c r="AC213" s="68"/>
      <c r="AD213" s="68"/>
      <c r="AE213" s="68"/>
    </row>
    <row r="214" spans="16:31" x14ac:dyDescent="0.2">
      <c r="P214" s="68"/>
      <c r="Q214" s="74"/>
      <c r="R214" s="74"/>
      <c r="S214" s="74"/>
      <c r="T214" s="75"/>
      <c r="U214" s="76"/>
      <c r="V214" s="77"/>
      <c r="W214" s="77"/>
      <c r="X214" s="76"/>
      <c r="Y214" s="76"/>
      <c r="Z214" s="68"/>
      <c r="AA214" s="68"/>
      <c r="AB214" s="68"/>
      <c r="AC214" s="68"/>
      <c r="AD214" s="68"/>
      <c r="AE214" s="68"/>
    </row>
    <row r="215" spans="16:31" x14ac:dyDescent="0.2">
      <c r="P215" s="68"/>
      <c r="Q215" s="74"/>
      <c r="R215" s="74"/>
      <c r="S215" s="74"/>
      <c r="T215" s="75"/>
      <c r="U215" s="76"/>
      <c r="V215" s="77"/>
      <c r="W215" s="77"/>
      <c r="X215" s="76"/>
      <c r="Y215" s="76"/>
      <c r="Z215" s="68"/>
      <c r="AA215" s="68"/>
      <c r="AB215" s="68"/>
      <c r="AC215" s="68"/>
      <c r="AD215" s="68"/>
      <c r="AE215" s="68"/>
    </row>
    <row r="216" spans="16:31" x14ac:dyDescent="0.2">
      <c r="P216" s="68"/>
      <c r="Q216" s="74"/>
      <c r="R216" s="74"/>
      <c r="S216" s="74"/>
      <c r="T216" s="75"/>
      <c r="U216" s="76"/>
      <c r="V216" s="77"/>
      <c r="W216" s="77"/>
      <c r="X216" s="76"/>
      <c r="Y216" s="76"/>
      <c r="Z216" s="68"/>
      <c r="AA216" s="68"/>
      <c r="AB216" s="68"/>
      <c r="AC216" s="68"/>
      <c r="AD216" s="68"/>
      <c r="AE216" s="68"/>
    </row>
    <row r="217" spans="16:31" x14ac:dyDescent="0.2">
      <c r="P217" s="68"/>
      <c r="Q217" s="74"/>
      <c r="R217" s="74"/>
      <c r="S217" s="74"/>
      <c r="T217" s="75"/>
      <c r="U217" s="76"/>
      <c r="V217" s="77"/>
      <c r="W217" s="77"/>
      <c r="X217" s="76"/>
      <c r="Y217" s="76"/>
      <c r="Z217" s="68"/>
      <c r="AA217" s="68"/>
      <c r="AB217" s="68"/>
      <c r="AC217" s="68"/>
      <c r="AD217" s="68"/>
      <c r="AE217" s="68"/>
    </row>
    <row r="218" spans="16:31" x14ac:dyDescent="0.2">
      <c r="P218" s="68"/>
      <c r="Q218" s="74"/>
      <c r="R218" s="74"/>
      <c r="S218" s="74"/>
      <c r="T218" s="75"/>
      <c r="U218" s="76"/>
      <c r="V218" s="77"/>
      <c r="W218" s="77"/>
      <c r="X218" s="76"/>
      <c r="Y218" s="76"/>
      <c r="Z218" s="68"/>
      <c r="AA218" s="68"/>
      <c r="AB218" s="68"/>
      <c r="AC218" s="68"/>
      <c r="AD218" s="68"/>
      <c r="AE218" s="68"/>
    </row>
    <row r="219" spans="16:31" x14ac:dyDescent="0.2">
      <c r="P219" s="68"/>
      <c r="Q219" s="74"/>
      <c r="R219" s="74"/>
      <c r="S219" s="74"/>
      <c r="T219" s="75"/>
      <c r="U219" s="76"/>
      <c r="V219" s="77"/>
      <c r="W219" s="77"/>
      <c r="X219" s="76"/>
      <c r="Y219" s="76"/>
      <c r="Z219" s="68"/>
      <c r="AA219" s="68"/>
      <c r="AB219" s="68"/>
      <c r="AC219" s="68"/>
      <c r="AD219" s="68"/>
      <c r="AE219" s="68"/>
    </row>
    <row r="220" spans="16:31" x14ac:dyDescent="0.2">
      <c r="P220" s="68"/>
      <c r="Q220" s="74"/>
      <c r="R220" s="74"/>
      <c r="S220" s="74"/>
      <c r="T220" s="75"/>
      <c r="U220" s="76"/>
      <c r="V220" s="77"/>
      <c r="W220" s="77"/>
      <c r="X220" s="76"/>
      <c r="Y220" s="76"/>
      <c r="Z220" s="68"/>
      <c r="AA220" s="68"/>
      <c r="AB220" s="68"/>
      <c r="AC220" s="68"/>
      <c r="AD220" s="68"/>
      <c r="AE220" s="68"/>
    </row>
    <row r="221" spans="16:31" x14ac:dyDescent="0.2">
      <c r="P221" s="68"/>
      <c r="Q221" s="74"/>
      <c r="R221" s="74"/>
      <c r="S221" s="74"/>
      <c r="T221" s="75"/>
      <c r="U221" s="76"/>
      <c r="V221" s="77"/>
      <c r="W221" s="77"/>
      <c r="X221" s="76"/>
      <c r="Y221" s="76"/>
      <c r="Z221" s="68"/>
      <c r="AA221" s="68"/>
      <c r="AB221" s="68"/>
      <c r="AC221" s="68"/>
      <c r="AD221" s="68"/>
      <c r="AE221" s="68"/>
    </row>
    <row r="222" spans="16:31" x14ac:dyDescent="0.2">
      <c r="P222" s="68"/>
      <c r="Q222" s="74"/>
      <c r="R222" s="74"/>
      <c r="S222" s="74"/>
      <c r="T222" s="75"/>
      <c r="U222" s="76"/>
      <c r="V222" s="77"/>
      <c r="W222" s="77"/>
      <c r="X222" s="76"/>
      <c r="Y222" s="76"/>
      <c r="Z222" s="68"/>
      <c r="AA222" s="68"/>
      <c r="AB222" s="68"/>
      <c r="AC222" s="68"/>
      <c r="AD222" s="68"/>
      <c r="AE222" s="68"/>
    </row>
    <row r="223" spans="16:31" x14ac:dyDescent="0.2">
      <c r="P223" s="68"/>
      <c r="Q223" s="74"/>
      <c r="R223" s="74"/>
      <c r="S223" s="74"/>
      <c r="T223" s="75"/>
      <c r="U223" s="76"/>
      <c r="V223" s="77"/>
      <c r="W223" s="77"/>
      <c r="X223" s="76"/>
      <c r="Y223" s="76"/>
      <c r="Z223" s="68"/>
      <c r="AA223" s="68"/>
      <c r="AB223" s="68"/>
      <c r="AC223" s="68"/>
      <c r="AD223" s="68"/>
      <c r="AE223" s="68"/>
    </row>
    <row r="224" spans="16:31" x14ac:dyDescent="0.2">
      <c r="P224" s="68"/>
      <c r="Q224" s="74"/>
      <c r="R224" s="74"/>
      <c r="S224" s="74"/>
      <c r="T224" s="75"/>
      <c r="U224" s="76"/>
      <c r="V224" s="77"/>
      <c r="W224" s="77"/>
      <c r="X224" s="76"/>
      <c r="Y224" s="76"/>
      <c r="Z224" s="68"/>
      <c r="AA224" s="68"/>
      <c r="AB224" s="68"/>
      <c r="AC224" s="68"/>
      <c r="AD224" s="68"/>
      <c r="AE224" s="68"/>
    </row>
    <row r="225" spans="16:31" x14ac:dyDescent="0.2">
      <c r="P225" s="68"/>
      <c r="Q225" s="74"/>
      <c r="R225" s="74"/>
      <c r="S225" s="74"/>
      <c r="T225" s="75"/>
      <c r="U225" s="76"/>
      <c r="V225" s="77"/>
      <c r="W225" s="77"/>
      <c r="X225" s="76"/>
      <c r="Y225" s="76"/>
      <c r="Z225" s="68"/>
      <c r="AA225" s="68"/>
      <c r="AB225" s="68"/>
      <c r="AC225" s="68"/>
      <c r="AD225" s="68"/>
      <c r="AE225" s="68"/>
    </row>
    <row r="226" spans="16:31" x14ac:dyDescent="0.2">
      <c r="P226" s="68"/>
      <c r="Q226" s="74"/>
      <c r="R226" s="74"/>
      <c r="S226" s="74"/>
      <c r="T226" s="75"/>
      <c r="U226" s="76"/>
      <c r="V226" s="77"/>
      <c r="W226" s="77"/>
      <c r="X226" s="76"/>
      <c r="Y226" s="76"/>
      <c r="Z226" s="68"/>
      <c r="AA226" s="68"/>
      <c r="AB226" s="68"/>
      <c r="AC226" s="68"/>
      <c r="AD226" s="68"/>
      <c r="AE226" s="68"/>
    </row>
    <row r="227" spans="16:31" x14ac:dyDescent="0.2">
      <c r="P227" s="68"/>
      <c r="Q227" s="74"/>
      <c r="R227" s="74"/>
      <c r="S227" s="74"/>
      <c r="T227" s="75"/>
      <c r="U227" s="76"/>
      <c r="V227" s="77"/>
      <c r="W227" s="77"/>
      <c r="X227" s="76"/>
      <c r="Y227" s="76"/>
      <c r="Z227" s="68"/>
      <c r="AA227" s="68"/>
      <c r="AB227" s="68"/>
      <c r="AC227" s="68"/>
      <c r="AD227" s="68"/>
      <c r="AE227" s="68"/>
    </row>
    <row r="228" spans="16:31" x14ac:dyDescent="0.2">
      <c r="P228" s="68"/>
      <c r="Q228" s="74"/>
      <c r="R228" s="74"/>
      <c r="S228" s="74"/>
      <c r="T228" s="75"/>
      <c r="U228" s="76"/>
      <c r="V228" s="77"/>
      <c r="W228" s="77"/>
      <c r="X228" s="76"/>
      <c r="Y228" s="76"/>
      <c r="Z228" s="68"/>
      <c r="AA228" s="68"/>
      <c r="AB228" s="68"/>
      <c r="AC228" s="68"/>
      <c r="AD228" s="68"/>
      <c r="AE228" s="68"/>
    </row>
    <row r="229" spans="16:31" x14ac:dyDescent="0.2">
      <c r="P229" s="68"/>
      <c r="Q229" s="74"/>
      <c r="R229" s="74"/>
      <c r="S229" s="74"/>
      <c r="T229" s="75"/>
      <c r="U229" s="76"/>
      <c r="V229" s="77"/>
      <c r="W229" s="77"/>
      <c r="X229" s="76"/>
      <c r="Y229" s="76"/>
      <c r="Z229" s="68"/>
      <c r="AA229" s="68"/>
      <c r="AB229" s="68"/>
      <c r="AC229" s="68"/>
      <c r="AD229" s="68"/>
      <c r="AE229" s="68"/>
    </row>
    <row r="230" spans="16:31" x14ac:dyDescent="0.2">
      <c r="P230" s="68"/>
      <c r="Q230" s="74"/>
      <c r="R230" s="74"/>
      <c r="S230" s="74"/>
      <c r="T230" s="75"/>
      <c r="U230" s="76"/>
      <c r="V230" s="77"/>
      <c r="W230" s="77"/>
      <c r="X230" s="76"/>
      <c r="Y230" s="76"/>
      <c r="Z230" s="68"/>
      <c r="AA230" s="68"/>
      <c r="AB230" s="68"/>
      <c r="AC230" s="68"/>
      <c r="AD230" s="68"/>
      <c r="AE230" s="68"/>
    </row>
    <row r="231" spans="16:31" x14ac:dyDescent="0.2">
      <c r="P231" s="68"/>
      <c r="Q231" s="74"/>
      <c r="R231" s="74"/>
      <c r="S231" s="74"/>
      <c r="T231" s="75"/>
      <c r="U231" s="76"/>
      <c r="V231" s="77"/>
      <c r="W231" s="77"/>
      <c r="X231" s="76"/>
      <c r="Y231" s="76"/>
      <c r="Z231" s="68"/>
      <c r="AA231" s="68"/>
      <c r="AB231" s="68"/>
      <c r="AC231" s="68"/>
      <c r="AD231" s="68"/>
      <c r="AE231" s="68"/>
    </row>
    <row r="232" spans="16:31" x14ac:dyDescent="0.2">
      <c r="P232" s="68"/>
      <c r="Q232" s="74"/>
      <c r="R232" s="74"/>
      <c r="S232" s="74"/>
      <c r="T232" s="75"/>
      <c r="U232" s="76"/>
      <c r="V232" s="77"/>
      <c r="W232" s="77"/>
      <c r="X232" s="76"/>
      <c r="Y232" s="76"/>
      <c r="Z232" s="68"/>
      <c r="AA232" s="68"/>
      <c r="AB232" s="68"/>
      <c r="AC232" s="68"/>
      <c r="AD232" s="68"/>
      <c r="AE232" s="68"/>
    </row>
    <row r="233" spans="16:31" x14ac:dyDescent="0.2">
      <c r="P233" s="68"/>
      <c r="Q233" s="74"/>
      <c r="R233" s="74"/>
      <c r="S233" s="74"/>
      <c r="T233" s="75"/>
      <c r="U233" s="76"/>
      <c r="V233" s="77"/>
      <c r="W233" s="77"/>
      <c r="X233" s="76"/>
      <c r="Y233" s="76"/>
      <c r="Z233" s="68"/>
      <c r="AA233" s="68"/>
      <c r="AB233" s="68"/>
      <c r="AC233" s="68"/>
      <c r="AD233" s="68"/>
      <c r="AE233" s="68"/>
    </row>
    <row r="234" spans="16:31" x14ac:dyDescent="0.2">
      <c r="P234" s="68"/>
      <c r="Q234" s="74"/>
      <c r="R234" s="74"/>
      <c r="S234" s="74"/>
      <c r="T234" s="75"/>
      <c r="U234" s="76"/>
      <c r="V234" s="77"/>
      <c r="W234" s="77"/>
      <c r="X234" s="76"/>
      <c r="Y234" s="76"/>
      <c r="Z234" s="68"/>
      <c r="AA234" s="68"/>
      <c r="AB234" s="68"/>
      <c r="AC234" s="68"/>
      <c r="AD234" s="68"/>
      <c r="AE234" s="68"/>
    </row>
    <row r="235" spans="16:31" x14ac:dyDescent="0.2">
      <c r="P235" s="68"/>
      <c r="Q235" s="74"/>
      <c r="R235" s="74"/>
      <c r="S235" s="74"/>
      <c r="T235" s="75"/>
      <c r="U235" s="76"/>
      <c r="V235" s="77"/>
      <c r="W235" s="77"/>
      <c r="X235" s="76"/>
      <c r="Y235" s="76"/>
      <c r="Z235" s="68"/>
      <c r="AA235" s="68"/>
      <c r="AB235" s="68"/>
      <c r="AC235" s="68"/>
      <c r="AD235" s="68"/>
      <c r="AE235" s="68"/>
    </row>
    <row r="236" spans="16:31" x14ac:dyDescent="0.2">
      <c r="P236" s="68"/>
      <c r="Q236" s="74"/>
      <c r="R236" s="74"/>
      <c r="S236" s="74"/>
      <c r="T236" s="75"/>
      <c r="U236" s="76"/>
      <c r="V236" s="77"/>
      <c r="W236" s="77"/>
      <c r="X236" s="76"/>
      <c r="Y236" s="76"/>
      <c r="Z236" s="68"/>
      <c r="AA236" s="68"/>
      <c r="AB236" s="68"/>
      <c r="AC236" s="68"/>
      <c r="AD236" s="68"/>
      <c r="AE236" s="68"/>
    </row>
    <row r="237" spans="16:31" x14ac:dyDescent="0.2">
      <c r="P237" s="68"/>
      <c r="Q237" s="74"/>
      <c r="R237" s="74"/>
      <c r="S237" s="74"/>
      <c r="T237" s="75"/>
      <c r="U237" s="76"/>
      <c r="V237" s="77"/>
      <c r="W237" s="77"/>
      <c r="X237" s="76"/>
      <c r="Y237" s="76"/>
      <c r="Z237" s="68"/>
      <c r="AA237" s="68"/>
      <c r="AB237" s="68"/>
      <c r="AC237" s="68"/>
      <c r="AD237" s="68"/>
      <c r="AE237" s="68"/>
    </row>
    <row r="238" spans="16:31" x14ac:dyDescent="0.2">
      <c r="P238" s="68"/>
      <c r="Q238" s="74"/>
      <c r="R238" s="74"/>
      <c r="S238" s="74"/>
      <c r="T238" s="75"/>
      <c r="U238" s="76"/>
      <c r="V238" s="77"/>
      <c r="W238" s="77"/>
      <c r="X238" s="76"/>
      <c r="Y238" s="76"/>
      <c r="Z238" s="68"/>
      <c r="AA238" s="68"/>
      <c r="AB238" s="68"/>
      <c r="AC238" s="68"/>
      <c r="AD238" s="68"/>
      <c r="AE238" s="68"/>
    </row>
    <row r="239" spans="16:31" x14ac:dyDescent="0.2">
      <c r="P239" s="68"/>
      <c r="Q239" s="74"/>
      <c r="R239" s="74"/>
      <c r="S239" s="74"/>
      <c r="T239" s="75"/>
      <c r="U239" s="76"/>
      <c r="V239" s="77"/>
      <c r="W239" s="77"/>
      <c r="X239" s="76"/>
      <c r="Y239" s="76"/>
      <c r="Z239" s="68"/>
      <c r="AA239" s="68"/>
      <c r="AB239" s="68"/>
      <c r="AC239" s="68"/>
      <c r="AD239" s="68"/>
      <c r="AE239" s="68"/>
    </row>
    <row r="240" spans="16:31" x14ac:dyDescent="0.2">
      <c r="P240" s="68"/>
      <c r="Q240" s="74"/>
      <c r="R240" s="74"/>
      <c r="S240" s="74"/>
      <c r="T240" s="75"/>
      <c r="U240" s="76"/>
      <c r="V240" s="77"/>
      <c r="W240" s="77"/>
      <c r="X240" s="76"/>
      <c r="Y240" s="76"/>
      <c r="Z240" s="68"/>
      <c r="AA240" s="68"/>
      <c r="AB240" s="68"/>
      <c r="AC240" s="68"/>
      <c r="AD240" s="68"/>
      <c r="AE240" s="68"/>
    </row>
    <row r="241" spans="16:31" x14ac:dyDescent="0.2">
      <c r="P241" s="68"/>
      <c r="Q241" s="74"/>
      <c r="R241" s="74"/>
      <c r="S241" s="74"/>
      <c r="T241" s="75"/>
      <c r="U241" s="76"/>
      <c r="V241" s="77"/>
      <c r="W241" s="77"/>
      <c r="X241" s="76"/>
      <c r="Y241" s="76"/>
      <c r="Z241" s="68"/>
      <c r="AA241" s="68"/>
      <c r="AB241" s="68"/>
      <c r="AC241" s="68"/>
      <c r="AD241" s="68"/>
      <c r="AE241" s="68"/>
    </row>
    <row r="242" spans="16:31" x14ac:dyDescent="0.2">
      <c r="P242" s="68"/>
      <c r="Q242" s="74"/>
      <c r="R242" s="74"/>
      <c r="S242" s="74"/>
      <c r="T242" s="75"/>
      <c r="U242" s="76"/>
      <c r="V242" s="77"/>
      <c r="W242" s="77"/>
      <c r="X242" s="76"/>
      <c r="Y242" s="76"/>
      <c r="Z242" s="68"/>
      <c r="AA242" s="68"/>
      <c r="AB242" s="68"/>
      <c r="AC242" s="68"/>
      <c r="AD242" s="68"/>
      <c r="AE242" s="68"/>
    </row>
    <row r="243" spans="16:31" x14ac:dyDescent="0.2">
      <c r="P243" s="68"/>
      <c r="Q243" s="74"/>
      <c r="R243" s="74"/>
      <c r="S243" s="74"/>
      <c r="T243" s="75"/>
      <c r="U243" s="76"/>
      <c r="V243" s="77"/>
      <c r="W243" s="77"/>
      <c r="X243" s="76"/>
      <c r="Y243" s="76"/>
      <c r="Z243" s="68"/>
      <c r="AA243" s="68"/>
      <c r="AB243" s="68"/>
      <c r="AC243" s="68"/>
      <c r="AD243" s="68"/>
      <c r="AE243" s="68"/>
    </row>
    <row r="244" spans="16:31" x14ac:dyDescent="0.2">
      <c r="P244" s="68"/>
      <c r="Q244" s="74"/>
      <c r="R244" s="74"/>
      <c r="S244" s="74"/>
      <c r="T244" s="75"/>
      <c r="U244" s="76"/>
      <c r="V244" s="77"/>
      <c r="W244" s="77"/>
      <c r="X244" s="76"/>
      <c r="Y244" s="76"/>
      <c r="Z244" s="68"/>
      <c r="AA244" s="68"/>
      <c r="AB244" s="68"/>
      <c r="AC244" s="68"/>
      <c r="AD244" s="68"/>
      <c r="AE244" s="68"/>
    </row>
    <row r="245" spans="16:31" x14ac:dyDescent="0.2">
      <c r="P245" s="68"/>
      <c r="Q245" s="74"/>
      <c r="R245" s="74"/>
      <c r="S245" s="74"/>
      <c r="T245" s="75"/>
      <c r="U245" s="76"/>
      <c r="V245" s="77"/>
      <c r="W245" s="77"/>
      <c r="X245" s="76"/>
      <c r="Y245" s="76"/>
      <c r="Z245" s="68"/>
      <c r="AA245" s="68"/>
      <c r="AB245" s="68"/>
      <c r="AC245" s="68"/>
      <c r="AD245" s="68"/>
      <c r="AE245" s="68"/>
    </row>
    <row r="246" spans="16:31" x14ac:dyDescent="0.2">
      <c r="P246" s="68"/>
      <c r="Q246" s="74"/>
      <c r="R246" s="74"/>
      <c r="S246" s="74"/>
      <c r="T246" s="75"/>
      <c r="U246" s="76"/>
      <c r="V246" s="77"/>
      <c r="W246" s="77"/>
      <c r="X246" s="76"/>
      <c r="Y246" s="76"/>
      <c r="Z246" s="68"/>
      <c r="AA246" s="68"/>
      <c r="AB246" s="68"/>
      <c r="AC246" s="68"/>
      <c r="AD246" s="68"/>
      <c r="AE246" s="68"/>
    </row>
    <row r="247" spans="16:31" x14ac:dyDescent="0.2">
      <c r="P247" s="68"/>
      <c r="Q247" s="74"/>
      <c r="R247" s="74"/>
      <c r="S247" s="74"/>
      <c r="T247" s="75"/>
      <c r="U247" s="76"/>
      <c r="V247" s="77"/>
      <c r="W247" s="77"/>
      <c r="X247" s="76"/>
      <c r="Y247" s="76"/>
      <c r="Z247" s="68"/>
      <c r="AA247" s="68"/>
      <c r="AB247" s="68"/>
      <c r="AC247" s="68"/>
      <c r="AD247" s="68"/>
      <c r="AE247" s="68"/>
    </row>
    <row r="248" spans="16:31" x14ac:dyDescent="0.2">
      <c r="P248" s="68"/>
      <c r="Q248" s="74"/>
      <c r="R248" s="74"/>
      <c r="S248" s="74"/>
      <c r="T248" s="75"/>
      <c r="U248" s="76"/>
      <c r="V248" s="77"/>
      <c r="W248" s="77"/>
      <c r="X248" s="76"/>
      <c r="Y248" s="76"/>
      <c r="Z248" s="68"/>
      <c r="AA248" s="68"/>
      <c r="AB248" s="68"/>
      <c r="AC248" s="68"/>
      <c r="AD248" s="68"/>
      <c r="AE248" s="68"/>
    </row>
    <row r="249" spans="16:31" x14ac:dyDescent="0.2">
      <c r="P249" s="68"/>
      <c r="Q249" s="74"/>
      <c r="R249" s="74"/>
      <c r="S249" s="74"/>
      <c r="T249" s="75"/>
      <c r="U249" s="76"/>
      <c r="V249" s="77"/>
      <c r="W249" s="77"/>
      <c r="X249" s="76"/>
      <c r="Y249" s="76"/>
      <c r="Z249" s="68"/>
      <c r="AA249" s="68"/>
      <c r="AB249" s="68"/>
      <c r="AC249" s="68"/>
      <c r="AD249" s="68"/>
      <c r="AE249" s="68"/>
    </row>
    <row r="250" spans="16:31" x14ac:dyDescent="0.2">
      <c r="P250" s="68"/>
      <c r="Q250" s="74"/>
      <c r="R250" s="74"/>
      <c r="S250" s="74"/>
      <c r="T250" s="75"/>
      <c r="U250" s="76"/>
      <c r="V250" s="77"/>
      <c r="W250" s="77"/>
      <c r="X250" s="76"/>
      <c r="Y250" s="76"/>
      <c r="Z250" s="68"/>
      <c r="AA250" s="68"/>
      <c r="AB250" s="68"/>
      <c r="AC250" s="68"/>
      <c r="AD250" s="68"/>
      <c r="AE250" s="68"/>
    </row>
    <row r="251" spans="16:31" x14ac:dyDescent="0.2">
      <c r="P251" s="68"/>
      <c r="Q251" s="74"/>
      <c r="R251" s="74"/>
      <c r="S251" s="74"/>
      <c r="T251" s="75"/>
      <c r="U251" s="76"/>
      <c r="V251" s="77"/>
      <c r="W251" s="77"/>
      <c r="X251" s="76"/>
      <c r="Y251" s="76"/>
      <c r="Z251" s="68"/>
      <c r="AA251" s="68"/>
      <c r="AB251" s="68"/>
      <c r="AC251" s="68"/>
      <c r="AD251" s="68"/>
      <c r="AE251" s="68"/>
    </row>
    <row r="252" spans="16:31" x14ac:dyDescent="0.2">
      <c r="P252" s="68"/>
      <c r="Q252" s="74"/>
      <c r="R252" s="74"/>
      <c r="S252" s="74"/>
      <c r="T252" s="75"/>
      <c r="U252" s="76"/>
      <c r="V252" s="77"/>
      <c r="W252" s="77"/>
      <c r="X252" s="76"/>
      <c r="Y252" s="76"/>
      <c r="Z252" s="68"/>
      <c r="AA252" s="68"/>
      <c r="AB252" s="68"/>
      <c r="AC252" s="68"/>
      <c r="AD252" s="68"/>
      <c r="AE252" s="68"/>
    </row>
    <row r="253" spans="16:31" x14ac:dyDescent="0.2">
      <c r="P253" s="68"/>
      <c r="Q253" s="74"/>
      <c r="R253" s="74"/>
      <c r="S253" s="74"/>
      <c r="T253" s="75"/>
      <c r="U253" s="76"/>
      <c r="V253" s="77"/>
      <c r="W253" s="77"/>
      <c r="X253" s="76"/>
      <c r="Y253" s="76"/>
      <c r="Z253" s="68"/>
      <c r="AA253" s="68"/>
      <c r="AB253" s="68"/>
      <c r="AC253" s="68"/>
      <c r="AD253" s="68"/>
      <c r="AE253" s="68"/>
    </row>
    <row r="254" spans="16:31" x14ac:dyDescent="0.2">
      <c r="P254" s="68"/>
      <c r="Q254" s="74"/>
      <c r="R254" s="74"/>
      <c r="S254" s="74"/>
      <c r="T254" s="75"/>
      <c r="U254" s="76"/>
      <c r="V254" s="77"/>
      <c r="W254" s="77"/>
      <c r="X254" s="76"/>
      <c r="Y254" s="76"/>
      <c r="Z254" s="68"/>
      <c r="AA254" s="68"/>
      <c r="AB254" s="68"/>
      <c r="AC254" s="68"/>
      <c r="AD254" s="68"/>
      <c r="AE254" s="68"/>
    </row>
    <row r="255" spans="16:31" x14ac:dyDescent="0.2">
      <c r="P255" s="68"/>
      <c r="Q255" s="74"/>
      <c r="R255" s="74"/>
      <c r="S255" s="74"/>
      <c r="T255" s="75"/>
      <c r="U255" s="76"/>
      <c r="V255" s="77"/>
      <c r="W255" s="77"/>
      <c r="X255" s="76"/>
      <c r="Y255" s="76"/>
      <c r="Z255" s="68"/>
      <c r="AA255" s="68"/>
      <c r="AB255" s="68"/>
      <c r="AC255" s="68"/>
      <c r="AD255" s="68"/>
      <c r="AE255" s="68"/>
    </row>
    <row r="256" spans="16:31" x14ac:dyDescent="0.2">
      <c r="P256" s="68"/>
      <c r="Q256" s="74"/>
      <c r="R256" s="74"/>
      <c r="S256" s="74"/>
      <c r="T256" s="75"/>
      <c r="U256" s="76"/>
      <c r="V256" s="77"/>
      <c r="W256" s="77"/>
      <c r="X256" s="76"/>
      <c r="Y256" s="76"/>
      <c r="Z256" s="68"/>
      <c r="AA256" s="68"/>
      <c r="AB256" s="68"/>
      <c r="AC256" s="68"/>
      <c r="AD256" s="68"/>
      <c r="AE256" s="68"/>
    </row>
    <row r="257" spans="16:31" x14ac:dyDescent="0.2">
      <c r="P257" s="68"/>
      <c r="Q257" s="74"/>
      <c r="R257" s="74"/>
      <c r="S257" s="74"/>
      <c r="T257" s="75"/>
      <c r="U257" s="76"/>
      <c r="V257" s="77"/>
      <c r="W257" s="77"/>
      <c r="X257" s="76"/>
      <c r="Y257" s="76"/>
      <c r="Z257" s="68"/>
      <c r="AA257" s="68"/>
      <c r="AB257" s="68"/>
      <c r="AC257" s="68"/>
      <c r="AD257" s="68"/>
      <c r="AE257" s="68"/>
    </row>
    <row r="258" spans="16:31" x14ac:dyDescent="0.2">
      <c r="P258" s="68"/>
      <c r="Q258" s="74"/>
      <c r="R258" s="74"/>
      <c r="S258" s="74"/>
      <c r="T258" s="75"/>
      <c r="U258" s="76"/>
      <c r="V258" s="77"/>
      <c r="W258" s="77"/>
      <c r="X258" s="76"/>
      <c r="Y258" s="76"/>
      <c r="Z258" s="68"/>
      <c r="AA258" s="68"/>
      <c r="AB258" s="68"/>
      <c r="AC258" s="68"/>
      <c r="AD258" s="68"/>
      <c r="AE258" s="68"/>
    </row>
    <row r="259" spans="16:31" x14ac:dyDescent="0.2">
      <c r="P259" s="68"/>
      <c r="Q259" s="74"/>
      <c r="R259" s="74"/>
      <c r="S259" s="74"/>
      <c r="T259" s="75"/>
      <c r="U259" s="76"/>
      <c r="V259" s="77"/>
      <c r="W259" s="77"/>
      <c r="X259" s="76"/>
      <c r="Y259" s="76"/>
      <c r="Z259" s="68"/>
      <c r="AA259" s="68"/>
      <c r="AB259" s="68"/>
      <c r="AC259" s="68"/>
      <c r="AD259" s="68"/>
      <c r="AE259" s="68"/>
    </row>
    <row r="260" spans="16:31" x14ac:dyDescent="0.2">
      <c r="P260" s="68"/>
      <c r="Q260" s="74"/>
      <c r="R260" s="74"/>
      <c r="S260" s="74"/>
      <c r="T260" s="75"/>
      <c r="U260" s="76"/>
      <c r="V260" s="77"/>
      <c r="W260" s="77"/>
      <c r="X260" s="76"/>
      <c r="Y260" s="76"/>
      <c r="Z260" s="68"/>
      <c r="AA260" s="68"/>
      <c r="AB260" s="68"/>
      <c r="AC260" s="68"/>
      <c r="AD260" s="68"/>
      <c r="AE260" s="68"/>
    </row>
    <row r="261" spans="16:31" x14ac:dyDescent="0.2">
      <c r="P261" s="68"/>
      <c r="Q261" s="74"/>
      <c r="R261" s="74"/>
      <c r="S261" s="74"/>
      <c r="T261" s="75"/>
      <c r="U261" s="76"/>
      <c r="V261" s="77"/>
      <c r="W261" s="77"/>
      <c r="X261" s="76"/>
      <c r="Y261" s="76"/>
      <c r="Z261" s="68"/>
      <c r="AA261" s="68"/>
      <c r="AB261" s="68"/>
      <c r="AC261" s="68"/>
      <c r="AD261" s="68"/>
      <c r="AE261" s="68"/>
    </row>
    <row r="262" spans="16:31" x14ac:dyDescent="0.2">
      <c r="P262" s="68"/>
      <c r="Q262" s="74"/>
      <c r="R262" s="74"/>
      <c r="S262" s="74"/>
      <c r="T262" s="75"/>
      <c r="U262" s="76"/>
      <c r="V262" s="77"/>
      <c r="W262" s="77"/>
      <c r="X262" s="76"/>
      <c r="Y262" s="76"/>
      <c r="Z262" s="68"/>
      <c r="AA262" s="68"/>
      <c r="AB262" s="68"/>
      <c r="AC262" s="68"/>
      <c r="AD262" s="68"/>
      <c r="AE262" s="68"/>
    </row>
    <row r="263" spans="16:31" x14ac:dyDescent="0.2">
      <c r="P263" s="68"/>
      <c r="Q263" s="74"/>
      <c r="R263" s="74"/>
      <c r="S263" s="74"/>
      <c r="T263" s="75"/>
      <c r="U263" s="76"/>
      <c r="V263" s="77"/>
      <c r="W263" s="77"/>
      <c r="X263" s="76"/>
      <c r="Y263" s="76"/>
      <c r="Z263" s="68"/>
      <c r="AA263" s="68"/>
      <c r="AB263" s="68"/>
      <c r="AC263" s="68"/>
      <c r="AD263" s="68"/>
      <c r="AE263" s="68"/>
    </row>
    <row r="264" spans="16:31" x14ac:dyDescent="0.2">
      <c r="P264" s="68"/>
      <c r="Q264" s="74"/>
      <c r="R264" s="74"/>
      <c r="S264" s="74"/>
      <c r="T264" s="75"/>
      <c r="U264" s="76"/>
      <c r="V264" s="77"/>
      <c r="W264" s="77"/>
      <c r="X264" s="76"/>
      <c r="Y264" s="76"/>
      <c r="Z264" s="68"/>
      <c r="AA264" s="68"/>
      <c r="AB264" s="68"/>
      <c r="AC264" s="68"/>
      <c r="AD264" s="68"/>
      <c r="AE264" s="68"/>
    </row>
    <row r="265" spans="16:31" x14ac:dyDescent="0.2">
      <c r="P265" s="68"/>
      <c r="Q265" s="74"/>
      <c r="R265" s="74"/>
      <c r="S265" s="74"/>
      <c r="T265" s="75"/>
      <c r="U265" s="76"/>
      <c r="V265" s="77"/>
      <c r="W265" s="77"/>
      <c r="X265" s="76"/>
      <c r="Y265" s="76"/>
      <c r="Z265" s="68"/>
      <c r="AA265" s="68"/>
      <c r="AB265" s="68"/>
      <c r="AC265" s="68"/>
      <c r="AD265" s="68"/>
      <c r="AE265" s="68"/>
    </row>
    <row r="266" spans="16:31" x14ac:dyDescent="0.2">
      <c r="P266" s="68"/>
      <c r="Q266" s="74"/>
      <c r="R266" s="74"/>
      <c r="S266" s="74"/>
      <c r="T266" s="75"/>
      <c r="U266" s="76"/>
      <c r="V266" s="77"/>
      <c r="W266" s="77"/>
      <c r="X266" s="76"/>
      <c r="Y266" s="76"/>
      <c r="Z266" s="68"/>
      <c r="AA266" s="68"/>
      <c r="AB266" s="68"/>
      <c r="AC266" s="68"/>
      <c r="AD266" s="68"/>
      <c r="AE266" s="68"/>
    </row>
    <row r="267" spans="16:31" x14ac:dyDescent="0.2">
      <c r="P267" s="68"/>
      <c r="Q267" s="74"/>
      <c r="R267" s="74"/>
      <c r="S267" s="74"/>
      <c r="T267" s="75"/>
      <c r="U267" s="76"/>
      <c r="V267" s="77"/>
      <c r="W267" s="77"/>
      <c r="X267" s="76"/>
      <c r="Y267" s="76"/>
      <c r="Z267" s="68"/>
      <c r="AA267" s="68"/>
      <c r="AB267" s="68"/>
      <c r="AC267" s="68"/>
      <c r="AD267" s="68"/>
      <c r="AE267" s="68"/>
    </row>
    <row r="268" spans="16:31" x14ac:dyDescent="0.2">
      <c r="P268" s="68"/>
      <c r="Q268" s="74"/>
      <c r="R268" s="74"/>
      <c r="S268" s="74"/>
      <c r="T268" s="75"/>
      <c r="U268" s="76"/>
      <c r="V268" s="77"/>
      <c r="W268" s="77"/>
      <c r="X268" s="76"/>
      <c r="Y268" s="76"/>
      <c r="Z268" s="68"/>
      <c r="AA268" s="68"/>
      <c r="AB268" s="68"/>
      <c r="AC268" s="68"/>
      <c r="AD268" s="68"/>
      <c r="AE268" s="68"/>
    </row>
    <row r="269" spans="16:31" x14ac:dyDescent="0.2">
      <c r="P269" s="68"/>
      <c r="Q269" s="74"/>
      <c r="R269" s="74"/>
      <c r="S269" s="74"/>
      <c r="T269" s="75"/>
      <c r="U269" s="76"/>
      <c r="V269" s="77"/>
      <c r="W269" s="77"/>
      <c r="X269" s="76"/>
      <c r="Y269" s="76"/>
      <c r="Z269" s="68"/>
      <c r="AA269" s="68"/>
      <c r="AB269" s="68"/>
      <c r="AC269" s="68"/>
      <c r="AD269" s="68"/>
      <c r="AE269" s="68"/>
    </row>
    <row r="270" spans="16:31" x14ac:dyDescent="0.2">
      <c r="P270" s="68"/>
      <c r="Q270" s="74"/>
      <c r="R270" s="74"/>
      <c r="S270" s="74"/>
      <c r="T270" s="75"/>
      <c r="U270" s="76"/>
      <c r="V270" s="77"/>
      <c r="W270" s="77"/>
      <c r="X270" s="76"/>
      <c r="Y270" s="76"/>
      <c r="Z270" s="68"/>
      <c r="AA270" s="68"/>
      <c r="AB270" s="68"/>
      <c r="AC270" s="68"/>
      <c r="AD270" s="68"/>
      <c r="AE270" s="68"/>
    </row>
    <row r="271" spans="16:31" x14ac:dyDescent="0.2">
      <c r="P271" s="68"/>
      <c r="Q271" s="74"/>
      <c r="R271" s="74"/>
      <c r="S271" s="74"/>
      <c r="T271" s="75"/>
      <c r="U271" s="76"/>
      <c r="V271" s="77"/>
      <c r="W271" s="77"/>
      <c r="X271" s="76"/>
      <c r="Y271" s="76"/>
      <c r="Z271" s="68"/>
      <c r="AA271" s="68"/>
      <c r="AB271" s="68"/>
      <c r="AC271" s="68"/>
      <c r="AD271" s="68"/>
      <c r="AE271" s="68"/>
    </row>
    <row r="272" spans="16:31" x14ac:dyDescent="0.2">
      <c r="P272" s="68"/>
      <c r="Q272" s="74"/>
      <c r="R272" s="74"/>
      <c r="S272" s="74"/>
      <c r="T272" s="75"/>
      <c r="U272" s="76"/>
      <c r="V272" s="77"/>
      <c r="W272" s="77"/>
      <c r="X272" s="76"/>
      <c r="Y272" s="76"/>
      <c r="Z272" s="68"/>
      <c r="AA272" s="68"/>
      <c r="AB272" s="68"/>
      <c r="AC272" s="68"/>
      <c r="AD272" s="68"/>
      <c r="AE272" s="68"/>
    </row>
    <row r="273" spans="16:31" x14ac:dyDescent="0.2">
      <c r="P273" s="68"/>
      <c r="Q273" s="74"/>
      <c r="R273" s="74"/>
      <c r="S273" s="74"/>
      <c r="T273" s="75"/>
      <c r="U273" s="76"/>
      <c r="V273" s="77"/>
      <c r="W273" s="77"/>
      <c r="X273" s="76"/>
      <c r="Y273" s="76"/>
      <c r="Z273" s="68"/>
      <c r="AA273" s="68"/>
      <c r="AB273" s="68"/>
      <c r="AC273" s="68"/>
      <c r="AD273" s="68"/>
      <c r="AE273" s="68"/>
    </row>
    <row r="274" spans="16:31" x14ac:dyDescent="0.2">
      <c r="P274" s="68"/>
      <c r="Q274" s="74"/>
      <c r="R274" s="74"/>
      <c r="S274" s="74"/>
      <c r="T274" s="75"/>
      <c r="U274" s="76"/>
      <c r="V274" s="77"/>
      <c r="W274" s="77"/>
      <c r="X274" s="76"/>
      <c r="Y274" s="76"/>
      <c r="Z274" s="68"/>
      <c r="AA274" s="68"/>
      <c r="AB274" s="68"/>
      <c r="AC274" s="68"/>
      <c r="AD274" s="68"/>
      <c r="AE274" s="68"/>
    </row>
    <row r="275" spans="16:31" x14ac:dyDescent="0.2">
      <c r="P275" s="68"/>
      <c r="Q275" s="74"/>
      <c r="R275" s="74"/>
      <c r="S275" s="74"/>
      <c r="T275" s="75"/>
      <c r="U275" s="76"/>
      <c r="V275" s="77"/>
      <c r="W275" s="77"/>
      <c r="X275" s="76"/>
      <c r="Y275" s="76"/>
      <c r="Z275" s="68"/>
      <c r="AA275" s="68"/>
      <c r="AB275" s="68"/>
      <c r="AC275" s="68"/>
      <c r="AD275" s="68"/>
      <c r="AE275" s="68"/>
    </row>
    <row r="276" spans="16:31" x14ac:dyDescent="0.2">
      <c r="P276" s="68"/>
      <c r="Q276" s="74"/>
      <c r="R276" s="74"/>
      <c r="S276" s="74"/>
      <c r="T276" s="75"/>
      <c r="U276" s="76"/>
      <c r="V276" s="77"/>
      <c r="W276" s="77"/>
      <c r="X276" s="76"/>
      <c r="Y276" s="76"/>
      <c r="Z276" s="68"/>
      <c r="AA276" s="68"/>
      <c r="AB276" s="68"/>
      <c r="AC276" s="68"/>
      <c r="AD276" s="68"/>
      <c r="AE276" s="68"/>
    </row>
    <row r="277" spans="16:31" x14ac:dyDescent="0.2">
      <c r="P277" s="68"/>
      <c r="Q277" s="74"/>
      <c r="R277" s="74"/>
      <c r="S277" s="74"/>
      <c r="T277" s="75"/>
      <c r="U277" s="76"/>
      <c r="V277" s="77"/>
      <c r="W277" s="77"/>
      <c r="X277" s="76"/>
      <c r="Y277" s="76"/>
      <c r="Z277" s="68"/>
      <c r="AA277" s="68"/>
      <c r="AB277" s="68"/>
      <c r="AC277" s="68"/>
      <c r="AD277" s="68"/>
      <c r="AE277" s="68"/>
    </row>
    <row r="278" spans="16:31" x14ac:dyDescent="0.2">
      <c r="P278" s="68"/>
      <c r="Q278" s="74"/>
      <c r="R278" s="74"/>
      <c r="S278" s="74"/>
      <c r="T278" s="75"/>
      <c r="U278" s="76"/>
      <c r="V278" s="77"/>
      <c r="W278" s="77"/>
      <c r="X278" s="76"/>
      <c r="Y278" s="76"/>
      <c r="Z278" s="68"/>
      <c r="AA278" s="68"/>
      <c r="AB278" s="68"/>
      <c r="AC278" s="68"/>
      <c r="AD278" s="68"/>
      <c r="AE278" s="68"/>
    </row>
    <row r="279" spans="16:31" x14ac:dyDescent="0.2">
      <c r="P279" s="68"/>
      <c r="Q279" s="74"/>
      <c r="R279" s="74"/>
      <c r="S279" s="74"/>
      <c r="T279" s="75"/>
      <c r="U279" s="76"/>
      <c r="V279" s="77"/>
      <c r="W279" s="77"/>
      <c r="X279" s="76"/>
      <c r="Y279" s="76"/>
      <c r="Z279" s="68"/>
      <c r="AA279" s="68"/>
      <c r="AB279" s="68"/>
      <c r="AC279" s="68"/>
      <c r="AD279" s="68"/>
      <c r="AE279" s="68"/>
    </row>
    <row r="280" spans="16:31" x14ac:dyDescent="0.2">
      <c r="P280" s="68"/>
      <c r="Q280" s="74"/>
      <c r="R280" s="74"/>
      <c r="S280" s="74"/>
      <c r="T280" s="75"/>
      <c r="U280" s="76"/>
      <c r="V280" s="77"/>
      <c r="W280" s="77"/>
      <c r="X280" s="76"/>
      <c r="Y280" s="76"/>
      <c r="Z280" s="68"/>
      <c r="AA280" s="68"/>
      <c r="AB280" s="68"/>
      <c r="AC280" s="68"/>
      <c r="AD280" s="68"/>
      <c r="AE280" s="68"/>
    </row>
    <row r="281" spans="16:31" x14ac:dyDescent="0.2">
      <c r="P281" s="68"/>
      <c r="Q281" s="74"/>
      <c r="R281" s="74"/>
      <c r="S281" s="74"/>
      <c r="T281" s="75"/>
      <c r="U281" s="76"/>
      <c r="V281" s="77"/>
      <c r="W281" s="77"/>
      <c r="X281" s="76"/>
      <c r="Y281" s="76"/>
      <c r="Z281" s="68"/>
      <c r="AA281" s="68"/>
      <c r="AB281" s="68"/>
      <c r="AC281" s="68"/>
      <c r="AD281" s="68"/>
      <c r="AE281" s="68"/>
    </row>
    <row r="282" spans="16:31" x14ac:dyDescent="0.2">
      <c r="P282" s="68"/>
      <c r="Q282" s="74"/>
      <c r="R282" s="74"/>
      <c r="S282" s="74"/>
      <c r="T282" s="75"/>
      <c r="U282" s="76"/>
      <c r="V282" s="77"/>
      <c r="W282" s="77"/>
      <c r="X282" s="76"/>
      <c r="Y282" s="76"/>
      <c r="Z282" s="68"/>
      <c r="AA282" s="68"/>
      <c r="AB282" s="68"/>
      <c r="AC282" s="68"/>
      <c r="AD282" s="68"/>
      <c r="AE282" s="68"/>
    </row>
    <row r="283" spans="16:31" x14ac:dyDescent="0.2">
      <c r="P283" s="68"/>
      <c r="Q283" s="74"/>
      <c r="R283" s="74"/>
      <c r="S283" s="74"/>
      <c r="T283" s="75"/>
      <c r="U283" s="76"/>
      <c r="V283" s="77"/>
      <c r="W283" s="77"/>
      <c r="X283" s="76"/>
      <c r="Y283" s="76"/>
      <c r="Z283" s="68"/>
      <c r="AA283" s="68"/>
      <c r="AB283" s="68"/>
      <c r="AC283" s="68"/>
      <c r="AD283" s="68"/>
      <c r="AE283" s="68"/>
    </row>
    <row r="284" spans="16:31" x14ac:dyDescent="0.2">
      <c r="P284" s="68"/>
      <c r="Q284" s="74"/>
      <c r="R284" s="74"/>
      <c r="S284" s="74"/>
      <c r="T284" s="75"/>
      <c r="U284" s="76"/>
      <c r="V284" s="77"/>
      <c r="W284" s="77"/>
      <c r="X284" s="76"/>
      <c r="Y284" s="76"/>
      <c r="Z284" s="68"/>
      <c r="AA284" s="68"/>
      <c r="AB284" s="68"/>
      <c r="AC284" s="68"/>
      <c r="AD284" s="68"/>
      <c r="AE284" s="68"/>
    </row>
    <row r="285" spans="16:31" x14ac:dyDescent="0.2">
      <c r="P285" s="68"/>
      <c r="Q285" s="74"/>
      <c r="R285" s="74"/>
      <c r="S285" s="74"/>
      <c r="T285" s="75"/>
      <c r="U285" s="76"/>
      <c r="V285" s="77"/>
      <c r="W285" s="77"/>
      <c r="X285" s="76"/>
      <c r="Y285" s="76"/>
      <c r="Z285" s="68"/>
      <c r="AA285" s="68"/>
      <c r="AB285" s="68"/>
      <c r="AC285" s="68"/>
      <c r="AD285" s="68"/>
      <c r="AE285" s="68"/>
    </row>
    <row r="286" spans="16:31" x14ac:dyDescent="0.2">
      <c r="P286" s="68"/>
      <c r="Q286" s="74"/>
      <c r="R286" s="74"/>
      <c r="S286" s="74"/>
      <c r="T286" s="75"/>
      <c r="U286" s="76"/>
      <c r="V286" s="77"/>
      <c r="W286" s="77"/>
      <c r="X286" s="76"/>
      <c r="Y286" s="76"/>
      <c r="Z286" s="68"/>
      <c r="AA286" s="68"/>
      <c r="AB286" s="68"/>
      <c r="AC286" s="68"/>
      <c r="AD286" s="68"/>
      <c r="AE286" s="68"/>
    </row>
    <row r="287" spans="16:31" x14ac:dyDescent="0.2">
      <c r="P287" s="68"/>
      <c r="Q287" s="74"/>
      <c r="R287" s="74"/>
      <c r="S287" s="74"/>
      <c r="T287" s="75"/>
      <c r="U287" s="76"/>
      <c r="V287" s="77"/>
      <c r="W287" s="77"/>
      <c r="X287" s="76"/>
      <c r="Y287" s="76"/>
      <c r="Z287" s="68"/>
      <c r="AA287" s="68"/>
      <c r="AB287" s="68"/>
      <c r="AC287" s="68"/>
      <c r="AD287" s="68"/>
      <c r="AE287" s="68"/>
    </row>
    <row r="288" spans="16:31" x14ac:dyDescent="0.2">
      <c r="P288" s="68"/>
      <c r="Q288" s="74"/>
      <c r="R288" s="74"/>
      <c r="S288" s="74"/>
      <c r="T288" s="75"/>
      <c r="U288" s="76"/>
      <c r="V288" s="77"/>
      <c r="W288" s="77"/>
      <c r="X288" s="76"/>
      <c r="Y288" s="76"/>
      <c r="Z288" s="68"/>
      <c r="AA288" s="68"/>
      <c r="AB288" s="68"/>
      <c r="AC288" s="68"/>
      <c r="AD288" s="68"/>
      <c r="AE288" s="68"/>
    </row>
    <row r="289" spans="16:31" x14ac:dyDescent="0.2">
      <c r="P289" s="68"/>
      <c r="Q289" s="74"/>
      <c r="R289" s="74"/>
      <c r="S289" s="74"/>
      <c r="T289" s="75"/>
      <c r="U289" s="76"/>
      <c r="V289" s="77"/>
      <c r="W289" s="77"/>
      <c r="X289" s="76"/>
      <c r="Y289" s="76"/>
      <c r="Z289" s="68"/>
      <c r="AA289" s="68"/>
      <c r="AB289" s="68"/>
      <c r="AC289" s="68"/>
      <c r="AD289" s="68"/>
      <c r="AE289" s="68"/>
    </row>
    <row r="290" spans="16:31" x14ac:dyDescent="0.2">
      <c r="P290" s="68"/>
      <c r="Q290" s="74"/>
      <c r="R290" s="74"/>
      <c r="S290" s="74"/>
      <c r="T290" s="75"/>
      <c r="U290" s="76"/>
      <c r="V290" s="77"/>
      <c r="W290" s="77"/>
      <c r="X290" s="76"/>
      <c r="Y290" s="76"/>
      <c r="Z290" s="68"/>
      <c r="AA290" s="68"/>
      <c r="AB290" s="68"/>
      <c r="AC290" s="68"/>
      <c r="AD290" s="68"/>
      <c r="AE290" s="68"/>
    </row>
    <row r="291" spans="16:31" x14ac:dyDescent="0.2">
      <c r="P291" s="68"/>
      <c r="Q291" s="74"/>
      <c r="R291" s="74"/>
      <c r="S291" s="74"/>
      <c r="T291" s="75"/>
      <c r="U291" s="76"/>
      <c r="V291" s="77"/>
      <c r="W291" s="77"/>
      <c r="X291" s="76"/>
      <c r="Y291" s="76"/>
      <c r="Z291" s="68"/>
      <c r="AA291" s="68"/>
      <c r="AB291" s="68"/>
      <c r="AC291" s="68"/>
      <c r="AD291" s="68"/>
      <c r="AE291" s="68"/>
    </row>
    <row r="292" spans="16:31" x14ac:dyDescent="0.2">
      <c r="P292" s="68"/>
      <c r="Q292" s="74"/>
      <c r="R292" s="74"/>
      <c r="S292" s="74"/>
      <c r="T292" s="75"/>
      <c r="U292" s="76"/>
      <c r="V292" s="77"/>
      <c r="W292" s="77"/>
      <c r="X292" s="76"/>
      <c r="Y292" s="76"/>
      <c r="Z292" s="68"/>
      <c r="AA292" s="68"/>
      <c r="AB292" s="68"/>
      <c r="AC292" s="68"/>
      <c r="AD292" s="68"/>
      <c r="AE292" s="68"/>
    </row>
    <row r="293" spans="16:31" x14ac:dyDescent="0.2">
      <c r="P293" s="68"/>
      <c r="Q293" s="74"/>
      <c r="R293" s="74"/>
      <c r="S293" s="74"/>
      <c r="T293" s="75"/>
      <c r="U293" s="76"/>
      <c r="V293" s="77"/>
      <c r="W293" s="77"/>
      <c r="X293" s="76"/>
      <c r="Y293" s="76"/>
      <c r="Z293" s="68"/>
      <c r="AA293" s="68"/>
      <c r="AB293" s="68"/>
      <c r="AC293" s="68"/>
      <c r="AD293" s="68"/>
      <c r="AE293" s="68"/>
    </row>
    <row r="294" spans="16:31" x14ac:dyDescent="0.2">
      <c r="P294" s="68"/>
      <c r="Q294" s="74"/>
      <c r="R294" s="74"/>
      <c r="S294" s="74"/>
      <c r="T294" s="75"/>
      <c r="U294" s="76"/>
      <c r="V294" s="77"/>
      <c r="W294" s="77"/>
      <c r="X294" s="76"/>
      <c r="Y294" s="76"/>
      <c r="Z294" s="68"/>
      <c r="AA294" s="68"/>
      <c r="AB294" s="68"/>
      <c r="AC294" s="68"/>
      <c r="AD294" s="68"/>
      <c r="AE294" s="68"/>
    </row>
    <row r="295" spans="16:31" x14ac:dyDescent="0.2">
      <c r="P295" s="68"/>
      <c r="Q295" s="74"/>
      <c r="R295" s="74"/>
      <c r="S295" s="74"/>
      <c r="T295" s="75"/>
      <c r="U295" s="76"/>
      <c r="V295" s="77"/>
      <c r="W295" s="77"/>
      <c r="X295" s="76"/>
      <c r="Y295" s="76"/>
      <c r="Z295" s="68"/>
      <c r="AA295" s="68"/>
      <c r="AB295" s="68"/>
      <c r="AC295" s="68"/>
      <c r="AD295" s="68"/>
      <c r="AE295" s="68"/>
    </row>
    <row r="296" spans="16:31" x14ac:dyDescent="0.2">
      <c r="P296" s="68"/>
      <c r="Q296" s="74"/>
      <c r="R296" s="74"/>
      <c r="S296" s="74"/>
      <c r="T296" s="75"/>
      <c r="U296" s="76"/>
      <c r="V296" s="77"/>
      <c r="W296" s="77"/>
      <c r="X296" s="76"/>
      <c r="Y296" s="76"/>
      <c r="Z296" s="68"/>
      <c r="AA296" s="68"/>
      <c r="AB296" s="68"/>
      <c r="AC296" s="68"/>
      <c r="AD296" s="68"/>
      <c r="AE296" s="68"/>
    </row>
    <row r="297" spans="16:31" x14ac:dyDescent="0.2">
      <c r="P297" s="68"/>
      <c r="Q297" s="74"/>
      <c r="R297" s="74"/>
      <c r="S297" s="74"/>
      <c r="T297" s="75"/>
      <c r="U297" s="76"/>
      <c r="V297" s="77"/>
      <c r="W297" s="77"/>
      <c r="X297" s="76"/>
      <c r="Y297" s="76"/>
      <c r="Z297" s="68"/>
      <c r="AA297" s="68"/>
      <c r="AB297" s="68"/>
      <c r="AC297" s="68"/>
      <c r="AD297" s="68"/>
      <c r="AE297" s="68"/>
    </row>
    <row r="298" spans="16:31" x14ac:dyDescent="0.2">
      <c r="P298" s="68"/>
      <c r="Q298" s="74"/>
      <c r="R298" s="74"/>
      <c r="S298" s="74"/>
      <c r="T298" s="75"/>
      <c r="U298" s="76"/>
      <c r="V298" s="77"/>
      <c r="W298" s="77"/>
      <c r="X298" s="76"/>
      <c r="Y298" s="76"/>
      <c r="Z298" s="68"/>
      <c r="AA298" s="68"/>
      <c r="AB298" s="68"/>
      <c r="AC298" s="68"/>
      <c r="AD298" s="68"/>
      <c r="AE298" s="68"/>
    </row>
    <row r="299" spans="16:31" x14ac:dyDescent="0.2">
      <c r="P299" s="68"/>
      <c r="Q299" s="74"/>
      <c r="R299" s="74"/>
      <c r="S299" s="74"/>
      <c r="T299" s="75"/>
      <c r="U299" s="76"/>
      <c r="V299" s="77"/>
      <c r="W299" s="77"/>
      <c r="X299" s="76"/>
      <c r="Y299" s="76"/>
      <c r="Z299" s="68"/>
      <c r="AA299" s="68"/>
      <c r="AB299" s="68"/>
      <c r="AC299" s="68"/>
      <c r="AD299" s="68"/>
      <c r="AE299" s="68"/>
    </row>
    <row r="300" spans="16:31" x14ac:dyDescent="0.2">
      <c r="P300" s="68"/>
      <c r="Q300" s="74"/>
      <c r="R300" s="74"/>
      <c r="S300" s="74"/>
      <c r="T300" s="75"/>
      <c r="U300" s="76"/>
      <c r="V300" s="77"/>
      <c r="W300" s="77"/>
      <c r="X300" s="76"/>
      <c r="Y300" s="76"/>
      <c r="Z300" s="68"/>
      <c r="AA300" s="68"/>
      <c r="AB300" s="68"/>
      <c r="AC300" s="68"/>
      <c r="AD300" s="68"/>
      <c r="AE300" s="68"/>
    </row>
    <row r="301" spans="16:31" x14ac:dyDescent="0.2">
      <c r="P301" s="68"/>
      <c r="Q301" s="74"/>
      <c r="R301" s="74"/>
      <c r="S301" s="74"/>
      <c r="T301" s="75"/>
      <c r="U301" s="76"/>
      <c r="V301" s="77"/>
      <c r="W301" s="77"/>
      <c r="X301" s="76"/>
      <c r="Y301" s="76"/>
      <c r="Z301" s="68"/>
      <c r="AA301" s="68"/>
      <c r="AB301" s="68"/>
      <c r="AC301" s="68"/>
      <c r="AD301" s="68"/>
      <c r="AE301" s="68"/>
    </row>
    <row r="302" spans="16:31" x14ac:dyDescent="0.2">
      <c r="P302" s="68"/>
      <c r="Q302" s="74"/>
      <c r="R302" s="74"/>
      <c r="S302" s="74"/>
      <c r="T302" s="75"/>
      <c r="U302" s="76"/>
      <c r="V302" s="77"/>
      <c r="W302" s="77"/>
      <c r="X302" s="76"/>
      <c r="Y302" s="76"/>
      <c r="Z302" s="68"/>
      <c r="AA302" s="68"/>
      <c r="AB302" s="68"/>
      <c r="AC302" s="68"/>
      <c r="AD302" s="68"/>
      <c r="AE302" s="68"/>
    </row>
    <row r="303" spans="16:31" x14ac:dyDescent="0.2">
      <c r="P303" s="68"/>
      <c r="Q303" s="74"/>
      <c r="R303" s="74"/>
      <c r="S303" s="74"/>
      <c r="T303" s="75"/>
      <c r="U303" s="76"/>
      <c r="V303" s="77"/>
      <c r="W303" s="77"/>
      <c r="X303" s="76"/>
      <c r="Y303" s="76"/>
      <c r="Z303" s="68"/>
      <c r="AA303" s="68"/>
      <c r="AB303" s="68"/>
      <c r="AC303" s="68"/>
      <c r="AD303" s="68"/>
      <c r="AE303" s="68"/>
    </row>
    <row r="304" spans="16:31" x14ac:dyDescent="0.2">
      <c r="P304" s="68"/>
      <c r="Q304" s="74"/>
      <c r="R304" s="74"/>
      <c r="S304" s="74"/>
      <c r="T304" s="75"/>
      <c r="U304" s="76"/>
      <c r="V304" s="77"/>
      <c r="W304" s="77"/>
      <c r="X304" s="76"/>
      <c r="Y304" s="76"/>
      <c r="Z304" s="68"/>
      <c r="AA304" s="68"/>
      <c r="AB304" s="68"/>
      <c r="AC304" s="68"/>
      <c r="AD304" s="68"/>
      <c r="AE304" s="68"/>
    </row>
    <row r="305" spans="16:31" x14ac:dyDescent="0.2">
      <c r="P305" s="68"/>
      <c r="Q305" s="74"/>
      <c r="R305" s="74"/>
      <c r="S305" s="74"/>
      <c r="T305" s="75"/>
      <c r="U305" s="76"/>
      <c r="V305" s="77"/>
      <c r="W305" s="77"/>
      <c r="X305" s="76"/>
      <c r="Y305" s="76"/>
      <c r="Z305" s="68"/>
      <c r="AA305" s="68"/>
      <c r="AB305" s="68"/>
      <c r="AC305" s="68"/>
      <c r="AD305" s="68"/>
      <c r="AE305" s="68"/>
    </row>
    <row r="306" spans="16:31" x14ac:dyDescent="0.2">
      <c r="P306" s="68"/>
      <c r="Q306" s="74"/>
      <c r="R306" s="74"/>
      <c r="S306" s="74"/>
      <c r="T306" s="75"/>
      <c r="U306" s="76"/>
      <c r="V306" s="77"/>
      <c r="W306" s="77"/>
      <c r="X306" s="76"/>
      <c r="Y306" s="76"/>
      <c r="Z306" s="68"/>
      <c r="AA306" s="68"/>
      <c r="AB306" s="68"/>
      <c r="AC306" s="68"/>
      <c r="AD306" s="68"/>
      <c r="AE306" s="68"/>
    </row>
    <row r="307" spans="16:31" x14ac:dyDescent="0.2">
      <c r="P307" s="68"/>
      <c r="Q307" s="74"/>
      <c r="R307" s="74"/>
      <c r="S307" s="74"/>
      <c r="T307" s="75"/>
      <c r="U307" s="76"/>
      <c r="V307" s="77"/>
      <c r="W307" s="77"/>
      <c r="X307" s="76"/>
      <c r="Y307" s="76"/>
      <c r="Z307" s="68"/>
      <c r="AA307" s="68"/>
      <c r="AB307" s="68"/>
      <c r="AC307" s="68"/>
      <c r="AD307" s="68"/>
      <c r="AE307" s="68"/>
    </row>
    <row r="308" spans="16:31" x14ac:dyDescent="0.2">
      <c r="P308" s="68"/>
      <c r="Q308" s="74"/>
      <c r="R308" s="74"/>
      <c r="S308" s="74"/>
      <c r="T308" s="75"/>
      <c r="U308" s="76"/>
      <c r="V308" s="77"/>
      <c r="W308" s="77"/>
      <c r="X308" s="76"/>
      <c r="Y308" s="76"/>
      <c r="Z308" s="68"/>
      <c r="AA308" s="68"/>
      <c r="AB308" s="68"/>
      <c r="AC308" s="68"/>
      <c r="AD308" s="68"/>
      <c r="AE308" s="68"/>
    </row>
    <row r="309" spans="16:31" x14ac:dyDescent="0.2">
      <c r="P309" s="68"/>
      <c r="Q309" s="74"/>
      <c r="R309" s="74"/>
      <c r="S309" s="74"/>
      <c r="T309" s="75"/>
      <c r="U309" s="76"/>
      <c r="V309" s="77"/>
      <c r="W309" s="77"/>
      <c r="X309" s="76"/>
      <c r="Y309" s="76"/>
      <c r="Z309" s="68"/>
      <c r="AA309" s="68"/>
      <c r="AB309" s="68"/>
      <c r="AC309" s="68"/>
      <c r="AD309" s="68"/>
      <c r="AE309" s="68"/>
    </row>
    <row r="310" spans="16:31" x14ac:dyDescent="0.2">
      <c r="P310" s="68"/>
      <c r="Q310" s="74"/>
      <c r="R310" s="74"/>
      <c r="S310" s="74"/>
      <c r="T310" s="75"/>
      <c r="U310" s="76"/>
      <c r="V310" s="77"/>
      <c r="W310" s="77"/>
      <c r="X310" s="76"/>
      <c r="Y310" s="76"/>
      <c r="Z310" s="68"/>
      <c r="AA310" s="68"/>
      <c r="AB310" s="68"/>
      <c r="AC310" s="68"/>
      <c r="AD310" s="68"/>
      <c r="AE310" s="68"/>
    </row>
    <row r="311" spans="16:31" x14ac:dyDescent="0.2">
      <c r="P311" s="68"/>
      <c r="Q311" s="74"/>
      <c r="R311" s="74"/>
      <c r="S311" s="74"/>
      <c r="T311" s="75"/>
      <c r="U311" s="76"/>
      <c r="V311" s="77"/>
      <c r="W311" s="77"/>
      <c r="X311" s="76"/>
      <c r="Y311" s="76"/>
      <c r="Z311" s="68"/>
      <c r="AA311" s="68"/>
      <c r="AB311" s="68"/>
      <c r="AC311" s="68"/>
      <c r="AD311" s="68"/>
      <c r="AE311" s="68"/>
    </row>
    <row r="312" spans="16:31" x14ac:dyDescent="0.2">
      <c r="P312" s="68"/>
      <c r="Q312" s="74"/>
      <c r="R312" s="74"/>
      <c r="S312" s="74"/>
      <c r="T312" s="75"/>
      <c r="U312" s="76"/>
      <c r="V312" s="77"/>
      <c r="W312" s="77"/>
      <c r="X312" s="76"/>
      <c r="Y312" s="76"/>
      <c r="Z312" s="68"/>
      <c r="AA312" s="68"/>
      <c r="AB312" s="68"/>
      <c r="AC312" s="68"/>
      <c r="AD312" s="68"/>
      <c r="AE312" s="68"/>
    </row>
    <row r="313" spans="16:31" x14ac:dyDescent="0.2">
      <c r="P313" s="68"/>
      <c r="Q313" s="74"/>
      <c r="R313" s="74"/>
      <c r="S313" s="74"/>
      <c r="T313" s="75"/>
      <c r="U313" s="76"/>
      <c r="V313" s="77"/>
      <c r="W313" s="77"/>
      <c r="X313" s="76"/>
      <c r="Y313" s="76"/>
      <c r="Z313" s="68"/>
      <c r="AA313" s="68"/>
      <c r="AB313" s="68"/>
      <c r="AC313" s="68"/>
      <c r="AD313" s="68"/>
      <c r="AE313" s="68"/>
    </row>
    <row r="314" spans="16:31" x14ac:dyDescent="0.2">
      <c r="P314" s="68"/>
      <c r="Q314" s="74"/>
      <c r="R314" s="74"/>
      <c r="S314" s="74"/>
      <c r="T314" s="75"/>
      <c r="U314" s="76"/>
      <c r="V314" s="77"/>
      <c r="W314" s="77"/>
      <c r="X314" s="76"/>
      <c r="Y314" s="76"/>
      <c r="Z314" s="68"/>
      <c r="AA314" s="68"/>
      <c r="AB314" s="68"/>
      <c r="AC314" s="68"/>
      <c r="AD314" s="68"/>
      <c r="AE314" s="68"/>
    </row>
    <row r="315" spans="16:31" x14ac:dyDescent="0.2">
      <c r="P315" s="68"/>
      <c r="Q315" s="74"/>
      <c r="R315" s="74"/>
      <c r="S315" s="74"/>
      <c r="T315" s="75"/>
      <c r="U315" s="76"/>
      <c r="V315" s="77"/>
      <c r="W315" s="77"/>
      <c r="X315" s="76"/>
      <c r="Y315" s="76"/>
      <c r="Z315" s="68"/>
      <c r="AA315" s="68"/>
      <c r="AB315" s="68"/>
      <c r="AC315" s="68"/>
      <c r="AD315" s="68"/>
      <c r="AE315" s="68"/>
    </row>
    <row r="316" spans="16:31" x14ac:dyDescent="0.2">
      <c r="P316" s="68"/>
      <c r="Q316" s="74"/>
      <c r="R316" s="74"/>
      <c r="S316" s="74"/>
      <c r="T316" s="75"/>
      <c r="U316" s="76"/>
      <c r="V316" s="77"/>
      <c r="W316" s="77"/>
      <c r="X316" s="76"/>
      <c r="Y316" s="76"/>
      <c r="Z316" s="68"/>
      <c r="AA316" s="68"/>
      <c r="AB316" s="68"/>
      <c r="AC316" s="68"/>
      <c r="AD316" s="68"/>
      <c r="AE316" s="68"/>
    </row>
    <row r="317" spans="16:31" x14ac:dyDescent="0.2">
      <c r="P317" s="68"/>
      <c r="Q317" s="74"/>
      <c r="R317" s="74"/>
      <c r="S317" s="74"/>
      <c r="T317" s="75"/>
      <c r="U317" s="76"/>
      <c r="V317" s="77"/>
      <c r="W317" s="77"/>
      <c r="X317" s="76"/>
      <c r="Y317" s="76"/>
      <c r="Z317" s="68"/>
      <c r="AA317" s="68"/>
      <c r="AB317" s="68"/>
      <c r="AC317" s="68"/>
      <c r="AD317" s="68"/>
      <c r="AE317" s="68"/>
    </row>
    <row r="318" spans="16:31" x14ac:dyDescent="0.2">
      <c r="P318" s="68"/>
      <c r="Q318" s="74"/>
      <c r="R318" s="74"/>
      <c r="S318" s="74"/>
      <c r="T318" s="75"/>
      <c r="U318" s="76"/>
      <c r="V318" s="77"/>
      <c r="W318" s="77"/>
      <c r="X318" s="76"/>
      <c r="Y318" s="76"/>
      <c r="Z318" s="68"/>
      <c r="AA318" s="68"/>
      <c r="AB318" s="68"/>
      <c r="AC318" s="68"/>
      <c r="AD318" s="68"/>
      <c r="AE318" s="68"/>
    </row>
    <row r="319" spans="16:31" x14ac:dyDescent="0.2">
      <c r="P319" s="68"/>
      <c r="Q319" s="74"/>
      <c r="R319" s="74"/>
      <c r="S319" s="74"/>
      <c r="T319" s="75"/>
      <c r="U319" s="76"/>
      <c r="V319" s="77"/>
      <c r="W319" s="77"/>
      <c r="X319" s="76"/>
      <c r="Y319" s="76"/>
      <c r="Z319" s="68"/>
      <c r="AA319" s="68"/>
      <c r="AB319" s="68"/>
      <c r="AC319" s="68"/>
      <c r="AD319" s="68"/>
      <c r="AE319" s="68"/>
    </row>
    <row r="320" spans="16:31" x14ac:dyDescent="0.2">
      <c r="P320" s="68"/>
      <c r="Q320" s="74"/>
      <c r="R320" s="74"/>
      <c r="S320" s="74"/>
      <c r="T320" s="75"/>
      <c r="U320" s="76"/>
      <c r="V320" s="77"/>
      <c r="W320" s="77"/>
      <c r="X320" s="76"/>
      <c r="Y320" s="76"/>
      <c r="Z320" s="68"/>
      <c r="AA320" s="68"/>
      <c r="AB320" s="68"/>
      <c r="AC320" s="68"/>
      <c r="AD320" s="68"/>
      <c r="AE320" s="68"/>
    </row>
    <row r="321" spans="16:31" x14ac:dyDescent="0.2">
      <c r="P321" s="68"/>
      <c r="Q321" s="74"/>
      <c r="R321" s="74"/>
      <c r="S321" s="74"/>
      <c r="T321" s="75"/>
      <c r="U321" s="76"/>
      <c r="V321" s="77"/>
      <c r="W321" s="77"/>
      <c r="X321" s="76"/>
      <c r="Y321" s="76"/>
      <c r="Z321" s="68"/>
      <c r="AA321" s="68"/>
      <c r="AB321" s="68"/>
      <c r="AC321" s="68"/>
      <c r="AD321" s="68"/>
      <c r="AE321" s="68"/>
    </row>
    <row r="322" spans="16:31" x14ac:dyDescent="0.2">
      <c r="P322" s="68"/>
      <c r="Q322" s="74"/>
      <c r="R322" s="74"/>
      <c r="S322" s="74"/>
      <c r="T322" s="75"/>
      <c r="U322" s="76"/>
      <c r="V322" s="77"/>
      <c r="W322" s="77"/>
      <c r="X322" s="76"/>
      <c r="Y322" s="76"/>
      <c r="Z322" s="68"/>
      <c r="AA322" s="68"/>
      <c r="AB322" s="68"/>
      <c r="AC322" s="68"/>
      <c r="AD322" s="68"/>
      <c r="AE322" s="68"/>
    </row>
    <row r="323" spans="16:31" x14ac:dyDescent="0.2">
      <c r="P323" s="68"/>
      <c r="Q323" s="74"/>
      <c r="R323" s="74"/>
      <c r="S323" s="74"/>
      <c r="T323" s="75"/>
      <c r="U323" s="76"/>
      <c r="V323" s="77"/>
      <c r="W323" s="77"/>
      <c r="X323" s="76"/>
      <c r="Y323" s="76"/>
      <c r="Z323" s="68"/>
      <c r="AA323" s="68"/>
      <c r="AB323" s="68"/>
      <c r="AC323" s="68"/>
      <c r="AD323" s="68"/>
      <c r="AE323" s="68"/>
    </row>
    <row r="324" spans="16:31" x14ac:dyDescent="0.2">
      <c r="P324" s="68"/>
      <c r="Q324" s="74"/>
      <c r="R324" s="74"/>
      <c r="S324" s="74"/>
      <c r="T324" s="75"/>
      <c r="U324" s="76"/>
      <c r="V324" s="77"/>
      <c r="W324" s="77"/>
      <c r="X324" s="76"/>
      <c r="Y324" s="76"/>
      <c r="Z324" s="68"/>
      <c r="AA324" s="68"/>
      <c r="AB324" s="68"/>
      <c r="AC324" s="68"/>
      <c r="AD324" s="68"/>
      <c r="AE324" s="68"/>
    </row>
    <row r="325" spans="16:31" x14ac:dyDescent="0.2">
      <c r="P325" s="68"/>
      <c r="Q325" s="74"/>
      <c r="R325" s="74"/>
      <c r="S325" s="74"/>
      <c r="T325" s="75"/>
      <c r="U325" s="76"/>
      <c r="V325" s="77"/>
      <c r="W325" s="77"/>
      <c r="X325" s="76"/>
      <c r="Y325" s="76"/>
      <c r="Z325" s="68"/>
      <c r="AA325" s="68"/>
      <c r="AB325" s="68"/>
      <c r="AC325" s="68"/>
      <c r="AD325" s="68"/>
      <c r="AE325" s="68"/>
    </row>
    <row r="326" spans="16:31" x14ac:dyDescent="0.2">
      <c r="P326" s="68"/>
      <c r="Q326" s="74"/>
      <c r="R326" s="74"/>
      <c r="S326" s="74"/>
      <c r="T326" s="75"/>
      <c r="U326" s="76"/>
      <c r="V326" s="77"/>
      <c r="W326" s="77"/>
      <c r="X326" s="76"/>
      <c r="Y326" s="76"/>
      <c r="Z326" s="68"/>
      <c r="AA326" s="68"/>
      <c r="AB326" s="68"/>
      <c r="AC326" s="68"/>
      <c r="AD326" s="68"/>
      <c r="AE326" s="68"/>
    </row>
    <row r="327" spans="16:31" x14ac:dyDescent="0.2">
      <c r="P327" s="68"/>
      <c r="Q327" s="74"/>
      <c r="R327" s="74"/>
      <c r="S327" s="74"/>
      <c r="T327" s="75"/>
      <c r="U327" s="76"/>
      <c r="V327" s="77"/>
      <c r="W327" s="77"/>
      <c r="X327" s="76"/>
      <c r="Y327" s="76"/>
      <c r="Z327" s="68"/>
      <c r="AA327" s="68"/>
      <c r="AB327" s="68"/>
      <c r="AC327" s="68"/>
      <c r="AD327" s="68"/>
      <c r="AE327" s="68"/>
    </row>
    <row r="328" spans="16:31" x14ac:dyDescent="0.2">
      <c r="P328" s="68"/>
      <c r="Q328" s="74"/>
      <c r="R328" s="74"/>
      <c r="S328" s="74"/>
      <c r="T328" s="75"/>
      <c r="U328" s="76"/>
      <c r="V328" s="77"/>
      <c r="W328" s="77"/>
      <c r="X328" s="76"/>
      <c r="Y328" s="76"/>
      <c r="Z328" s="68"/>
      <c r="AA328" s="68"/>
      <c r="AB328" s="68"/>
      <c r="AC328" s="68"/>
      <c r="AD328" s="68"/>
      <c r="AE328" s="68"/>
    </row>
    <row r="329" spans="16:31" x14ac:dyDescent="0.2">
      <c r="P329" s="68"/>
      <c r="Q329" s="74"/>
      <c r="R329" s="74"/>
      <c r="S329" s="74"/>
      <c r="T329" s="75"/>
      <c r="U329" s="76"/>
      <c r="V329" s="77"/>
      <c r="W329" s="77"/>
      <c r="X329" s="76"/>
      <c r="Y329" s="76"/>
      <c r="Z329" s="68"/>
      <c r="AA329" s="68"/>
      <c r="AB329" s="68"/>
      <c r="AC329" s="68"/>
      <c r="AD329" s="68"/>
      <c r="AE329" s="68"/>
    </row>
    <row r="330" spans="16:31" x14ac:dyDescent="0.2">
      <c r="P330" s="68"/>
      <c r="Q330" s="74"/>
      <c r="R330" s="74"/>
      <c r="S330" s="74"/>
      <c r="T330" s="75"/>
      <c r="U330" s="76"/>
      <c r="V330" s="77"/>
      <c r="W330" s="77"/>
      <c r="X330" s="76"/>
      <c r="Y330" s="76"/>
      <c r="Z330" s="68"/>
      <c r="AA330" s="68"/>
      <c r="AB330" s="68"/>
      <c r="AC330" s="68"/>
      <c r="AD330" s="68"/>
      <c r="AE330" s="68"/>
    </row>
    <row r="331" spans="16:31" x14ac:dyDescent="0.2">
      <c r="P331" s="68"/>
      <c r="Q331" s="74"/>
      <c r="R331" s="74"/>
      <c r="S331" s="74"/>
      <c r="T331" s="75"/>
      <c r="U331" s="76"/>
      <c r="V331" s="77"/>
      <c r="W331" s="77"/>
      <c r="X331" s="76"/>
      <c r="Y331" s="76"/>
      <c r="Z331" s="68"/>
      <c r="AA331" s="68"/>
      <c r="AB331" s="68"/>
      <c r="AC331" s="68"/>
      <c r="AD331" s="68"/>
      <c r="AE331" s="68"/>
    </row>
    <row r="332" spans="16:31" x14ac:dyDescent="0.2">
      <c r="P332" s="68"/>
      <c r="Q332" s="74"/>
      <c r="R332" s="74"/>
      <c r="S332" s="74"/>
      <c r="T332" s="75"/>
      <c r="U332" s="76"/>
      <c r="V332" s="77"/>
      <c r="W332" s="77"/>
      <c r="X332" s="76"/>
      <c r="Y332" s="76"/>
      <c r="Z332" s="68"/>
      <c r="AA332" s="68"/>
      <c r="AB332" s="68"/>
      <c r="AC332" s="68"/>
      <c r="AD332" s="68"/>
      <c r="AE332" s="68"/>
    </row>
    <row r="333" spans="16:31" x14ac:dyDescent="0.2">
      <c r="P333" s="68"/>
      <c r="Q333" s="74"/>
      <c r="R333" s="74"/>
      <c r="S333" s="74"/>
      <c r="T333" s="75"/>
      <c r="U333" s="76"/>
      <c r="V333" s="77"/>
      <c r="W333" s="77"/>
      <c r="X333" s="76"/>
      <c r="Y333" s="76"/>
      <c r="Z333" s="68"/>
      <c r="AA333" s="68"/>
      <c r="AB333" s="68"/>
      <c r="AC333" s="68"/>
      <c r="AD333" s="68"/>
      <c r="AE333" s="68"/>
    </row>
    <row r="334" spans="16:31" x14ac:dyDescent="0.2">
      <c r="P334" s="68"/>
      <c r="Q334" s="74"/>
      <c r="R334" s="74"/>
      <c r="S334" s="74"/>
      <c r="T334" s="75"/>
      <c r="U334" s="76"/>
      <c r="V334" s="77"/>
      <c r="W334" s="77"/>
      <c r="X334" s="76"/>
      <c r="Y334" s="76"/>
      <c r="Z334" s="68"/>
      <c r="AA334" s="68"/>
      <c r="AB334" s="68"/>
      <c r="AC334" s="68"/>
      <c r="AD334" s="68"/>
      <c r="AE334" s="68"/>
    </row>
    <row r="335" spans="16:31" x14ac:dyDescent="0.2">
      <c r="P335" s="68"/>
      <c r="Q335" s="74"/>
      <c r="R335" s="74"/>
      <c r="S335" s="74"/>
      <c r="T335" s="75"/>
      <c r="U335" s="76"/>
      <c r="V335" s="77"/>
      <c r="W335" s="77"/>
      <c r="X335" s="76"/>
      <c r="Y335" s="76"/>
      <c r="Z335" s="68"/>
      <c r="AA335" s="68"/>
      <c r="AB335" s="68"/>
      <c r="AC335" s="68"/>
      <c r="AD335" s="68"/>
      <c r="AE335" s="68"/>
    </row>
    <row r="336" spans="16:31" x14ac:dyDescent="0.2">
      <c r="P336" s="68"/>
      <c r="Q336" s="74"/>
      <c r="R336" s="74"/>
      <c r="S336" s="74"/>
      <c r="T336" s="75"/>
      <c r="U336" s="76"/>
      <c r="V336" s="77"/>
      <c r="W336" s="77"/>
      <c r="X336" s="76"/>
      <c r="Y336" s="76"/>
      <c r="Z336" s="68"/>
      <c r="AA336" s="68"/>
      <c r="AB336" s="68"/>
      <c r="AC336" s="68"/>
      <c r="AD336" s="68"/>
      <c r="AE336" s="68"/>
    </row>
    <row r="337" spans="16:31" x14ac:dyDescent="0.2">
      <c r="P337" s="68"/>
      <c r="Q337" s="74"/>
      <c r="R337" s="74"/>
      <c r="S337" s="74"/>
      <c r="T337" s="75"/>
      <c r="U337" s="76"/>
      <c r="V337" s="77"/>
      <c r="W337" s="77"/>
      <c r="X337" s="76"/>
      <c r="Y337" s="76"/>
      <c r="Z337" s="68"/>
      <c r="AA337" s="68"/>
      <c r="AB337" s="68"/>
      <c r="AC337" s="68"/>
      <c r="AD337" s="68"/>
      <c r="AE337" s="68"/>
    </row>
    <row r="338" spans="16:31" x14ac:dyDescent="0.2">
      <c r="P338" s="68"/>
      <c r="Q338" s="74"/>
      <c r="R338" s="74"/>
      <c r="S338" s="74"/>
      <c r="T338" s="75"/>
      <c r="U338" s="76"/>
      <c r="V338" s="77"/>
      <c r="W338" s="77"/>
      <c r="X338" s="76"/>
      <c r="Y338" s="76"/>
      <c r="Z338" s="68"/>
      <c r="AA338" s="68"/>
      <c r="AB338" s="68"/>
      <c r="AC338" s="68"/>
      <c r="AD338" s="68"/>
      <c r="AE338" s="68"/>
    </row>
    <row r="339" spans="16:31" x14ac:dyDescent="0.2">
      <c r="P339" s="68"/>
      <c r="Q339" s="74"/>
      <c r="R339" s="74"/>
      <c r="S339" s="74"/>
      <c r="T339" s="75"/>
      <c r="U339" s="76"/>
      <c r="V339" s="77"/>
      <c r="W339" s="77"/>
      <c r="X339" s="76"/>
      <c r="Y339" s="76"/>
      <c r="Z339" s="68"/>
      <c r="AA339" s="68"/>
      <c r="AB339" s="68"/>
      <c r="AC339" s="68"/>
      <c r="AD339" s="68"/>
      <c r="AE339" s="68"/>
    </row>
    <row r="340" spans="16:31" x14ac:dyDescent="0.2">
      <c r="P340" s="68"/>
      <c r="Q340" s="74"/>
      <c r="R340" s="74"/>
      <c r="S340" s="74"/>
      <c r="T340" s="75"/>
      <c r="U340" s="76"/>
      <c r="V340" s="77"/>
      <c r="W340" s="77"/>
      <c r="X340" s="76"/>
      <c r="Y340" s="76"/>
      <c r="Z340" s="68"/>
      <c r="AA340" s="68"/>
      <c r="AB340" s="68"/>
      <c r="AC340" s="68"/>
      <c r="AD340" s="68"/>
      <c r="AE340" s="68"/>
    </row>
    <row r="341" spans="16:31" x14ac:dyDescent="0.2">
      <c r="P341" s="68"/>
      <c r="Q341" s="74"/>
      <c r="R341" s="74"/>
      <c r="S341" s="74"/>
      <c r="T341" s="75"/>
      <c r="U341" s="76"/>
      <c r="V341" s="77"/>
      <c r="W341" s="77"/>
      <c r="X341" s="76"/>
      <c r="Y341" s="76"/>
      <c r="Z341" s="68"/>
      <c r="AA341" s="68"/>
      <c r="AB341" s="68"/>
      <c r="AC341" s="68"/>
      <c r="AD341" s="68"/>
      <c r="AE341" s="68"/>
    </row>
    <row r="342" spans="16:31" x14ac:dyDescent="0.2">
      <c r="P342" s="68"/>
      <c r="Q342" s="74"/>
      <c r="R342" s="74"/>
      <c r="S342" s="74"/>
      <c r="T342" s="75"/>
      <c r="U342" s="76"/>
      <c r="V342" s="77"/>
      <c r="W342" s="77"/>
      <c r="X342" s="76"/>
      <c r="Y342" s="76"/>
      <c r="Z342" s="68"/>
      <c r="AA342" s="68"/>
      <c r="AB342" s="68"/>
      <c r="AC342" s="68"/>
      <c r="AD342" s="68"/>
      <c r="AE342" s="68"/>
    </row>
    <row r="343" spans="16:31" x14ac:dyDescent="0.2">
      <c r="P343" s="68"/>
      <c r="Q343" s="74"/>
      <c r="R343" s="74"/>
      <c r="S343" s="74"/>
      <c r="T343" s="75"/>
      <c r="U343" s="76"/>
      <c r="V343" s="77"/>
      <c r="W343" s="77"/>
      <c r="X343" s="76"/>
      <c r="Y343" s="76"/>
      <c r="Z343" s="68"/>
      <c r="AA343" s="68"/>
      <c r="AB343" s="68"/>
      <c r="AC343" s="68"/>
      <c r="AD343" s="68"/>
      <c r="AE343" s="68"/>
    </row>
    <row r="344" spans="16:31" x14ac:dyDescent="0.2">
      <c r="P344" s="68"/>
      <c r="Q344" s="74"/>
      <c r="R344" s="74"/>
      <c r="S344" s="74"/>
      <c r="T344" s="75"/>
      <c r="U344" s="76"/>
      <c r="V344" s="77"/>
      <c r="W344" s="77"/>
      <c r="X344" s="76"/>
      <c r="Y344" s="76"/>
      <c r="Z344" s="68"/>
      <c r="AA344" s="68"/>
      <c r="AB344" s="68"/>
      <c r="AC344" s="68"/>
      <c r="AD344" s="68"/>
      <c r="AE344" s="68"/>
    </row>
    <row r="345" spans="16:31" x14ac:dyDescent="0.2">
      <c r="P345" s="68"/>
      <c r="Q345" s="74"/>
      <c r="R345" s="74"/>
      <c r="S345" s="74"/>
      <c r="T345" s="75"/>
      <c r="U345" s="76"/>
      <c r="V345" s="77"/>
      <c r="W345" s="77"/>
      <c r="X345" s="76"/>
      <c r="Y345" s="76"/>
      <c r="Z345" s="68"/>
      <c r="AA345" s="68"/>
      <c r="AB345" s="68"/>
      <c r="AC345" s="68"/>
      <c r="AD345" s="68"/>
      <c r="AE345" s="68"/>
    </row>
    <row r="346" spans="16:31" x14ac:dyDescent="0.2">
      <c r="P346" s="68"/>
      <c r="Q346" s="74"/>
      <c r="R346" s="74"/>
      <c r="S346" s="74"/>
      <c r="T346" s="75"/>
      <c r="U346" s="76"/>
      <c r="V346" s="77"/>
      <c r="W346" s="77"/>
      <c r="X346" s="76"/>
      <c r="Y346" s="76"/>
      <c r="Z346" s="68"/>
      <c r="AA346" s="68"/>
      <c r="AB346" s="68"/>
      <c r="AC346" s="68"/>
      <c r="AD346" s="68"/>
      <c r="AE346" s="68"/>
    </row>
    <row r="347" spans="16:31" x14ac:dyDescent="0.2">
      <c r="P347" s="68"/>
      <c r="Q347" s="74"/>
      <c r="R347" s="74"/>
      <c r="S347" s="74"/>
      <c r="T347" s="75"/>
      <c r="U347" s="76"/>
      <c r="V347" s="77"/>
      <c r="W347" s="77"/>
      <c r="X347" s="76"/>
      <c r="Y347" s="76"/>
      <c r="Z347" s="68"/>
      <c r="AA347" s="68"/>
      <c r="AB347" s="68"/>
      <c r="AC347" s="68"/>
      <c r="AD347" s="68"/>
      <c r="AE347" s="68"/>
    </row>
    <row r="348" spans="16:31" x14ac:dyDescent="0.2">
      <c r="P348" s="68"/>
      <c r="Q348" s="74"/>
      <c r="R348" s="74"/>
      <c r="S348" s="74"/>
      <c r="T348" s="75"/>
      <c r="U348" s="76"/>
      <c r="V348" s="77"/>
      <c r="W348" s="77"/>
      <c r="X348" s="76"/>
      <c r="Y348" s="76"/>
      <c r="Z348" s="68"/>
      <c r="AA348" s="68"/>
      <c r="AB348" s="68"/>
      <c r="AC348" s="68"/>
      <c r="AD348" s="68"/>
      <c r="AE348" s="68"/>
    </row>
    <row r="349" spans="16:31" x14ac:dyDescent="0.2">
      <c r="P349" s="68"/>
      <c r="Q349" s="74"/>
      <c r="R349" s="74"/>
      <c r="S349" s="74"/>
      <c r="T349" s="75"/>
      <c r="U349" s="76"/>
      <c r="V349" s="77"/>
      <c r="W349" s="77"/>
      <c r="X349" s="76"/>
      <c r="Y349" s="76"/>
      <c r="Z349" s="68"/>
      <c r="AA349" s="68"/>
      <c r="AB349" s="68"/>
      <c r="AC349" s="68"/>
      <c r="AD349" s="68"/>
      <c r="AE349" s="68"/>
    </row>
    <row r="350" spans="16:31" x14ac:dyDescent="0.2">
      <c r="P350" s="68"/>
      <c r="Q350" s="74"/>
      <c r="R350" s="74"/>
      <c r="S350" s="74"/>
      <c r="T350" s="75"/>
      <c r="U350" s="76"/>
      <c r="V350" s="77"/>
      <c r="W350" s="77"/>
      <c r="X350" s="76"/>
      <c r="Y350" s="76"/>
      <c r="Z350" s="68"/>
      <c r="AA350" s="68"/>
      <c r="AB350" s="68"/>
      <c r="AC350" s="68"/>
      <c r="AD350" s="68"/>
      <c r="AE350" s="68"/>
    </row>
    <row r="351" spans="16:31" x14ac:dyDescent="0.2">
      <c r="P351" s="68"/>
      <c r="Q351" s="74"/>
      <c r="R351" s="74"/>
      <c r="S351" s="74"/>
      <c r="T351" s="75"/>
      <c r="U351" s="76"/>
      <c r="V351" s="77"/>
      <c r="W351" s="77"/>
      <c r="X351" s="76"/>
      <c r="Y351" s="76"/>
      <c r="Z351" s="68"/>
      <c r="AA351" s="68"/>
      <c r="AB351" s="68"/>
      <c r="AC351" s="68"/>
      <c r="AD351" s="68"/>
      <c r="AE351" s="68"/>
    </row>
    <row r="352" spans="16:31" x14ac:dyDescent="0.2">
      <c r="P352" s="68"/>
      <c r="Q352" s="74"/>
      <c r="R352" s="74"/>
      <c r="S352" s="74"/>
      <c r="T352" s="75"/>
      <c r="U352" s="76"/>
      <c r="V352" s="77"/>
      <c r="W352" s="77"/>
      <c r="X352" s="76"/>
      <c r="Y352" s="76"/>
      <c r="Z352" s="68"/>
      <c r="AA352" s="68"/>
      <c r="AB352" s="68"/>
      <c r="AC352" s="68"/>
      <c r="AD352" s="68"/>
      <c r="AE352" s="68"/>
    </row>
    <row r="353" spans="16:31" x14ac:dyDescent="0.2">
      <c r="P353" s="68"/>
      <c r="Q353" s="74"/>
      <c r="R353" s="74"/>
      <c r="S353" s="74"/>
      <c r="T353" s="75"/>
      <c r="U353" s="76"/>
      <c r="V353" s="77"/>
      <c r="W353" s="77"/>
      <c r="X353" s="76"/>
      <c r="Y353" s="76"/>
      <c r="Z353" s="68"/>
      <c r="AA353" s="68"/>
      <c r="AB353" s="68"/>
      <c r="AC353" s="68"/>
      <c r="AD353" s="68"/>
      <c r="AE353" s="68"/>
    </row>
    <row r="354" spans="16:31" x14ac:dyDescent="0.2">
      <c r="P354" s="68"/>
      <c r="Q354" s="74"/>
      <c r="R354" s="74"/>
      <c r="S354" s="74"/>
      <c r="T354" s="75"/>
      <c r="U354" s="76"/>
      <c r="V354" s="77"/>
      <c r="W354" s="77"/>
      <c r="X354" s="76"/>
      <c r="Y354" s="76"/>
      <c r="Z354" s="68"/>
      <c r="AA354" s="68"/>
      <c r="AB354" s="68"/>
      <c r="AC354" s="68"/>
      <c r="AD354" s="68"/>
      <c r="AE354" s="68"/>
    </row>
    <row r="355" spans="16:31" x14ac:dyDescent="0.2">
      <c r="P355" s="68"/>
      <c r="Q355" s="74"/>
      <c r="R355" s="74"/>
      <c r="S355" s="74"/>
      <c r="T355" s="75"/>
      <c r="U355" s="76"/>
      <c r="V355" s="77"/>
      <c r="W355" s="77"/>
      <c r="X355" s="76"/>
      <c r="Y355" s="76"/>
      <c r="Z355" s="68"/>
      <c r="AA355" s="68"/>
      <c r="AB355" s="68"/>
      <c r="AC355" s="68"/>
      <c r="AD355" s="68"/>
      <c r="AE355" s="68"/>
    </row>
    <row r="356" spans="16:31" x14ac:dyDescent="0.2">
      <c r="P356" s="68"/>
      <c r="Q356" s="74"/>
      <c r="R356" s="74"/>
      <c r="S356" s="74"/>
      <c r="T356" s="75"/>
      <c r="U356" s="76"/>
      <c r="V356" s="77"/>
      <c r="W356" s="77"/>
      <c r="X356" s="76"/>
      <c r="Y356" s="76"/>
      <c r="Z356" s="68"/>
      <c r="AA356" s="68"/>
      <c r="AB356" s="68"/>
      <c r="AC356" s="68"/>
      <c r="AD356" s="68"/>
      <c r="AE356" s="68"/>
    </row>
    <row r="357" spans="16:31" x14ac:dyDescent="0.2">
      <c r="P357" s="68"/>
      <c r="Q357" s="74"/>
      <c r="R357" s="74"/>
      <c r="S357" s="74"/>
      <c r="T357" s="75"/>
      <c r="U357" s="76"/>
      <c r="V357" s="77"/>
      <c r="W357" s="77"/>
      <c r="X357" s="76"/>
      <c r="Y357" s="76"/>
      <c r="Z357" s="68"/>
      <c r="AA357" s="68"/>
      <c r="AB357" s="68"/>
      <c r="AC357" s="68"/>
      <c r="AD357" s="68"/>
      <c r="AE357" s="68"/>
    </row>
    <row r="358" spans="16:31" x14ac:dyDescent="0.2">
      <c r="P358" s="68"/>
      <c r="Q358" s="74"/>
      <c r="R358" s="74"/>
      <c r="S358" s="74"/>
      <c r="T358" s="75"/>
      <c r="U358" s="76"/>
      <c r="V358" s="77"/>
      <c r="W358" s="77"/>
      <c r="X358" s="76"/>
      <c r="Y358" s="76"/>
      <c r="Z358" s="68"/>
      <c r="AA358" s="68"/>
      <c r="AB358" s="68"/>
      <c r="AC358" s="68"/>
      <c r="AD358" s="68"/>
      <c r="AE358" s="68"/>
    </row>
    <row r="359" spans="16:31" x14ac:dyDescent="0.2">
      <c r="P359" s="68"/>
      <c r="Q359" s="74"/>
      <c r="R359" s="74"/>
      <c r="S359" s="74"/>
      <c r="T359" s="75"/>
      <c r="U359" s="76"/>
      <c r="V359" s="77"/>
      <c r="W359" s="77"/>
      <c r="X359" s="76"/>
      <c r="Y359" s="76"/>
      <c r="Z359" s="68"/>
      <c r="AA359" s="68"/>
      <c r="AB359" s="68"/>
      <c r="AC359" s="68"/>
      <c r="AD359" s="68"/>
      <c r="AE359" s="68"/>
    </row>
    <row r="360" spans="16:31" x14ac:dyDescent="0.2">
      <c r="P360" s="68"/>
      <c r="Q360" s="74"/>
      <c r="R360" s="74"/>
      <c r="S360" s="74"/>
      <c r="T360" s="75"/>
      <c r="U360" s="76"/>
      <c r="V360" s="77"/>
      <c r="W360" s="77"/>
      <c r="X360" s="76"/>
      <c r="Y360" s="76"/>
      <c r="Z360" s="68"/>
      <c r="AA360" s="68"/>
      <c r="AB360" s="68"/>
      <c r="AC360" s="68"/>
      <c r="AD360" s="68"/>
      <c r="AE360" s="68"/>
    </row>
    <row r="361" spans="16:31" x14ac:dyDescent="0.2">
      <c r="P361" s="68"/>
      <c r="Q361" s="74"/>
      <c r="R361" s="74"/>
      <c r="S361" s="74"/>
      <c r="T361" s="75"/>
      <c r="U361" s="76"/>
      <c r="V361" s="77"/>
      <c r="W361" s="77"/>
      <c r="X361" s="76"/>
      <c r="Y361" s="76"/>
      <c r="Z361" s="68"/>
      <c r="AA361" s="68"/>
      <c r="AB361" s="68"/>
      <c r="AC361" s="68"/>
      <c r="AD361" s="68"/>
      <c r="AE361" s="68"/>
    </row>
    <row r="362" spans="16:31" x14ac:dyDescent="0.2">
      <c r="P362" s="68"/>
      <c r="Q362" s="74"/>
      <c r="R362" s="74"/>
      <c r="S362" s="74"/>
      <c r="T362" s="75"/>
      <c r="U362" s="76"/>
      <c r="V362" s="77"/>
      <c r="W362" s="77"/>
      <c r="X362" s="76"/>
      <c r="Y362" s="76"/>
      <c r="Z362" s="68"/>
      <c r="AA362" s="68"/>
      <c r="AB362" s="68"/>
      <c r="AC362" s="68"/>
      <c r="AD362" s="68"/>
      <c r="AE362" s="68"/>
    </row>
    <row r="363" spans="16:31" x14ac:dyDescent="0.2">
      <c r="P363" s="68"/>
      <c r="Q363" s="74"/>
      <c r="R363" s="74"/>
      <c r="S363" s="74"/>
      <c r="T363" s="75"/>
      <c r="U363" s="76"/>
      <c r="V363" s="77"/>
      <c r="W363" s="77"/>
      <c r="X363" s="76"/>
      <c r="Y363" s="76"/>
      <c r="Z363" s="68"/>
      <c r="AA363" s="68"/>
      <c r="AB363" s="68"/>
      <c r="AC363" s="68"/>
      <c r="AD363" s="68"/>
      <c r="AE363" s="68"/>
    </row>
    <row r="364" spans="16:31" x14ac:dyDescent="0.2">
      <c r="P364" s="68"/>
      <c r="Q364" s="74"/>
      <c r="R364" s="74"/>
      <c r="S364" s="74"/>
      <c r="T364" s="75"/>
      <c r="U364" s="76"/>
      <c r="V364" s="77"/>
      <c r="W364" s="77"/>
      <c r="X364" s="76"/>
      <c r="Y364" s="76"/>
      <c r="Z364" s="68"/>
      <c r="AA364" s="68"/>
      <c r="AB364" s="68"/>
      <c r="AC364" s="68"/>
      <c r="AD364" s="68"/>
      <c r="AE364" s="68"/>
    </row>
    <row r="365" spans="16:31" x14ac:dyDescent="0.2">
      <c r="P365" s="68"/>
      <c r="Q365" s="74"/>
      <c r="R365" s="74"/>
      <c r="S365" s="74"/>
      <c r="T365" s="75"/>
      <c r="U365" s="76"/>
      <c r="V365" s="77"/>
      <c r="W365" s="77"/>
      <c r="X365" s="76"/>
      <c r="Y365" s="76"/>
      <c r="Z365" s="68"/>
      <c r="AA365" s="68"/>
      <c r="AB365" s="68"/>
      <c r="AC365" s="68"/>
      <c r="AD365" s="68"/>
      <c r="AE365" s="68"/>
    </row>
    <row r="366" spans="16:31" x14ac:dyDescent="0.2">
      <c r="P366" s="68"/>
      <c r="Q366" s="74"/>
      <c r="R366" s="74"/>
      <c r="S366" s="74"/>
      <c r="T366" s="75"/>
      <c r="U366" s="76"/>
      <c r="V366" s="77"/>
      <c r="W366" s="77"/>
      <c r="X366" s="76"/>
      <c r="Y366" s="76"/>
      <c r="Z366" s="68"/>
      <c r="AA366" s="68"/>
      <c r="AB366" s="68"/>
      <c r="AC366" s="68"/>
      <c r="AD366" s="68"/>
      <c r="AE366" s="68"/>
    </row>
    <row r="367" spans="16:31" x14ac:dyDescent="0.2">
      <c r="P367" s="68"/>
      <c r="Q367" s="74"/>
      <c r="R367" s="74"/>
      <c r="S367" s="74"/>
      <c r="T367" s="75"/>
      <c r="U367" s="76"/>
      <c r="V367" s="77"/>
      <c r="W367" s="77"/>
      <c r="X367" s="76"/>
      <c r="Y367" s="76"/>
      <c r="Z367" s="68"/>
      <c r="AA367" s="68"/>
      <c r="AB367" s="68"/>
      <c r="AC367" s="68"/>
      <c r="AD367" s="68"/>
      <c r="AE367" s="68"/>
    </row>
    <row r="368" spans="16:31" x14ac:dyDescent="0.2">
      <c r="P368" s="68"/>
      <c r="Q368" s="74"/>
      <c r="R368" s="74"/>
      <c r="S368" s="74"/>
      <c r="T368" s="75"/>
      <c r="U368" s="76"/>
      <c r="V368" s="77"/>
      <c r="W368" s="77"/>
      <c r="X368" s="76"/>
      <c r="Y368" s="76"/>
      <c r="Z368" s="68"/>
      <c r="AA368" s="68"/>
      <c r="AB368" s="68"/>
      <c r="AC368" s="68"/>
      <c r="AD368" s="68"/>
      <c r="AE368" s="68"/>
    </row>
    <row r="369" spans="16:31" x14ac:dyDescent="0.2">
      <c r="P369" s="68"/>
      <c r="Q369" s="74"/>
      <c r="R369" s="74"/>
      <c r="S369" s="74"/>
      <c r="T369" s="75"/>
      <c r="U369" s="76"/>
      <c r="V369" s="77"/>
      <c r="W369" s="77"/>
      <c r="X369" s="76"/>
      <c r="Y369" s="76"/>
      <c r="Z369" s="68"/>
      <c r="AA369" s="68"/>
      <c r="AB369" s="68"/>
      <c r="AC369" s="68"/>
      <c r="AD369" s="68"/>
      <c r="AE369" s="68"/>
    </row>
    <row r="370" spans="16:31" x14ac:dyDescent="0.2">
      <c r="P370" s="68"/>
      <c r="Q370" s="74"/>
      <c r="R370" s="74"/>
      <c r="S370" s="74"/>
      <c r="T370" s="75"/>
      <c r="U370" s="76"/>
      <c r="V370" s="77"/>
      <c r="W370" s="77"/>
      <c r="X370" s="76"/>
      <c r="Y370" s="76"/>
      <c r="Z370" s="68"/>
      <c r="AA370" s="68"/>
      <c r="AB370" s="68"/>
      <c r="AC370" s="68"/>
      <c r="AD370" s="68"/>
      <c r="AE370" s="68"/>
    </row>
    <row r="371" spans="16:31" x14ac:dyDescent="0.2">
      <c r="P371" s="68"/>
      <c r="Q371" s="74"/>
      <c r="R371" s="74"/>
      <c r="S371" s="74"/>
      <c r="T371" s="75"/>
      <c r="U371" s="76"/>
      <c r="V371" s="77"/>
      <c r="W371" s="77"/>
      <c r="X371" s="76"/>
      <c r="Y371" s="76"/>
      <c r="Z371" s="68"/>
      <c r="AA371" s="68"/>
      <c r="AB371" s="68"/>
      <c r="AC371" s="68"/>
      <c r="AD371" s="68"/>
      <c r="AE371" s="68"/>
    </row>
    <row r="372" spans="16:31" x14ac:dyDescent="0.2">
      <c r="P372" s="68"/>
      <c r="Q372" s="74"/>
      <c r="R372" s="74"/>
      <c r="S372" s="74"/>
      <c r="T372" s="75"/>
      <c r="U372" s="76"/>
      <c r="V372" s="77"/>
      <c r="W372" s="77"/>
      <c r="X372" s="76"/>
      <c r="Y372" s="76"/>
      <c r="Z372" s="68"/>
      <c r="AA372" s="68"/>
      <c r="AB372" s="68"/>
      <c r="AC372" s="68"/>
      <c r="AD372" s="68"/>
      <c r="AE372" s="68"/>
    </row>
    <row r="373" spans="16:31" x14ac:dyDescent="0.2">
      <c r="P373" s="68"/>
      <c r="Q373" s="74"/>
      <c r="R373" s="74"/>
      <c r="S373" s="74"/>
      <c r="T373" s="75"/>
      <c r="U373" s="76"/>
      <c r="V373" s="77"/>
      <c r="W373" s="77"/>
      <c r="X373" s="76"/>
      <c r="Y373" s="76"/>
      <c r="Z373" s="68"/>
      <c r="AA373" s="68"/>
      <c r="AB373" s="68"/>
      <c r="AC373" s="68"/>
      <c r="AD373" s="68"/>
      <c r="AE373" s="68"/>
    </row>
    <row r="374" spans="16:31" x14ac:dyDescent="0.2">
      <c r="P374" s="68"/>
      <c r="Q374" s="74"/>
      <c r="R374" s="74"/>
      <c r="S374" s="74"/>
      <c r="T374" s="75"/>
      <c r="U374" s="76"/>
      <c r="V374" s="77"/>
      <c r="W374" s="77"/>
      <c r="X374" s="76"/>
      <c r="Y374" s="76"/>
      <c r="Z374" s="68"/>
      <c r="AA374" s="68"/>
      <c r="AB374" s="68"/>
      <c r="AC374" s="68"/>
      <c r="AD374" s="68"/>
      <c r="AE374" s="68"/>
    </row>
    <row r="375" spans="16:31" x14ac:dyDescent="0.2">
      <c r="P375" s="68"/>
      <c r="Q375" s="74"/>
      <c r="R375" s="74"/>
      <c r="S375" s="74"/>
      <c r="T375" s="75"/>
      <c r="U375" s="76"/>
      <c r="V375" s="77"/>
      <c r="W375" s="77"/>
      <c r="X375" s="76"/>
      <c r="Y375" s="76"/>
      <c r="Z375" s="68"/>
      <c r="AA375" s="68"/>
      <c r="AB375" s="68"/>
      <c r="AC375" s="68"/>
      <c r="AD375" s="68"/>
      <c r="AE375" s="68"/>
    </row>
    <row r="376" spans="16:31" x14ac:dyDescent="0.2">
      <c r="P376" s="68"/>
      <c r="Q376" s="74"/>
      <c r="R376" s="74"/>
      <c r="S376" s="74"/>
      <c r="T376" s="75"/>
      <c r="U376" s="76"/>
      <c r="V376" s="77"/>
      <c r="W376" s="77"/>
      <c r="X376" s="76"/>
      <c r="Y376" s="76"/>
      <c r="Z376" s="68"/>
      <c r="AA376" s="68"/>
      <c r="AB376" s="68"/>
      <c r="AC376" s="68"/>
      <c r="AD376" s="68"/>
      <c r="AE376" s="68"/>
    </row>
    <row r="377" spans="16:31" x14ac:dyDescent="0.2">
      <c r="P377" s="68"/>
      <c r="Q377" s="74"/>
      <c r="R377" s="74"/>
      <c r="S377" s="74"/>
      <c r="T377" s="75"/>
      <c r="U377" s="76"/>
      <c r="V377" s="77"/>
      <c r="W377" s="77"/>
      <c r="X377" s="76"/>
      <c r="Y377" s="76"/>
      <c r="Z377" s="68"/>
      <c r="AA377" s="68"/>
      <c r="AB377" s="68"/>
      <c r="AC377" s="68"/>
      <c r="AD377" s="68"/>
      <c r="AE377" s="68"/>
    </row>
    <row r="378" spans="16:31" x14ac:dyDescent="0.2">
      <c r="P378" s="68"/>
      <c r="Q378" s="74"/>
      <c r="R378" s="74"/>
      <c r="S378" s="74"/>
      <c r="T378" s="75"/>
      <c r="U378" s="76"/>
      <c r="V378" s="77"/>
      <c r="W378" s="77"/>
      <c r="X378" s="76"/>
      <c r="Y378" s="76"/>
      <c r="Z378" s="68"/>
      <c r="AA378" s="68"/>
      <c r="AB378" s="68"/>
      <c r="AC378" s="68"/>
      <c r="AD378" s="68"/>
      <c r="AE378" s="68"/>
    </row>
    <row r="379" spans="16:31" x14ac:dyDescent="0.2">
      <c r="P379" s="68"/>
      <c r="Q379" s="74"/>
      <c r="R379" s="74"/>
      <c r="S379" s="74"/>
      <c r="T379" s="75"/>
      <c r="U379" s="76"/>
      <c r="V379" s="77"/>
      <c r="W379" s="77"/>
      <c r="X379" s="76"/>
      <c r="Y379" s="76"/>
      <c r="Z379" s="68"/>
      <c r="AA379" s="68"/>
      <c r="AB379" s="68"/>
      <c r="AC379" s="68"/>
      <c r="AD379" s="68"/>
      <c r="AE379" s="68"/>
    </row>
    <row r="380" spans="16:31" x14ac:dyDescent="0.2">
      <c r="P380" s="68"/>
      <c r="Q380" s="74"/>
      <c r="R380" s="74"/>
      <c r="S380" s="74"/>
      <c r="T380" s="75"/>
      <c r="U380" s="76"/>
      <c r="V380" s="77"/>
      <c r="W380" s="77"/>
      <c r="X380" s="76"/>
      <c r="Y380" s="76"/>
      <c r="Z380" s="68"/>
      <c r="AA380" s="68"/>
      <c r="AB380" s="68"/>
      <c r="AC380" s="68"/>
      <c r="AD380" s="68"/>
      <c r="AE380" s="68"/>
    </row>
    <row r="381" spans="16:31" x14ac:dyDescent="0.2">
      <c r="P381" s="68"/>
      <c r="Q381" s="74"/>
      <c r="R381" s="74"/>
      <c r="S381" s="74"/>
      <c r="T381" s="75"/>
      <c r="U381" s="76"/>
      <c r="V381" s="77"/>
      <c r="W381" s="77"/>
      <c r="X381" s="76"/>
      <c r="Y381" s="76"/>
      <c r="Z381" s="68"/>
      <c r="AA381" s="68"/>
      <c r="AB381" s="68"/>
      <c r="AC381" s="68"/>
      <c r="AD381" s="68"/>
      <c r="AE381" s="68"/>
    </row>
    <row r="382" spans="16:31" x14ac:dyDescent="0.2">
      <c r="P382" s="68"/>
      <c r="Q382" s="74"/>
      <c r="R382" s="74"/>
      <c r="S382" s="74"/>
      <c r="T382" s="75"/>
      <c r="U382" s="76"/>
      <c r="V382" s="77"/>
      <c r="W382" s="77"/>
      <c r="X382" s="76"/>
      <c r="Y382" s="76"/>
      <c r="Z382" s="68"/>
      <c r="AA382" s="68"/>
      <c r="AB382" s="68"/>
      <c r="AC382" s="68"/>
      <c r="AD382" s="68"/>
      <c r="AE382" s="68"/>
    </row>
    <row r="383" spans="16:31" x14ac:dyDescent="0.2">
      <c r="P383" s="68"/>
      <c r="Q383" s="74"/>
      <c r="R383" s="74"/>
      <c r="S383" s="74"/>
      <c r="T383" s="75"/>
      <c r="U383" s="76"/>
      <c r="V383" s="77"/>
      <c r="W383" s="77"/>
      <c r="X383" s="76"/>
      <c r="Y383" s="76"/>
      <c r="Z383" s="68"/>
      <c r="AA383" s="68"/>
      <c r="AB383" s="68"/>
      <c r="AC383" s="68"/>
      <c r="AD383" s="68"/>
      <c r="AE383" s="68"/>
    </row>
    <row r="384" spans="16:31" x14ac:dyDescent="0.2">
      <c r="P384" s="68"/>
      <c r="Q384" s="74"/>
      <c r="R384" s="74"/>
      <c r="S384" s="74"/>
      <c r="T384" s="75"/>
      <c r="U384" s="76"/>
      <c r="V384" s="77"/>
      <c r="W384" s="77"/>
      <c r="X384" s="76"/>
      <c r="Y384" s="76"/>
      <c r="Z384" s="68"/>
      <c r="AA384" s="68"/>
      <c r="AB384" s="68"/>
      <c r="AC384" s="68"/>
      <c r="AD384" s="68"/>
      <c r="AE384" s="68"/>
    </row>
    <row r="385" spans="16:31" x14ac:dyDescent="0.2">
      <c r="P385" s="68"/>
      <c r="Q385" s="74"/>
      <c r="R385" s="74"/>
      <c r="S385" s="74"/>
      <c r="T385" s="75"/>
      <c r="U385" s="76"/>
      <c r="V385" s="77"/>
      <c r="W385" s="77"/>
      <c r="X385" s="76"/>
      <c r="Y385" s="76"/>
      <c r="Z385" s="68"/>
      <c r="AA385" s="68"/>
      <c r="AB385" s="68"/>
      <c r="AC385" s="68"/>
      <c r="AD385" s="68"/>
      <c r="AE385" s="68"/>
    </row>
    <row r="386" spans="16:31" x14ac:dyDescent="0.2">
      <c r="P386" s="68"/>
      <c r="Q386" s="74"/>
      <c r="R386" s="74"/>
      <c r="S386" s="74"/>
      <c r="T386" s="75"/>
      <c r="U386" s="76"/>
      <c r="V386" s="77"/>
      <c r="W386" s="77"/>
      <c r="X386" s="76"/>
      <c r="Y386" s="76"/>
      <c r="Z386" s="68"/>
      <c r="AA386" s="68"/>
      <c r="AB386" s="68"/>
      <c r="AC386" s="68"/>
      <c r="AD386" s="68"/>
      <c r="AE386" s="68"/>
    </row>
    <row r="387" spans="16:31" x14ac:dyDescent="0.2">
      <c r="P387" s="68"/>
      <c r="Q387" s="74"/>
      <c r="R387" s="74"/>
      <c r="S387" s="74"/>
      <c r="T387" s="75"/>
      <c r="U387" s="76"/>
      <c r="V387" s="77"/>
      <c r="W387" s="77"/>
      <c r="X387" s="76"/>
      <c r="Y387" s="76"/>
      <c r="Z387" s="68"/>
      <c r="AA387" s="68"/>
      <c r="AB387" s="68"/>
      <c r="AC387" s="68"/>
      <c r="AD387" s="68"/>
      <c r="AE387" s="68"/>
    </row>
    <row r="388" spans="16:31" x14ac:dyDescent="0.2">
      <c r="P388" s="68"/>
      <c r="Q388" s="74"/>
      <c r="R388" s="74"/>
      <c r="S388" s="74"/>
      <c r="T388" s="75"/>
      <c r="U388" s="76"/>
      <c r="V388" s="77"/>
      <c r="W388" s="77"/>
      <c r="X388" s="76"/>
      <c r="Y388" s="76"/>
      <c r="Z388" s="68"/>
      <c r="AA388" s="68"/>
      <c r="AB388" s="68"/>
      <c r="AC388" s="68"/>
      <c r="AD388" s="68"/>
      <c r="AE388" s="68"/>
    </row>
    <row r="389" spans="16:31" x14ac:dyDescent="0.2">
      <c r="P389" s="68"/>
      <c r="Q389" s="74"/>
      <c r="R389" s="74"/>
      <c r="S389" s="74"/>
      <c r="T389" s="75"/>
      <c r="U389" s="76"/>
      <c r="V389" s="77"/>
      <c r="W389" s="77"/>
      <c r="X389" s="76"/>
      <c r="Y389" s="76"/>
      <c r="Z389" s="68"/>
      <c r="AA389" s="68"/>
      <c r="AB389" s="68"/>
      <c r="AC389" s="68"/>
      <c r="AD389" s="68"/>
      <c r="AE389" s="68"/>
    </row>
    <row r="390" spans="16:31" x14ac:dyDescent="0.2">
      <c r="P390" s="68"/>
      <c r="Q390" s="74"/>
      <c r="R390" s="74"/>
      <c r="S390" s="74"/>
      <c r="T390" s="75"/>
      <c r="U390" s="76"/>
      <c r="V390" s="77"/>
      <c r="W390" s="77"/>
      <c r="X390" s="76"/>
      <c r="Y390" s="76"/>
      <c r="Z390" s="68"/>
      <c r="AA390" s="68"/>
      <c r="AB390" s="68"/>
      <c r="AC390" s="68"/>
      <c r="AD390" s="68"/>
      <c r="AE390" s="68"/>
    </row>
    <row r="391" spans="16:31" x14ac:dyDescent="0.2">
      <c r="P391" s="68"/>
      <c r="Q391" s="74"/>
      <c r="R391" s="74"/>
      <c r="S391" s="74"/>
      <c r="T391" s="75"/>
      <c r="U391" s="76"/>
      <c r="V391" s="77"/>
      <c r="W391" s="77"/>
      <c r="X391" s="76"/>
      <c r="Y391" s="76"/>
      <c r="Z391" s="68"/>
      <c r="AA391" s="68"/>
      <c r="AB391" s="68"/>
      <c r="AC391" s="68"/>
      <c r="AD391" s="68"/>
      <c r="AE391" s="68"/>
    </row>
    <row r="392" spans="16:31" x14ac:dyDescent="0.2">
      <c r="P392" s="68"/>
      <c r="Q392" s="74"/>
      <c r="R392" s="74"/>
      <c r="S392" s="74"/>
      <c r="T392" s="75"/>
      <c r="U392" s="76"/>
      <c r="V392" s="77"/>
      <c r="W392" s="77"/>
      <c r="X392" s="76"/>
      <c r="Y392" s="76"/>
      <c r="Z392" s="68"/>
      <c r="AA392" s="68"/>
      <c r="AB392" s="68"/>
      <c r="AC392" s="68"/>
      <c r="AD392" s="68"/>
      <c r="AE392" s="68"/>
    </row>
    <row r="393" spans="16:31" x14ac:dyDescent="0.2">
      <c r="P393" s="68"/>
      <c r="Q393" s="74"/>
      <c r="R393" s="74"/>
      <c r="S393" s="74"/>
      <c r="T393" s="75"/>
      <c r="U393" s="76"/>
      <c r="V393" s="77"/>
      <c r="W393" s="77"/>
      <c r="X393" s="76"/>
      <c r="Y393" s="76"/>
      <c r="Z393" s="68"/>
      <c r="AA393" s="68"/>
      <c r="AB393" s="68"/>
      <c r="AC393" s="68"/>
      <c r="AD393" s="68"/>
      <c r="AE393" s="68"/>
    </row>
    <row r="394" spans="16:31" x14ac:dyDescent="0.2">
      <c r="P394" s="68"/>
      <c r="Q394" s="74"/>
      <c r="R394" s="74"/>
      <c r="S394" s="74"/>
      <c r="T394" s="75"/>
      <c r="U394" s="76"/>
      <c r="V394" s="77"/>
      <c r="W394" s="77"/>
      <c r="X394" s="76"/>
      <c r="Y394" s="76"/>
      <c r="Z394" s="68"/>
      <c r="AA394" s="68"/>
      <c r="AB394" s="68"/>
      <c r="AC394" s="68"/>
      <c r="AD394" s="68"/>
      <c r="AE394" s="68"/>
    </row>
    <row r="395" spans="16:31" x14ac:dyDescent="0.2">
      <c r="P395" s="68"/>
      <c r="Q395" s="74"/>
      <c r="R395" s="74"/>
      <c r="S395" s="74"/>
      <c r="T395" s="75"/>
      <c r="U395" s="76"/>
      <c r="V395" s="77"/>
      <c r="W395" s="77"/>
      <c r="X395" s="76"/>
      <c r="Y395" s="76"/>
      <c r="Z395" s="68"/>
      <c r="AA395" s="68"/>
      <c r="AB395" s="68"/>
      <c r="AC395" s="68"/>
      <c r="AD395" s="68"/>
      <c r="AE395" s="68"/>
    </row>
    <row r="396" spans="16:31" x14ac:dyDescent="0.2">
      <c r="P396" s="68"/>
      <c r="Q396" s="74"/>
      <c r="R396" s="74"/>
      <c r="S396" s="74"/>
      <c r="T396" s="75"/>
      <c r="U396" s="76"/>
      <c r="V396" s="77"/>
      <c r="W396" s="77"/>
      <c r="X396" s="76"/>
      <c r="Y396" s="76"/>
      <c r="Z396" s="68"/>
      <c r="AA396" s="68"/>
      <c r="AB396" s="68"/>
      <c r="AC396" s="68"/>
      <c r="AD396" s="68"/>
      <c r="AE396" s="68"/>
    </row>
    <row r="397" spans="16:31" x14ac:dyDescent="0.2">
      <c r="P397" s="68"/>
      <c r="Q397" s="74"/>
      <c r="R397" s="74"/>
      <c r="S397" s="74"/>
      <c r="T397" s="75"/>
      <c r="U397" s="76"/>
      <c r="V397" s="77"/>
      <c r="W397" s="77"/>
      <c r="X397" s="76"/>
      <c r="Y397" s="76"/>
      <c r="Z397" s="68"/>
      <c r="AA397" s="68"/>
      <c r="AB397" s="68"/>
      <c r="AC397" s="68"/>
      <c r="AD397" s="68"/>
      <c r="AE397" s="68"/>
    </row>
    <row r="398" spans="16:31" x14ac:dyDescent="0.2">
      <c r="P398" s="68"/>
      <c r="Q398" s="74"/>
      <c r="R398" s="74"/>
      <c r="S398" s="74"/>
      <c r="T398" s="75"/>
      <c r="U398" s="76"/>
      <c r="V398" s="77"/>
      <c r="W398" s="77"/>
      <c r="X398" s="76"/>
      <c r="Y398" s="76"/>
      <c r="Z398" s="68"/>
      <c r="AA398" s="68"/>
      <c r="AB398" s="68"/>
      <c r="AC398" s="68"/>
      <c r="AD398" s="68"/>
      <c r="AE398" s="68"/>
    </row>
    <row r="399" spans="16:31" x14ac:dyDescent="0.2">
      <c r="P399" s="68"/>
      <c r="Q399" s="74"/>
      <c r="R399" s="74"/>
      <c r="S399" s="74"/>
      <c r="T399" s="75"/>
      <c r="U399" s="76"/>
      <c r="V399" s="77"/>
      <c r="W399" s="77"/>
      <c r="X399" s="76"/>
      <c r="Y399" s="76"/>
      <c r="Z399" s="68"/>
      <c r="AA399" s="68"/>
      <c r="AB399" s="68"/>
      <c r="AC399" s="68"/>
      <c r="AD399" s="68"/>
      <c r="AE399" s="68"/>
    </row>
    <row r="400" spans="16:31" x14ac:dyDescent="0.2">
      <c r="P400" s="68"/>
      <c r="Q400" s="74"/>
      <c r="R400" s="74"/>
      <c r="S400" s="74"/>
      <c r="T400" s="75"/>
      <c r="U400" s="76"/>
      <c r="V400" s="77"/>
      <c r="W400" s="77"/>
      <c r="X400" s="76"/>
      <c r="Y400" s="76"/>
      <c r="Z400" s="68"/>
      <c r="AA400" s="68"/>
      <c r="AB400" s="68"/>
      <c r="AC400" s="68"/>
      <c r="AD400" s="68"/>
      <c r="AE400" s="68"/>
    </row>
    <row r="401" spans="16:31" x14ac:dyDescent="0.2">
      <c r="P401" s="68"/>
      <c r="Q401" s="74"/>
      <c r="R401" s="74"/>
      <c r="S401" s="74"/>
      <c r="T401" s="75"/>
      <c r="U401" s="76"/>
      <c r="V401" s="77"/>
      <c r="W401" s="77"/>
      <c r="X401" s="76"/>
      <c r="Y401" s="76"/>
      <c r="Z401" s="68"/>
      <c r="AA401" s="68"/>
      <c r="AB401" s="68"/>
      <c r="AC401" s="68"/>
      <c r="AD401" s="68"/>
      <c r="AE401" s="68"/>
    </row>
    <row r="402" spans="16:31" x14ac:dyDescent="0.2">
      <c r="P402" s="68"/>
      <c r="Q402" s="74"/>
      <c r="R402" s="74"/>
      <c r="S402" s="74"/>
      <c r="T402" s="75"/>
      <c r="U402" s="76"/>
      <c r="V402" s="77"/>
      <c r="W402" s="77"/>
      <c r="X402" s="76"/>
      <c r="Y402" s="76"/>
      <c r="Z402" s="68"/>
      <c r="AA402" s="68"/>
      <c r="AB402" s="68"/>
      <c r="AC402" s="68"/>
      <c r="AD402" s="68"/>
      <c r="AE402" s="68"/>
    </row>
    <row r="403" spans="16:31" x14ac:dyDescent="0.2">
      <c r="P403" s="68"/>
      <c r="Q403" s="74"/>
      <c r="R403" s="74"/>
      <c r="S403" s="74"/>
      <c r="T403" s="75"/>
      <c r="U403" s="76"/>
      <c r="V403" s="77"/>
      <c r="W403" s="77"/>
      <c r="X403" s="76"/>
      <c r="Y403" s="76"/>
      <c r="Z403" s="68"/>
      <c r="AA403" s="68"/>
      <c r="AB403" s="68"/>
      <c r="AC403" s="68"/>
      <c r="AD403" s="68"/>
      <c r="AE403" s="68"/>
    </row>
    <row r="404" spans="16:31" x14ac:dyDescent="0.2">
      <c r="P404" s="68"/>
      <c r="Q404" s="74"/>
      <c r="R404" s="74"/>
      <c r="S404" s="74"/>
      <c r="T404" s="75"/>
      <c r="U404" s="76"/>
      <c r="V404" s="77"/>
      <c r="W404" s="77"/>
      <c r="X404" s="76"/>
      <c r="Y404" s="76"/>
      <c r="Z404" s="68"/>
      <c r="AA404" s="68"/>
      <c r="AB404" s="68"/>
      <c r="AC404" s="68"/>
      <c r="AD404" s="68"/>
      <c r="AE404" s="68"/>
    </row>
    <row r="405" spans="16:31" x14ac:dyDescent="0.2">
      <c r="P405" s="68"/>
      <c r="Q405" s="74"/>
      <c r="R405" s="74"/>
      <c r="S405" s="74"/>
      <c r="T405" s="75"/>
      <c r="U405" s="76"/>
      <c r="V405" s="77"/>
      <c r="W405" s="77"/>
      <c r="X405" s="76"/>
      <c r="Y405" s="76"/>
      <c r="Z405" s="68"/>
      <c r="AA405" s="68"/>
      <c r="AB405" s="68"/>
      <c r="AC405" s="68"/>
      <c r="AD405" s="68"/>
      <c r="AE405" s="68"/>
    </row>
    <row r="406" spans="16:31" x14ac:dyDescent="0.2">
      <c r="P406" s="68"/>
      <c r="Q406" s="74"/>
      <c r="R406" s="74"/>
      <c r="S406" s="74"/>
      <c r="T406" s="75"/>
      <c r="U406" s="76"/>
      <c r="V406" s="77"/>
      <c r="W406" s="77"/>
      <c r="X406" s="76"/>
      <c r="Y406" s="76"/>
      <c r="Z406" s="68"/>
      <c r="AA406" s="68"/>
      <c r="AB406" s="68"/>
      <c r="AC406" s="68"/>
      <c r="AD406" s="68"/>
      <c r="AE406" s="68"/>
    </row>
    <row r="407" spans="16:31" x14ac:dyDescent="0.2">
      <c r="P407" s="68"/>
      <c r="Q407" s="74"/>
      <c r="R407" s="74"/>
      <c r="S407" s="74"/>
      <c r="T407" s="75"/>
      <c r="U407" s="76"/>
      <c r="V407" s="77"/>
      <c r="W407" s="77"/>
      <c r="X407" s="76"/>
      <c r="Y407" s="76"/>
      <c r="Z407" s="68"/>
      <c r="AA407" s="68"/>
      <c r="AB407" s="68"/>
      <c r="AC407" s="68"/>
      <c r="AD407" s="68"/>
      <c r="AE407" s="68"/>
    </row>
    <row r="408" spans="16:31" x14ac:dyDescent="0.2">
      <c r="P408" s="68"/>
      <c r="Q408" s="74"/>
      <c r="R408" s="74"/>
      <c r="S408" s="74"/>
      <c r="T408" s="75"/>
      <c r="U408" s="76"/>
      <c r="V408" s="77"/>
      <c r="W408" s="77"/>
      <c r="X408" s="76"/>
      <c r="Y408" s="76"/>
      <c r="Z408" s="68"/>
      <c r="AA408" s="68"/>
      <c r="AB408" s="68"/>
      <c r="AC408" s="68"/>
      <c r="AD408" s="68"/>
      <c r="AE408" s="68"/>
    </row>
    <row r="409" spans="16:31" x14ac:dyDescent="0.2">
      <c r="P409" s="68"/>
      <c r="Q409" s="74"/>
      <c r="R409" s="74"/>
      <c r="S409" s="74"/>
      <c r="T409" s="75"/>
      <c r="U409" s="76"/>
      <c r="V409" s="77"/>
      <c r="W409" s="77"/>
      <c r="X409" s="76"/>
      <c r="Y409" s="76"/>
      <c r="Z409" s="68"/>
      <c r="AA409" s="68"/>
      <c r="AB409" s="68"/>
      <c r="AC409" s="68"/>
      <c r="AD409" s="68"/>
      <c r="AE409" s="68"/>
    </row>
    <row r="410" spans="16:31" x14ac:dyDescent="0.2">
      <c r="P410" s="68"/>
      <c r="Q410" s="74"/>
      <c r="R410" s="74"/>
      <c r="S410" s="74"/>
      <c r="T410" s="75"/>
      <c r="U410" s="76"/>
      <c r="V410" s="77"/>
      <c r="W410" s="77"/>
      <c r="X410" s="76"/>
      <c r="Y410" s="76"/>
      <c r="Z410" s="68"/>
      <c r="AA410" s="68"/>
      <c r="AB410" s="68"/>
      <c r="AC410" s="68"/>
      <c r="AD410" s="68"/>
      <c r="AE410" s="68"/>
    </row>
    <row r="411" spans="16:31" x14ac:dyDescent="0.2">
      <c r="P411" s="68"/>
      <c r="Q411" s="74"/>
      <c r="R411" s="74"/>
      <c r="S411" s="74"/>
      <c r="T411" s="75"/>
      <c r="U411" s="76"/>
      <c r="V411" s="77"/>
      <c r="W411" s="77"/>
      <c r="X411" s="76"/>
      <c r="Y411" s="76"/>
      <c r="Z411" s="68"/>
      <c r="AA411" s="68"/>
      <c r="AB411" s="68"/>
      <c r="AC411" s="68"/>
      <c r="AD411" s="68"/>
      <c r="AE411" s="68"/>
    </row>
    <row r="412" spans="16:31" x14ac:dyDescent="0.2">
      <c r="P412" s="68"/>
      <c r="Q412" s="74"/>
      <c r="R412" s="74"/>
      <c r="S412" s="74"/>
      <c r="T412" s="75"/>
      <c r="U412" s="76"/>
      <c r="V412" s="77"/>
      <c r="W412" s="77"/>
      <c r="X412" s="76"/>
      <c r="Y412" s="76"/>
      <c r="Z412" s="68"/>
      <c r="AA412" s="68"/>
      <c r="AB412" s="68"/>
      <c r="AC412" s="68"/>
      <c r="AD412" s="68"/>
      <c r="AE412" s="68"/>
    </row>
    <row r="413" spans="16:31" x14ac:dyDescent="0.2">
      <c r="P413" s="68"/>
      <c r="Q413" s="74"/>
      <c r="R413" s="74"/>
      <c r="S413" s="74"/>
      <c r="T413" s="75"/>
      <c r="U413" s="76"/>
      <c r="V413" s="77"/>
      <c r="W413" s="77"/>
      <c r="X413" s="76"/>
      <c r="Y413" s="76"/>
      <c r="Z413" s="68"/>
      <c r="AA413" s="68"/>
      <c r="AB413" s="68"/>
      <c r="AC413" s="68"/>
      <c r="AD413" s="68"/>
      <c r="AE413" s="68"/>
    </row>
    <row r="414" spans="16:31" x14ac:dyDescent="0.2">
      <c r="P414" s="68"/>
      <c r="Q414" s="74"/>
      <c r="R414" s="74"/>
      <c r="S414" s="74"/>
      <c r="T414" s="75"/>
      <c r="U414" s="76"/>
      <c r="V414" s="77"/>
      <c r="W414" s="77"/>
      <c r="X414" s="76"/>
      <c r="Y414" s="76"/>
      <c r="Z414" s="68"/>
      <c r="AA414" s="68"/>
      <c r="AB414" s="68"/>
      <c r="AC414" s="68"/>
      <c r="AD414" s="68"/>
      <c r="AE414" s="68"/>
    </row>
    <row r="415" spans="16:31" x14ac:dyDescent="0.2">
      <c r="P415" s="68"/>
      <c r="Q415" s="74"/>
      <c r="R415" s="74"/>
      <c r="S415" s="74"/>
      <c r="T415" s="75"/>
      <c r="U415" s="76"/>
      <c r="V415" s="77"/>
      <c r="W415" s="77"/>
      <c r="X415" s="76"/>
      <c r="Y415" s="76"/>
      <c r="Z415" s="68"/>
      <c r="AA415" s="68"/>
      <c r="AB415" s="68"/>
      <c r="AC415" s="68"/>
      <c r="AD415" s="68"/>
      <c r="AE415" s="68"/>
    </row>
    <row r="416" spans="16:31" x14ac:dyDescent="0.2">
      <c r="P416" s="68"/>
      <c r="Q416" s="74"/>
      <c r="R416" s="74"/>
      <c r="S416" s="74"/>
      <c r="T416" s="75"/>
      <c r="U416" s="76"/>
      <c r="V416" s="77"/>
      <c r="W416" s="77"/>
      <c r="X416" s="76"/>
      <c r="Y416" s="76"/>
      <c r="Z416" s="68"/>
      <c r="AA416" s="68"/>
      <c r="AB416" s="68"/>
      <c r="AC416" s="68"/>
      <c r="AD416" s="68"/>
      <c r="AE416" s="68"/>
    </row>
    <row r="417" spans="16:31" x14ac:dyDescent="0.2">
      <c r="P417" s="68"/>
      <c r="Q417" s="74"/>
      <c r="R417" s="74"/>
      <c r="S417" s="74"/>
      <c r="T417" s="75"/>
      <c r="U417" s="76"/>
      <c r="V417" s="77"/>
      <c r="W417" s="77"/>
      <c r="X417" s="76"/>
      <c r="Y417" s="76"/>
      <c r="Z417" s="68"/>
      <c r="AA417" s="68"/>
      <c r="AB417" s="68"/>
      <c r="AC417" s="68"/>
      <c r="AD417" s="68"/>
      <c r="AE417" s="68"/>
    </row>
    <row r="418" spans="16:31" x14ac:dyDescent="0.2">
      <c r="P418" s="68"/>
      <c r="Q418" s="74"/>
      <c r="R418" s="74"/>
      <c r="S418" s="74"/>
      <c r="T418" s="75"/>
      <c r="U418" s="76"/>
      <c r="V418" s="77"/>
      <c r="W418" s="77"/>
      <c r="X418" s="76"/>
      <c r="Y418" s="76"/>
      <c r="Z418" s="68"/>
      <c r="AA418" s="68"/>
      <c r="AB418" s="68"/>
      <c r="AC418" s="68"/>
      <c r="AD418" s="68"/>
      <c r="AE418" s="68"/>
    </row>
    <row r="419" spans="16:31" x14ac:dyDescent="0.2">
      <c r="P419" s="68"/>
      <c r="Q419" s="74"/>
      <c r="R419" s="74"/>
      <c r="S419" s="74"/>
      <c r="T419" s="75"/>
      <c r="U419" s="76"/>
      <c r="V419" s="77"/>
      <c r="W419" s="77"/>
      <c r="X419" s="76"/>
      <c r="Y419" s="76"/>
      <c r="Z419" s="68"/>
      <c r="AA419" s="68"/>
      <c r="AB419" s="68"/>
      <c r="AC419" s="68"/>
      <c r="AD419" s="68"/>
      <c r="AE419" s="68"/>
    </row>
    <row r="420" spans="16:31" x14ac:dyDescent="0.2">
      <c r="P420" s="68"/>
      <c r="Q420" s="74"/>
      <c r="R420" s="74"/>
      <c r="S420" s="74"/>
      <c r="T420" s="75"/>
      <c r="U420" s="76"/>
      <c r="V420" s="77"/>
      <c r="W420" s="77"/>
      <c r="X420" s="76"/>
      <c r="Y420" s="76"/>
      <c r="Z420" s="68"/>
      <c r="AA420" s="68"/>
      <c r="AB420" s="68"/>
      <c r="AC420" s="68"/>
      <c r="AD420" s="68"/>
      <c r="AE420" s="68"/>
    </row>
    <row r="421" spans="16:31" x14ac:dyDescent="0.2">
      <c r="P421" s="68"/>
      <c r="Q421" s="74"/>
      <c r="R421" s="74"/>
      <c r="S421" s="74"/>
      <c r="T421" s="75"/>
      <c r="U421" s="76"/>
      <c r="V421" s="77"/>
      <c r="W421" s="77"/>
      <c r="X421" s="76"/>
      <c r="Y421" s="76"/>
      <c r="Z421" s="68"/>
      <c r="AA421" s="68"/>
      <c r="AB421" s="68"/>
      <c r="AC421" s="68"/>
      <c r="AD421" s="68"/>
      <c r="AE421" s="68"/>
    </row>
    <row r="422" spans="16:31" x14ac:dyDescent="0.2">
      <c r="P422" s="68"/>
      <c r="Q422" s="74"/>
      <c r="R422" s="74"/>
      <c r="S422" s="74"/>
      <c r="T422" s="75"/>
      <c r="U422" s="76"/>
      <c r="V422" s="77"/>
      <c r="W422" s="77"/>
      <c r="X422" s="76"/>
      <c r="Y422" s="76"/>
      <c r="Z422" s="68"/>
      <c r="AA422" s="68"/>
      <c r="AB422" s="68"/>
      <c r="AC422" s="68"/>
      <c r="AD422" s="68"/>
      <c r="AE422" s="68"/>
    </row>
    <row r="423" spans="16:31" x14ac:dyDescent="0.2">
      <c r="P423" s="68"/>
      <c r="Q423" s="74"/>
      <c r="R423" s="74"/>
      <c r="S423" s="74"/>
      <c r="T423" s="75"/>
      <c r="U423" s="76"/>
      <c r="V423" s="77"/>
      <c r="W423" s="77"/>
      <c r="X423" s="76"/>
      <c r="Y423" s="76"/>
      <c r="Z423" s="68"/>
      <c r="AA423" s="68"/>
      <c r="AB423" s="68"/>
      <c r="AC423" s="68"/>
      <c r="AD423" s="68"/>
      <c r="AE423" s="68"/>
    </row>
    <row r="424" spans="16:31" x14ac:dyDescent="0.2">
      <c r="P424" s="68"/>
      <c r="Q424" s="74"/>
      <c r="R424" s="74"/>
      <c r="S424" s="74"/>
      <c r="T424" s="75"/>
      <c r="U424" s="76"/>
      <c r="V424" s="77"/>
      <c r="W424" s="77"/>
      <c r="X424" s="76"/>
      <c r="Y424" s="76"/>
      <c r="Z424" s="68"/>
      <c r="AA424" s="68"/>
      <c r="AB424" s="68"/>
      <c r="AC424" s="68"/>
      <c r="AD424" s="68"/>
      <c r="AE424" s="68"/>
    </row>
    <row r="425" spans="16:31" x14ac:dyDescent="0.2">
      <c r="P425" s="68"/>
      <c r="Q425" s="74"/>
      <c r="R425" s="74"/>
      <c r="S425" s="74"/>
      <c r="T425" s="75"/>
      <c r="U425" s="76"/>
      <c r="V425" s="77"/>
      <c r="W425" s="77"/>
      <c r="X425" s="76"/>
      <c r="Y425" s="76"/>
      <c r="Z425" s="68"/>
      <c r="AA425" s="68"/>
      <c r="AB425" s="68"/>
      <c r="AC425" s="68"/>
      <c r="AD425" s="68"/>
      <c r="AE425" s="68"/>
    </row>
    <row r="426" spans="16:31" x14ac:dyDescent="0.2">
      <c r="P426" s="68"/>
      <c r="Q426" s="74"/>
      <c r="R426" s="74"/>
      <c r="S426" s="74"/>
      <c r="T426" s="75"/>
      <c r="U426" s="76"/>
      <c r="V426" s="77"/>
      <c r="W426" s="77"/>
      <c r="X426" s="76"/>
      <c r="Y426" s="76"/>
      <c r="Z426" s="68"/>
      <c r="AA426" s="68"/>
      <c r="AB426" s="68"/>
      <c r="AC426" s="68"/>
      <c r="AD426" s="68"/>
      <c r="AE426" s="68"/>
    </row>
    <row r="427" spans="16:31" x14ac:dyDescent="0.2">
      <c r="P427" s="68"/>
      <c r="Q427" s="74"/>
      <c r="R427" s="74"/>
      <c r="S427" s="74"/>
      <c r="T427" s="75"/>
      <c r="U427" s="76"/>
      <c r="V427" s="77"/>
      <c r="W427" s="77"/>
      <c r="X427" s="76"/>
      <c r="Y427" s="76"/>
      <c r="Z427" s="68"/>
      <c r="AA427" s="68"/>
      <c r="AB427" s="68"/>
      <c r="AC427" s="68"/>
      <c r="AD427" s="68"/>
      <c r="AE427" s="68"/>
    </row>
    <row r="428" spans="16:31" x14ac:dyDescent="0.2">
      <c r="P428" s="68"/>
      <c r="Q428" s="74"/>
      <c r="R428" s="74"/>
      <c r="S428" s="74"/>
      <c r="T428" s="75"/>
      <c r="U428" s="76"/>
      <c r="V428" s="77"/>
      <c r="W428" s="77"/>
      <c r="X428" s="76"/>
      <c r="Y428" s="76"/>
      <c r="Z428" s="68"/>
      <c r="AA428" s="68"/>
      <c r="AB428" s="68"/>
      <c r="AC428" s="68"/>
      <c r="AD428" s="68"/>
      <c r="AE428" s="68"/>
    </row>
    <row r="429" spans="16:31" x14ac:dyDescent="0.2">
      <c r="P429" s="68"/>
      <c r="Q429" s="74"/>
      <c r="R429" s="74"/>
      <c r="S429" s="74"/>
      <c r="T429" s="75"/>
      <c r="U429" s="76"/>
      <c r="V429" s="77"/>
      <c r="W429" s="77"/>
      <c r="X429" s="76"/>
      <c r="Y429" s="76"/>
      <c r="Z429" s="68"/>
      <c r="AA429" s="68"/>
      <c r="AB429" s="68"/>
      <c r="AC429" s="68"/>
      <c r="AD429" s="68"/>
      <c r="AE429" s="68"/>
    </row>
    <row r="430" spans="16:31" x14ac:dyDescent="0.2">
      <c r="P430" s="68"/>
      <c r="Q430" s="74"/>
      <c r="R430" s="74"/>
      <c r="S430" s="74"/>
      <c r="T430" s="75"/>
      <c r="U430" s="76"/>
      <c r="V430" s="77"/>
      <c r="W430" s="77"/>
      <c r="X430" s="76"/>
      <c r="Y430" s="76"/>
      <c r="Z430" s="68"/>
      <c r="AA430" s="68"/>
      <c r="AB430" s="68"/>
      <c r="AC430" s="68"/>
      <c r="AD430" s="68"/>
      <c r="AE430" s="68"/>
    </row>
    <row r="431" spans="16:31" x14ac:dyDescent="0.2">
      <c r="P431" s="68"/>
      <c r="Q431" s="74"/>
      <c r="R431" s="74"/>
      <c r="S431" s="74"/>
      <c r="T431" s="75"/>
      <c r="U431" s="76"/>
      <c r="V431" s="77"/>
      <c r="W431" s="77"/>
      <c r="X431" s="76"/>
      <c r="Y431" s="76"/>
      <c r="Z431" s="68"/>
      <c r="AA431" s="68"/>
      <c r="AB431" s="68"/>
      <c r="AC431" s="68"/>
      <c r="AD431" s="68"/>
      <c r="AE431" s="68"/>
    </row>
    <row r="432" spans="16:31" x14ac:dyDescent="0.2">
      <c r="P432" s="68"/>
      <c r="Q432" s="74"/>
      <c r="R432" s="74"/>
      <c r="S432" s="74"/>
      <c r="T432" s="75"/>
      <c r="U432" s="76"/>
      <c r="V432" s="77"/>
      <c r="W432" s="77"/>
      <c r="X432" s="76"/>
      <c r="Y432" s="76"/>
      <c r="Z432" s="68"/>
      <c r="AA432" s="68"/>
      <c r="AB432" s="68"/>
      <c r="AC432" s="68"/>
      <c r="AD432" s="68"/>
      <c r="AE432" s="68"/>
    </row>
    <row r="433" spans="16:31" x14ac:dyDescent="0.2">
      <c r="P433" s="68"/>
      <c r="Q433" s="74"/>
      <c r="R433" s="74"/>
      <c r="S433" s="74"/>
      <c r="T433" s="75"/>
      <c r="U433" s="76"/>
      <c r="V433" s="77"/>
      <c r="W433" s="77"/>
      <c r="X433" s="76"/>
      <c r="Y433" s="76"/>
      <c r="Z433" s="68"/>
      <c r="AA433" s="68"/>
      <c r="AB433" s="68"/>
      <c r="AC433" s="68"/>
      <c r="AD433" s="68"/>
      <c r="AE433" s="68"/>
    </row>
    <row r="434" spans="16:31" x14ac:dyDescent="0.2">
      <c r="P434" s="68"/>
      <c r="Q434" s="74"/>
      <c r="R434" s="74"/>
      <c r="S434" s="74"/>
      <c r="T434" s="75"/>
      <c r="U434" s="76"/>
      <c r="V434" s="77"/>
      <c r="W434" s="77"/>
      <c r="X434" s="76"/>
      <c r="Y434" s="76"/>
      <c r="Z434" s="68"/>
      <c r="AA434" s="68"/>
      <c r="AB434" s="68"/>
      <c r="AC434" s="68"/>
      <c r="AD434" s="68"/>
      <c r="AE434" s="68"/>
    </row>
    <row r="435" spans="16:31" x14ac:dyDescent="0.2">
      <c r="P435" s="68"/>
      <c r="Q435" s="74"/>
      <c r="R435" s="74"/>
      <c r="S435" s="74"/>
      <c r="T435" s="75"/>
      <c r="U435" s="76"/>
      <c r="V435" s="77"/>
      <c r="W435" s="77"/>
      <c r="X435" s="76"/>
      <c r="Y435" s="76"/>
      <c r="Z435" s="68"/>
      <c r="AA435" s="68"/>
      <c r="AB435" s="68"/>
      <c r="AC435" s="68"/>
      <c r="AD435" s="68"/>
      <c r="AE435" s="68"/>
    </row>
    <row r="436" spans="16:31" x14ac:dyDescent="0.2">
      <c r="P436" s="68"/>
      <c r="Q436" s="74"/>
      <c r="R436" s="74"/>
      <c r="S436" s="74"/>
      <c r="T436" s="75"/>
      <c r="U436" s="76"/>
      <c r="V436" s="77"/>
      <c r="W436" s="77"/>
      <c r="X436" s="76"/>
      <c r="Y436" s="76"/>
      <c r="Z436" s="68"/>
      <c r="AA436" s="68"/>
      <c r="AB436" s="68"/>
      <c r="AC436" s="68"/>
      <c r="AD436" s="68"/>
      <c r="AE436" s="68"/>
    </row>
    <row r="437" spans="16:31" x14ac:dyDescent="0.2">
      <c r="P437" s="68"/>
      <c r="Q437" s="74"/>
      <c r="R437" s="74"/>
      <c r="S437" s="74"/>
      <c r="T437" s="75"/>
      <c r="U437" s="76"/>
      <c r="V437" s="77"/>
      <c r="W437" s="77"/>
      <c r="X437" s="76"/>
      <c r="Y437" s="76"/>
      <c r="Z437" s="68"/>
      <c r="AA437" s="68"/>
      <c r="AB437" s="68"/>
      <c r="AC437" s="68"/>
      <c r="AD437" s="68"/>
      <c r="AE437" s="68"/>
    </row>
    <row r="438" spans="16:31" x14ac:dyDescent="0.2">
      <c r="P438" s="68"/>
      <c r="Q438" s="74"/>
      <c r="R438" s="74"/>
      <c r="S438" s="74"/>
      <c r="T438" s="75"/>
      <c r="U438" s="76"/>
      <c r="V438" s="77"/>
      <c r="W438" s="77"/>
      <c r="X438" s="76"/>
      <c r="Y438" s="76"/>
      <c r="Z438" s="68"/>
      <c r="AA438" s="68"/>
      <c r="AB438" s="68"/>
      <c r="AC438" s="68"/>
      <c r="AD438" s="68"/>
      <c r="AE438" s="68"/>
    </row>
    <row r="439" spans="16:31" x14ac:dyDescent="0.2">
      <c r="P439" s="68"/>
      <c r="Q439" s="74"/>
      <c r="R439" s="74"/>
      <c r="S439" s="74"/>
      <c r="T439" s="75"/>
      <c r="U439" s="76"/>
      <c r="V439" s="77"/>
      <c r="W439" s="77"/>
      <c r="X439" s="76"/>
      <c r="Y439" s="76"/>
      <c r="Z439" s="68"/>
      <c r="AA439" s="68"/>
      <c r="AB439" s="68"/>
      <c r="AC439" s="68"/>
      <c r="AD439" s="68"/>
      <c r="AE439" s="68"/>
    </row>
    <row r="440" spans="16:31" x14ac:dyDescent="0.2">
      <c r="P440" s="68"/>
      <c r="Q440" s="74"/>
      <c r="R440" s="74"/>
      <c r="S440" s="74"/>
      <c r="T440" s="75"/>
      <c r="U440" s="76"/>
      <c r="V440" s="77"/>
      <c r="W440" s="77"/>
      <c r="X440" s="76"/>
      <c r="Y440" s="76"/>
      <c r="Z440" s="68"/>
      <c r="AA440" s="68"/>
      <c r="AB440" s="68"/>
      <c r="AC440" s="68"/>
      <c r="AD440" s="68"/>
      <c r="AE440" s="68"/>
    </row>
    <row r="441" spans="16:31" x14ac:dyDescent="0.2">
      <c r="P441" s="68"/>
      <c r="Q441" s="74"/>
      <c r="R441" s="74"/>
      <c r="S441" s="74"/>
      <c r="T441" s="75"/>
      <c r="U441" s="76"/>
      <c r="V441" s="77"/>
      <c r="W441" s="77"/>
      <c r="X441" s="76"/>
      <c r="Y441" s="76"/>
      <c r="Z441" s="68"/>
      <c r="AA441" s="68"/>
      <c r="AB441" s="68"/>
      <c r="AC441" s="68"/>
      <c r="AD441" s="68"/>
      <c r="AE441" s="68"/>
    </row>
    <row r="442" spans="16:31" x14ac:dyDescent="0.2">
      <c r="P442" s="68"/>
      <c r="Q442" s="74"/>
      <c r="R442" s="74"/>
      <c r="S442" s="74"/>
      <c r="T442" s="75"/>
      <c r="U442" s="76"/>
      <c r="V442" s="77"/>
      <c r="W442" s="77"/>
      <c r="X442" s="76"/>
      <c r="Y442" s="76"/>
      <c r="Z442" s="68"/>
      <c r="AA442" s="68"/>
      <c r="AB442" s="68"/>
      <c r="AC442" s="68"/>
      <c r="AD442" s="68"/>
      <c r="AE442" s="68"/>
    </row>
    <row r="443" spans="16:31" x14ac:dyDescent="0.2">
      <c r="P443" s="68"/>
      <c r="Q443" s="74"/>
      <c r="R443" s="74"/>
      <c r="S443" s="74"/>
      <c r="T443" s="75"/>
      <c r="U443" s="76"/>
      <c r="V443" s="77"/>
      <c r="W443" s="77"/>
      <c r="X443" s="76"/>
      <c r="Y443" s="76"/>
      <c r="Z443" s="68"/>
      <c r="AA443" s="68"/>
      <c r="AB443" s="68"/>
      <c r="AC443" s="68"/>
      <c r="AD443" s="68"/>
      <c r="AE443" s="68"/>
    </row>
    <row r="444" spans="16:31" x14ac:dyDescent="0.2">
      <c r="P444" s="68"/>
      <c r="Q444" s="74"/>
      <c r="R444" s="74"/>
      <c r="S444" s="74"/>
      <c r="T444" s="75"/>
      <c r="U444" s="76"/>
      <c r="V444" s="77"/>
      <c r="W444" s="77"/>
      <c r="X444" s="76"/>
      <c r="Y444" s="76"/>
      <c r="Z444" s="68"/>
      <c r="AA444" s="68"/>
      <c r="AB444" s="68"/>
      <c r="AC444" s="68"/>
      <c r="AD444" s="68"/>
      <c r="AE444" s="68"/>
    </row>
    <row r="445" spans="16:31" x14ac:dyDescent="0.2">
      <c r="P445" s="68"/>
      <c r="Q445" s="74"/>
      <c r="R445" s="74"/>
      <c r="S445" s="74"/>
      <c r="T445" s="75"/>
      <c r="U445" s="76"/>
      <c r="V445" s="77"/>
      <c r="W445" s="77"/>
      <c r="X445" s="76"/>
      <c r="Y445" s="76"/>
      <c r="Z445" s="68"/>
      <c r="AA445" s="68"/>
      <c r="AB445" s="68"/>
      <c r="AC445" s="68"/>
      <c r="AD445" s="68"/>
      <c r="AE445" s="68"/>
    </row>
    <row r="446" spans="16:31" x14ac:dyDescent="0.2">
      <c r="P446" s="68"/>
      <c r="Q446" s="74"/>
      <c r="R446" s="74"/>
      <c r="S446" s="74"/>
      <c r="T446" s="75"/>
      <c r="U446" s="76"/>
      <c r="V446" s="77"/>
      <c r="W446" s="77"/>
      <c r="X446" s="76"/>
      <c r="Y446" s="76"/>
      <c r="Z446" s="68"/>
      <c r="AA446" s="68"/>
      <c r="AB446" s="68"/>
      <c r="AC446" s="68"/>
      <c r="AD446" s="68"/>
      <c r="AE446" s="68"/>
    </row>
    <row r="447" spans="16:31" x14ac:dyDescent="0.2">
      <c r="P447" s="68"/>
      <c r="Q447" s="74"/>
      <c r="R447" s="74"/>
      <c r="S447" s="74"/>
      <c r="T447" s="75"/>
      <c r="U447" s="76"/>
      <c r="V447" s="77"/>
      <c r="W447" s="77"/>
      <c r="X447" s="76"/>
      <c r="Y447" s="76"/>
      <c r="Z447" s="68"/>
      <c r="AA447" s="68"/>
      <c r="AB447" s="68"/>
      <c r="AC447" s="68"/>
      <c r="AD447" s="68"/>
      <c r="AE447" s="68"/>
    </row>
    <row r="448" spans="16:31" x14ac:dyDescent="0.2">
      <c r="P448" s="68"/>
      <c r="Q448" s="74"/>
      <c r="R448" s="74"/>
      <c r="S448" s="74"/>
      <c r="T448" s="75"/>
      <c r="U448" s="76"/>
      <c r="V448" s="77"/>
      <c r="W448" s="77"/>
      <c r="X448" s="76"/>
      <c r="Y448" s="76"/>
      <c r="Z448" s="68"/>
      <c r="AA448" s="68"/>
      <c r="AB448" s="68"/>
      <c r="AC448" s="68"/>
      <c r="AD448" s="68"/>
      <c r="AE448" s="68"/>
    </row>
    <row r="449" spans="16:31" x14ac:dyDescent="0.2">
      <c r="P449" s="68"/>
      <c r="Q449" s="74"/>
      <c r="R449" s="74"/>
      <c r="S449" s="74"/>
      <c r="T449" s="75"/>
      <c r="U449" s="76"/>
      <c r="V449" s="77"/>
      <c r="W449" s="77"/>
      <c r="X449" s="76"/>
      <c r="Y449" s="76"/>
      <c r="Z449" s="68"/>
      <c r="AA449" s="68"/>
      <c r="AB449" s="68"/>
      <c r="AC449" s="68"/>
      <c r="AD449" s="68"/>
      <c r="AE449" s="68"/>
    </row>
    <row r="450" spans="16:31" x14ac:dyDescent="0.2">
      <c r="P450" s="68"/>
      <c r="Q450" s="74"/>
      <c r="R450" s="74"/>
      <c r="S450" s="74"/>
      <c r="T450" s="75"/>
      <c r="U450" s="76"/>
      <c r="V450" s="77"/>
      <c r="W450" s="77"/>
      <c r="X450" s="76"/>
      <c r="Y450" s="76"/>
      <c r="Z450" s="68"/>
      <c r="AA450" s="68"/>
      <c r="AB450" s="68"/>
      <c r="AC450" s="68"/>
      <c r="AD450" s="68"/>
      <c r="AE450" s="68"/>
    </row>
    <row r="451" spans="16:31" x14ac:dyDescent="0.2">
      <c r="P451" s="68"/>
      <c r="Q451" s="74"/>
      <c r="R451" s="74"/>
      <c r="S451" s="74"/>
      <c r="T451" s="75"/>
      <c r="U451" s="76"/>
      <c r="V451" s="77"/>
      <c r="W451" s="77"/>
      <c r="X451" s="76"/>
      <c r="Y451" s="76"/>
      <c r="Z451" s="68"/>
      <c r="AA451" s="68"/>
      <c r="AB451" s="68"/>
      <c r="AC451" s="68"/>
      <c r="AD451" s="68"/>
      <c r="AE451" s="68"/>
    </row>
    <row r="452" spans="16:31" x14ac:dyDescent="0.2">
      <c r="P452" s="68"/>
      <c r="Q452" s="74"/>
      <c r="R452" s="74"/>
      <c r="S452" s="74"/>
      <c r="T452" s="75"/>
      <c r="U452" s="76"/>
      <c r="V452" s="77"/>
      <c r="W452" s="77"/>
      <c r="X452" s="76"/>
      <c r="Y452" s="76"/>
      <c r="Z452" s="68"/>
      <c r="AA452" s="68"/>
      <c r="AB452" s="68"/>
      <c r="AC452" s="68"/>
      <c r="AD452" s="68"/>
      <c r="AE452" s="68"/>
    </row>
    <row r="453" spans="16:31" x14ac:dyDescent="0.2">
      <c r="P453" s="68"/>
      <c r="Q453" s="74"/>
      <c r="R453" s="74"/>
      <c r="S453" s="74"/>
      <c r="T453" s="75"/>
      <c r="U453" s="76"/>
      <c r="V453" s="77"/>
      <c r="W453" s="77"/>
      <c r="X453" s="76"/>
      <c r="Y453" s="76"/>
      <c r="Z453" s="68"/>
      <c r="AA453" s="68"/>
      <c r="AB453" s="68"/>
      <c r="AC453" s="68"/>
      <c r="AD453" s="68"/>
      <c r="AE453" s="68"/>
    </row>
    <row r="454" spans="16:31" x14ac:dyDescent="0.2">
      <c r="P454" s="68"/>
      <c r="Q454" s="74"/>
      <c r="R454" s="74"/>
      <c r="S454" s="74"/>
      <c r="T454" s="75"/>
      <c r="U454" s="76"/>
      <c r="V454" s="77"/>
      <c r="W454" s="77"/>
      <c r="X454" s="76"/>
      <c r="Y454" s="76"/>
      <c r="Z454" s="68"/>
      <c r="AA454" s="68"/>
      <c r="AB454" s="68"/>
      <c r="AC454" s="68"/>
      <c r="AD454" s="68"/>
      <c r="AE454" s="68"/>
    </row>
    <row r="455" spans="16:31" x14ac:dyDescent="0.2">
      <c r="P455" s="68"/>
      <c r="Q455" s="74"/>
      <c r="R455" s="74"/>
      <c r="S455" s="74"/>
      <c r="T455" s="75"/>
      <c r="U455" s="76"/>
      <c r="V455" s="77"/>
      <c r="W455" s="77"/>
      <c r="X455" s="76"/>
      <c r="Y455" s="76"/>
      <c r="Z455" s="68"/>
      <c r="AA455" s="68"/>
      <c r="AB455" s="68"/>
      <c r="AC455" s="68"/>
      <c r="AD455" s="68"/>
      <c r="AE455" s="68"/>
    </row>
    <row r="456" spans="16:31" x14ac:dyDescent="0.2">
      <c r="P456" s="68"/>
      <c r="Q456" s="74"/>
      <c r="R456" s="74"/>
      <c r="S456" s="74"/>
      <c r="T456" s="75"/>
      <c r="U456" s="76"/>
      <c r="V456" s="77"/>
      <c r="W456" s="77"/>
      <c r="X456" s="76"/>
      <c r="Y456" s="76"/>
      <c r="Z456" s="68"/>
      <c r="AA456" s="68"/>
      <c r="AB456" s="68"/>
      <c r="AC456" s="68"/>
      <c r="AD456" s="68"/>
      <c r="AE456" s="68"/>
    </row>
    <row r="457" spans="16:31" x14ac:dyDescent="0.2">
      <c r="P457" s="68"/>
      <c r="Q457" s="74"/>
      <c r="R457" s="74"/>
      <c r="S457" s="74"/>
      <c r="T457" s="75"/>
      <c r="U457" s="76"/>
      <c r="V457" s="77"/>
      <c r="W457" s="77"/>
      <c r="X457" s="76"/>
      <c r="Y457" s="76"/>
      <c r="Z457" s="68"/>
      <c r="AA457" s="68"/>
      <c r="AB457" s="68"/>
      <c r="AC457" s="68"/>
      <c r="AD457" s="68"/>
      <c r="AE457" s="68"/>
    </row>
    <row r="458" spans="16:31" x14ac:dyDescent="0.2">
      <c r="P458" s="68"/>
      <c r="Q458" s="74"/>
      <c r="R458" s="74"/>
      <c r="S458" s="74"/>
      <c r="T458" s="75"/>
      <c r="U458" s="76"/>
      <c r="V458" s="77"/>
      <c r="W458" s="77"/>
      <c r="X458" s="76"/>
      <c r="Y458" s="76"/>
      <c r="Z458" s="68"/>
      <c r="AA458" s="68"/>
      <c r="AB458" s="68"/>
      <c r="AC458" s="68"/>
      <c r="AD458" s="68"/>
      <c r="AE458" s="68"/>
    </row>
    <row r="459" spans="16:31" x14ac:dyDescent="0.2">
      <c r="P459" s="68"/>
      <c r="Q459" s="74"/>
      <c r="R459" s="74"/>
      <c r="S459" s="74"/>
      <c r="T459" s="75"/>
      <c r="U459" s="76"/>
      <c r="V459" s="77"/>
      <c r="W459" s="77"/>
      <c r="X459" s="76"/>
      <c r="Y459" s="76"/>
      <c r="Z459" s="68"/>
      <c r="AA459" s="68"/>
      <c r="AB459" s="68"/>
      <c r="AC459" s="68"/>
      <c r="AD459" s="68"/>
      <c r="AE459" s="68"/>
    </row>
    <row r="460" spans="16:31" x14ac:dyDescent="0.2">
      <c r="P460" s="68"/>
      <c r="Q460" s="74"/>
      <c r="R460" s="74"/>
      <c r="S460" s="74"/>
      <c r="T460" s="75"/>
      <c r="U460" s="76"/>
      <c r="V460" s="77"/>
      <c r="W460" s="77"/>
      <c r="X460" s="76"/>
      <c r="Y460" s="76"/>
      <c r="Z460" s="68"/>
      <c r="AA460" s="68"/>
      <c r="AB460" s="68"/>
      <c r="AC460" s="68"/>
      <c r="AD460" s="68"/>
      <c r="AE460" s="68"/>
    </row>
    <row r="461" spans="16:31" x14ac:dyDescent="0.2">
      <c r="P461" s="68"/>
      <c r="Q461" s="74"/>
      <c r="R461" s="74"/>
      <c r="S461" s="74"/>
      <c r="T461" s="75"/>
      <c r="U461" s="76"/>
      <c r="V461" s="77"/>
      <c r="W461" s="77"/>
      <c r="X461" s="76"/>
      <c r="Y461" s="76"/>
      <c r="Z461" s="68"/>
      <c r="AA461" s="68"/>
      <c r="AB461" s="68"/>
      <c r="AC461" s="68"/>
      <c r="AD461" s="68"/>
      <c r="AE461" s="68"/>
    </row>
    <row r="462" spans="16:31" x14ac:dyDescent="0.2">
      <c r="P462" s="68"/>
      <c r="Q462" s="74"/>
      <c r="R462" s="74"/>
      <c r="S462" s="74"/>
      <c r="T462" s="75"/>
      <c r="U462" s="76"/>
      <c r="V462" s="77"/>
      <c r="W462" s="77"/>
      <c r="X462" s="76"/>
      <c r="Y462" s="76"/>
      <c r="Z462" s="68"/>
      <c r="AA462" s="68"/>
      <c r="AB462" s="68"/>
      <c r="AC462" s="68"/>
      <c r="AD462" s="68"/>
      <c r="AE462" s="68"/>
    </row>
    <row r="463" spans="16:31" x14ac:dyDescent="0.2">
      <c r="P463" s="68"/>
      <c r="Q463" s="74"/>
      <c r="R463" s="74"/>
      <c r="S463" s="74"/>
      <c r="T463" s="75"/>
      <c r="U463" s="76"/>
      <c r="V463" s="77"/>
      <c r="W463" s="77"/>
      <c r="X463" s="76"/>
      <c r="Y463" s="76"/>
      <c r="Z463" s="68"/>
      <c r="AA463" s="68"/>
      <c r="AB463" s="68"/>
      <c r="AC463" s="68"/>
      <c r="AD463" s="68"/>
      <c r="AE463" s="68"/>
    </row>
    <row r="464" spans="16:31" x14ac:dyDescent="0.2">
      <c r="P464" s="68"/>
      <c r="Q464" s="74"/>
      <c r="R464" s="74"/>
      <c r="S464" s="74"/>
      <c r="T464" s="75"/>
      <c r="U464" s="76"/>
      <c r="V464" s="77"/>
      <c r="W464" s="77"/>
      <c r="X464" s="76"/>
      <c r="Y464" s="76"/>
      <c r="Z464" s="68"/>
      <c r="AA464" s="68"/>
      <c r="AB464" s="68"/>
      <c r="AC464" s="68"/>
      <c r="AD464" s="68"/>
      <c r="AE464" s="68"/>
    </row>
    <row r="465" spans="16:31" x14ac:dyDescent="0.2">
      <c r="P465" s="68"/>
      <c r="Q465" s="74"/>
      <c r="R465" s="74"/>
      <c r="S465" s="74"/>
      <c r="T465" s="75"/>
      <c r="U465" s="76"/>
      <c r="V465" s="77"/>
      <c r="W465" s="77"/>
      <c r="X465" s="76"/>
      <c r="Y465" s="76"/>
      <c r="Z465" s="68"/>
      <c r="AA465" s="68"/>
      <c r="AB465" s="68"/>
      <c r="AC465" s="68"/>
      <c r="AD465" s="68"/>
      <c r="AE465" s="68"/>
    </row>
    <row r="466" spans="16:31" x14ac:dyDescent="0.2">
      <c r="P466" s="68"/>
      <c r="Q466" s="74"/>
      <c r="R466" s="74"/>
      <c r="S466" s="74"/>
      <c r="T466" s="75"/>
      <c r="U466" s="76"/>
      <c r="V466" s="77"/>
      <c r="W466" s="77"/>
      <c r="X466" s="76"/>
      <c r="Y466" s="76"/>
      <c r="Z466" s="68"/>
      <c r="AA466" s="68"/>
      <c r="AB466" s="68"/>
      <c r="AC466" s="68"/>
      <c r="AD466" s="68"/>
      <c r="AE466" s="68"/>
    </row>
    <row r="467" spans="16:31" x14ac:dyDescent="0.2">
      <c r="P467" s="68"/>
      <c r="Q467" s="74"/>
      <c r="R467" s="74"/>
      <c r="S467" s="74"/>
      <c r="T467" s="75"/>
      <c r="U467" s="76"/>
      <c r="V467" s="77"/>
      <c r="W467" s="77"/>
      <c r="X467" s="76"/>
      <c r="Y467" s="76"/>
      <c r="Z467" s="68"/>
      <c r="AA467" s="68"/>
      <c r="AB467" s="68"/>
      <c r="AC467" s="68"/>
      <c r="AD467" s="68"/>
      <c r="AE467" s="68"/>
    </row>
    <row r="468" spans="16:31" x14ac:dyDescent="0.2">
      <c r="P468" s="68"/>
      <c r="Q468" s="74"/>
      <c r="R468" s="74"/>
      <c r="S468" s="74"/>
      <c r="T468" s="75"/>
      <c r="U468" s="76"/>
      <c r="V468" s="77"/>
      <c r="W468" s="77"/>
      <c r="X468" s="76"/>
      <c r="Y468" s="76"/>
      <c r="Z468" s="68"/>
      <c r="AA468" s="68"/>
      <c r="AB468" s="68"/>
      <c r="AC468" s="68"/>
      <c r="AD468" s="68"/>
      <c r="AE468" s="68"/>
    </row>
    <row r="469" spans="16:31" x14ac:dyDescent="0.2">
      <c r="P469" s="68"/>
      <c r="Q469" s="74"/>
      <c r="R469" s="74"/>
      <c r="S469" s="74"/>
      <c r="T469" s="75"/>
      <c r="U469" s="76"/>
      <c r="V469" s="77"/>
      <c r="W469" s="77"/>
      <c r="X469" s="76"/>
      <c r="Y469" s="76"/>
      <c r="Z469" s="68"/>
      <c r="AA469" s="68"/>
      <c r="AB469" s="68"/>
      <c r="AC469" s="68"/>
      <c r="AD469" s="68"/>
      <c r="AE469" s="68"/>
    </row>
    <row r="470" spans="16:31" x14ac:dyDescent="0.2">
      <c r="P470" s="68"/>
      <c r="Q470" s="74"/>
      <c r="R470" s="74"/>
      <c r="S470" s="74"/>
      <c r="T470" s="75"/>
      <c r="U470" s="76"/>
      <c r="V470" s="77"/>
      <c r="W470" s="77"/>
      <c r="X470" s="76"/>
      <c r="Y470" s="76"/>
      <c r="Z470" s="68"/>
      <c r="AA470" s="68"/>
      <c r="AB470" s="68"/>
      <c r="AC470" s="68"/>
      <c r="AD470" s="68"/>
      <c r="AE470" s="68"/>
    </row>
    <row r="471" spans="16:31" x14ac:dyDescent="0.2">
      <c r="P471" s="68"/>
      <c r="Q471" s="74"/>
      <c r="R471" s="74"/>
      <c r="S471" s="74"/>
      <c r="T471" s="75"/>
      <c r="U471" s="76"/>
      <c r="V471" s="77"/>
      <c r="W471" s="77"/>
      <c r="X471" s="76"/>
      <c r="Y471" s="76"/>
      <c r="Z471" s="68"/>
      <c r="AA471" s="68"/>
      <c r="AB471" s="68"/>
      <c r="AC471" s="68"/>
      <c r="AD471" s="68"/>
      <c r="AE471" s="68"/>
    </row>
    <row r="472" spans="16:31" x14ac:dyDescent="0.2">
      <c r="P472" s="68"/>
      <c r="Q472" s="74"/>
      <c r="R472" s="74"/>
      <c r="S472" s="74"/>
      <c r="T472" s="75"/>
      <c r="U472" s="76"/>
      <c r="V472" s="77"/>
      <c r="W472" s="77"/>
      <c r="X472" s="76"/>
      <c r="Y472" s="76"/>
      <c r="Z472" s="68"/>
      <c r="AA472" s="68"/>
      <c r="AB472" s="68"/>
      <c r="AC472" s="68"/>
      <c r="AD472" s="68"/>
      <c r="AE472" s="68"/>
    </row>
    <row r="473" spans="16:31" x14ac:dyDescent="0.2">
      <c r="P473" s="68"/>
      <c r="Q473" s="74"/>
      <c r="R473" s="74"/>
      <c r="S473" s="74"/>
      <c r="T473" s="75"/>
      <c r="U473" s="76"/>
      <c r="V473" s="77"/>
      <c r="W473" s="77"/>
      <c r="X473" s="76"/>
      <c r="Y473" s="76"/>
      <c r="Z473" s="68"/>
      <c r="AA473" s="68"/>
      <c r="AB473" s="68"/>
      <c r="AC473" s="68"/>
      <c r="AD473" s="68"/>
      <c r="AE473" s="68"/>
    </row>
    <row r="474" spans="16:31" x14ac:dyDescent="0.2">
      <c r="P474" s="68"/>
      <c r="Q474" s="74"/>
      <c r="R474" s="74"/>
      <c r="S474" s="74"/>
      <c r="T474" s="75"/>
      <c r="U474" s="76"/>
      <c r="V474" s="77"/>
      <c r="W474" s="77"/>
      <c r="X474" s="76"/>
      <c r="Y474" s="76"/>
      <c r="Z474" s="68"/>
      <c r="AA474" s="68"/>
      <c r="AB474" s="68"/>
      <c r="AC474" s="68"/>
      <c r="AD474" s="68"/>
      <c r="AE474" s="68"/>
    </row>
    <row r="475" spans="16:31" x14ac:dyDescent="0.2">
      <c r="P475" s="68"/>
      <c r="Q475" s="74"/>
      <c r="R475" s="74"/>
      <c r="S475" s="74"/>
      <c r="T475" s="75"/>
      <c r="U475" s="76"/>
      <c r="V475" s="77"/>
      <c r="W475" s="77"/>
      <c r="X475" s="76"/>
      <c r="Y475" s="76"/>
      <c r="Z475" s="68"/>
      <c r="AA475" s="68"/>
      <c r="AB475" s="68"/>
      <c r="AC475" s="68"/>
      <c r="AD475" s="68"/>
      <c r="AE475" s="68"/>
    </row>
    <row r="476" spans="16:31" x14ac:dyDescent="0.2">
      <c r="P476" s="68"/>
      <c r="Q476" s="74"/>
      <c r="R476" s="74"/>
      <c r="S476" s="74"/>
      <c r="T476" s="75"/>
      <c r="U476" s="76"/>
      <c r="V476" s="77"/>
      <c r="W476" s="77"/>
      <c r="X476" s="76"/>
      <c r="Y476" s="76"/>
      <c r="Z476" s="68"/>
      <c r="AA476" s="68"/>
      <c r="AB476" s="68"/>
      <c r="AC476" s="68"/>
      <c r="AD476" s="68"/>
      <c r="AE476" s="68"/>
    </row>
    <row r="477" spans="16:31" x14ac:dyDescent="0.2">
      <c r="P477" s="68"/>
      <c r="Q477" s="74"/>
      <c r="R477" s="74"/>
      <c r="S477" s="74"/>
      <c r="T477" s="75"/>
      <c r="U477" s="76"/>
      <c r="V477" s="77"/>
      <c r="W477" s="77"/>
      <c r="X477" s="76"/>
      <c r="Y477" s="76"/>
      <c r="Z477" s="68"/>
      <c r="AA477" s="68"/>
      <c r="AB477" s="68"/>
      <c r="AC477" s="68"/>
      <c r="AD477" s="68"/>
      <c r="AE477" s="68"/>
    </row>
    <row r="478" spans="16:31" x14ac:dyDescent="0.2">
      <c r="P478" s="68"/>
      <c r="Q478" s="74"/>
      <c r="R478" s="74"/>
      <c r="S478" s="74"/>
      <c r="T478" s="75"/>
      <c r="U478" s="76"/>
      <c r="V478" s="77"/>
      <c r="W478" s="77"/>
      <c r="X478" s="76"/>
      <c r="Y478" s="76"/>
      <c r="Z478" s="68"/>
      <c r="AA478" s="68"/>
      <c r="AB478" s="68"/>
      <c r="AC478" s="68"/>
      <c r="AD478" s="68"/>
      <c r="AE478" s="68"/>
    </row>
    <row r="479" spans="16:31" x14ac:dyDescent="0.2">
      <c r="P479" s="68"/>
      <c r="Q479" s="74"/>
      <c r="R479" s="74"/>
      <c r="S479" s="74"/>
      <c r="T479" s="75"/>
      <c r="U479" s="76"/>
      <c r="V479" s="77"/>
      <c r="W479" s="77"/>
      <c r="X479" s="76"/>
      <c r="Y479" s="76"/>
      <c r="Z479" s="68"/>
      <c r="AA479" s="68"/>
      <c r="AB479" s="68"/>
      <c r="AC479" s="68"/>
      <c r="AD479" s="68"/>
      <c r="AE479" s="68"/>
    </row>
    <row r="480" spans="16:31" x14ac:dyDescent="0.2">
      <c r="P480" s="68"/>
      <c r="Q480" s="74"/>
      <c r="R480" s="74"/>
      <c r="S480" s="74"/>
      <c r="T480" s="75"/>
      <c r="U480" s="76"/>
      <c r="V480" s="77"/>
      <c r="W480" s="77"/>
      <c r="X480" s="76"/>
      <c r="Y480" s="76"/>
      <c r="Z480" s="68"/>
      <c r="AA480" s="68"/>
      <c r="AB480" s="68"/>
      <c r="AC480" s="68"/>
      <c r="AD480" s="68"/>
      <c r="AE480" s="68"/>
    </row>
    <row r="481" spans="16:31" x14ac:dyDescent="0.2">
      <c r="P481" s="68"/>
      <c r="Q481" s="74"/>
      <c r="R481" s="74"/>
      <c r="S481" s="74"/>
      <c r="T481" s="75"/>
      <c r="U481" s="76"/>
      <c r="V481" s="77"/>
      <c r="W481" s="77"/>
      <c r="X481" s="76"/>
      <c r="Y481" s="76"/>
      <c r="Z481" s="68"/>
      <c r="AA481" s="68"/>
      <c r="AB481" s="68"/>
      <c r="AC481" s="68"/>
      <c r="AD481" s="68"/>
      <c r="AE481" s="68"/>
    </row>
    <row r="482" spans="16:31" x14ac:dyDescent="0.2">
      <c r="P482" s="68"/>
      <c r="Q482" s="74"/>
      <c r="R482" s="74"/>
      <c r="S482" s="74"/>
      <c r="T482" s="75"/>
      <c r="U482" s="76"/>
      <c r="V482" s="77"/>
      <c r="W482" s="77"/>
      <c r="X482" s="76"/>
      <c r="Y482" s="76"/>
      <c r="Z482" s="68"/>
      <c r="AA482" s="68"/>
      <c r="AB482" s="68"/>
      <c r="AC482" s="68"/>
      <c r="AD482" s="68"/>
      <c r="AE482" s="68"/>
    </row>
    <row r="483" spans="16:31" x14ac:dyDescent="0.2">
      <c r="P483" s="68"/>
      <c r="Q483" s="74"/>
      <c r="R483" s="74"/>
      <c r="S483" s="74"/>
      <c r="T483" s="75"/>
      <c r="U483" s="76"/>
      <c r="V483" s="77"/>
      <c r="W483" s="77"/>
      <c r="X483" s="76"/>
      <c r="Y483" s="76"/>
      <c r="Z483" s="68"/>
      <c r="AA483" s="68"/>
      <c r="AB483" s="68"/>
      <c r="AC483" s="68"/>
      <c r="AD483" s="68"/>
      <c r="AE483" s="68"/>
    </row>
    <row r="484" spans="16:31" x14ac:dyDescent="0.2">
      <c r="P484" s="68"/>
      <c r="Q484" s="74"/>
      <c r="R484" s="74"/>
      <c r="S484" s="74"/>
      <c r="T484" s="75"/>
      <c r="U484" s="76"/>
      <c r="V484" s="77"/>
      <c r="W484" s="77"/>
      <c r="X484" s="76"/>
      <c r="Y484" s="76"/>
      <c r="Z484" s="68"/>
      <c r="AA484" s="68"/>
      <c r="AB484" s="68"/>
      <c r="AC484" s="68"/>
      <c r="AD484" s="68"/>
      <c r="AE484" s="68"/>
    </row>
    <row r="485" spans="16:31" x14ac:dyDescent="0.2">
      <c r="P485" s="68"/>
      <c r="Q485" s="74"/>
      <c r="R485" s="74"/>
      <c r="S485" s="74"/>
      <c r="T485" s="75"/>
      <c r="U485" s="76"/>
      <c r="V485" s="77"/>
      <c r="W485" s="77"/>
      <c r="X485" s="76"/>
      <c r="Y485" s="76"/>
      <c r="Z485" s="68"/>
      <c r="AA485" s="68"/>
      <c r="AB485" s="68"/>
      <c r="AC485" s="68"/>
      <c r="AD485" s="68"/>
      <c r="AE485" s="68"/>
    </row>
    <row r="486" spans="16:31" x14ac:dyDescent="0.2">
      <c r="P486" s="68"/>
      <c r="Q486" s="74"/>
      <c r="R486" s="74"/>
      <c r="S486" s="74"/>
      <c r="T486" s="75"/>
      <c r="U486" s="76"/>
      <c r="V486" s="77"/>
      <c r="W486" s="77"/>
      <c r="X486" s="76"/>
      <c r="Y486" s="76"/>
      <c r="Z486" s="68"/>
      <c r="AA486" s="68"/>
      <c r="AB486" s="68"/>
      <c r="AC486" s="68"/>
      <c r="AD486" s="68"/>
      <c r="AE486" s="68"/>
    </row>
    <row r="487" spans="16:31" x14ac:dyDescent="0.2">
      <c r="P487" s="68"/>
      <c r="Q487" s="74"/>
      <c r="R487" s="74"/>
      <c r="S487" s="74"/>
      <c r="T487" s="75"/>
      <c r="U487" s="76"/>
      <c r="V487" s="77"/>
      <c r="W487" s="77"/>
      <c r="X487" s="76"/>
      <c r="Y487" s="76"/>
      <c r="Z487" s="68"/>
      <c r="AA487" s="68"/>
      <c r="AB487" s="68"/>
      <c r="AC487" s="68"/>
      <c r="AD487" s="68"/>
      <c r="AE487" s="68"/>
    </row>
    <row r="488" spans="16:31" x14ac:dyDescent="0.2">
      <c r="P488" s="68"/>
      <c r="Q488" s="74"/>
      <c r="R488" s="74"/>
      <c r="S488" s="74"/>
      <c r="T488" s="75"/>
      <c r="U488" s="76"/>
      <c r="V488" s="77"/>
      <c r="W488" s="77"/>
      <c r="X488" s="76"/>
      <c r="Y488" s="76"/>
      <c r="Z488" s="68"/>
      <c r="AA488" s="68"/>
      <c r="AB488" s="68"/>
      <c r="AC488" s="68"/>
      <c r="AD488" s="68"/>
      <c r="AE488" s="68"/>
    </row>
    <row r="489" spans="16:31" x14ac:dyDescent="0.2">
      <c r="P489" s="68"/>
      <c r="Q489" s="74"/>
      <c r="R489" s="74"/>
      <c r="S489" s="74"/>
      <c r="T489" s="75"/>
      <c r="U489" s="76"/>
      <c r="V489" s="77"/>
      <c r="W489" s="77"/>
      <c r="X489" s="76"/>
      <c r="Y489" s="76"/>
      <c r="Z489" s="68"/>
      <c r="AA489" s="68"/>
      <c r="AB489" s="68"/>
      <c r="AC489" s="68"/>
      <c r="AD489" s="68"/>
      <c r="AE489" s="68"/>
    </row>
    <row r="490" spans="16:31" x14ac:dyDescent="0.2">
      <c r="P490" s="68"/>
      <c r="Q490" s="74"/>
      <c r="R490" s="74"/>
      <c r="S490" s="74"/>
      <c r="T490" s="75"/>
      <c r="U490" s="76"/>
      <c r="V490" s="77"/>
      <c r="W490" s="77"/>
      <c r="X490" s="76"/>
      <c r="Y490" s="76"/>
      <c r="Z490" s="68"/>
      <c r="AA490" s="68"/>
      <c r="AB490" s="68"/>
      <c r="AC490" s="68"/>
      <c r="AD490" s="68"/>
      <c r="AE490" s="68"/>
    </row>
    <row r="491" spans="16:31" x14ac:dyDescent="0.2">
      <c r="P491" s="68"/>
      <c r="Q491" s="74"/>
      <c r="R491" s="74"/>
      <c r="S491" s="74"/>
      <c r="T491" s="75"/>
      <c r="U491" s="76"/>
      <c r="V491" s="77"/>
      <c r="W491" s="77"/>
      <c r="X491" s="76"/>
      <c r="Y491" s="76"/>
      <c r="Z491" s="68"/>
      <c r="AA491" s="68"/>
      <c r="AB491" s="68"/>
      <c r="AC491" s="68"/>
      <c r="AD491" s="68"/>
      <c r="AE491" s="68"/>
    </row>
    <row r="492" spans="16:31" x14ac:dyDescent="0.2">
      <c r="P492" s="68"/>
      <c r="Q492" s="74"/>
      <c r="R492" s="74"/>
      <c r="S492" s="74"/>
      <c r="T492" s="75"/>
      <c r="U492" s="76"/>
      <c r="V492" s="77"/>
      <c r="W492" s="77"/>
      <c r="X492" s="76"/>
      <c r="Y492" s="76"/>
      <c r="Z492" s="68"/>
      <c r="AA492" s="68"/>
      <c r="AB492" s="68"/>
      <c r="AC492" s="68"/>
      <c r="AD492" s="68"/>
      <c r="AE492" s="68"/>
    </row>
    <row r="493" spans="16:31" x14ac:dyDescent="0.2">
      <c r="P493" s="68"/>
      <c r="Q493" s="74"/>
      <c r="R493" s="74"/>
      <c r="S493" s="74"/>
      <c r="T493" s="75"/>
      <c r="U493" s="76"/>
      <c r="V493" s="77"/>
      <c r="W493" s="77"/>
      <c r="X493" s="76"/>
      <c r="Y493" s="76"/>
      <c r="Z493" s="68"/>
      <c r="AA493" s="68"/>
      <c r="AB493" s="68"/>
      <c r="AC493" s="68"/>
      <c r="AD493" s="68"/>
      <c r="AE493" s="68"/>
    </row>
    <row r="494" spans="16:31" x14ac:dyDescent="0.2">
      <c r="P494" s="68"/>
      <c r="Q494" s="74"/>
      <c r="R494" s="74"/>
      <c r="S494" s="74"/>
      <c r="T494" s="75"/>
      <c r="U494" s="76"/>
      <c r="V494" s="77"/>
      <c r="W494" s="77"/>
      <c r="X494" s="76"/>
      <c r="Y494" s="76"/>
      <c r="Z494" s="68"/>
      <c r="AA494" s="68"/>
      <c r="AB494" s="68"/>
      <c r="AC494" s="68"/>
      <c r="AD494" s="68"/>
      <c r="AE494" s="68"/>
    </row>
    <row r="495" spans="16:31" x14ac:dyDescent="0.2">
      <c r="P495" s="68"/>
      <c r="Q495" s="74"/>
      <c r="R495" s="74"/>
      <c r="S495" s="74"/>
      <c r="T495" s="75"/>
      <c r="U495" s="76"/>
      <c r="V495" s="77"/>
      <c r="W495" s="77"/>
      <c r="X495" s="76"/>
      <c r="Y495" s="76"/>
      <c r="Z495" s="68"/>
      <c r="AA495" s="68"/>
      <c r="AB495" s="68"/>
      <c r="AC495" s="68"/>
      <c r="AD495" s="68"/>
      <c r="AE495" s="68"/>
    </row>
    <row r="496" spans="16:31" x14ac:dyDescent="0.2">
      <c r="P496" s="68"/>
      <c r="Q496" s="74"/>
      <c r="R496" s="74"/>
      <c r="S496" s="74"/>
      <c r="T496" s="75"/>
      <c r="U496" s="76"/>
      <c r="V496" s="77"/>
      <c r="W496" s="77"/>
      <c r="X496" s="76"/>
      <c r="Y496" s="76"/>
      <c r="Z496" s="68"/>
      <c r="AA496" s="68"/>
      <c r="AB496" s="68"/>
      <c r="AC496" s="68"/>
      <c r="AD496" s="68"/>
      <c r="AE496" s="68"/>
    </row>
    <row r="497" spans="16:31" x14ac:dyDescent="0.2">
      <c r="P497" s="68"/>
      <c r="Q497" s="74"/>
      <c r="R497" s="74"/>
      <c r="S497" s="74"/>
      <c r="T497" s="75"/>
      <c r="U497" s="76"/>
      <c r="V497" s="77"/>
      <c r="W497" s="77"/>
      <c r="X497" s="76"/>
      <c r="Y497" s="76"/>
      <c r="Z497" s="68"/>
      <c r="AA497" s="68"/>
      <c r="AB497" s="68"/>
      <c r="AC497" s="68"/>
      <c r="AD497" s="68"/>
      <c r="AE497" s="68"/>
    </row>
    <row r="498" spans="16:31" x14ac:dyDescent="0.2">
      <c r="P498" s="68"/>
      <c r="Q498" s="74"/>
      <c r="R498" s="74"/>
      <c r="S498" s="74"/>
      <c r="T498" s="75"/>
      <c r="U498" s="76"/>
      <c r="V498" s="77"/>
      <c r="W498" s="77"/>
      <c r="X498" s="76"/>
      <c r="Y498" s="76"/>
      <c r="Z498" s="68"/>
      <c r="AA498" s="68"/>
      <c r="AB498" s="68"/>
      <c r="AC498" s="68"/>
      <c r="AD498" s="68"/>
      <c r="AE498" s="68"/>
    </row>
    <row r="499" spans="16:31" x14ac:dyDescent="0.2">
      <c r="P499" s="68"/>
      <c r="Q499" s="74"/>
      <c r="R499" s="74"/>
      <c r="S499" s="74"/>
      <c r="T499" s="75"/>
      <c r="U499" s="76"/>
      <c r="V499" s="77"/>
      <c r="W499" s="77"/>
      <c r="X499" s="76"/>
      <c r="Y499" s="76"/>
      <c r="Z499" s="68"/>
      <c r="AA499" s="68"/>
      <c r="AB499" s="68"/>
      <c r="AC499" s="68"/>
      <c r="AD499" s="68"/>
      <c r="AE499" s="68"/>
    </row>
    <row r="500" spans="16:31" x14ac:dyDescent="0.2">
      <c r="P500" s="68"/>
      <c r="Q500" s="74"/>
      <c r="R500" s="74"/>
      <c r="S500" s="74"/>
      <c r="T500" s="75"/>
      <c r="U500" s="76"/>
      <c r="V500" s="77"/>
      <c r="W500" s="77"/>
      <c r="X500" s="76"/>
      <c r="Y500" s="76"/>
      <c r="Z500" s="68"/>
      <c r="AA500" s="68"/>
      <c r="AB500" s="68"/>
      <c r="AC500" s="68"/>
      <c r="AD500" s="68"/>
      <c r="AE500" s="68"/>
    </row>
    <row r="501" spans="16:31" x14ac:dyDescent="0.2">
      <c r="P501" s="68"/>
      <c r="Q501" s="74"/>
      <c r="R501" s="74"/>
      <c r="S501" s="74"/>
      <c r="T501" s="75"/>
      <c r="U501" s="76"/>
      <c r="V501" s="77"/>
      <c r="W501" s="77"/>
      <c r="X501" s="76"/>
      <c r="Y501" s="76"/>
      <c r="Z501" s="68"/>
      <c r="AA501" s="68"/>
      <c r="AB501" s="68"/>
      <c r="AC501" s="68"/>
      <c r="AD501" s="68"/>
      <c r="AE501" s="68"/>
    </row>
    <row r="502" spans="16:31" x14ac:dyDescent="0.2">
      <c r="P502" s="68"/>
      <c r="Q502" s="74"/>
      <c r="R502" s="74"/>
      <c r="S502" s="74"/>
      <c r="T502" s="75"/>
      <c r="U502" s="76"/>
      <c r="V502" s="77"/>
      <c r="W502" s="77"/>
      <c r="X502" s="76"/>
      <c r="Y502" s="76"/>
      <c r="Z502" s="68"/>
      <c r="AA502" s="68"/>
      <c r="AB502" s="68"/>
      <c r="AC502" s="68"/>
      <c r="AD502" s="68"/>
      <c r="AE502" s="68"/>
    </row>
    <row r="503" spans="16:31" x14ac:dyDescent="0.2">
      <c r="P503" s="68"/>
      <c r="Q503" s="74"/>
      <c r="R503" s="74"/>
      <c r="S503" s="74"/>
      <c r="T503" s="75"/>
      <c r="U503" s="76"/>
      <c r="V503" s="77"/>
      <c r="W503" s="77"/>
      <c r="X503" s="76"/>
      <c r="Y503" s="76"/>
      <c r="Z503" s="68"/>
      <c r="AA503" s="68"/>
      <c r="AB503" s="68"/>
      <c r="AC503" s="68"/>
      <c r="AD503" s="68"/>
      <c r="AE503" s="68"/>
    </row>
    <row r="504" spans="16:31" x14ac:dyDescent="0.2">
      <c r="P504" s="68"/>
      <c r="Q504" s="74"/>
      <c r="R504" s="74"/>
      <c r="S504" s="74"/>
      <c r="T504" s="75"/>
      <c r="U504" s="76"/>
      <c r="V504" s="77"/>
      <c r="W504" s="77"/>
      <c r="X504" s="76"/>
      <c r="Y504" s="76"/>
      <c r="Z504" s="68"/>
      <c r="AA504" s="68"/>
      <c r="AB504" s="68"/>
      <c r="AC504" s="68"/>
      <c r="AD504" s="68"/>
      <c r="AE504" s="68"/>
    </row>
    <row r="505" spans="16:31" x14ac:dyDescent="0.2">
      <c r="P505" s="68"/>
      <c r="Q505" s="74"/>
      <c r="R505" s="74"/>
      <c r="S505" s="74"/>
      <c r="T505" s="75"/>
      <c r="U505" s="76"/>
      <c r="V505" s="77"/>
      <c r="W505" s="77"/>
      <c r="X505" s="76"/>
      <c r="Y505" s="76"/>
      <c r="Z505" s="68"/>
      <c r="AA505" s="68"/>
      <c r="AB505" s="68"/>
      <c r="AC505" s="68"/>
      <c r="AD505" s="68"/>
      <c r="AE505" s="68"/>
    </row>
    <row r="506" spans="16:31" x14ac:dyDescent="0.2">
      <c r="P506" s="68"/>
      <c r="Q506" s="74"/>
      <c r="R506" s="74"/>
      <c r="S506" s="74"/>
      <c r="T506" s="75"/>
      <c r="U506" s="76"/>
      <c r="V506" s="77"/>
      <c r="W506" s="77"/>
      <c r="X506" s="76"/>
      <c r="Y506" s="76"/>
      <c r="Z506" s="68"/>
      <c r="AA506" s="68"/>
      <c r="AB506" s="68"/>
      <c r="AC506" s="68"/>
      <c r="AD506" s="68"/>
      <c r="AE506" s="68"/>
    </row>
    <row r="507" spans="16:31" x14ac:dyDescent="0.2">
      <c r="P507" s="68"/>
      <c r="Q507" s="74"/>
      <c r="R507" s="74"/>
      <c r="S507" s="74"/>
      <c r="T507" s="75"/>
      <c r="U507" s="76"/>
      <c r="V507" s="77"/>
      <c r="W507" s="77"/>
      <c r="X507" s="76"/>
      <c r="Y507" s="76"/>
      <c r="Z507" s="68"/>
      <c r="AA507" s="68"/>
      <c r="AB507" s="68"/>
      <c r="AC507" s="68"/>
      <c r="AD507" s="68"/>
      <c r="AE507" s="68"/>
    </row>
    <row r="508" spans="16:31" x14ac:dyDescent="0.2">
      <c r="P508" s="68"/>
      <c r="Q508" s="74"/>
      <c r="R508" s="74"/>
      <c r="S508" s="74"/>
      <c r="T508" s="75"/>
      <c r="U508" s="76"/>
      <c r="V508" s="77"/>
      <c r="W508" s="77"/>
      <c r="X508" s="76"/>
      <c r="Y508" s="76"/>
      <c r="Z508" s="68"/>
      <c r="AA508" s="68"/>
      <c r="AB508" s="68"/>
      <c r="AC508" s="68"/>
      <c r="AD508" s="68"/>
      <c r="AE508" s="68"/>
    </row>
    <row r="509" spans="16:31" x14ac:dyDescent="0.2">
      <c r="P509" s="68"/>
      <c r="Q509" s="74"/>
      <c r="R509" s="74"/>
      <c r="S509" s="74"/>
      <c r="T509" s="75"/>
      <c r="U509" s="76"/>
      <c r="V509" s="77"/>
      <c r="W509" s="77"/>
      <c r="X509" s="76"/>
      <c r="Y509" s="76"/>
      <c r="Z509" s="68"/>
      <c r="AA509" s="68"/>
      <c r="AB509" s="68"/>
      <c r="AC509" s="68"/>
      <c r="AD509" s="68"/>
      <c r="AE509" s="68"/>
    </row>
    <row r="510" spans="16:31" x14ac:dyDescent="0.2">
      <c r="P510" s="68"/>
      <c r="Q510" s="74"/>
      <c r="R510" s="74"/>
      <c r="S510" s="74"/>
      <c r="T510" s="75"/>
      <c r="U510" s="76"/>
      <c r="V510" s="77"/>
      <c r="W510" s="77"/>
      <c r="X510" s="76"/>
      <c r="Y510" s="76"/>
      <c r="Z510" s="68"/>
      <c r="AA510" s="68"/>
      <c r="AB510" s="68"/>
      <c r="AC510" s="68"/>
      <c r="AD510" s="68"/>
      <c r="AE510" s="68"/>
    </row>
    <row r="511" spans="16:31" x14ac:dyDescent="0.2">
      <c r="P511" s="68"/>
      <c r="Q511" s="74"/>
      <c r="R511" s="74"/>
      <c r="S511" s="74"/>
      <c r="T511" s="75"/>
      <c r="U511" s="76"/>
      <c r="V511" s="77"/>
      <c r="W511" s="77"/>
      <c r="X511" s="76"/>
      <c r="Y511" s="76"/>
      <c r="Z511" s="68"/>
      <c r="AA511" s="68"/>
      <c r="AB511" s="68"/>
      <c r="AC511" s="68"/>
      <c r="AD511" s="68"/>
      <c r="AE511" s="68"/>
    </row>
    <row r="512" spans="16:31" x14ac:dyDescent="0.2">
      <c r="P512" s="68"/>
      <c r="Q512" s="74"/>
      <c r="R512" s="74"/>
      <c r="S512" s="74"/>
      <c r="T512" s="75"/>
      <c r="U512" s="76"/>
      <c r="V512" s="77"/>
      <c r="W512" s="77"/>
      <c r="X512" s="76"/>
      <c r="Y512" s="76"/>
      <c r="Z512" s="68"/>
      <c r="AA512" s="68"/>
      <c r="AB512" s="68"/>
      <c r="AC512" s="68"/>
      <c r="AD512" s="68"/>
      <c r="AE512" s="68"/>
    </row>
    <row r="513" spans="16:31" x14ac:dyDescent="0.2">
      <c r="P513" s="68"/>
      <c r="Q513" s="74"/>
      <c r="R513" s="74"/>
      <c r="S513" s="74"/>
      <c r="T513" s="75"/>
      <c r="U513" s="76"/>
      <c r="V513" s="77"/>
      <c r="W513" s="77"/>
      <c r="X513" s="76"/>
      <c r="Y513" s="76"/>
      <c r="Z513" s="68"/>
      <c r="AA513" s="68"/>
      <c r="AB513" s="68"/>
      <c r="AC513" s="68"/>
      <c r="AD513" s="68"/>
      <c r="AE513" s="68"/>
    </row>
    <row r="514" spans="16:31" x14ac:dyDescent="0.2">
      <c r="P514" s="68"/>
      <c r="Q514" s="74"/>
      <c r="R514" s="74"/>
      <c r="S514" s="74"/>
      <c r="T514" s="75"/>
      <c r="U514" s="76"/>
      <c r="V514" s="77"/>
      <c r="W514" s="77"/>
      <c r="X514" s="76"/>
      <c r="Y514" s="76"/>
      <c r="Z514" s="68"/>
      <c r="AA514" s="68"/>
      <c r="AB514" s="68"/>
      <c r="AC514" s="68"/>
      <c r="AD514" s="68"/>
      <c r="AE514" s="68"/>
    </row>
    <row r="515" spans="16:31" x14ac:dyDescent="0.2">
      <c r="P515" s="68"/>
      <c r="Q515" s="74"/>
      <c r="R515" s="74"/>
      <c r="S515" s="74"/>
      <c r="T515" s="75"/>
      <c r="U515" s="76"/>
      <c r="V515" s="77"/>
      <c r="W515" s="77"/>
      <c r="X515" s="76"/>
      <c r="Y515" s="76"/>
      <c r="Z515" s="68"/>
      <c r="AA515" s="68"/>
      <c r="AB515" s="68"/>
      <c r="AC515" s="68"/>
      <c r="AD515" s="68"/>
      <c r="AE515" s="68"/>
    </row>
    <row r="516" spans="16:31" x14ac:dyDescent="0.2">
      <c r="P516" s="68"/>
      <c r="Q516" s="74"/>
      <c r="R516" s="74"/>
      <c r="S516" s="74"/>
      <c r="T516" s="75"/>
      <c r="U516" s="76"/>
      <c r="V516" s="77"/>
      <c r="W516" s="77"/>
      <c r="X516" s="76"/>
      <c r="Y516" s="76"/>
      <c r="Z516" s="68"/>
      <c r="AA516" s="68"/>
      <c r="AB516" s="68"/>
      <c r="AC516" s="68"/>
      <c r="AD516" s="68"/>
      <c r="AE516" s="68"/>
    </row>
    <row r="517" spans="16:31" x14ac:dyDescent="0.2">
      <c r="P517" s="68"/>
      <c r="Q517" s="74"/>
      <c r="R517" s="74"/>
      <c r="S517" s="74"/>
      <c r="T517" s="75"/>
      <c r="U517" s="76"/>
      <c r="V517" s="77"/>
      <c r="W517" s="77"/>
      <c r="X517" s="76"/>
      <c r="Y517" s="76"/>
      <c r="Z517" s="68"/>
      <c r="AA517" s="68"/>
      <c r="AB517" s="68"/>
      <c r="AC517" s="68"/>
      <c r="AD517" s="68"/>
      <c r="AE517" s="68"/>
    </row>
    <row r="518" spans="16:31" x14ac:dyDescent="0.2">
      <c r="P518" s="68"/>
      <c r="Q518" s="74"/>
      <c r="R518" s="74"/>
      <c r="S518" s="74"/>
      <c r="T518" s="75"/>
      <c r="U518" s="76"/>
      <c r="V518" s="77"/>
      <c r="W518" s="77"/>
      <c r="X518" s="76"/>
      <c r="Y518" s="76"/>
      <c r="Z518" s="68"/>
      <c r="AA518" s="68"/>
      <c r="AB518" s="68"/>
      <c r="AC518" s="68"/>
      <c r="AD518" s="68"/>
      <c r="AE518" s="68"/>
    </row>
    <row r="519" spans="16:31" x14ac:dyDescent="0.2">
      <c r="P519" s="68"/>
      <c r="Q519" s="74"/>
      <c r="R519" s="74"/>
      <c r="S519" s="74"/>
      <c r="T519" s="75"/>
      <c r="U519" s="76"/>
      <c r="V519" s="77"/>
      <c r="W519" s="77"/>
      <c r="X519" s="76"/>
      <c r="Y519" s="76"/>
      <c r="Z519" s="68"/>
      <c r="AA519" s="68"/>
      <c r="AB519" s="68"/>
      <c r="AC519" s="68"/>
      <c r="AD519" s="68"/>
      <c r="AE519" s="68"/>
    </row>
    <row r="520" spans="16:31" x14ac:dyDescent="0.2">
      <c r="P520" s="68"/>
      <c r="Q520" s="74"/>
      <c r="R520" s="74"/>
      <c r="S520" s="74"/>
      <c r="T520" s="75"/>
      <c r="U520" s="76"/>
      <c r="V520" s="77"/>
      <c r="W520" s="77"/>
      <c r="X520" s="76"/>
      <c r="Y520" s="76"/>
      <c r="Z520" s="68"/>
      <c r="AA520" s="68"/>
      <c r="AB520" s="68"/>
      <c r="AC520" s="68"/>
      <c r="AD520" s="68"/>
      <c r="AE520" s="68"/>
    </row>
    <row r="521" spans="16:31" x14ac:dyDescent="0.2">
      <c r="P521" s="68"/>
      <c r="Q521" s="74"/>
      <c r="R521" s="74"/>
      <c r="S521" s="74"/>
      <c r="T521" s="75"/>
      <c r="U521" s="76"/>
      <c r="V521" s="77"/>
      <c r="W521" s="77"/>
      <c r="X521" s="76"/>
      <c r="Y521" s="76"/>
      <c r="Z521" s="68"/>
      <c r="AA521" s="68"/>
      <c r="AB521" s="68"/>
      <c r="AC521" s="68"/>
      <c r="AD521" s="68"/>
      <c r="AE521" s="68"/>
    </row>
    <row r="522" spans="16:31" x14ac:dyDescent="0.2">
      <c r="P522" s="68"/>
      <c r="Q522" s="74"/>
      <c r="R522" s="74"/>
      <c r="S522" s="74"/>
      <c r="T522" s="75"/>
      <c r="U522" s="76"/>
      <c r="V522" s="77"/>
      <c r="W522" s="77"/>
      <c r="X522" s="76"/>
      <c r="Y522" s="76"/>
      <c r="Z522" s="68"/>
      <c r="AA522" s="68"/>
      <c r="AB522" s="68"/>
      <c r="AC522" s="68"/>
      <c r="AD522" s="68"/>
      <c r="AE522" s="68"/>
    </row>
    <row r="523" spans="16:31" x14ac:dyDescent="0.2">
      <c r="P523" s="68"/>
      <c r="Q523" s="74"/>
      <c r="R523" s="74"/>
      <c r="S523" s="74"/>
      <c r="T523" s="75"/>
      <c r="U523" s="76"/>
      <c r="V523" s="77"/>
      <c r="W523" s="77"/>
      <c r="X523" s="76"/>
      <c r="Y523" s="76"/>
      <c r="Z523" s="68"/>
      <c r="AA523" s="68"/>
      <c r="AB523" s="68"/>
      <c r="AC523" s="68"/>
      <c r="AD523" s="68"/>
      <c r="AE523" s="68"/>
    </row>
    <row r="524" spans="16:31" x14ac:dyDescent="0.2">
      <c r="P524" s="68"/>
      <c r="Q524" s="74"/>
      <c r="R524" s="74"/>
      <c r="S524" s="74"/>
      <c r="T524" s="75"/>
      <c r="U524" s="76"/>
      <c r="V524" s="77"/>
      <c r="W524" s="77"/>
      <c r="X524" s="76"/>
      <c r="Y524" s="76"/>
      <c r="Z524" s="68"/>
      <c r="AA524" s="68"/>
      <c r="AB524" s="68"/>
      <c r="AC524" s="68"/>
      <c r="AD524" s="68"/>
      <c r="AE524" s="68"/>
    </row>
    <row r="525" spans="16:31" x14ac:dyDescent="0.2">
      <c r="P525" s="68"/>
      <c r="Q525" s="74"/>
      <c r="R525" s="74"/>
      <c r="S525" s="74"/>
      <c r="T525" s="75"/>
      <c r="U525" s="76"/>
      <c r="V525" s="77"/>
      <c r="W525" s="77"/>
      <c r="X525" s="76"/>
      <c r="Y525" s="76"/>
      <c r="Z525" s="68"/>
      <c r="AA525" s="68"/>
      <c r="AB525" s="68"/>
      <c r="AC525" s="68"/>
      <c r="AD525" s="68"/>
      <c r="AE525" s="68"/>
    </row>
    <row r="526" spans="16:31" x14ac:dyDescent="0.2">
      <c r="P526" s="68"/>
      <c r="Q526" s="74"/>
      <c r="R526" s="74"/>
      <c r="S526" s="74"/>
      <c r="T526" s="75"/>
      <c r="U526" s="76"/>
      <c r="V526" s="77"/>
      <c r="W526" s="77"/>
      <c r="X526" s="76"/>
      <c r="Y526" s="76"/>
      <c r="Z526" s="68"/>
      <c r="AA526" s="68"/>
      <c r="AB526" s="68"/>
      <c r="AC526" s="68"/>
      <c r="AD526" s="68"/>
      <c r="AE526" s="68"/>
    </row>
    <row r="527" spans="16:31" x14ac:dyDescent="0.2">
      <c r="P527" s="68"/>
      <c r="Q527" s="74"/>
      <c r="R527" s="74"/>
      <c r="S527" s="74"/>
      <c r="T527" s="75"/>
      <c r="U527" s="76"/>
      <c r="V527" s="77"/>
      <c r="W527" s="77"/>
      <c r="X527" s="76"/>
      <c r="Y527" s="76"/>
      <c r="Z527" s="68"/>
      <c r="AA527" s="68"/>
      <c r="AB527" s="68"/>
      <c r="AC527" s="68"/>
      <c r="AD527" s="68"/>
      <c r="AE527" s="68"/>
    </row>
    <row r="528" spans="16:31" x14ac:dyDescent="0.2">
      <c r="P528" s="68"/>
      <c r="Q528" s="74"/>
      <c r="R528" s="74"/>
      <c r="S528" s="74"/>
      <c r="T528" s="75"/>
      <c r="U528" s="76"/>
      <c r="V528" s="77"/>
      <c r="W528" s="77"/>
      <c r="X528" s="76"/>
      <c r="Y528" s="76"/>
      <c r="Z528" s="68"/>
      <c r="AA528" s="68"/>
      <c r="AB528" s="68"/>
      <c r="AC528" s="68"/>
      <c r="AD528" s="68"/>
      <c r="AE528" s="68"/>
    </row>
    <row r="529" spans="16:31" x14ac:dyDescent="0.2">
      <c r="P529" s="68"/>
      <c r="Q529" s="74"/>
      <c r="R529" s="74"/>
      <c r="S529" s="74"/>
      <c r="T529" s="75"/>
      <c r="U529" s="76"/>
      <c r="V529" s="77"/>
      <c r="W529" s="77"/>
      <c r="X529" s="76"/>
      <c r="Y529" s="76"/>
      <c r="Z529" s="68"/>
      <c r="AA529" s="68"/>
      <c r="AB529" s="68"/>
      <c r="AC529" s="68"/>
      <c r="AD529" s="68"/>
      <c r="AE529" s="68"/>
    </row>
    <row r="530" spans="16:31" x14ac:dyDescent="0.2">
      <c r="P530" s="68"/>
      <c r="Q530" s="74"/>
      <c r="R530" s="74"/>
      <c r="S530" s="74"/>
      <c r="T530" s="75"/>
      <c r="U530" s="76"/>
      <c r="V530" s="77"/>
      <c r="W530" s="77"/>
      <c r="X530" s="76"/>
      <c r="Y530" s="76"/>
      <c r="Z530" s="68"/>
      <c r="AA530" s="68"/>
      <c r="AB530" s="68"/>
      <c r="AC530" s="68"/>
      <c r="AD530" s="68"/>
      <c r="AE530" s="68"/>
    </row>
    <row r="531" spans="16:31" x14ac:dyDescent="0.2">
      <c r="P531" s="68"/>
      <c r="Q531" s="74"/>
      <c r="R531" s="74"/>
      <c r="S531" s="74"/>
      <c r="T531" s="75"/>
      <c r="U531" s="76"/>
      <c r="V531" s="77"/>
      <c r="W531" s="77"/>
      <c r="X531" s="76"/>
      <c r="Y531" s="76"/>
      <c r="Z531" s="68"/>
      <c r="AA531" s="68"/>
      <c r="AB531" s="68"/>
      <c r="AC531" s="68"/>
      <c r="AD531" s="68"/>
      <c r="AE531" s="68"/>
    </row>
    <row r="532" spans="16:31" x14ac:dyDescent="0.2">
      <c r="P532" s="68"/>
      <c r="Q532" s="74"/>
      <c r="R532" s="74"/>
      <c r="S532" s="74"/>
      <c r="T532" s="75"/>
      <c r="U532" s="76"/>
      <c r="V532" s="77"/>
      <c r="W532" s="77"/>
      <c r="X532" s="76"/>
      <c r="Y532" s="76"/>
      <c r="Z532" s="68"/>
      <c r="AA532" s="68"/>
      <c r="AB532" s="68"/>
      <c r="AC532" s="68"/>
      <c r="AD532" s="68"/>
      <c r="AE532" s="68"/>
    </row>
    <row r="533" spans="16:31" x14ac:dyDescent="0.2">
      <c r="P533" s="68"/>
      <c r="Q533" s="74"/>
      <c r="R533" s="74"/>
      <c r="S533" s="74"/>
      <c r="T533" s="75"/>
      <c r="U533" s="76"/>
      <c r="V533" s="77"/>
      <c r="W533" s="77"/>
      <c r="X533" s="76"/>
      <c r="Y533" s="76"/>
      <c r="Z533" s="68"/>
      <c r="AA533" s="68"/>
      <c r="AB533" s="68"/>
      <c r="AC533" s="68"/>
      <c r="AD533" s="68"/>
      <c r="AE533" s="68"/>
    </row>
    <row r="534" spans="16:31" x14ac:dyDescent="0.2">
      <c r="P534" s="68"/>
      <c r="Q534" s="74"/>
      <c r="R534" s="74"/>
      <c r="S534" s="74"/>
      <c r="T534" s="75"/>
      <c r="U534" s="76"/>
      <c r="V534" s="77"/>
      <c r="W534" s="77"/>
      <c r="X534" s="76"/>
      <c r="Y534" s="76"/>
      <c r="Z534" s="68"/>
      <c r="AA534" s="68"/>
      <c r="AB534" s="68"/>
      <c r="AC534" s="68"/>
      <c r="AD534" s="68"/>
      <c r="AE534" s="68"/>
    </row>
    <row r="535" spans="16:31" x14ac:dyDescent="0.2">
      <c r="P535" s="68"/>
      <c r="Q535" s="74"/>
      <c r="R535" s="74"/>
      <c r="S535" s="74"/>
      <c r="T535" s="75"/>
      <c r="U535" s="76"/>
      <c r="V535" s="77"/>
      <c r="W535" s="77"/>
      <c r="X535" s="76"/>
      <c r="Y535" s="76"/>
      <c r="Z535" s="68"/>
      <c r="AA535" s="68"/>
      <c r="AB535" s="68"/>
      <c r="AC535" s="68"/>
      <c r="AD535" s="68"/>
      <c r="AE535" s="68"/>
    </row>
    <row r="536" spans="16:31" x14ac:dyDescent="0.2">
      <c r="P536" s="68"/>
      <c r="Q536" s="74"/>
      <c r="R536" s="74"/>
      <c r="S536" s="74"/>
      <c r="T536" s="75"/>
      <c r="U536" s="76"/>
      <c r="V536" s="77"/>
      <c r="W536" s="77"/>
      <c r="X536" s="76"/>
      <c r="Y536" s="76"/>
      <c r="Z536" s="68"/>
      <c r="AA536" s="68"/>
      <c r="AB536" s="68"/>
      <c r="AC536" s="68"/>
      <c r="AD536" s="68"/>
      <c r="AE536" s="68"/>
    </row>
    <row r="537" spans="16:31" x14ac:dyDescent="0.2">
      <c r="P537" s="68"/>
      <c r="Q537" s="74"/>
      <c r="R537" s="74"/>
      <c r="S537" s="74"/>
      <c r="T537" s="75"/>
      <c r="U537" s="76"/>
      <c r="V537" s="77"/>
      <c r="W537" s="77"/>
      <c r="X537" s="76"/>
      <c r="Y537" s="76"/>
      <c r="Z537" s="68"/>
      <c r="AA537" s="68"/>
      <c r="AB537" s="68"/>
      <c r="AC537" s="68"/>
      <c r="AD537" s="68"/>
      <c r="AE537" s="68"/>
    </row>
    <row r="538" spans="16:31" x14ac:dyDescent="0.2">
      <c r="P538" s="68"/>
      <c r="Q538" s="74"/>
      <c r="R538" s="74"/>
      <c r="S538" s="74"/>
      <c r="T538" s="75"/>
      <c r="U538" s="76"/>
      <c r="V538" s="77"/>
      <c r="W538" s="77"/>
      <c r="X538" s="76"/>
      <c r="Y538" s="76"/>
      <c r="Z538" s="68"/>
      <c r="AA538" s="68"/>
      <c r="AB538" s="68"/>
      <c r="AC538" s="68"/>
      <c r="AD538" s="68"/>
      <c r="AE538" s="68"/>
    </row>
    <row r="539" spans="16:31" x14ac:dyDescent="0.2">
      <c r="P539" s="68"/>
      <c r="Q539" s="74"/>
      <c r="R539" s="74"/>
      <c r="S539" s="74"/>
      <c r="T539" s="75"/>
      <c r="U539" s="76"/>
      <c r="V539" s="77"/>
      <c r="W539" s="77"/>
      <c r="X539" s="76"/>
      <c r="Y539" s="76"/>
      <c r="Z539" s="68"/>
      <c r="AA539" s="68"/>
      <c r="AB539" s="68"/>
      <c r="AC539" s="68"/>
      <c r="AD539" s="68"/>
      <c r="AE539" s="68"/>
    </row>
    <row r="540" spans="16:31" x14ac:dyDescent="0.2">
      <c r="P540" s="68"/>
      <c r="Q540" s="74"/>
      <c r="R540" s="74"/>
      <c r="S540" s="74"/>
      <c r="T540" s="75"/>
      <c r="U540" s="76"/>
      <c r="V540" s="77"/>
      <c r="W540" s="77"/>
      <c r="X540" s="76"/>
      <c r="Y540" s="76"/>
      <c r="Z540" s="68"/>
      <c r="AA540" s="68"/>
      <c r="AB540" s="68"/>
      <c r="AC540" s="68"/>
      <c r="AD540" s="68"/>
      <c r="AE540" s="68"/>
    </row>
    <row r="541" spans="16:31" x14ac:dyDescent="0.2">
      <c r="P541" s="68"/>
      <c r="Q541" s="74"/>
      <c r="R541" s="74"/>
      <c r="S541" s="74"/>
      <c r="T541" s="75"/>
      <c r="U541" s="76"/>
      <c r="V541" s="77"/>
      <c r="W541" s="77"/>
      <c r="X541" s="76"/>
      <c r="Y541" s="76"/>
      <c r="Z541" s="68"/>
      <c r="AA541" s="68"/>
      <c r="AB541" s="68"/>
      <c r="AC541" s="68"/>
      <c r="AD541" s="68"/>
      <c r="AE541" s="68"/>
    </row>
    <row r="542" spans="16:31" x14ac:dyDescent="0.2">
      <c r="P542" s="68"/>
      <c r="Q542" s="74"/>
      <c r="R542" s="74"/>
      <c r="S542" s="74"/>
      <c r="T542" s="75"/>
      <c r="U542" s="76"/>
      <c r="V542" s="77"/>
      <c r="W542" s="77"/>
      <c r="X542" s="76"/>
      <c r="Y542" s="76"/>
      <c r="Z542" s="68"/>
      <c r="AA542" s="68"/>
      <c r="AB542" s="68"/>
      <c r="AC542" s="68"/>
      <c r="AD542" s="68"/>
      <c r="AE542" s="68"/>
    </row>
    <row r="543" spans="16:31" x14ac:dyDescent="0.2">
      <c r="P543" s="68"/>
      <c r="Q543" s="74"/>
      <c r="R543" s="74"/>
      <c r="S543" s="74"/>
      <c r="T543" s="75"/>
      <c r="U543" s="76"/>
      <c r="V543" s="77"/>
      <c r="W543" s="77"/>
      <c r="X543" s="76"/>
      <c r="Y543" s="76"/>
      <c r="Z543" s="68"/>
      <c r="AA543" s="68"/>
      <c r="AB543" s="68"/>
      <c r="AC543" s="68"/>
      <c r="AD543" s="68"/>
      <c r="AE543" s="68"/>
    </row>
    <row r="544" spans="16:31" x14ac:dyDescent="0.2">
      <c r="P544" s="68"/>
      <c r="Q544" s="74"/>
      <c r="R544" s="74"/>
      <c r="S544" s="74"/>
      <c r="T544" s="75"/>
      <c r="U544" s="76"/>
      <c r="V544" s="77"/>
      <c r="W544" s="77"/>
      <c r="X544" s="76"/>
      <c r="Y544" s="76"/>
      <c r="Z544" s="68"/>
      <c r="AA544" s="68"/>
      <c r="AB544" s="68"/>
      <c r="AC544" s="68"/>
      <c r="AD544" s="68"/>
      <c r="AE544" s="68"/>
    </row>
    <row r="545" spans="16:31" x14ac:dyDescent="0.2">
      <c r="P545" s="68"/>
      <c r="Q545" s="74"/>
      <c r="R545" s="74"/>
      <c r="S545" s="74"/>
      <c r="T545" s="75"/>
      <c r="U545" s="76"/>
      <c r="V545" s="77"/>
      <c r="W545" s="77"/>
      <c r="X545" s="76"/>
      <c r="Y545" s="76"/>
      <c r="Z545" s="68"/>
      <c r="AA545" s="68"/>
      <c r="AB545" s="68"/>
      <c r="AC545" s="68"/>
      <c r="AD545" s="68"/>
      <c r="AE545" s="68"/>
    </row>
    <row r="546" spans="16:31" x14ac:dyDescent="0.2">
      <c r="P546" s="68"/>
      <c r="Q546" s="74"/>
      <c r="R546" s="74"/>
      <c r="S546" s="74"/>
      <c r="T546" s="75"/>
      <c r="U546" s="76"/>
      <c r="V546" s="77"/>
      <c r="W546" s="77"/>
      <c r="X546" s="76"/>
      <c r="Y546" s="76"/>
      <c r="Z546" s="68"/>
      <c r="AA546" s="68"/>
      <c r="AB546" s="68"/>
      <c r="AC546" s="68"/>
      <c r="AD546" s="68"/>
      <c r="AE546" s="68"/>
    </row>
    <row r="547" spans="16:31" x14ac:dyDescent="0.2">
      <c r="P547" s="68"/>
      <c r="Q547" s="74"/>
      <c r="R547" s="74"/>
      <c r="S547" s="74"/>
      <c r="T547" s="75"/>
      <c r="U547" s="76"/>
      <c r="V547" s="77"/>
      <c r="W547" s="77"/>
      <c r="X547" s="76"/>
      <c r="Y547" s="76"/>
      <c r="Z547" s="68"/>
      <c r="AA547" s="68"/>
      <c r="AB547" s="68"/>
      <c r="AC547" s="68"/>
      <c r="AD547" s="68"/>
      <c r="AE547" s="68"/>
    </row>
    <row r="548" spans="16:31" x14ac:dyDescent="0.2">
      <c r="P548" s="68"/>
      <c r="Q548" s="74"/>
      <c r="R548" s="74"/>
      <c r="S548" s="74"/>
      <c r="T548" s="75"/>
      <c r="U548" s="76"/>
      <c r="V548" s="77"/>
      <c r="W548" s="77"/>
      <c r="X548" s="76"/>
      <c r="Y548" s="76"/>
      <c r="Z548" s="68"/>
      <c r="AA548" s="68"/>
      <c r="AB548" s="68"/>
      <c r="AC548" s="68"/>
      <c r="AD548" s="68"/>
      <c r="AE548" s="68"/>
    </row>
    <row r="549" spans="16:31" x14ac:dyDescent="0.2">
      <c r="P549" s="68"/>
      <c r="Q549" s="74"/>
      <c r="R549" s="74"/>
      <c r="S549" s="74"/>
      <c r="T549" s="75"/>
      <c r="U549" s="76"/>
      <c r="V549" s="77"/>
      <c r="W549" s="77"/>
      <c r="X549" s="76"/>
      <c r="Y549" s="76"/>
      <c r="Z549" s="68"/>
      <c r="AA549" s="68"/>
      <c r="AB549" s="68"/>
      <c r="AC549" s="68"/>
      <c r="AD549" s="68"/>
      <c r="AE549" s="68"/>
    </row>
    <row r="550" spans="16:31" x14ac:dyDescent="0.2">
      <c r="P550" s="68"/>
      <c r="Q550" s="74"/>
      <c r="R550" s="74"/>
      <c r="S550" s="74"/>
      <c r="T550" s="75"/>
      <c r="U550" s="76"/>
      <c r="V550" s="77"/>
      <c r="W550" s="77"/>
      <c r="X550" s="76"/>
      <c r="Y550" s="76"/>
      <c r="Z550" s="68"/>
      <c r="AA550" s="68"/>
      <c r="AB550" s="68"/>
      <c r="AC550" s="68"/>
      <c r="AD550" s="68"/>
      <c r="AE550" s="68"/>
    </row>
    <row r="551" spans="16:31" x14ac:dyDescent="0.2">
      <c r="P551" s="68"/>
      <c r="Q551" s="74"/>
      <c r="R551" s="74"/>
      <c r="S551" s="74"/>
      <c r="T551" s="75"/>
      <c r="U551" s="76"/>
      <c r="V551" s="77"/>
      <c r="W551" s="77"/>
      <c r="X551" s="76"/>
      <c r="Y551" s="76"/>
      <c r="Z551" s="68"/>
      <c r="AA551" s="68"/>
      <c r="AB551" s="68"/>
      <c r="AC551" s="68"/>
      <c r="AD551" s="68"/>
      <c r="AE551" s="68"/>
    </row>
    <row r="552" spans="16:31" x14ac:dyDescent="0.2">
      <c r="P552" s="68"/>
      <c r="Q552" s="74"/>
      <c r="R552" s="74"/>
      <c r="S552" s="74"/>
      <c r="T552" s="75"/>
      <c r="U552" s="76"/>
      <c r="V552" s="77"/>
      <c r="W552" s="77"/>
      <c r="X552" s="76"/>
      <c r="Y552" s="76"/>
      <c r="Z552" s="68"/>
      <c r="AA552" s="68"/>
      <c r="AB552" s="68"/>
      <c r="AC552" s="68"/>
      <c r="AD552" s="68"/>
      <c r="AE552" s="68"/>
    </row>
    <row r="553" spans="16:31" x14ac:dyDescent="0.2">
      <c r="P553" s="68"/>
      <c r="Q553" s="74"/>
      <c r="R553" s="74"/>
      <c r="S553" s="74"/>
      <c r="T553" s="75"/>
      <c r="U553" s="76"/>
      <c r="V553" s="77"/>
      <c r="W553" s="77"/>
      <c r="X553" s="76"/>
      <c r="Y553" s="76"/>
      <c r="Z553" s="68"/>
      <c r="AA553" s="68"/>
      <c r="AB553" s="68"/>
      <c r="AC553" s="68"/>
      <c r="AD553" s="68"/>
      <c r="AE553" s="68"/>
    </row>
    <row r="554" spans="16:31" x14ac:dyDescent="0.2">
      <c r="P554" s="68"/>
      <c r="Q554" s="74"/>
      <c r="R554" s="74"/>
      <c r="S554" s="74"/>
      <c r="T554" s="75"/>
      <c r="U554" s="76"/>
      <c r="V554" s="77"/>
      <c r="W554" s="77"/>
      <c r="X554" s="76"/>
      <c r="Y554" s="76"/>
      <c r="Z554" s="68"/>
      <c r="AA554" s="68"/>
      <c r="AB554" s="68"/>
      <c r="AC554" s="68"/>
      <c r="AD554" s="68"/>
      <c r="AE554" s="68"/>
    </row>
    <row r="555" spans="16:31" x14ac:dyDescent="0.2">
      <c r="P555" s="68"/>
      <c r="Q555" s="74"/>
      <c r="R555" s="74"/>
      <c r="S555" s="74"/>
      <c r="T555" s="75"/>
      <c r="U555" s="76"/>
      <c r="V555" s="77"/>
      <c r="W555" s="77"/>
      <c r="X555" s="76"/>
      <c r="Y555" s="76"/>
      <c r="Z555" s="68"/>
      <c r="AA555" s="68"/>
      <c r="AB555" s="68"/>
      <c r="AC555" s="68"/>
      <c r="AD555" s="68"/>
      <c r="AE555" s="68"/>
    </row>
    <row r="556" spans="16:31" x14ac:dyDescent="0.2">
      <c r="P556" s="68"/>
      <c r="Q556" s="74"/>
      <c r="R556" s="74"/>
      <c r="S556" s="74"/>
      <c r="T556" s="75"/>
      <c r="U556" s="76"/>
      <c r="V556" s="77"/>
      <c r="W556" s="77"/>
      <c r="X556" s="76"/>
      <c r="Y556" s="76"/>
      <c r="Z556" s="68"/>
      <c r="AA556" s="68"/>
      <c r="AB556" s="68"/>
      <c r="AC556" s="68"/>
      <c r="AD556" s="68"/>
      <c r="AE556" s="68"/>
    </row>
    <row r="557" spans="16:31" x14ac:dyDescent="0.2">
      <c r="P557" s="68"/>
      <c r="Q557" s="74"/>
      <c r="R557" s="74"/>
      <c r="S557" s="74"/>
      <c r="T557" s="75"/>
      <c r="U557" s="76"/>
      <c r="V557" s="77"/>
      <c r="W557" s="77"/>
      <c r="X557" s="76"/>
      <c r="Y557" s="76"/>
      <c r="Z557" s="68"/>
      <c r="AA557" s="68"/>
      <c r="AB557" s="68"/>
      <c r="AC557" s="68"/>
      <c r="AD557" s="68"/>
      <c r="AE557" s="68"/>
    </row>
    <row r="558" spans="16:31" x14ac:dyDescent="0.2">
      <c r="P558" s="68"/>
      <c r="Q558" s="74"/>
      <c r="R558" s="74"/>
      <c r="S558" s="74"/>
      <c r="T558" s="75"/>
      <c r="U558" s="76"/>
      <c r="V558" s="77"/>
      <c r="W558" s="77"/>
      <c r="X558" s="76"/>
      <c r="Y558" s="76"/>
      <c r="Z558" s="68"/>
      <c r="AA558" s="68"/>
      <c r="AB558" s="68"/>
      <c r="AC558" s="68"/>
      <c r="AD558" s="68"/>
      <c r="AE558" s="68"/>
    </row>
    <row r="559" spans="16:31" x14ac:dyDescent="0.2">
      <c r="P559" s="68"/>
      <c r="Q559" s="74"/>
      <c r="R559" s="74"/>
      <c r="S559" s="74"/>
      <c r="T559" s="75"/>
      <c r="U559" s="76"/>
      <c r="V559" s="77"/>
      <c r="W559" s="77"/>
      <c r="X559" s="76"/>
      <c r="Y559" s="76"/>
      <c r="Z559" s="68"/>
      <c r="AA559" s="68"/>
      <c r="AB559" s="68"/>
      <c r="AC559" s="68"/>
      <c r="AD559" s="68"/>
      <c r="AE559" s="68"/>
    </row>
    <row r="560" spans="16:31" x14ac:dyDescent="0.2">
      <c r="P560" s="68"/>
      <c r="Q560" s="74"/>
      <c r="R560" s="74"/>
      <c r="S560" s="74"/>
      <c r="T560" s="75"/>
      <c r="U560" s="76"/>
      <c r="V560" s="77"/>
      <c r="W560" s="77"/>
      <c r="X560" s="76"/>
      <c r="Y560" s="76"/>
      <c r="Z560" s="68"/>
      <c r="AA560" s="68"/>
      <c r="AB560" s="68"/>
      <c r="AC560" s="68"/>
      <c r="AD560" s="68"/>
      <c r="AE560" s="68"/>
    </row>
    <row r="561" spans="16:31" x14ac:dyDescent="0.2">
      <c r="P561" s="68"/>
      <c r="Q561" s="74"/>
      <c r="R561" s="74"/>
      <c r="S561" s="74"/>
      <c r="T561" s="75"/>
      <c r="U561" s="76"/>
      <c r="V561" s="77"/>
      <c r="W561" s="77"/>
      <c r="X561" s="76"/>
      <c r="Y561" s="76"/>
      <c r="Z561" s="68"/>
      <c r="AA561" s="68"/>
      <c r="AB561" s="68"/>
      <c r="AC561" s="68"/>
      <c r="AD561" s="68"/>
      <c r="AE561" s="68"/>
    </row>
    <row r="562" spans="16:31" x14ac:dyDescent="0.2">
      <c r="P562" s="68"/>
      <c r="Q562" s="74"/>
      <c r="R562" s="74"/>
      <c r="S562" s="74"/>
      <c r="T562" s="75"/>
      <c r="U562" s="76"/>
      <c r="V562" s="77"/>
      <c r="W562" s="77"/>
      <c r="X562" s="76"/>
      <c r="Y562" s="76"/>
      <c r="Z562" s="68"/>
      <c r="AA562" s="68"/>
      <c r="AB562" s="68"/>
      <c r="AC562" s="68"/>
      <c r="AD562" s="68"/>
      <c r="AE562" s="68"/>
    </row>
    <row r="563" spans="16:31" x14ac:dyDescent="0.2">
      <c r="P563" s="68"/>
      <c r="Q563" s="74"/>
      <c r="R563" s="74"/>
      <c r="S563" s="74"/>
      <c r="T563" s="75"/>
      <c r="U563" s="76"/>
      <c r="V563" s="77"/>
      <c r="W563" s="77"/>
      <c r="X563" s="76"/>
      <c r="Y563" s="76"/>
      <c r="Z563" s="68"/>
      <c r="AA563" s="68"/>
      <c r="AB563" s="68"/>
      <c r="AC563" s="68"/>
      <c r="AD563" s="68"/>
      <c r="AE563" s="68"/>
    </row>
    <row r="564" spans="16:31" x14ac:dyDescent="0.2">
      <c r="P564" s="68"/>
      <c r="Q564" s="74"/>
      <c r="R564" s="74"/>
      <c r="S564" s="74"/>
      <c r="T564" s="75"/>
      <c r="U564" s="76"/>
      <c r="V564" s="77"/>
      <c r="W564" s="77"/>
      <c r="X564" s="76"/>
      <c r="Y564" s="76"/>
      <c r="Z564" s="68"/>
      <c r="AA564" s="68"/>
      <c r="AB564" s="68"/>
      <c r="AC564" s="68"/>
      <c r="AD564" s="68"/>
      <c r="AE564" s="68"/>
    </row>
    <row r="565" spans="16:31" x14ac:dyDescent="0.2">
      <c r="P565" s="68"/>
      <c r="Q565" s="74"/>
      <c r="R565" s="74"/>
      <c r="S565" s="74"/>
      <c r="T565" s="75"/>
      <c r="U565" s="76"/>
      <c r="V565" s="77"/>
      <c r="W565" s="77"/>
      <c r="X565" s="76"/>
      <c r="Y565" s="76"/>
      <c r="Z565" s="68"/>
      <c r="AA565" s="68"/>
      <c r="AB565" s="68"/>
      <c r="AC565" s="68"/>
      <c r="AD565" s="68"/>
      <c r="AE565" s="68"/>
    </row>
    <row r="566" spans="16:31" x14ac:dyDescent="0.2">
      <c r="P566" s="68"/>
      <c r="Q566" s="74"/>
      <c r="R566" s="74"/>
      <c r="S566" s="74"/>
      <c r="T566" s="75"/>
      <c r="U566" s="76"/>
      <c r="V566" s="77"/>
      <c r="W566" s="77"/>
      <c r="X566" s="76"/>
      <c r="Y566" s="76"/>
      <c r="Z566" s="68"/>
      <c r="AA566" s="68"/>
      <c r="AB566" s="68"/>
      <c r="AC566" s="68"/>
      <c r="AD566" s="68"/>
      <c r="AE566" s="68"/>
    </row>
    <row r="567" spans="16:31" x14ac:dyDescent="0.2">
      <c r="P567" s="68"/>
      <c r="Q567" s="74"/>
      <c r="R567" s="74"/>
      <c r="S567" s="74"/>
      <c r="T567" s="75"/>
      <c r="U567" s="76"/>
      <c r="V567" s="77"/>
      <c r="W567" s="77"/>
      <c r="X567" s="76"/>
      <c r="Y567" s="76"/>
      <c r="Z567" s="68"/>
      <c r="AA567" s="68"/>
      <c r="AB567" s="68"/>
      <c r="AC567" s="68"/>
      <c r="AD567" s="68"/>
      <c r="AE567" s="68"/>
    </row>
    <row r="568" spans="16:31" x14ac:dyDescent="0.2">
      <c r="P568" s="68"/>
      <c r="Q568" s="74"/>
      <c r="R568" s="74"/>
      <c r="S568" s="74"/>
      <c r="T568" s="75"/>
      <c r="U568" s="76"/>
      <c r="V568" s="77"/>
      <c r="W568" s="77"/>
      <c r="X568" s="76"/>
      <c r="Y568" s="76"/>
      <c r="Z568" s="68"/>
      <c r="AA568" s="68"/>
      <c r="AB568" s="68"/>
      <c r="AC568" s="68"/>
      <c r="AD568" s="68"/>
      <c r="AE568" s="68"/>
    </row>
    <row r="569" spans="16:31" x14ac:dyDescent="0.2">
      <c r="P569" s="68"/>
      <c r="Q569" s="74"/>
      <c r="R569" s="74"/>
      <c r="S569" s="74"/>
      <c r="T569" s="75"/>
      <c r="U569" s="76"/>
      <c r="V569" s="77"/>
      <c r="W569" s="77"/>
      <c r="X569" s="76"/>
      <c r="Y569" s="76"/>
      <c r="Z569" s="68"/>
      <c r="AA569" s="68"/>
      <c r="AB569" s="68"/>
      <c r="AC569" s="68"/>
      <c r="AD569" s="68"/>
      <c r="AE569" s="68"/>
    </row>
    <row r="570" spans="16:31" x14ac:dyDescent="0.2">
      <c r="P570" s="68"/>
      <c r="Q570" s="74"/>
      <c r="R570" s="74"/>
      <c r="S570" s="74"/>
      <c r="T570" s="75"/>
      <c r="U570" s="76"/>
      <c r="V570" s="77"/>
      <c r="W570" s="77"/>
      <c r="X570" s="76"/>
      <c r="Y570" s="76"/>
      <c r="Z570" s="68"/>
      <c r="AA570" s="68"/>
      <c r="AB570" s="68"/>
      <c r="AC570" s="68"/>
      <c r="AD570" s="68"/>
      <c r="AE570" s="68"/>
    </row>
    <row r="571" spans="16:31" x14ac:dyDescent="0.2">
      <c r="P571" s="68"/>
      <c r="Q571" s="74"/>
      <c r="R571" s="74"/>
      <c r="S571" s="74"/>
      <c r="T571" s="75"/>
      <c r="U571" s="76"/>
      <c r="V571" s="77"/>
      <c r="W571" s="77"/>
      <c r="X571" s="76"/>
      <c r="Y571" s="76"/>
      <c r="Z571" s="68"/>
      <c r="AA571" s="68"/>
      <c r="AB571" s="68"/>
      <c r="AC571" s="68"/>
      <c r="AD571" s="68"/>
      <c r="AE571" s="68"/>
    </row>
    <row r="572" spans="16:31" x14ac:dyDescent="0.2">
      <c r="P572" s="68"/>
      <c r="Q572" s="74"/>
      <c r="R572" s="74"/>
      <c r="S572" s="74"/>
      <c r="T572" s="75"/>
      <c r="U572" s="76"/>
      <c r="V572" s="77"/>
      <c r="W572" s="77"/>
      <c r="X572" s="76"/>
      <c r="Y572" s="76"/>
      <c r="Z572" s="68"/>
      <c r="AA572" s="68"/>
      <c r="AB572" s="68"/>
      <c r="AC572" s="68"/>
      <c r="AD572" s="68"/>
      <c r="AE572" s="68"/>
    </row>
    <row r="573" spans="16:31" x14ac:dyDescent="0.2">
      <c r="P573" s="68"/>
      <c r="Q573" s="74"/>
      <c r="R573" s="74"/>
      <c r="S573" s="74"/>
      <c r="T573" s="75"/>
      <c r="U573" s="76"/>
      <c r="V573" s="77"/>
      <c r="W573" s="77"/>
      <c r="X573" s="76"/>
      <c r="Y573" s="76"/>
      <c r="Z573" s="68"/>
      <c r="AA573" s="68"/>
      <c r="AB573" s="68"/>
      <c r="AC573" s="68"/>
      <c r="AD573" s="68"/>
      <c r="AE573" s="68"/>
    </row>
    <row r="574" spans="16:31" x14ac:dyDescent="0.2">
      <c r="P574" s="68"/>
      <c r="Q574" s="74"/>
      <c r="R574" s="74"/>
      <c r="S574" s="74"/>
      <c r="T574" s="75"/>
      <c r="U574" s="76"/>
      <c r="V574" s="77"/>
      <c r="W574" s="77"/>
      <c r="X574" s="76"/>
      <c r="Y574" s="76"/>
      <c r="Z574" s="68"/>
      <c r="AA574" s="68"/>
      <c r="AB574" s="68"/>
      <c r="AC574" s="68"/>
      <c r="AD574" s="68"/>
      <c r="AE574" s="68"/>
    </row>
    <row r="575" spans="16:31" x14ac:dyDescent="0.2">
      <c r="P575" s="68"/>
      <c r="Q575" s="74"/>
      <c r="R575" s="74"/>
      <c r="S575" s="74"/>
      <c r="T575" s="75"/>
      <c r="U575" s="76"/>
      <c r="V575" s="77"/>
      <c r="W575" s="77"/>
      <c r="X575" s="76"/>
      <c r="Y575" s="76"/>
      <c r="Z575" s="68"/>
      <c r="AA575" s="68"/>
      <c r="AB575" s="68"/>
      <c r="AC575" s="68"/>
      <c r="AD575" s="68"/>
      <c r="AE575" s="68"/>
    </row>
    <row r="576" spans="16:31" x14ac:dyDescent="0.2">
      <c r="P576" s="68"/>
      <c r="Q576" s="74"/>
      <c r="R576" s="74"/>
      <c r="S576" s="74"/>
      <c r="T576" s="75"/>
      <c r="U576" s="76"/>
      <c r="V576" s="77"/>
      <c r="W576" s="77"/>
      <c r="X576" s="76"/>
      <c r="Y576" s="76"/>
      <c r="Z576" s="68"/>
      <c r="AA576" s="68"/>
      <c r="AB576" s="68"/>
      <c r="AC576" s="68"/>
      <c r="AD576" s="68"/>
      <c r="AE576" s="68"/>
    </row>
    <row r="577" spans="16:31" x14ac:dyDescent="0.2">
      <c r="P577" s="68"/>
      <c r="Q577" s="74"/>
      <c r="R577" s="74"/>
      <c r="S577" s="74"/>
      <c r="T577" s="75"/>
      <c r="U577" s="76"/>
      <c r="V577" s="77"/>
      <c r="W577" s="77"/>
      <c r="X577" s="76"/>
      <c r="Y577" s="76"/>
      <c r="Z577" s="68"/>
      <c r="AA577" s="68"/>
      <c r="AB577" s="68"/>
      <c r="AC577" s="68"/>
      <c r="AD577" s="68"/>
      <c r="AE577" s="68"/>
    </row>
    <row r="578" spans="16:31" x14ac:dyDescent="0.2">
      <c r="P578" s="68"/>
      <c r="Q578" s="74"/>
      <c r="R578" s="74"/>
      <c r="S578" s="74"/>
      <c r="T578" s="75"/>
      <c r="U578" s="76"/>
      <c r="V578" s="77"/>
      <c r="W578" s="77"/>
      <c r="X578" s="76"/>
      <c r="Y578" s="76"/>
      <c r="Z578" s="68"/>
      <c r="AA578" s="68"/>
      <c r="AB578" s="68"/>
      <c r="AC578" s="68"/>
      <c r="AD578" s="68"/>
      <c r="AE578" s="68"/>
    </row>
    <row r="579" spans="16:31" x14ac:dyDescent="0.2">
      <c r="P579" s="68"/>
      <c r="Q579" s="74"/>
      <c r="R579" s="74"/>
      <c r="S579" s="74"/>
      <c r="T579" s="75"/>
      <c r="U579" s="76"/>
      <c r="V579" s="77"/>
      <c r="W579" s="77"/>
      <c r="X579" s="76"/>
      <c r="Y579" s="76"/>
      <c r="Z579" s="68"/>
      <c r="AA579" s="68"/>
      <c r="AB579" s="68"/>
      <c r="AC579" s="68"/>
      <c r="AD579" s="68"/>
      <c r="AE579" s="68"/>
    </row>
    <row r="580" spans="16:31" x14ac:dyDescent="0.2">
      <c r="P580" s="68"/>
      <c r="Q580" s="74"/>
      <c r="R580" s="74"/>
      <c r="S580" s="74"/>
      <c r="T580" s="75"/>
      <c r="U580" s="76"/>
      <c r="V580" s="77"/>
      <c r="W580" s="77"/>
      <c r="X580" s="76"/>
      <c r="Y580" s="76"/>
      <c r="Z580" s="68"/>
      <c r="AA580" s="68"/>
      <c r="AB580" s="68"/>
      <c r="AC580" s="68"/>
      <c r="AD580" s="68"/>
      <c r="AE580" s="68"/>
    </row>
    <row r="581" spans="16:31" x14ac:dyDescent="0.2">
      <c r="P581" s="68"/>
      <c r="Q581" s="74"/>
      <c r="R581" s="74"/>
      <c r="S581" s="74"/>
      <c r="T581" s="75"/>
      <c r="U581" s="76"/>
      <c r="V581" s="77"/>
      <c r="W581" s="77"/>
      <c r="X581" s="76"/>
      <c r="Y581" s="76"/>
      <c r="Z581" s="68"/>
      <c r="AA581" s="68"/>
      <c r="AB581" s="68"/>
      <c r="AC581" s="68"/>
      <c r="AD581" s="68"/>
      <c r="AE581" s="68"/>
    </row>
    <row r="582" spans="16:31" x14ac:dyDescent="0.2">
      <c r="P582" s="68"/>
      <c r="Q582" s="74"/>
      <c r="R582" s="74"/>
      <c r="S582" s="74"/>
      <c r="T582" s="75"/>
      <c r="U582" s="76"/>
      <c r="V582" s="77"/>
      <c r="W582" s="77"/>
      <c r="X582" s="76"/>
      <c r="Y582" s="76"/>
      <c r="Z582" s="68"/>
      <c r="AA582" s="68"/>
      <c r="AB582" s="68"/>
      <c r="AC582" s="68"/>
      <c r="AD582" s="68"/>
      <c r="AE582" s="68"/>
    </row>
    <row r="583" spans="16:31" x14ac:dyDescent="0.2">
      <c r="P583" s="68"/>
      <c r="Q583" s="74"/>
      <c r="R583" s="74"/>
      <c r="S583" s="74"/>
      <c r="T583" s="75"/>
      <c r="U583" s="76"/>
      <c r="V583" s="77"/>
      <c r="W583" s="77"/>
      <c r="X583" s="76"/>
      <c r="Y583" s="76"/>
      <c r="Z583" s="68"/>
      <c r="AA583" s="68"/>
      <c r="AB583" s="68"/>
      <c r="AC583" s="68"/>
      <c r="AD583" s="68"/>
      <c r="AE583" s="68"/>
    </row>
    <row r="584" spans="16:31" x14ac:dyDescent="0.2">
      <c r="P584" s="68"/>
      <c r="Q584" s="74"/>
      <c r="R584" s="74"/>
      <c r="S584" s="74"/>
      <c r="T584" s="75"/>
      <c r="U584" s="76"/>
      <c r="V584" s="77"/>
      <c r="W584" s="77"/>
      <c r="X584" s="76"/>
      <c r="Y584" s="76"/>
      <c r="Z584" s="68"/>
      <c r="AA584" s="68"/>
      <c r="AB584" s="68"/>
      <c r="AC584" s="68"/>
      <c r="AD584" s="68"/>
      <c r="AE584" s="68"/>
    </row>
    <row r="585" spans="16:31" x14ac:dyDescent="0.2">
      <c r="P585" s="68"/>
      <c r="Q585" s="74"/>
      <c r="R585" s="74"/>
      <c r="S585" s="74"/>
      <c r="T585" s="75"/>
      <c r="U585" s="76"/>
      <c r="V585" s="77"/>
      <c r="W585" s="77"/>
      <c r="X585" s="76"/>
      <c r="Y585" s="76"/>
      <c r="Z585" s="68"/>
      <c r="AA585" s="68"/>
      <c r="AB585" s="68"/>
      <c r="AC585" s="68"/>
      <c r="AD585" s="68"/>
      <c r="AE585" s="68"/>
    </row>
    <row r="586" spans="16:31" x14ac:dyDescent="0.2">
      <c r="P586" s="68"/>
      <c r="Q586" s="74"/>
      <c r="R586" s="74"/>
      <c r="S586" s="74"/>
      <c r="T586" s="75"/>
      <c r="U586" s="76"/>
      <c r="V586" s="77"/>
      <c r="W586" s="77"/>
      <c r="X586" s="76"/>
      <c r="Y586" s="76"/>
      <c r="Z586" s="68"/>
      <c r="AA586" s="68"/>
      <c r="AB586" s="68"/>
      <c r="AC586" s="68"/>
      <c r="AD586" s="68"/>
      <c r="AE586" s="68"/>
    </row>
    <row r="587" spans="16:31" x14ac:dyDescent="0.2">
      <c r="P587" s="68"/>
      <c r="Q587" s="74"/>
      <c r="R587" s="74"/>
      <c r="S587" s="74"/>
      <c r="T587" s="75"/>
      <c r="U587" s="76"/>
      <c r="V587" s="77"/>
      <c r="W587" s="77"/>
      <c r="X587" s="76"/>
      <c r="Y587" s="76"/>
      <c r="Z587" s="68"/>
      <c r="AA587" s="68"/>
      <c r="AB587" s="68"/>
      <c r="AC587" s="68"/>
      <c r="AD587" s="68"/>
      <c r="AE587" s="68"/>
    </row>
    <row r="588" spans="16:31" x14ac:dyDescent="0.2">
      <c r="P588" s="68"/>
      <c r="Q588" s="74"/>
      <c r="R588" s="74"/>
      <c r="S588" s="74"/>
      <c r="T588" s="75"/>
      <c r="U588" s="76"/>
      <c r="V588" s="77"/>
      <c r="W588" s="77"/>
      <c r="X588" s="76"/>
      <c r="Y588" s="76"/>
      <c r="Z588" s="68"/>
      <c r="AA588" s="68"/>
      <c r="AB588" s="68"/>
      <c r="AC588" s="68"/>
      <c r="AD588" s="68"/>
      <c r="AE588" s="68"/>
    </row>
    <row r="589" spans="16:31" x14ac:dyDescent="0.2">
      <c r="P589" s="68"/>
      <c r="Q589" s="74"/>
      <c r="R589" s="74"/>
      <c r="S589" s="74"/>
      <c r="T589" s="75"/>
      <c r="U589" s="76"/>
      <c r="V589" s="77"/>
      <c r="W589" s="77"/>
      <c r="X589" s="76"/>
      <c r="Y589" s="76"/>
      <c r="Z589" s="68"/>
      <c r="AA589" s="68"/>
      <c r="AB589" s="68"/>
      <c r="AC589" s="68"/>
      <c r="AD589" s="68"/>
      <c r="AE589" s="68"/>
    </row>
    <row r="590" spans="16:31" x14ac:dyDescent="0.2">
      <c r="P590" s="68"/>
      <c r="Q590" s="74"/>
      <c r="R590" s="74"/>
      <c r="S590" s="74"/>
      <c r="T590" s="75"/>
      <c r="U590" s="76"/>
      <c r="V590" s="77"/>
      <c r="W590" s="77"/>
      <c r="X590" s="76"/>
      <c r="Y590" s="76"/>
      <c r="Z590" s="68"/>
      <c r="AA590" s="68"/>
      <c r="AB590" s="68"/>
      <c r="AC590" s="68"/>
      <c r="AD590" s="68"/>
      <c r="AE590" s="68"/>
    </row>
    <row r="591" spans="16:31" x14ac:dyDescent="0.2">
      <c r="P591" s="68"/>
      <c r="Q591" s="74"/>
      <c r="R591" s="74"/>
      <c r="S591" s="74"/>
      <c r="T591" s="75"/>
      <c r="U591" s="76"/>
      <c r="V591" s="77"/>
      <c r="W591" s="77"/>
      <c r="X591" s="76"/>
      <c r="Y591" s="76"/>
      <c r="Z591" s="68"/>
      <c r="AA591" s="68"/>
      <c r="AB591" s="68"/>
      <c r="AC591" s="68"/>
      <c r="AD591" s="68"/>
      <c r="AE591" s="68"/>
    </row>
    <row r="592" spans="16:31" x14ac:dyDescent="0.2">
      <c r="P592" s="68"/>
      <c r="Q592" s="74"/>
      <c r="R592" s="74"/>
      <c r="S592" s="74"/>
      <c r="T592" s="75"/>
      <c r="U592" s="76"/>
      <c r="V592" s="77"/>
      <c r="W592" s="77"/>
      <c r="X592" s="76"/>
      <c r="Y592" s="76"/>
      <c r="Z592" s="68"/>
      <c r="AA592" s="68"/>
      <c r="AB592" s="68"/>
      <c r="AC592" s="68"/>
      <c r="AD592" s="68"/>
      <c r="AE592" s="68"/>
    </row>
    <row r="593" spans="16:31" x14ac:dyDescent="0.2">
      <c r="P593" s="68"/>
      <c r="Q593" s="74"/>
      <c r="R593" s="74"/>
      <c r="S593" s="74"/>
      <c r="T593" s="75"/>
      <c r="U593" s="76"/>
      <c r="V593" s="77"/>
      <c r="W593" s="77"/>
      <c r="X593" s="76"/>
      <c r="Y593" s="76"/>
      <c r="Z593" s="68"/>
      <c r="AA593" s="68"/>
      <c r="AB593" s="68"/>
      <c r="AC593" s="68"/>
      <c r="AD593" s="68"/>
      <c r="AE593" s="68"/>
    </row>
    <row r="594" spans="16:31" x14ac:dyDescent="0.2">
      <c r="P594" s="68"/>
      <c r="Q594" s="74"/>
      <c r="R594" s="74"/>
      <c r="S594" s="74"/>
      <c r="T594" s="75"/>
      <c r="U594" s="76"/>
      <c r="V594" s="77"/>
      <c r="W594" s="77"/>
      <c r="X594" s="76"/>
      <c r="Y594" s="76"/>
      <c r="Z594" s="68"/>
      <c r="AA594" s="68"/>
      <c r="AB594" s="68"/>
      <c r="AC594" s="68"/>
      <c r="AD594" s="68"/>
      <c r="AE594" s="68"/>
    </row>
    <row r="595" spans="16:31" x14ac:dyDescent="0.2">
      <c r="P595" s="68"/>
      <c r="Q595" s="74"/>
      <c r="R595" s="74"/>
      <c r="S595" s="74"/>
      <c r="T595" s="75"/>
      <c r="U595" s="76"/>
      <c r="V595" s="77"/>
      <c r="W595" s="77"/>
      <c r="X595" s="76"/>
      <c r="Y595" s="76"/>
      <c r="Z595" s="68"/>
      <c r="AA595" s="68"/>
      <c r="AB595" s="68"/>
      <c r="AC595" s="68"/>
      <c r="AD595" s="68"/>
      <c r="AE595" s="68"/>
    </row>
    <row r="596" spans="16:31" x14ac:dyDescent="0.2">
      <c r="P596" s="68"/>
      <c r="Q596" s="74"/>
      <c r="R596" s="74"/>
      <c r="S596" s="74"/>
      <c r="T596" s="75"/>
      <c r="U596" s="76"/>
      <c r="V596" s="77"/>
      <c r="W596" s="77"/>
      <c r="X596" s="76"/>
      <c r="Y596" s="76"/>
      <c r="Z596" s="68"/>
      <c r="AA596" s="68"/>
      <c r="AB596" s="68"/>
      <c r="AC596" s="68"/>
      <c r="AD596" s="68"/>
      <c r="AE596" s="68"/>
    </row>
    <row r="597" spans="16:31" x14ac:dyDescent="0.2">
      <c r="P597" s="68"/>
      <c r="Q597" s="74"/>
      <c r="R597" s="74"/>
      <c r="S597" s="74"/>
      <c r="T597" s="75"/>
      <c r="U597" s="76"/>
      <c r="V597" s="77"/>
      <c r="W597" s="77"/>
      <c r="X597" s="76"/>
      <c r="Y597" s="76"/>
      <c r="Z597" s="68"/>
      <c r="AA597" s="68"/>
      <c r="AB597" s="68"/>
      <c r="AC597" s="68"/>
      <c r="AD597" s="68"/>
      <c r="AE597" s="68"/>
    </row>
    <row r="598" spans="16:31" x14ac:dyDescent="0.2">
      <c r="P598" s="68"/>
      <c r="Q598" s="74"/>
      <c r="R598" s="74"/>
      <c r="S598" s="74"/>
      <c r="T598" s="75"/>
      <c r="U598" s="76"/>
      <c r="V598" s="77"/>
      <c r="W598" s="77"/>
      <c r="X598" s="76"/>
      <c r="Y598" s="76"/>
      <c r="Z598" s="68"/>
      <c r="AA598" s="68"/>
      <c r="AB598" s="68"/>
      <c r="AC598" s="68"/>
      <c r="AD598" s="68"/>
      <c r="AE598" s="68"/>
    </row>
    <row r="599" spans="16:31" x14ac:dyDescent="0.2">
      <c r="P599" s="68"/>
      <c r="Q599" s="74"/>
      <c r="R599" s="74"/>
      <c r="S599" s="74"/>
      <c r="T599" s="75"/>
      <c r="U599" s="76"/>
      <c r="V599" s="77"/>
      <c r="W599" s="77"/>
      <c r="X599" s="76"/>
      <c r="Y599" s="76"/>
      <c r="Z599" s="68"/>
      <c r="AA599" s="68"/>
      <c r="AB599" s="68"/>
      <c r="AC599" s="68"/>
      <c r="AD599" s="68"/>
      <c r="AE599" s="68"/>
    </row>
    <row r="600" spans="16:31" x14ac:dyDescent="0.2">
      <c r="P600" s="68"/>
      <c r="Q600" s="74"/>
      <c r="R600" s="74"/>
      <c r="S600" s="74"/>
      <c r="T600" s="75"/>
      <c r="U600" s="76"/>
      <c r="V600" s="77"/>
      <c r="W600" s="77"/>
      <c r="X600" s="76"/>
      <c r="Y600" s="76"/>
      <c r="Z600" s="68"/>
      <c r="AA600" s="68"/>
      <c r="AB600" s="68"/>
      <c r="AC600" s="68"/>
      <c r="AD600" s="68"/>
      <c r="AE600" s="68"/>
    </row>
    <row r="601" spans="16:31" x14ac:dyDescent="0.2">
      <c r="P601" s="68"/>
      <c r="Q601" s="74"/>
      <c r="R601" s="74"/>
      <c r="S601" s="74"/>
      <c r="T601" s="75"/>
      <c r="U601" s="76"/>
      <c r="V601" s="77"/>
      <c r="W601" s="77"/>
      <c r="X601" s="76"/>
      <c r="Y601" s="76"/>
      <c r="Z601" s="68"/>
      <c r="AA601" s="68"/>
      <c r="AB601" s="68"/>
      <c r="AC601" s="68"/>
      <c r="AD601" s="68"/>
      <c r="AE601" s="68"/>
    </row>
    <row r="602" spans="16:31" x14ac:dyDescent="0.2">
      <c r="P602" s="68"/>
      <c r="Q602" s="74"/>
      <c r="R602" s="74"/>
      <c r="S602" s="74"/>
      <c r="T602" s="75"/>
      <c r="U602" s="76"/>
      <c r="V602" s="77"/>
      <c r="W602" s="77"/>
      <c r="X602" s="76"/>
      <c r="Y602" s="76"/>
      <c r="Z602" s="68"/>
      <c r="AA602" s="68"/>
      <c r="AB602" s="68"/>
      <c r="AC602" s="68"/>
      <c r="AD602" s="68"/>
      <c r="AE602" s="68"/>
    </row>
    <row r="603" spans="16:31" x14ac:dyDescent="0.2">
      <c r="P603" s="68"/>
      <c r="Q603" s="74"/>
      <c r="R603" s="74"/>
      <c r="S603" s="74"/>
      <c r="T603" s="75"/>
      <c r="U603" s="76"/>
      <c r="V603" s="77"/>
      <c r="W603" s="77"/>
      <c r="X603" s="76"/>
      <c r="Y603" s="76"/>
      <c r="Z603" s="68"/>
      <c r="AA603" s="68"/>
      <c r="AB603" s="68"/>
      <c r="AC603" s="68"/>
      <c r="AD603" s="68"/>
      <c r="AE603" s="68"/>
    </row>
    <row r="604" spans="16:31" x14ac:dyDescent="0.2">
      <c r="P604" s="68"/>
      <c r="Q604" s="74"/>
      <c r="R604" s="74"/>
      <c r="S604" s="74"/>
      <c r="T604" s="75"/>
      <c r="U604" s="76"/>
      <c r="V604" s="77"/>
      <c r="W604" s="77"/>
      <c r="X604" s="76"/>
      <c r="Y604" s="76"/>
      <c r="Z604" s="68"/>
      <c r="AA604" s="68"/>
      <c r="AB604" s="68"/>
      <c r="AC604" s="68"/>
      <c r="AD604" s="68"/>
      <c r="AE604" s="68"/>
    </row>
    <row r="605" spans="16:31" x14ac:dyDescent="0.2">
      <c r="P605" s="68"/>
      <c r="Q605" s="74"/>
      <c r="R605" s="74"/>
      <c r="S605" s="74"/>
      <c r="T605" s="75"/>
      <c r="U605" s="76"/>
      <c r="V605" s="77"/>
      <c r="W605" s="77"/>
      <c r="X605" s="76"/>
      <c r="Y605" s="76"/>
      <c r="Z605" s="68"/>
      <c r="AA605" s="68"/>
      <c r="AB605" s="68"/>
      <c r="AC605" s="68"/>
      <c r="AD605" s="68"/>
      <c r="AE605" s="68"/>
    </row>
    <row r="606" spans="16:31" x14ac:dyDescent="0.2">
      <c r="P606" s="68"/>
      <c r="Q606" s="74"/>
      <c r="R606" s="74"/>
      <c r="S606" s="74"/>
      <c r="T606" s="75"/>
      <c r="U606" s="76"/>
      <c r="V606" s="77"/>
      <c r="W606" s="77"/>
      <c r="X606" s="76"/>
      <c r="Y606" s="76"/>
      <c r="Z606" s="68"/>
      <c r="AA606" s="68"/>
      <c r="AB606" s="68"/>
      <c r="AC606" s="68"/>
      <c r="AD606" s="68"/>
      <c r="AE606" s="68"/>
    </row>
    <row r="607" spans="16:31" x14ac:dyDescent="0.2">
      <c r="P607" s="68"/>
      <c r="Q607" s="74"/>
      <c r="R607" s="74"/>
      <c r="S607" s="74"/>
      <c r="T607" s="75"/>
      <c r="U607" s="76"/>
      <c r="V607" s="77"/>
      <c r="W607" s="77"/>
      <c r="X607" s="76"/>
      <c r="Y607" s="76"/>
      <c r="Z607" s="68"/>
      <c r="AA607" s="68"/>
      <c r="AB607" s="68"/>
      <c r="AC607" s="68"/>
      <c r="AD607" s="68"/>
      <c r="AE607" s="68"/>
    </row>
    <row r="608" spans="16:31" x14ac:dyDescent="0.2">
      <c r="P608" s="68"/>
      <c r="Q608" s="74"/>
      <c r="R608" s="74"/>
      <c r="S608" s="74"/>
      <c r="T608" s="75"/>
      <c r="U608" s="76"/>
      <c r="V608" s="77"/>
      <c r="W608" s="77"/>
      <c r="X608" s="76"/>
      <c r="Y608" s="76"/>
      <c r="Z608" s="68"/>
      <c r="AA608" s="68"/>
      <c r="AB608" s="68"/>
      <c r="AC608" s="68"/>
      <c r="AD608" s="68"/>
      <c r="AE608" s="68"/>
    </row>
    <row r="609" spans="16:31" x14ac:dyDescent="0.2">
      <c r="P609" s="68"/>
      <c r="Q609" s="74"/>
      <c r="R609" s="74"/>
      <c r="S609" s="74"/>
      <c r="T609" s="75"/>
      <c r="U609" s="76"/>
      <c r="V609" s="77"/>
      <c r="W609" s="77"/>
      <c r="X609" s="76"/>
      <c r="Y609" s="76"/>
      <c r="Z609" s="68"/>
      <c r="AA609" s="68"/>
      <c r="AB609" s="68"/>
      <c r="AC609" s="68"/>
      <c r="AD609" s="68"/>
      <c r="AE609" s="68"/>
    </row>
    <row r="610" spans="16:31" x14ac:dyDescent="0.2">
      <c r="P610" s="68"/>
      <c r="Q610" s="74"/>
      <c r="R610" s="74"/>
      <c r="S610" s="74"/>
      <c r="T610" s="75"/>
      <c r="U610" s="76"/>
      <c r="V610" s="77"/>
      <c r="W610" s="77"/>
      <c r="X610" s="76"/>
      <c r="Y610" s="76"/>
      <c r="Z610" s="68"/>
      <c r="AA610" s="68"/>
      <c r="AB610" s="68"/>
      <c r="AC610" s="68"/>
      <c r="AD610" s="68"/>
      <c r="AE610" s="68"/>
    </row>
    <row r="611" spans="16:31" x14ac:dyDescent="0.2">
      <c r="P611" s="68"/>
      <c r="Q611" s="74"/>
      <c r="R611" s="74"/>
      <c r="S611" s="74"/>
      <c r="T611" s="75"/>
      <c r="U611" s="76"/>
      <c r="V611" s="77"/>
      <c r="W611" s="77"/>
      <c r="X611" s="76"/>
      <c r="Y611" s="76"/>
      <c r="Z611" s="68"/>
      <c r="AA611" s="68"/>
      <c r="AB611" s="68"/>
      <c r="AC611" s="68"/>
      <c r="AD611" s="68"/>
      <c r="AE611" s="68"/>
    </row>
    <row r="612" spans="16:31" x14ac:dyDescent="0.2">
      <c r="P612" s="68"/>
      <c r="Q612" s="74"/>
      <c r="R612" s="74"/>
      <c r="S612" s="74"/>
      <c r="T612" s="75"/>
      <c r="U612" s="76"/>
      <c r="V612" s="77"/>
      <c r="W612" s="77"/>
      <c r="X612" s="76"/>
      <c r="Y612" s="76"/>
      <c r="Z612" s="68"/>
      <c r="AA612" s="68"/>
      <c r="AB612" s="68"/>
      <c r="AC612" s="68"/>
      <c r="AD612" s="68"/>
      <c r="AE612" s="68"/>
    </row>
    <row r="613" spans="16:31" x14ac:dyDescent="0.2">
      <c r="P613" s="68"/>
      <c r="Q613" s="74"/>
      <c r="R613" s="74"/>
      <c r="S613" s="74"/>
      <c r="T613" s="75"/>
      <c r="U613" s="76"/>
      <c r="V613" s="77"/>
      <c r="W613" s="77"/>
      <c r="X613" s="76"/>
      <c r="Y613" s="76"/>
      <c r="Z613" s="68"/>
      <c r="AA613" s="68"/>
      <c r="AB613" s="68"/>
      <c r="AC613" s="68"/>
      <c r="AD613" s="68"/>
      <c r="AE613" s="68"/>
    </row>
    <row r="614" spans="16:31" x14ac:dyDescent="0.2">
      <c r="P614" s="68"/>
      <c r="Q614" s="74"/>
      <c r="R614" s="74"/>
      <c r="S614" s="74"/>
      <c r="T614" s="75"/>
      <c r="U614" s="76"/>
      <c r="V614" s="77"/>
      <c r="W614" s="77"/>
      <c r="X614" s="76"/>
      <c r="Y614" s="76"/>
      <c r="Z614" s="68"/>
      <c r="AA614" s="68"/>
      <c r="AB614" s="68"/>
      <c r="AC614" s="68"/>
      <c r="AD614" s="68"/>
      <c r="AE614" s="68"/>
    </row>
    <row r="615" spans="16:31" x14ac:dyDescent="0.2">
      <c r="P615" s="68"/>
      <c r="Q615" s="74"/>
      <c r="R615" s="74"/>
      <c r="S615" s="74"/>
      <c r="T615" s="75"/>
      <c r="U615" s="76"/>
      <c r="V615" s="77"/>
      <c r="W615" s="77"/>
      <c r="X615" s="76"/>
      <c r="Y615" s="76"/>
      <c r="Z615" s="68"/>
      <c r="AA615" s="68"/>
      <c r="AB615" s="68"/>
      <c r="AC615" s="68"/>
      <c r="AD615" s="68"/>
      <c r="AE615" s="68"/>
    </row>
    <row r="616" spans="16:31" x14ac:dyDescent="0.2">
      <c r="P616" s="68"/>
      <c r="Q616" s="74"/>
      <c r="R616" s="74"/>
      <c r="S616" s="74"/>
      <c r="T616" s="75"/>
      <c r="U616" s="76"/>
      <c r="V616" s="77"/>
      <c r="W616" s="77"/>
      <c r="X616" s="76"/>
      <c r="Y616" s="76"/>
      <c r="Z616" s="68"/>
      <c r="AA616" s="68"/>
      <c r="AB616" s="68"/>
      <c r="AC616" s="68"/>
      <c r="AD616" s="68"/>
      <c r="AE616" s="68"/>
    </row>
    <row r="617" spans="16:31" x14ac:dyDescent="0.2">
      <c r="P617" s="68"/>
      <c r="Q617" s="74"/>
      <c r="R617" s="74"/>
      <c r="S617" s="74"/>
      <c r="T617" s="75"/>
      <c r="U617" s="76"/>
      <c r="V617" s="77"/>
      <c r="W617" s="77"/>
      <c r="X617" s="76"/>
      <c r="Y617" s="76"/>
      <c r="Z617" s="68"/>
      <c r="AA617" s="68"/>
      <c r="AB617" s="68"/>
      <c r="AC617" s="68"/>
      <c r="AD617" s="68"/>
      <c r="AE617" s="68"/>
    </row>
    <row r="618" spans="16:31" x14ac:dyDescent="0.2">
      <c r="P618" s="68"/>
      <c r="Q618" s="74"/>
      <c r="R618" s="74"/>
      <c r="S618" s="74"/>
      <c r="T618" s="75"/>
      <c r="U618" s="76"/>
      <c r="V618" s="77"/>
      <c r="W618" s="77"/>
      <c r="X618" s="76"/>
      <c r="Y618" s="76"/>
      <c r="Z618" s="68"/>
      <c r="AA618" s="68"/>
      <c r="AB618" s="68"/>
      <c r="AC618" s="68"/>
      <c r="AD618" s="68"/>
      <c r="AE618" s="68"/>
    </row>
    <row r="619" spans="16:31" x14ac:dyDescent="0.2">
      <c r="P619" s="68"/>
      <c r="Q619" s="74"/>
      <c r="R619" s="74"/>
      <c r="S619" s="74"/>
      <c r="T619" s="75"/>
      <c r="U619" s="76"/>
      <c r="V619" s="77"/>
      <c r="W619" s="77"/>
      <c r="X619" s="76"/>
      <c r="Y619" s="76"/>
      <c r="Z619" s="68"/>
      <c r="AA619" s="68"/>
      <c r="AB619" s="68"/>
      <c r="AC619" s="68"/>
      <c r="AD619" s="68"/>
      <c r="AE619" s="68"/>
    </row>
    <row r="620" spans="16:31" x14ac:dyDescent="0.2">
      <c r="P620" s="68"/>
      <c r="Q620" s="74"/>
      <c r="R620" s="74"/>
      <c r="S620" s="74"/>
      <c r="T620" s="75"/>
      <c r="U620" s="76"/>
      <c r="V620" s="77"/>
      <c r="W620" s="77"/>
      <c r="X620" s="76"/>
      <c r="Y620" s="76"/>
      <c r="Z620" s="68"/>
      <c r="AA620" s="68"/>
      <c r="AB620" s="68"/>
      <c r="AC620" s="68"/>
      <c r="AD620" s="68"/>
      <c r="AE620" s="68"/>
    </row>
    <row r="621" spans="16:31" x14ac:dyDescent="0.2">
      <c r="P621" s="68"/>
      <c r="Q621" s="74"/>
      <c r="R621" s="74"/>
      <c r="S621" s="74"/>
      <c r="T621" s="75"/>
      <c r="U621" s="76"/>
      <c r="V621" s="77"/>
      <c r="W621" s="77"/>
      <c r="X621" s="76"/>
      <c r="Y621" s="76"/>
      <c r="Z621" s="68"/>
      <c r="AA621" s="68"/>
      <c r="AB621" s="68"/>
      <c r="AC621" s="68"/>
      <c r="AD621" s="68"/>
      <c r="AE621" s="68"/>
    </row>
    <row r="622" spans="16:31" x14ac:dyDescent="0.2">
      <c r="P622" s="68"/>
      <c r="Q622" s="74"/>
      <c r="R622" s="74"/>
      <c r="S622" s="74"/>
      <c r="T622" s="75"/>
      <c r="U622" s="76"/>
      <c r="V622" s="77"/>
      <c r="W622" s="77"/>
      <c r="X622" s="76"/>
      <c r="Y622" s="76"/>
      <c r="Z622" s="68"/>
      <c r="AA622" s="68"/>
      <c r="AB622" s="68"/>
      <c r="AC622" s="68"/>
      <c r="AD622" s="68"/>
      <c r="AE622" s="68"/>
    </row>
    <row r="623" spans="16:31" x14ac:dyDescent="0.2">
      <c r="P623" s="68"/>
      <c r="Q623" s="74"/>
      <c r="R623" s="74"/>
      <c r="S623" s="74"/>
      <c r="T623" s="75"/>
      <c r="U623" s="76"/>
      <c r="V623" s="77"/>
      <c r="W623" s="77"/>
      <c r="X623" s="76"/>
      <c r="Y623" s="76"/>
      <c r="Z623" s="68"/>
      <c r="AA623" s="68"/>
      <c r="AB623" s="68"/>
      <c r="AC623" s="68"/>
      <c r="AD623" s="68"/>
      <c r="AE623" s="68"/>
    </row>
    <row r="624" spans="16:31" x14ac:dyDescent="0.2">
      <c r="P624" s="68"/>
      <c r="Q624" s="74"/>
      <c r="R624" s="74"/>
      <c r="S624" s="74"/>
      <c r="T624" s="75"/>
      <c r="U624" s="76"/>
      <c r="V624" s="77"/>
      <c r="W624" s="77"/>
      <c r="X624" s="76"/>
      <c r="Y624" s="76"/>
      <c r="Z624" s="68"/>
      <c r="AA624" s="68"/>
      <c r="AB624" s="68"/>
      <c r="AC624" s="68"/>
      <c r="AD624" s="68"/>
      <c r="AE624" s="68"/>
    </row>
    <row r="625" spans="16:31" x14ac:dyDescent="0.2">
      <c r="P625" s="68"/>
      <c r="Q625" s="74"/>
      <c r="R625" s="74"/>
      <c r="S625" s="74"/>
      <c r="T625" s="75"/>
      <c r="U625" s="76"/>
      <c r="V625" s="77"/>
      <c r="W625" s="77"/>
      <c r="X625" s="76"/>
      <c r="Y625" s="76"/>
      <c r="Z625" s="68"/>
      <c r="AA625" s="68"/>
      <c r="AB625" s="68"/>
      <c r="AC625" s="68"/>
      <c r="AD625" s="68"/>
      <c r="AE625" s="68"/>
    </row>
    <row r="626" spans="16:31" x14ac:dyDescent="0.2">
      <c r="P626" s="68"/>
      <c r="Q626" s="74"/>
      <c r="R626" s="74"/>
      <c r="S626" s="74"/>
      <c r="T626" s="75"/>
      <c r="U626" s="76"/>
      <c r="V626" s="77"/>
      <c r="W626" s="77"/>
      <c r="X626" s="76"/>
      <c r="Y626" s="76"/>
      <c r="Z626" s="68"/>
      <c r="AA626" s="68"/>
      <c r="AB626" s="68"/>
      <c r="AC626" s="68"/>
      <c r="AD626" s="68"/>
      <c r="AE626" s="68"/>
    </row>
    <row r="627" spans="16:31" x14ac:dyDescent="0.2">
      <c r="P627" s="68"/>
      <c r="Q627" s="74"/>
      <c r="R627" s="74"/>
      <c r="S627" s="74"/>
      <c r="T627" s="75"/>
      <c r="U627" s="76"/>
      <c r="V627" s="77"/>
      <c r="W627" s="77"/>
      <c r="X627" s="76"/>
      <c r="Y627" s="76"/>
      <c r="Z627" s="68"/>
      <c r="AA627" s="68"/>
      <c r="AB627" s="68"/>
      <c r="AC627" s="68"/>
      <c r="AD627" s="68"/>
      <c r="AE627" s="68"/>
    </row>
    <row r="628" spans="16:31" x14ac:dyDescent="0.2">
      <c r="P628" s="68"/>
      <c r="Q628" s="74"/>
      <c r="R628" s="74"/>
      <c r="S628" s="74"/>
      <c r="T628" s="75"/>
      <c r="U628" s="76"/>
      <c r="V628" s="77"/>
      <c r="W628" s="77"/>
      <c r="X628" s="76"/>
      <c r="Y628" s="76"/>
      <c r="Z628" s="68"/>
      <c r="AA628" s="68"/>
      <c r="AB628" s="68"/>
      <c r="AC628" s="68"/>
      <c r="AD628" s="68"/>
      <c r="AE628" s="68"/>
    </row>
    <row r="629" spans="16:31" x14ac:dyDescent="0.2">
      <c r="P629" s="68"/>
      <c r="Q629" s="74"/>
      <c r="R629" s="74"/>
      <c r="S629" s="74"/>
      <c r="T629" s="75"/>
      <c r="U629" s="76"/>
      <c r="V629" s="77"/>
      <c r="W629" s="77"/>
      <c r="X629" s="76"/>
      <c r="Y629" s="76"/>
      <c r="Z629" s="68"/>
      <c r="AA629" s="68"/>
      <c r="AB629" s="68"/>
      <c r="AC629" s="68"/>
      <c r="AD629" s="68"/>
      <c r="AE629" s="68"/>
    </row>
    <row r="630" spans="16:31" x14ac:dyDescent="0.2">
      <c r="P630" s="68"/>
      <c r="Q630" s="74"/>
      <c r="R630" s="74"/>
      <c r="S630" s="74"/>
      <c r="T630" s="75"/>
      <c r="U630" s="76"/>
      <c r="V630" s="77"/>
      <c r="W630" s="77"/>
      <c r="X630" s="76"/>
      <c r="Y630" s="76"/>
      <c r="Z630" s="68"/>
      <c r="AA630" s="68"/>
      <c r="AB630" s="68"/>
      <c r="AC630" s="68"/>
      <c r="AD630" s="68"/>
      <c r="AE630" s="68"/>
    </row>
    <row r="631" spans="16:31" x14ac:dyDescent="0.2">
      <c r="P631" s="68"/>
      <c r="Q631" s="74"/>
      <c r="R631" s="74"/>
      <c r="S631" s="74"/>
      <c r="T631" s="75"/>
      <c r="U631" s="76"/>
      <c r="V631" s="77"/>
      <c r="W631" s="77"/>
      <c r="X631" s="76"/>
      <c r="Y631" s="76"/>
      <c r="Z631" s="68"/>
      <c r="AA631" s="68"/>
      <c r="AB631" s="68"/>
      <c r="AC631" s="68"/>
      <c r="AD631" s="68"/>
      <c r="AE631" s="68"/>
    </row>
    <row r="632" spans="16:31" x14ac:dyDescent="0.2">
      <c r="P632" s="68"/>
      <c r="Q632" s="74"/>
      <c r="R632" s="74"/>
      <c r="S632" s="74"/>
      <c r="T632" s="75"/>
      <c r="U632" s="76"/>
      <c r="V632" s="77"/>
      <c r="W632" s="77"/>
      <c r="X632" s="76"/>
      <c r="Y632" s="76"/>
      <c r="Z632" s="68"/>
      <c r="AA632" s="68"/>
      <c r="AB632" s="68"/>
      <c r="AC632" s="68"/>
      <c r="AD632" s="68"/>
      <c r="AE632" s="68"/>
    </row>
    <row r="633" spans="16:31" x14ac:dyDescent="0.2">
      <c r="P633" s="68"/>
      <c r="Q633" s="74"/>
      <c r="R633" s="74"/>
      <c r="S633" s="74"/>
      <c r="T633" s="75"/>
      <c r="U633" s="76"/>
      <c r="V633" s="77"/>
      <c r="W633" s="77"/>
      <c r="X633" s="76"/>
      <c r="Y633" s="76"/>
      <c r="Z633" s="68"/>
      <c r="AA633" s="68"/>
      <c r="AB633" s="68"/>
      <c r="AC633" s="68"/>
      <c r="AD633" s="68"/>
      <c r="AE633" s="68"/>
    </row>
    <row r="634" spans="16:31" x14ac:dyDescent="0.2">
      <c r="P634" s="68"/>
      <c r="Q634" s="74"/>
      <c r="R634" s="74"/>
      <c r="S634" s="74"/>
      <c r="T634" s="75"/>
      <c r="U634" s="76"/>
      <c r="V634" s="77"/>
      <c r="W634" s="77"/>
      <c r="X634" s="76"/>
      <c r="Y634" s="76"/>
      <c r="Z634" s="68"/>
      <c r="AA634" s="68"/>
      <c r="AB634" s="68"/>
      <c r="AC634" s="68"/>
      <c r="AD634" s="68"/>
      <c r="AE634" s="68"/>
    </row>
    <row r="635" spans="16:31" x14ac:dyDescent="0.2">
      <c r="P635" s="68"/>
      <c r="Q635" s="74"/>
      <c r="R635" s="74"/>
      <c r="S635" s="74"/>
      <c r="T635" s="75"/>
      <c r="U635" s="76"/>
      <c r="V635" s="77"/>
      <c r="W635" s="77"/>
      <c r="X635" s="76"/>
      <c r="Y635" s="76"/>
      <c r="Z635" s="68"/>
      <c r="AA635" s="68"/>
      <c r="AB635" s="68"/>
      <c r="AC635" s="68"/>
      <c r="AD635" s="68"/>
      <c r="AE635" s="68"/>
    </row>
    <row r="636" spans="16:31" x14ac:dyDescent="0.2">
      <c r="P636" s="68"/>
      <c r="Q636" s="74"/>
      <c r="R636" s="74"/>
      <c r="S636" s="74"/>
      <c r="T636" s="75"/>
      <c r="U636" s="76"/>
      <c r="V636" s="77"/>
      <c r="W636" s="77"/>
      <c r="X636" s="76"/>
      <c r="Y636" s="76"/>
      <c r="Z636" s="68"/>
      <c r="AA636" s="68"/>
      <c r="AB636" s="68"/>
      <c r="AC636" s="68"/>
      <c r="AD636" s="68"/>
      <c r="AE636" s="68"/>
    </row>
    <row r="637" spans="16:31" x14ac:dyDescent="0.2">
      <c r="P637" s="68"/>
      <c r="Q637" s="74"/>
      <c r="R637" s="74"/>
      <c r="S637" s="74"/>
      <c r="T637" s="75"/>
      <c r="U637" s="76"/>
      <c r="V637" s="77"/>
      <c r="W637" s="77"/>
      <c r="X637" s="76"/>
      <c r="Y637" s="76"/>
      <c r="Z637" s="68"/>
      <c r="AA637" s="68"/>
      <c r="AB637" s="68"/>
      <c r="AC637" s="68"/>
      <c r="AD637" s="68"/>
      <c r="AE637" s="68"/>
    </row>
    <row r="638" spans="16:31" x14ac:dyDescent="0.2">
      <c r="P638" s="68"/>
      <c r="Q638" s="74"/>
      <c r="R638" s="74"/>
      <c r="S638" s="74"/>
      <c r="T638" s="75"/>
      <c r="U638" s="76"/>
      <c r="V638" s="77"/>
      <c r="W638" s="77"/>
      <c r="X638" s="76"/>
      <c r="Y638" s="76"/>
      <c r="Z638" s="68"/>
      <c r="AA638" s="68"/>
      <c r="AB638" s="68"/>
      <c r="AC638" s="68"/>
      <c r="AD638" s="68"/>
      <c r="AE638" s="68"/>
    </row>
    <row r="639" spans="16:31" x14ac:dyDescent="0.2">
      <c r="P639" s="68"/>
      <c r="Q639" s="74"/>
      <c r="R639" s="74"/>
      <c r="S639" s="74"/>
      <c r="T639" s="75"/>
      <c r="U639" s="76"/>
      <c r="V639" s="77"/>
      <c r="W639" s="77"/>
      <c r="X639" s="76"/>
      <c r="Y639" s="76"/>
      <c r="Z639" s="68"/>
      <c r="AA639" s="68"/>
      <c r="AB639" s="68"/>
      <c r="AC639" s="68"/>
      <c r="AD639" s="68"/>
      <c r="AE639" s="68"/>
    </row>
    <row r="640" spans="16:31" x14ac:dyDescent="0.2">
      <c r="P640" s="68"/>
      <c r="Q640" s="74"/>
      <c r="R640" s="74"/>
      <c r="S640" s="74"/>
      <c r="T640" s="75"/>
      <c r="U640" s="76"/>
      <c r="V640" s="77"/>
      <c r="W640" s="77"/>
      <c r="X640" s="76"/>
      <c r="Y640" s="76"/>
      <c r="Z640" s="68"/>
      <c r="AA640" s="68"/>
      <c r="AB640" s="68"/>
      <c r="AC640" s="68"/>
      <c r="AD640" s="68"/>
      <c r="AE640" s="68"/>
    </row>
    <row r="641" spans="16:31" x14ac:dyDescent="0.2">
      <c r="P641" s="68"/>
      <c r="Q641" s="74"/>
      <c r="R641" s="74"/>
      <c r="S641" s="74"/>
      <c r="T641" s="75"/>
      <c r="U641" s="76"/>
      <c r="V641" s="77"/>
      <c r="W641" s="77"/>
      <c r="X641" s="76"/>
      <c r="Y641" s="76"/>
      <c r="Z641" s="68"/>
      <c r="AA641" s="68"/>
      <c r="AB641" s="68"/>
      <c r="AC641" s="68"/>
      <c r="AD641" s="68"/>
      <c r="AE641" s="68"/>
    </row>
    <row r="642" spans="16:31" x14ac:dyDescent="0.2">
      <c r="P642" s="68"/>
      <c r="Q642" s="74"/>
      <c r="R642" s="74"/>
      <c r="S642" s="74"/>
      <c r="T642" s="75"/>
      <c r="U642" s="76"/>
      <c r="V642" s="77"/>
      <c r="W642" s="77"/>
      <c r="X642" s="76"/>
      <c r="Y642" s="76"/>
      <c r="Z642" s="68"/>
      <c r="AA642" s="68"/>
      <c r="AB642" s="68"/>
      <c r="AC642" s="68"/>
      <c r="AD642" s="68"/>
      <c r="AE642" s="68"/>
    </row>
    <row r="643" spans="16:31" x14ac:dyDescent="0.2">
      <c r="P643" s="68"/>
      <c r="Q643" s="74"/>
      <c r="R643" s="74"/>
      <c r="S643" s="74"/>
      <c r="T643" s="75"/>
      <c r="U643" s="76"/>
      <c r="V643" s="77"/>
      <c r="W643" s="77"/>
      <c r="X643" s="76"/>
      <c r="Y643" s="76"/>
      <c r="Z643" s="68"/>
      <c r="AA643" s="68"/>
      <c r="AB643" s="68"/>
      <c r="AC643" s="68"/>
      <c r="AD643" s="68"/>
      <c r="AE643" s="68"/>
    </row>
    <row r="644" spans="16:31" x14ac:dyDescent="0.2">
      <c r="P644" s="68"/>
      <c r="Q644" s="74"/>
      <c r="R644" s="74"/>
      <c r="S644" s="74"/>
      <c r="T644" s="75"/>
      <c r="U644" s="76"/>
      <c r="V644" s="77"/>
      <c r="W644" s="77"/>
      <c r="X644" s="76"/>
      <c r="Y644" s="76"/>
      <c r="Z644" s="68"/>
      <c r="AA644" s="68"/>
      <c r="AB644" s="68"/>
      <c r="AC644" s="68"/>
      <c r="AD644" s="68"/>
      <c r="AE644" s="68"/>
    </row>
    <row r="645" spans="16:31" x14ac:dyDescent="0.2">
      <c r="P645" s="68"/>
      <c r="Q645" s="74"/>
      <c r="R645" s="74"/>
      <c r="S645" s="74"/>
      <c r="T645" s="75"/>
      <c r="U645" s="76"/>
      <c r="V645" s="77"/>
      <c r="W645" s="77"/>
      <c r="X645" s="76"/>
      <c r="Y645" s="76"/>
      <c r="Z645" s="68"/>
      <c r="AA645" s="68"/>
      <c r="AB645" s="68"/>
      <c r="AC645" s="68"/>
      <c r="AD645" s="68"/>
      <c r="AE645" s="68"/>
    </row>
    <row r="646" spans="16:31" x14ac:dyDescent="0.2">
      <c r="P646" s="68"/>
      <c r="Q646" s="74"/>
      <c r="R646" s="74"/>
      <c r="S646" s="74"/>
      <c r="T646" s="75"/>
      <c r="U646" s="76"/>
      <c r="V646" s="77"/>
      <c r="W646" s="77"/>
      <c r="X646" s="76"/>
      <c r="Y646" s="76"/>
      <c r="Z646" s="68"/>
      <c r="AA646" s="68"/>
      <c r="AB646" s="68"/>
      <c r="AC646" s="68"/>
      <c r="AD646" s="68"/>
      <c r="AE646" s="68"/>
    </row>
    <row r="647" spans="16:31" x14ac:dyDescent="0.2">
      <c r="P647" s="68"/>
      <c r="Q647" s="74"/>
      <c r="R647" s="74"/>
      <c r="S647" s="74"/>
      <c r="T647" s="75"/>
      <c r="U647" s="76"/>
      <c r="V647" s="77"/>
      <c r="W647" s="77"/>
      <c r="X647" s="76"/>
      <c r="Y647" s="76"/>
      <c r="Z647" s="68"/>
      <c r="AA647" s="68"/>
      <c r="AB647" s="68"/>
      <c r="AC647" s="68"/>
      <c r="AD647" s="68"/>
      <c r="AE647" s="68"/>
    </row>
    <row r="648" spans="16:31" x14ac:dyDescent="0.2">
      <c r="P648" s="68"/>
      <c r="Q648" s="74"/>
      <c r="R648" s="74"/>
      <c r="S648" s="74"/>
      <c r="T648" s="75"/>
      <c r="U648" s="76"/>
      <c r="V648" s="77"/>
      <c r="W648" s="77"/>
      <c r="X648" s="76"/>
      <c r="Y648" s="76"/>
      <c r="Z648" s="68"/>
      <c r="AA648" s="68"/>
      <c r="AB648" s="68"/>
      <c r="AC648" s="68"/>
      <c r="AD648" s="68"/>
      <c r="AE648" s="68"/>
    </row>
    <row r="649" spans="16:31" x14ac:dyDescent="0.2">
      <c r="P649" s="68"/>
      <c r="Q649" s="74"/>
      <c r="R649" s="74"/>
      <c r="S649" s="74"/>
      <c r="T649" s="75"/>
      <c r="U649" s="76"/>
      <c r="V649" s="77"/>
      <c r="W649" s="77"/>
      <c r="X649" s="76"/>
      <c r="Y649" s="76"/>
      <c r="Z649" s="68"/>
      <c r="AA649" s="68"/>
      <c r="AB649" s="68"/>
      <c r="AC649" s="68"/>
      <c r="AD649" s="68"/>
      <c r="AE649" s="68"/>
    </row>
    <row r="650" spans="16:31" x14ac:dyDescent="0.2">
      <c r="P650" s="68"/>
      <c r="Q650" s="74"/>
      <c r="R650" s="74"/>
      <c r="S650" s="74"/>
      <c r="T650" s="75"/>
      <c r="U650" s="76"/>
      <c r="V650" s="77"/>
      <c r="W650" s="77"/>
      <c r="X650" s="76"/>
      <c r="Y650" s="76"/>
      <c r="Z650" s="68"/>
      <c r="AA650" s="68"/>
      <c r="AB650" s="68"/>
      <c r="AC650" s="68"/>
      <c r="AD650" s="68"/>
      <c r="AE650" s="68"/>
    </row>
    <row r="651" spans="16:31" x14ac:dyDescent="0.2">
      <c r="P651" s="68"/>
      <c r="Q651" s="74"/>
      <c r="R651" s="74"/>
      <c r="S651" s="74"/>
      <c r="T651" s="75"/>
      <c r="U651" s="76"/>
      <c r="V651" s="77"/>
      <c r="W651" s="77"/>
      <c r="X651" s="76"/>
      <c r="Y651" s="76"/>
      <c r="Z651" s="68"/>
      <c r="AA651" s="68"/>
      <c r="AB651" s="68"/>
      <c r="AC651" s="68"/>
      <c r="AD651" s="68"/>
      <c r="AE651" s="68"/>
    </row>
    <row r="652" spans="16:31" x14ac:dyDescent="0.2">
      <c r="P652" s="68"/>
      <c r="Q652" s="74"/>
      <c r="R652" s="74"/>
      <c r="S652" s="74"/>
      <c r="T652" s="75"/>
      <c r="U652" s="76"/>
      <c r="V652" s="77"/>
      <c r="W652" s="77"/>
      <c r="X652" s="76"/>
      <c r="Y652" s="76"/>
      <c r="Z652" s="68"/>
      <c r="AA652" s="68"/>
      <c r="AB652" s="68"/>
      <c r="AC652" s="68"/>
      <c r="AD652" s="68"/>
      <c r="AE652" s="68"/>
    </row>
    <row r="653" spans="16:31" x14ac:dyDescent="0.2">
      <c r="P653" s="68"/>
      <c r="Q653" s="74"/>
      <c r="R653" s="74"/>
      <c r="S653" s="74"/>
      <c r="T653" s="75"/>
      <c r="U653" s="76"/>
      <c r="V653" s="77"/>
      <c r="W653" s="77"/>
      <c r="X653" s="76"/>
      <c r="Y653" s="76"/>
      <c r="Z653" s="68"/>
      <c r="AA653" s="68"/>
      <c r="AB653" s="68"/>
      <c r="AC653" s="68"/>
      <c r="AD653" s="68"/>
      <c r="AE653" s="68"/>
    </row>
    <row r="654" spans="16:31" x14ac:dyDescent="0.2">
      <c r="P654" s="68"/>
      <c r="Q654" s="74"/>
      <c r="R654" s="74"/>
      <c r="S654" s="74"/>
      <c r="T654" s="75"/>
      <c r="U654" s="76"/>
      <c r="V654" s="77"/>
      <c r="W654" s="77"/>
      <c r="X654" s="76"/>
      <c r="Y654" s="76"/>
      <c r="Z654" s="68"/>
      <c r="AA654" s="68"/>
      <c r="AB654" s="68"/>
      <c r="AC654" s="68"/>
      <c r="AD654" s="68"/>
      <c r="AE654" s="68"/>
    </row>
    <row r="655" spans="16:31" x14ac:dyDescent="0.2">
      <c r="P655" s="68"/>
      <c r="Q655" s="74"/>
      <c r="R655" s="74"/>
      <c r="S655" s="74"/>
      <c r="T655" s="75"/>
      <c r="U655" s="76"/>
      <c r="V655" s="77"/>
      <c r="W655" s="77"/>
      <c r="X655" s="76"/>
      <c r="Y655" s="76"/>
      <c r="Z655" s="68"/>
      <c r="AA655" s="68"/>
      <c r="AB655" s="68"/>
      <c r="AC655" s="68"/>
      <c r="AD655" s="68"/>
      <c r="AE655" s="68"/>
    </row>
    <row r="656" spans="16:31" x14ac:dyDescent="0.2">
      <c r="P656" s="68"/>
      <c r="Q656" s="74"/>
      <c r="R656" s="74"/>
      <c r="S656" s="74"/>
      <c r="T656" s="75"/>
      <c r="U656" s="76"/>
      <c r="V656" s="77"/>
      <c r="W656" s="77"/>
      <c r="X656" s="76"/>
      <c r="Y656" s="76"/>
      <c r="Z656" s="68"/>
      <c r="AA656" s="68"/>
      <c r="AB656" s="68"/>
      <c r="AC656" s="68"/>
      <c r="AD656" s="68"/>
      <c r="AE656" s="68"/>
    </row>
    <row r="657" spans="16:31" x14ac:dyDescent="0.2">
      <c r="P657" s="68"/>
      <c r="Q657" s="74"/>
      <c r="R657" s="74"/>
      <c r="S657" s="74"/>
      <c r="T657" s="75"/>
      <c r="U657" s="76"/>
      <c r="V657" s="77"/>
      <c r="W657" s="77"/>
      <c r="X657" s="76"/>
      <c r="Y657" s="76"/>
      <c r="Z657" s="68"/>
      <c r="AA657" s="68"/>
      <c r="AB657" s="68"/>
      <c r="AC657" s="68"/>
      <c r="AD657" s="68"/>
      <c r="AE657" s="68"/>
    </row>
    <row r="658" spans="16:31" x14ac:dyDescent="0.2">
      <c r="P658" s="68"/>
      <c r="Q658" s="74"/>
      <c r="R658" s="74"/>
      <c r="S658" s="74"/>
      <c r="T658" s="75"/>
      <c r="U658" s="76"/>
      <c r="V658" s="77"/>
      <c r="W658" s="77"/>
      <c r="X658" s="76"/>
      <c r="Y658" s="76"/>
      <c r="Z658" s="68"/>
      <c r="AA658" s="68"/>
      <c r="AB658" s="68"/>
      <c r="AC658" s="68"/>
      <c r="AD658" s="68"/>
      <c r="AE658" s="68"/>
    </row>
    <row r="659" spans="16:31" x14ac:dyDescent="0.2">
      <c r="P659" s="68"/>
      <c r="Q659" s="74"/>
      <c r="R659" s="74"/>
      <c r="S659" s="74"/>
      <c r="T659" s="75"/>
      <c r="U659" s="76"/>
      <c r="V659" s="77"/>
      <c r="W659" s="77"/>
      <c r="X659" s="76"/>
      <c r="Y659" s="76"/>
      <c r="Z659" s="68"/>
      <c r="AA659" s="68"/>
      <c r="AB659" s="68"/>
      <c r="AC659" s="68"/>
      <c r="AD659" s="68"/>
      <c r="AE659" s="68"/>
    </row>
    <row r="660" spans="16:31" x14ac:dyDescent="0.2">
      <c r="P660" s="68"/>
      <c r="Q660" s="74"/>
      <c r="R660" s="74"/>
      <c r="S660" s="74"/>
      <c r="T660" s="75"/>
      <c r="U660" s="76"/>
      <c r="V660" s="77"/>
      <c r="W660" s="77"/>
      <c r="X660" s="76"/>
      <c r="Y660" s="76"/>
      <c r="Z660" s="68"/>
      <c r="AA660" s="68"/>
      <c r="AB660" s="68"/>
      <c r="AC660" s="68"/>
      <c r="AD660" s="68"/>
      <c r="AE660" s="68"/>
    </row>
    <row r="661" spans="16:31" x14ac:dyDescent="0.2">
      <c r="P661" s="68"/>
      <c r="Q661" s="74"/>
      <c r="R661" s="74"/>
      <c r="S661" s="74"/>
      <c r="T661" s="75"/>
      <c r="U661" s="76"/>
      <c r="V661" s="77"/>
      <c r="W661" s="77"/>
      <c r="X661" s="76"/>
      <c r="Y661" s="76"/>
      <c r="Z661" s="68"/>
      <c r="AA661" s="68"/>
      <c r="AB661" s="68"/>
      <c r="AC661" s="68"/>
      <c r="AD661" s="68"/>
      <c r="AE661" s="68"/>
    </row>
    <row r="662" spans="16:31" x14ac:dyDescent="0.2">
      <c r="P662" s="68"/>
      <c r="Q662" s="74"/>
      <c r="R662" s="74"/>
      <c r="S662" s="74"/>
      <c r="T662" s="75"/>
      <c r="U662" s="76"/>
      <c r="V662" s="77"/>
      <c r="W662" s="77"/>
      <c r="X662" s="76"/>
      <c r="Y662" s="76"/>
      <c r="Z662" s="68"/>
      <c r="AA662" s="68"/>
      <c r="AB662" s="68"/>
      <c r="AC662" s="68"/>
      <c r="AD662" s="68"/>
      <c r="AE662" s="68"/>
    </row>
    <row r="663" spans="16:31" x14ac:dyDescent="0.2">
      <c r="P663" s="68"/>
      <c r="Q663" s="74"/>
      <c r="R663" s="74"/>
      <c r="S663" s="74"/>
      <c r="T663" s="75"/>
      <c r="U663" s="76"/>
      <c r="V663" s="77"/>
      <c r="W663" s="77"/>
      <c r="X663" s="76"/>
      <c r="Y663" s="76"/>
      <c r="Z663" s="68"/>
      <c r="AA663" s="68"/>
      <c r="AB663" s="68"/>
      <c r="AC663" s="68"/>
      <c r="AD663" s="68"/>
      <c r="AE663" s="68"/>
    </row>
    <row r="664" spans="16:31" x14ac:dyDescent="0.2">
      <c r="P664" s="68"/>
      <c r="Q664" s="74"/>
      <c r="R664" s="74"/>
      <c r="S664" s="74"/>
      <c r="T664" s="75"/>
      <c r="U664" s="76"/>
      <c r="V664" s="77"/>
      <c r="W664" s="77"/>
      <c r="X664" s="76"/>
      <c r="Y664" s="76"/>
      <c r="Z664" s="68"/>
      <c r="AA664" s="68"/>
      <c r="AB664" s="68"/>
      <c r="AC664" s="68"/>
      <c r="AD664" s="68"/>
      <c r="AE664" s="68"/>
    </row>
    <row r="665" spans="16:31" x14ac:dyDescent="0.2">
      <c r="P665" s="68"/>
      <c r="Q665" s="74"/>
      <c r="R665" s="74"/>
      <c r="S665" s="74"/>
      <c r="T665" s="75"/>
      <c r="U665" s="76"/>
      <c r="V665" s="77"/>
      <c r="W665" s="77"/>
      <c r="X665" s="76"/>
      <c r="Y665" s="76"/>
      <c r="Z665" s="68"/>
      <c r="AA665" s="68"/>
      <c r="AB665" s="68"/>
      <c r="AC665" s="68"/>
      <c r="AD665" s="68"/>
      <c r="AE665" s="68"/>
    </row>
    <row r="666" spans="16:31" x14ac:dyDescent="0.2">
      <c r="P666" s="68"/>
      <c r="Q666" s="74"/>
      <c r="R666" s="74"/>
      <c r="S666" s="74"/>
      <c r="T666" s="75"/>
      <c r="U666" s="76"/>
      <c r="V666" s="77"/>
      <c r="W666" s="77"/>
      <c r="X666" s="76"/>
      <c r="Y666" s="76"/>
      <c r="Z666" s="68"/>
      <c r="AA666" s="68"/>
      <c r="AB666" s="68"/>
      <c r="AC666" s="68"/>
      <c r="AD666" s="68"/>
      <c r="AE666" s="68"/>
    </row>
    <row r="667" spans="16:31" x14ac:dyDescent="0.2">
      <c r="P667" s="68"/>
      <c r="Q667" s="74"/>
      <c r="R667" s="74"/>
      <c r="S667" s="74"/>
      <c r="T667" s="75"/>
      <c r="U667" s="76"/>
      <c r="V667" s="77"/>
      <c r="W667" s="77"/>
      <c r="X667" s="76"/>
      <c r="Y667" s="76"/>
      <c r="Z667" s="68"/>
      <c r="AA667" s="68"/>
      <c r="AB667" s="68"/>
      <c r="AC667" s="68"/>
      <c r="AD667" s="68"/>
      <c r="AE667" s="68"/>
    </row>
    <row r="668" spans="16:31" x14ac:dyDescent="0.2">
      <c r="P668" s="68"/>
      <c r="Q668" s="74"/>
      <c r="R668" s="74"/>
      <c r="S668" s="74"/>
      <c r="T668" s="75"/>
      <c r="U668" s="76"/>
      <c r="V668" s="77"/>
      <c r="W668" s="77"/>
      <c r="X668" s="76"/>
      <c r="Y668" s="76"/>
      <c r="Z668" s="68"/>
      <c r="AA668" s="68"/>
      <c r="AB668" s="68"/>
      <c r="AC668" s="68"/>
      <c r="AD668" s="68"/>
      <c r="AE668" s="68"/>
    </row>
    <row r="669" spans="16:31" x14ac:dyDescent="0.2">
      <c r="P669" s="68"/>
      <c r="Q669" s="74"/>
      <c r="R669" s="74"/>
      <c r="S669" s="74"/>
      <c r="T669" s="75"/>
      <c r="U669" s="76"/>
      <c r="V669" s="77"/>
      <c r="W669" s="77"/>
      <c r="X669" s="76"/>
      <c r="Y669" s="76"/>
      <c r="Z669" s="68"/>
      <c r="AA669" s="68"/>
      <c r="AB669" s="68"/>
      <c r="AC669" s="68"/>
      <c r="AD669" s="68"/>
      <c r="AE669" s="68"/>
    </row>
    <row r="670" spans="16:31" x14ac:dyDescent="0.2">
      <c r="P670" s="68"/>
      <c r="Q670" s="74"/>
      <c r="R670" s="74"/>
      <c r="S670" s="74"/>
      <c r="T670" s="75"/>
      <c r="U670" s="76"/>
      <c r="V670" s="77"/>
      <c r="W670" s="77"/>
      <c r="X670" s="76"/>
      <c r="Y670" s="76"/>
      <c r="Z670" s="68"/>
      <c r="AA670" s="68"/>
      <c r="AB670" s="68"/>
      <c r="AC670" s="68"/>
      <c r="AD670" s="68"/>
      <c r="AE670" s="68"/>
    </row>
    <row r="671" spans="16:31" x14ac:dyDescent="0.2">
      <c r="P671" s="68"/>
      <c r="Q671" s="74"/>
      <c r="R671" s="74"/>
      <c r="S671" s="74"/>
      <c r="T671" s="75"/>
      <c r="U671" s="76"/>
      <c r="V671" s="77"/>
      <c r="W671" s="77"/>
      <c r="X671" s="76"/>
      <c r="Y671" s="76"/>
      <c r="Z671" s="68"/>
      <c r="AA671" s="68"/>
      <c r="AB671" s="68"/>
      <c r="AC671" s="68"/>
      <c r="AD671" s="68"/>
      <c r="AE671" s="68"/>
    </row>
    <row r="672" spans="16:31" x14ac:dyDescent="0.2">
      <c r="P672" s="68"/>
      <c r="Q672" s="74"/>
      <c r="R672" s="74"/>
      <c r="S672" s="74"/>
      <c r="T672" s="75"/>
      <c r="U672" s="76"/>
      <c r="V672" s="77"/>
      <c r="W672" s="77"/>
      <c r="X672" s="76"/>
      <c r="Y672" s="76"/>
      <c r="Z672" s="68"/>
      <c r="AA672" s="68"/>
      <c r="AB672" s="68"/>
      <c r="AC672" s="68"/>
      <c r="AD672" s="68"/>
      <c r="AE672" s="68"/>
    </row>
    <row r="673" spans="16:31" x14ac:dyDescent="0.2">
      <c r="P673" s="68"/>
      <c r="Q673" s="74"/>
      <c r="R673" s="74"/>
      <c r="S673" s="74"/>
      <c r="T673" s="75"/>
      <c r="U673" s="76"/>
      <c r="V673" s="77"/>
      <c r="W673" s="77"/>
      <c r="X673" s="76"/>
      <c r="Y673" s="76"/>
      <c r="Z673" s="68"/>
      <c r="AA673" s="68"/>
      <c r="AB673" s="68"/>
      <c r="AC673" s="68"/>
      <c r="AD673" s="68"/>
      <c r="AE673" s="68"/>
    </row>
    <row r="674" spans="16:31" x14ac:dyDescent="0.2">
      <c r="P674" s="68"/>
      <c r="Q674" s="74"/>
      <c r="R674" s="74"/>
      <c r="S674" s="74"/>
      <c r="T674" s="75"/>
      <c r="U674" s="76"/>
      <c r="V674" s="77"/>
      <c r="W674" s="77"/>
      <c r="X674" s="76"/>
      <c r="Y674" s="76"/>
      <c r="Z674" s="68"/>
      <c r="AA674" s="68"/>
      <c r="AB674" s="68"/>
      <c r="AC674" s="68"/>
      <c r="AD674" s="68"/>
      <c r="AE674" s="68"/>
    </row>
    <row r="675" spans="16:31" x14ac:dyDescent="0.2">
      <c r="P675" s="68"/>
      <c r="Q675" s="74"/>
      <c r="R675" s="74"/>
      <c r="S675" s="74"/>
      <c r="T675" s="75"/>
      <c r="U675" s="76"/>
      <c r="V675" s="77"/>
      <c r="W675" s="77"/>
      <c r="X675" s="76"/>
      <c r="Y675" s="76"/>
      <c r="Z675" s="68"/>
      <c r="AA675" s="68"/>
      <c r="AB675" s="68"/>
      <c r="AC675" s="68"/>
      <c r="AD675" s="68"/>
      <c r="AE675" s="68"/>
    </row>
    <row r="676" spans="16:31" x14ac:dyDescent="0.2">
      <c r="P676" s="68"/>
      <c r="Q676" s="74"/>
      <c r="R676" s="74"/>
      <c r="S676" s="74"/>
      <c r="T676" s="75"/>
      <c r="U676" s="76"/>
      <c r="V676" s="77"/>
      <c r="W676" s="77"/>
      <c r="X676" s="76"/>
      <c r="Y676" s="76"/>
      <c r="Z676" s="68"/>
      <c r="AA676" s="68"/>
      <c r="AB676" s="68"/>
      <c r="AC676" s="68"/>
      <c r="AD676" s="68"/>
      <c r="AE676" s="68"/>
    </row>
    <row r="677" spans="16:31" x14ac:dyDescent="0.2">
      <c r="P677" s="68"/>
      <c r="Q677" s="74"/>
      <c r="R677" s="74"/>
      <c r="S677" s="74"/>
      <c r="T677" s="75"/>
      <c r="U677" s="76"/>
      <c r="V677" s="77"/>
      <c r="W677" s="77"/>
      <c r="X677" s="76"/>
      <c r="Y677" s="76"/>
      <c r="Z677" s="68"/>
      <c r="AA677" s="68"/>
      <c r="AB677" s="68"/>
      <c r="AC677" s="68"/>
      <c r="AD677" s="68"/>
      <c r="AE677" s="68"/>
    </row>
    <row r="678" spans="16:31" x14ac:dyDescent="0.2">
      <c r="P678" s="68"/>
      <c r="Q678" s="74"/>
      <c r="R678" s="74"/>
      <c r="S678" s="74"/>
      <c r="T678" s="75"/>
      <c r="U678" s="76"/>
      <c r="V678" s="77"/>
      <c r="W678" s="77"/>
      <c r="X678" s="76"/>
      <c r="Y678" s="76"/>
      <c r="Z678" s="68"/>
      <c r="AA678" s="68"/>
      <c r="AB678" s="68"/>
      <c r="AC678" s="68"/>
      <c r="AD678" s="68"/>
      <c r="AE678" s="68"/>
    </row>
    <row r="679" spans="16:31" x14ac:dyDescent="0.2">
      <c r="P679" s="68"/>
      <c r="Q679" s="74"/>
      <c r="R679" s="74"/>
      <c r="S679" s="74"/>
      <c r="T679" s="75"/>
      <c r="U679" s="76"/>
      <c r="V679" s="77"/>
      <c r="W679" s="77"/>
      <c r="X679" s="76"/>
      <c r="Y679" s="76"/>
      <c r="Z679" s="68"/>
      <c r="AA679" s="68"/>
      <c r="AB679" s="68"/>
      <c r="AC679" s="68"/>
      <c r="AD679" s="68"/>
      <c r="AE679" s="68"/>
    </row>
    <row r="680" spans="16:31" x14ac:dyDescent="0.2">
      <c r="P680" s="68"/>
      <c r="Q680" s="74"/>
      <c r="R680" s="74"/>
      <c r="S680" s="74"/>
      <c r="T680" s="75"/>
      <c r="U680" s="76"/>
      <c r="V680" s="77"/>
      <c r="W680" s="77"/>
      <c r="X680" s="76"/>
      <c r="Y680" s="76"/>
      <c r="Z680" s="68"/>
      <c r="AA680" s="68"/>
      <c r="AB680" s="68"/>
      <c r="AC680" s="68"/>
      <c r="AD680" s="68"/>
      <c r="AE680" s="68"/>
    </row>
    <row r="681" spans="16:31" x14ac:dyDescent="0.2">
      <c r="P681" s="68"/>
      <c r="Q681" s="74"/>
      <c r="R681" s="74"/>
      <c r="S681" s="74"/>
      <c r="T681" s="75"/>
      <c r="U681" s="76"/>
      <c r="V681" s="77"/>
      <c r="W681" s="77"/>
      <c r="X681" s="76"/>
      <c r="Y681" s="76"/>
      <c r="Z681" s="68"/>
      <c r="AA681" s="68"/>
      <c r="AB681" s="68"/>
      <c r="AC681" s="68"/>
      <c r="AD681" s="68"/>
      <c r="AE681" s="68"/>
    </row>
    <row r="682" spans="16:31" x14ac:dyDescent="0.2">
      <c r="P682" s="68"/>
      <c r="Q682" s="74"/>
      <c r="R682" s="74"/>
      <c r="S682" s="74"/>
      <c r="T682" s="75"/>
      <c r="U682" s="76"/>
      <c r="V682" s="77"/>
      <c r="W682" s="77"/>
      <c r="X682" s="76"/>
      <c r="Y682" s="76"/>
      <c r="Z682" s="68"/>
      <c r="AA682" s="68"/>
      <c r="AB682" s="68"/>
      <c r="AC682" s="68"/>
      <c r="AD682" s="68"/>
      <c r="AE682" s="68"/>
    </row>
    <row r="683" spans="16:31" x14ac:dyDescent="0.2">
      <c r="P683" s="68"/>
      <c r="Q683" s="74"/>
      <c r="R683" s="74"/>
      <c r="S683" s="74"/>
      <c r="T683" s="75"/>
      <c r="U683" s="76"/>
      <c r="V683" s="77"/>
      <c r="W683" s="77"/>
      <c r="X683" s="76"/>
      <c r="Y683" s="76"/>
      <c r="Z683" s="68"/>
      <c r="AA683" s="68"/>
      <c r="AB683" s="68"/>
      <c r="AC683" s="68"/>
      <c r="AD683" s="68"/>
      <c r="AE683" s="68"/>
    </row>
    <row r="684" spans="16:31" x14ac:dyDescent="0.2">
      <c r="P684" s="68"/>
      <c r="Q684" s="74"/>
      <c r="R684" s="74"/>
      <c r="S684" s="74"/>
      <c r="T684" s="75"/>
      <c r="U684" s="76"/>
      <c r="V684" s="77"/>
      <c r="W684" s="77"/>
      <c r="X684" s="76"/>
      <c r="Y684" s="76"/>
      <c r="Z684" s="68"/>
      <c r="AA684" s="68"/>
      <c r="AB684" s="68"/>
      <c r="AC684" s="68"/>
      <c r="AD684" s="68"/>
      <c r="AE684" s="68"/>
    </row>
    <row r="685" spans="16:31" x14ac:dyDescent="0.2">
      <c r="P685" s="68"/>
      <c r="Q685" s="74"/>
      <c r="R685" s="74"/>
      <c r="S685" s="74"/>
      <c r="T685" s="75"/>
      <c r="U685" s="76"/>
      <c r="V685" s="77"/>
      <c r="W685" s="77"/>
      <c r="X685" s="76"/>
      <c r="Y685" s="76"/>
      <c r="Z685" s="68"/>
      <c r="AA685" s="68"/>
      <c r="AB685" s="68"/>
      <c r="AC685" s="68"/>
      <c r="AD685" s="68"/>
      <c r="AE685" s="68"/>
    </row>
    <row r="686" spans="16:31" x14ac:dyDescent="0.2">
      <c r="P686" s="68"/>
      <c r="Q686" s="74"/>
      <c r="R686" s="74"/>
      <c r="S686" s="74"/>
      <c r="T686" s="75"/>
      <c r="U686" s="76"/>
      <c r="V686" s="77"/>
      <c r="W686" s="77"/>
      <c r="X686" s="76"/>
      <c r="Y686" s="76"/>
      <c r="Z686" s="68"/>
      <c r="AA686" s="68"/>
      <c r="AB686" s="68"/>
      <c r="AC686" s="68"/>
      <c r="AD686" s="68"/>
      <c r="AE686" s="68"/>
    </row>
    <row r="687" spans="16:31" x14ac:dyDescent="0.2">
      <c r="P687" s="68"/>
      <c r="Q687" s="74"/>
      <c r="R687" s="74"/>
      <c r="S687" s="74"/>
      <c r="T687" s="75"/>
      <c r="U687" s="76"/>
      <c r="V687" s="77"/>
      <c r="W687" s="77"/>
      <c r="X687" s="76"/>
      <c r="Y687" s="76"/>
      <c r="Z687" s="68"/>
      <c r="AA687" s="68"/>
      <c r="AB687" s="68"/>
      <c r="AC687" s="68"/>
      <c r="AD687" s="68"/>
      <c r="AE687" s="68"/>
    </row>
    <row r="688" spans="16:31" x14ac:dyDescent="0.2">
      <c r="P688" s="68"/>
      <c r="Q688" s="74"/>
      <c r="R688" s="74"/>
      <c r="S688" s="74"/>
      <c r="T688" s="75"/>
      <c r="U688" s="76"/>
      <c r="V688" s="77"/>
      <c r="W688" s="77"/>
      <c r="X688" s="76"/>
      <c r="Y688" s="76"/>
      <c r="Z688" s="68"/>
      <c r="AA688" s="68"/>
      <c r="AB688" s="68"/>
      <c r="AC688" s="68"/>
      <c r="AD688" s="68"/>
      <c r="AE688" s="68"/>
    </row>
    <row r="689" spans="16:31" x14ac:dyDescent="0.2">
      <c r="P689" s="68"/>
      <c r="Q689" s="74"/>
      <c r="R689" s="74"/>
      <c r="S689" s="74"/>
      <c r="T689" s="75"/>
      <c r="U689" s="76"/>
      <c r="V689" s="77"/>
      <c r="W689" s="77"/>
      <c r="X689" s="76"/>
      <c r="Y689" s="76"/>
      <c r="Z689" s="68"/>
      <c r="AA689" s="68"/>
      <c r="AB689" s="68"/>
      <c r="AC689" s="68"/>
      <c r="AD689" s="68"/>
      <c r="AE689" s="68"/>
    </row>
    <row r="690" spans="16:31" x14ac:dyDescent="0.2">
      <c r="P690" s="68"/>
      <c r="Q690" s="74"/>
      <c r="R690" s="74"/>
      <c r="S690" s="74"/>
      <c r="T690" s="75"/>
      <c r="U690" s="76"/>
      <c r="V690" s="77"/>
      <c r="W690" s="77"/>
      <c r="X690" s="76"/>
      <c r="Y690" s="76"/>
      <c r="Z690" s="68"/>
      <c r="AA690" s="68"/>
      <c r="AB690" s="68"/>
      <c r="AC690" s="68"/>
      <c r="AD690" s="68"/>
      <c r="AE690" s="68"/>
    </row>
    <row r="691" spans="16:31" x14ac:dyDescent="0.2">
      <c r="P691" s="68"/>
      <c r="Q691" s="74"/>
      <c r="R691" s="74"/>
      <c r="S691" s="74"/>
      <c r="T691" s="75"/>
      <c r="U691" s="76"/>
      <c r="V691" s="77"/>
      <c r="W691" s="77"/>
      <c r="X691" s="76"/>
      <c r="Y691" s="76"/>
      <c r="Z691" s="68"/>
      <c r="AA691" s="68"/>
      <c r="AB691" s="68"/>
      <c r="AC691" s="68"/>
      <c r="AD691" s="68"/>
      <c r="AE691" s="68"/>
    </row>
    <row r="692" spans="16:31" x14ac:dyDescent="0.2">
      <c r="P692" s="68"/>
      <c r="Q692" s="74"/>
      <c r="R692" s="74"/>
      <c r="S692" s="74"/>
      <c r="T692" s="75"/>
      <c r="U692" s="76"/>
      <c r="V692" s="77"/>
      <c r="W692" s="77"/>
      <c r="X692" s="76"/>
      <c r="Y692" s="76"/>
      <c r="Z692" s="68"/>
      <c r="AA692" s="68"/>
      <c r="AB692" s="68"/>
      <c r="AC692" s="68"/>
      <c r="AD692" s="68"/>
      <c r="AE692" s="68"/>
    </row>
    <row r="693" spans="16:31" x14ac:dyDescent="0.2">
      <c r="P693" s="68"/>
      <c r="Q693" s="74"/>
      <c r="R693" s="74"/>
      <c r="S693" s="74"/>
      <c r="T693" s="75"/>
      <c r="U693" s="76"/>
      <c r="V693" s="77"/>
      <c r="W693" s="77"/>
      <c r="X693" s="76"/>
      <c r="Y693" s="76"/>
      <c r="Z693" s="68"/>
      <c r="AA693" s="68"/>
      <c r="AB693" s="68"/>
      <c r="AC693" s="68"/>
      <c r="AD693" s="68"/>
      <c r="AE693" s="68"/>
    </row>
    <row r="694" spans="16:31" x14ac:dyDescent="0.2">
      <c r="P694" s="68"/>
      <c r="Q694" s="74"/>
      <c r="R694" s="74"/>
      <c r="S694" s="74"/>
      <c r="T694" s="75"/>
      <c r="U694" s="76"/>
      <c r="V694" s="77"/>
      <c r="W694" s="77"/>
      <c r="X694" s="76"/>
      <c r="Y694" s="76"/>
      <c r="Z694" s="68"/>
      <c r="AA694" s="68"/>
      <c r="AB694" s="68"/>
      <c r="AC694" s="68"/>
      <c r="AD694" s="68"/>
      <c r="AE694" s="68"/>
    </row>
    <row r="695" spans="16:31" x14ac:dyDescent="0.2">
      <c r="P695" s="68"/>
      <c r="Q695" s="74"/>
      <c r="R695" s="74"/>
      <c r="S695" s="74"/>
      <c r="T695" s="75"/>
      <c r="U695" s="76"/>
      <c r="V695" s="77"/>
      <c r="W695" s="77"/>
      <c r="X695" s="76"/>
      <c r="Y695" s="76"/>
      <c r="Z695" s="68"/>
      <c r="AA695" s="68"/>
      <c r="AB695" s="68"/>
      <c r="AC695" s="68"/>
      <c r="AD695" s="68"/>
      <c r="AE695" s="68"/>
    </row>
    <row r="696" spans="16:31" x14ac:dyDescent="0.2">
      <c r="P696" s="68"/>
      <c r="Q696" s="74"/>
      <c r="R696" s="74"/>
      <c r="S696" s="74"/>
      <c r="T696" s="75"/>
      <c r="U696" s="76"/>
      <c r="V696" s="77"/>
      <c r="W696" s="77"/>
      <c r="X696" s="76"/>
      <c r="Y696" s="76"/>
      <c r="Z696" s="68"/>
      <c r="AA696" s="68"/>
      <c r="AB696" s="68"/>
      <c r="AC696" s="68"/>
      <c r="AD696" s="68"/>
      <c r="AE696" s="68"/>
    </row>
    <row r="697" spans="16:31" x14ac:dyDescent="0.2">
      <c r="P697" s="68"/>
      <c r="Q697" s="74"/>
      <c r="R697" s="74"/>
      <c r="S697" s="74"/>
      <c r="T697" s="75"/>
      <c r="U697" s="76"/>
      <c r="V697" s="77"/>
      <c r="W697" s="77"/>
      <c r="X697" s="76"/>
      <c r="Y697" s="76"/>
      <c r="Z697" s="68"/>
      <c r="AA697" s="68"/>
      <c r="AB697" s="68"/>
      <c r="AC697" s="68"/>
      <c r="AD697" s="68"/>
      <c r="AE697" s="68"/>
    </row>
    <row r="698" spans="16:31" x14ac:dyDescent="0.2">
      <c r="P698" s="68"/>
      <c r="Q698" s="74"/>
      <c r="R698" s="74"/>
      <c r="S698" s="74"/>
      <c r="T698" s="75"/>
      <c r="U698" s="76"/>
      <c r="V698" s="77"/>
      <c r="W698" s="77"/>
      <c r="X698" s="76"/>
      <c r="Y698" s="76"/>
      <c r="Z698" s="68"/>
      <c r="AA698" s="68"/>
      <c r="AB698" s="68"/>
      <c r="AC698" s="68"/>
      <c r="AD698" s="68"/>
      <c r="AE698" s="68"/>
    </row>
    <row r="699" spans="16:31" x14ac:dyDescent="0.2">
      <c r="P699" s="68"/>
      <c r="Q699" s="74"/>
      <c r="R699" s="74"/>
      <c r="S699" s="74"/>
      <c r="T699" s="75"/>
      <c r="U699" s="76"/>
      <c r="V699" s="77"/>
      <c r="W699" s="77"/>
      <c r="X699" s="76"/>
      <c r="Y699" s="76"/>
      <c r="Z699" s="68"/>
      <c r="AA699" s="68"/>
      <c r="AB699" s="68"/>
      <c r="AC699" s="68"/>
      <c r="AD699" s="68"/>
      <c r="AE699" s="68"/>
    </row>
    <row r="700" spans="16:31" x14ac:dyDescent="0.2">
      <c r="P700" s="68"/>
      <c r="Q700" s="74"/>
      <c r="R700" s="74"/>
      <c r="S700" s="74"/>
      <c r="T700" s="75"/>
      <c r="U700" s="76"/>
      <c r="V700" s="77"/>
      <c r="W700" s="77"/>
      <c r="X700" s="76"/>
      <c r="Y700" s="76"/>
      <c r="Z700" s="68"/>
      <c r="AA700" s="68"/>
      <c r="AB700" s="68"/>
      <c r="AC700" s="68"/>
      <c r="AD700" s="68"/>
      <c r="AE700" s="68"/>
    </row>
    <row r="701" spans="16:31" x14ac:dyDescent="0.2">
      <c r="P701" s="68"/>
      <c r="Q701" s="74"/>
      <c r="R701" s="74"/>
      <c r="S701" s="74"/>
      <c r="T701" s="75"/>
      <c r="U701" s="76"/>
      <c r="V701" s="77"/>
      <c r="W701" s="77"/>
      <c r="X701" s="76"/>
      <c r="Y701" s="76"/>
      <c r="Z701" s="68"/>
      <c r="AA701" s="68"/>
      <c r="AB701" s="68"/>
      <c r="AC701" s="68"/>
      <c r="AD701" s="68"/>
      <c r="AE701" s="68"/>
    </row>
    <row r="702" spans="16:31" x14ac:dyDescent="0.2">
      <c r="P702" s="68"/>
      <c r="Q702" s="74"/>
      <c r="R702" s="74"/>
      <c r="S702" s="74"/>
      <c r="T702" s="75"/>
      <c r="U702" s="76"/>
      <c r="V702" s="77"/>
      <c r="W702" s="77"/>
      <c r="X702" s="76"/>
      <c r="Y702" s="76"/>
      <c r="Z702" s="68"/>
      <c r="AA702" s="68"/>
      <c r="AB702" s="68"/>
      <c r="AC702" s="68"/>
      <c r="AD702" s="68"/>
      <c r="AE702" s="68"/>
    </row>
    <row r="703" spans="16:31" x14ac:dyDescent="0.2">
      <c r="P703" s="68"/>
      <c r="Q703" s="74"/>
      <c r="R703" s="74"/>
      <c r="S703" s="74"/>
      <c r="T703" s="75"/>
      <c r="U703" s="76"/>
      <c r="V703" s="77"/>
      <c r="W703" s="77"/>
      <c r="X703" s="76"/>
      <c r="Y703" s="76"/>
      <c r="Z703" s="68"/>
      <c r="AA703" s="68"/>
      <c r="AB703" s="68"/>
      <c r="AC703" s="68"/>
      <c r="AD703" s="68"/>
      <c r="AE703" s="68"/>
    </row>
    <row r="704" spans="16:31" x14ac:dyDescent="0.2">
      <c r="P704" s="68"/>
      <c r="Q704" s="74"/>
      <c r="R704" s="74"/>
      <c r="S704" s="74"/>
      <c r="T704" s="75"/>
      <c r="U704" s="76"/>
      <c r="V704" s="77"/>
      <c r="W704" s="77"/>
      <c r="X704" s="76"/>
      <c r="Y704" s="76"/>
      <c r="Z704" s="68"/>
      <c r="AA704" s="68"/>
      <c r="AB704" s="68"/>
      <c r="AC704" s="68"/>
      <c r="AD704" s="68"/>
      <c r="AE704" s="68"/>
    </row>
    <row r="705" spans="16:31" x14ac:dyDescent="0.2">
      <c r="P705" s="68"/>
      <c r="Q705" s="74"/>
      <c r="R705" s="74"/>
      <c r="S705" s="74"/>
      <c r="T705" s="75"/>
      <c r="U705" s="76"/>
      <c r="V705" s="77"/>
      <c r="W705" s="77"/>
      <c r="X705" s="76"/>
      <c r="Y705" s="76"/>
      <c r="Z705" s="68"/>
      <c r="AA705" s="68"/>
      <c r="AB705" s="68"/>
      <c r="AC705" s="68"/>
      <c r="AD705" s="68"/>
      <c r="AE705" s="68"/>
    </row>
    <row r="706" spans="16:31" x14ac:dyDescent="0.2">
      <c r="P706" s="68"/>
      <c r="Q706" s="74"/>
      <c r="R706" s="74"/>
      <c r="S706" s="74"/>
      <c r="T706" s="75"/>
      <c r="U706" s="76"/>
      <c r="V706" s="77"/>
      <c r="W706" s="77"/>
      <c r="X706" s="76"/>
      <c r="Y706" s="76"/>
      <c r="Z706" s="68"/>
      <c r="AA706" s="68"/>
      <c r="AB706" s="68"/>
      <c r="AC706" s="68"/>
      <c r="AD706" s="68"/>
      <c r="AE706" s="68"/>
    </row>
    <row r="707" spans="16:31" x14ac:dyDescent="0.2">
      <c r="P707" s="68"/>
      <c r="Q707" s="74"/>
      <c r="R707" s="74"/>
      <c r="S707" s="74"/>
      <c r="T707" s="75"/>
      <c r="U707" s="76"/>
      <c r="V707" s="77"/>
      <c r="W707" s="77"/>
      <c r="X707" s="76"/>
      <c r="Y707" s="76"/>
      <c r="Z707" s="68"/>
      <c r="AA707" s="68"/>
      <c r="AB707" s="68"/>
      <c r="AC707" s="68"/>
      <c r="AD707" s="68"/>
      <c r="AE707" s="68"/>
    </row>
    <row r="708" spans="16:31" x14ac:dyDescent="0.2">
      <c r="P708" s="68"/>
      <c r="Q708" s="74"/>
      <c r="R708" s="74"/>
      <c r="S708" s="74"/>
      <c r="T708" s="75"/>
      <c r="U708" s="76"/>
      <c r="V708" s="77"/>
      <c r="W708" s="77"/>
      <c r="X708" s="76"/>
      <c r="Y708" s="76"/>
      <c r="Z708" s="68"/>
      <c r="AA708" s="68"/>
      <c r="AB708" s="68"/>
      <c r="AC708" s="68"/>
      <c r="AD708" s="68"/>
      <c r="AE708" s="68"/>
    </row>
    <row r="709" spans="16:31" x14ac:dyDescent="0.2">
      <c r="P709" s="68"/>
      <c r="Q709" s="74"/>
      <c r="R709" s="74"/>
      <c r="S709" s="74"/>
      <c r="T709" s="75"/>
      <c r="U709" s="76"/>
      <c r="V709" s="77"/>
      <c r="W709" s="77"/>
      <c r="X709" s="76"/>
      <c r="Y709" s="76"/>
      <c r="Z709" s="68"/>
      <c r="AA709" s="68"/>
      <c r="AB709" s="68"/>
      <c r="AC709" s="68"/>
      <c r="AD709" s="68"/>
      <c r="AE709" s="68"/>
    </row>
    <row r="710" spans="16:31" x14ac:dyDescent="0.2">
      <c r="P710" s="68"/>
      <c r="Q710" s="74"/>
      <c r="R710" s="74"/>
      <c r="S710" s="74"/>
      <c r="T710" s="75"/>
      <c r="U710" s="76"/>
      <c r="V710" s="77"/>
      <c r="W710" s="77"/>
      <c r="X710" s="76"/>
      <c r="Y710" s="76"/>
      <c r="Z710" s="68"/>
      <c r="AA710" s="68"/>
      <c r="AB710" s="68"/>
      <c r="AC710" s="68"/>
      <c r="AD710" s="68"/>
      <c r="AE710" s="68"/>
    </row>
    <row r="711" spans="16:31" x14ac:dyDescent="0.2">
      <c r="P711" s="68"/>
      <c r="Q711" s="74"/>
      <c r="R711" s="74"/>
      <c r="S711" s="74"/>
      <c r="T711" s="75"/>
      <c r="U711" s="76"/>
      <c r="V711" s="77"/>
      <c r="W711" s="77"/>
      <c r="X711" s="76"/>
      <c r="Y711" s="76"/>
      <c r="Z711" s="68"/>
      <c r="AA711" s="68"/>
      <c r="AB711" s="68"/>
      <c r="AC711" s="68"/>
      <c r="AD711" s="68"/>
      <c r="AE711" s="68"/>
    </row>
    <row r="712" spans="16:31" x14ac:dyDescent="0.2">
      <c r="P712" s="68"/>
      <c r="Q712" s="74"/>
      <c r="R712" s="74"/>
      <c r="S712" s="74"/>
      <c r="T712" s="75"/>
      <c r="U712" s="76"/>
      <c r="V712" s="77"/>
      <c r="W712" s="77"/>
      <c r="X712" s="76"/>
      <c r="Y712" s="76"/>
      <c r="Z712" s="68"/>
      <c r="AA712" s="68"/>
      <c r="AB712" s="68"/>
      <c r="AC712" s="68"/>
      <c r="AD712" s="68"/>
      <c r="AE712" s="68"/>
    </row>
    <row r="713" spans="16:31" x14ac:dyDescent="0.2">
      <c r="P713" s="68"/>
      <c r="Q713" s="74"/>
      <c r="R713" s="74"/>
      <c r="S713" s="74"/>
      <c r="T713" s="75"/>
      <c r="U713" s="76"/>
      <c r="V713" s="77"/>
      <c r="W713" s="77"/>
      <c r="X713" s="76"/>
      <c r="Y713" s="76"/>
      <c r="Z713" s="68"/>
      <c r="AA713" s="68"/>
      <c r="AB713" s="68"/>
      <c r="AC713" s="68"/>
      <c r="AD713" s="68"/>
      <c r="AE713" s="68"/>
    </row>
    <row r="714" spans="16:31" x14ac:dyDescent="0.2">
      <c r="P714" s="68"/>
      <c r="Q714" s="74"/>
      <c r="R714" s="74"/>
      <c r="S714" s="74"/>
      <c r="T714" s="75"/>
      <c r="U714" s="76"/>
      <c r="V714" s="77"/>
      <c r="W714" s="77"/>
      <c r="X714" s="76"/>
      <c r="Y714" s="76"/>
      <c r="Z714" s="68"/>
      <c r="AA714" s="68"/>
      <c r="AB714" s="68"/>
      <c r="AC714" s="68"/>
      <c r="AD714" s="68"/>
      <c r="AE714" s="68"/>
    </row>
    <row r="715" spans="16:31" x14ac:dyDescent="0.2">
      <c r="P715" s="68"/>
      <c r="Q715" s="74"/>
      <c r="R715" s="74"/>
      <c r="S715" s="74"/>
      <c r="T715" s="75"/>
      <c r="U715" s="76"/>
      <c r="V715" s="77"/>
      <c r="W715" s="77"/>
      <c r="X715" s="76"/>
      <c r="Y715" s="76"/>
      <c r="Z715" s="68"/>
      <c r="AA715" s="68"/>
      <c r="AB715" s="68"/>
      <c r="AC715" s="68"/>
      <c r="AD715" s="68"/>
      <c r="AE715" s="68"/>
    </row>
    <row r="716" spans="16:31" x14ac:dyDescent="0.2">
      <c r="P716" s="68"/>
      <c r="Q716" s="74"/>
      <c r="R716" s="74"/>
      <c r="S716" s="74"/>
      <c r="T716" s="75"/>
      <c r="U716" s="76"/>
      <c r="V716" s="77"/>
      <c r="W716" s="77"/>
      <c r="X716" s="76"/>
      <c r="Y716" s="76"/>
      <c r="Z716" s="68"/>
      <c r="AA716" s="68"/>
      <c r="AB716" s="68"/>
      <c r="AC716" s="68"/>
      <c r="AD716" s="68"/>
      <c r="AE716" s="68"/>
    </row>
    <row r="717" spans="16:31" x14ac:dyDescent="0.2">
      <c r="P717" s="68"/>
      <c r="Q717" s="74"/>
      <c r="R717" s="74"/>
      <c r="S717" s="74"/>
      <c r="T717" s="75"/>
      <c r="U717" s="76"/>
      <c r="V717" s="77"/>
      <c r="W717" s="77"/>
      <c r="X717" s="76"/>
      <c r="Y717" s="76"/>
      <c r="Z717" s="68"/>
      <c r="AA717" s="68"/>
      <c r="AB717" s="68"/>
      <c r="AC717" s="68"/>
      <c r="AD717" s="68"/>
      <c r="AE717" s="68"/>
    </row>
    <row r="718" spans="16:31" x14ac:dyDescent="0.2">
      <c r="P718" s="68"/>
      <c r="Q718" s="74"/>
      <c r="R718" s="74"/>
      <c r="S718" s="74"/>
      <c r="T718" s="75"/>
      <c r="U718" s="76"/>
      <c r="V718" s="77"/>
      <c r="W718" s="77"/>
      <c r="X718" s="76"/>
      <c r="Y718" s="76"/>
      <c r="Z718" s="68"/>
      <c r="AA718" s="68"/>
      <c r="AB718" s="68"/>
      <c r="AC718" s="68"/>
      <c r="AD718" s="68"/>
      <c r="AE718" s="68"/>
    </row>
    <row r="719" spans="16:31" x14ac:dyDescent="0.2">
      <c r="P719" s="68"/>
      <c r="Q719" s="74"/>
      <c r="R719" s="74"/>
      <c r="S719" s="74"/>
      <c r="T719" s="75"/>
      <c r="U719" s="76"/>
      <c r="V719" s="77"/>
      <c r="W719" s="77"/>
      <c r="X719" s="76"/>
      <c r="Y719" s="76"/>
      <c r="Z719" s="68"/>
      <c r="AA719" s="68"/>
      <c r="AB719" s="68"/>
      <c r="AC719" s="68"/>
      <c r="AD719" s="68"/>
      <c r="AE719" s="68"/>
    </row>
    <row r="720" spans="16:31" x14ac:dyDescent="0.2">
      <c r="P720" s="68"/>
      <c r="Q720" s="74"/>
      <c r="R720" s="74"/>
      <c r="S720" s="74"/>
      <c r="T720" s="75"/>
      <c r="U720" s="76"/>
      <c r="V720" s="77"/>
      <c r="W720" s="77"/>
      <c r="X720" s="76"/>
      <c r="Y720" s="76"/>
      <c r="Z720" s="68"/>
      <c r="AA720" s="68"/>
      <c r="AB720" s="68"/>
      <c r="AC720" s="68"/>
      <c r="AD720" s="68"/>
      <c r="AE720" s="68"/>
    </row>
    <row r="721" spans="16:31" x14ac:dyDescent="0.2">
      <c r="P721" s="68"/>
      <c r="Q721" s="74"/>
      <c r="R721" s="74"/>
      <c r="S721" s="74"/>
      <c r="T721" s="75"/>
      <c r="U721" s="76"/>
      <c r="V721" s="77"/>
      <c r="W721" s="77"/>
      <c r="X721" s="76"/>
      <c r="Y721" s="76"/>
      <c r="Z721" s="68"/>
      <c r="AA721" s="68"/>
      <c r="AB721" s="68"/>
      <c r="AC721" s="68"/>
      <c r="AD721" s="68"/>
      <c r="AE721" s="68"/>
    </row>
    <row r="722" spans="16:31" x14ac:dyDescent="0.2">
      <c r="P722" s="68"/>
      <c r="Q722" s="74"/>
      <c r="R722" s="74"/>
      <c r="S722" s="74"/>
      <c r="T722" s="75"/>
      <c r="U722" s="76"/>
      <c r="V722" s="77"/>
      <c r="W722" s="77"/>
      <c r="X722" s="76"/>
      <c r="Y722" s="76"/>
      <c r="Z722" s="68"/>
      <c r="AA722" s="68"/>
      <c r="AB722" s="68"/>
      <c r="AC722" s="68"/>
      <c r="AD722" s="68"/>
      <c r="AE722" s="68"/>
    </row>
    <row r="723" spans="16:31" x14ac:dyDescent="0.2">
      <c r="P723" s="68"/>
      <c r="Q723" s="74"/>
      <c r="R723" s="74"/>
      <c r="S723" s="74"/>
      <c r="T723" s="75"/>
      <c r="U723" s="76"/>
      <c r="V723" s="77"/>
      <c r="W723" s="77"/>
      <c r="X723" s="76"/>
      <c r="Y723" s="76"/>
      <c r="Z723" s="68"/>
      <c r="AA723" s="68"/>
      <c r="AB723" s="68"/>
      <c r="AC723" s="68"/>
      <c r="AD723" s="68"/>
      <c r="AE723" s="68"/>
    </row>
    <row r="724" spans="16:31" x14ac:dyDescent="0.2">
      <c r="P724" s="68"/>
      <c r="Q724" s="74"/>
      <c r="R724" s="74"/>
      <c r="S724" s="74"/>
      <c r="T724" s="75"/>
      <c r="U724" s="76"/>
      <c r="V724" s="77"/>
      <c r="W724" s="77"/>
      <c r="X724" s="76"/>
      <c r="Y724" s="76"/>
      <c r="Z724" s="68"/>
      <c r="AA724" s="68"/>
      <c r="AB724" s="68"/>
      <c r="AC724" s="68"/>
      <c r="AD724" s="68"/>
      <c r="AE724" s="68"/>
    </row>
    <row r="725" spans="16:31" x14ac:dyDescent="0.2">
      <c r="P725" s="68"/>
      <c r="Q725" s="74"/>
      <c r="R725" s="74"/>
      <c r="S725" s="74"/>
      <c r="T725" s="75"/>
      <c r="U725" s="76"/>
      <c r="V725" s="77"/>
      <c r="W725" s="77"/>
      <c r="X725" s="76"/>
      <c r="Y725" s="76"/>
      <c r="Z725" s="68"/>
      <c r="AA725" s="68"/>
      <c r="AB725" s="68"/>
      <c r="AC725" s="68"/>
      <c r="AD725" s="68"/>
      <c r="AE725" s="68"/>
    </row>
    <row r="726" spans="16:31" x14ac:dyDescent="0.2">
      <c r="P726" s="68"/>
      <c r="Q726" s="74"/>
      <c r="R726" s="74"/>
      <c r="S726" s="74"/>
      <c r="T726" s="75"/>
      <c r="U726" s="76"/>
      <c r="V726" s="77"/>
      <c r="W726" s="77"/>
      <c r="X726" s="76"/>
      <c r="Y726" s="76"/>
      <c r="Z726" s="68"/>
      <c r="AA726" s="68"/>
      <c r="AB726" s="68"/>
      <c r="AC726" s="68"/>
      <c r="AD726" s="68"/>
      <c r="AE726" s="68"/>
    </row>
    <row r="727" spans="16:31" x14ac:dyDescent="0.2">
      <c r="P727" s="68"/>
      <c r="Q727" s="74"/>
      <c r="R727" s="74"/>
      <c r="S727" s="74"/>
      <c r="T727" s="75"/>
      <c r="U727" s="76"/>
      <c r="V727" s="77"/>
      <c r="W727" s="77"/>
      <c r="X727" s="76"/>
      <c r="Y727" s="76"/>
      <c r="Z727" s="68"/>
      <c r="AA727" s="68"/>
      <c r="AB727" s="68"/>
      <c r="AC727" s="68"/>
      <c r="AD727" s="68"/>
      <c r="AE727" s="68"/>
    </row>
    <row r="728" spans="16:31" x14ac:dyDescent="0.2">
      <c r="P728" s="68"/>
      <c r="Q728" s="74"/>
      <c r="R728" s="74"/>
      <c r="S728" s="74"/>
      <c r="T728" s="75"/>
      <c r="U728" s="76"/>
      <c r="V728" s="77"/>
      <c r="W728" s="77"/>
      <c r="X728" s="76"/>
      <c r="Y728" s="76"/>
      <c r="Z728" s="68"/>
      <c r="AA728" s="68"/>
      <c r="AB728" s="68"/>
      <c r="AC728" s="68"/>
      <c r="AD728" s="68"/>
      <c r="AE728" s="68"/>
    </row>
    <row r="729" spans="16:31" x14ac:dyDescent="0.2">
      <c r="P729" s="68"/>
      <c r="Q729" s="74"/>
      <c r="R729" s="74"/>
      <c r="S729" s="74"/>
      <c r="T729" s="75"/>
      <c r="U729" s="76"/>
      <c r="V729" s="77"/>
      <c r="W729" s="77"/>
      <c r="X729" s="76"/>
      <c r="Y729" s="76"/>
      <c r="Z729" s="68"/>
      <c r="AA729" s="68"/>
      <c r="AB729" s="68"/>
      <c r="AC729" s="68"/>
      <c r="AD729" s="68"/>
      <c r="AE729" s="68"/>
    </row>
    <row r="730" spans="16:31" x14ac:dyDescent="0.2">
      <c r="P730" s="68"/>
      <c r="Q730" s="74"/>
      <c r="R730" s="74"/>
      <c r="S730" s="74"/>
      <c r="T730" s="75"/>
      <c r="U730" s="76"/>
      <c r="V730" s="77"/>
      <c r="W730" s="77"/>
      <c r="X730" s="76"/>
      <c r="Y730" s="76"/>
      <c r="Z730" s="68"/>
      <c r="AA730" s="68"/>
      <c r="AB730" s="68"/>
      <c r="AC730" s="68"/>
      <c r="AD730" s="68"/>
      <c r="AE730" s="68"/>
    </row>
    <row r="731" spans="16:31" x14ac:dyDescent="0.2">
      <c r="P731" s="68"/>
      <c r="Q731" s="74"/>
      <c r="R731" s="74"/>
      <c r="S731" s="74"/>
      <c r="T731" s="75"/>
      <c r="U731" s="76"/>
      <c r="V731" s="77"/>
      <c r="W731" s="77"/>
      <c r="X731" s="76"/>
      <c r="Y731" s="76"/>
      <c r="Z731" s="68"/>
      <c r="AA731" s="68"/>
      <c r="AB731" s="68"/>
      <c r="AC731" s="68"/>
      <c r="AD731" s="68"/>
      <c r="AE731" s="68"/>
    </row>
    <row r="732" spans="16:31" x14ac:dyDescent="0.2">
      <c r="P732" s="68"/>
      <c r="Q732" s="74"/>
      <c r="R732" s="74"/>
      <c r="S732" s="74"/>
      <c r="T732" s="75"/>
      <c r="U732" s="76"/>
      <c r="V732" s="77"/>
      <c r="W732" s="77"/>
      <c r="X732" s="76"/>
      <c r="Y732" s="76"/>
      <c r="Z732" s="68"/>
      <c r="AA732" s="68"/>
      <c r="AB732" s="68"/>
      <c r="AC732" s="68"/>
      <c r="AD732" s="68"/>
      <c r="AE732" s="68"/>
    </row>
    <row r="733" spans="16:31" x14ac:dyDescent="0.2">
      <c r="P733" s="68"/>
      <c r="Q733" s="74"/>
      <c r="R733" s="74"/>
      <c r="S733" s="74"/>
      <c r="T733" s="75"/>
      <c r="U733" s="76"/>
      <c r="V733" s="77"/>
      <c r="W733" s="77"/>
      <c r="X733" s="76"/>
      <c r="Y733" s="76"/>
      <c r="Z733" s="68"/>
      <c r="AA733" s="68"/>
      <c r="AB733" s="68"/>
      <c r="AC733" s="68"/>
      <c r="AD733" s="68"/>
      <c r="AE733" s="68"/>
    </row>
    <row r="734" spans="16:31" x14ac:dyDescent="0.2">
      <c r="P734" s="68"/>
      <c r="Q734" s="74"/>
      <c r="R734" s="74"/>
      <c r="S734" s="74"/>
      <c r="T734" s="75"/>
      <c r="U734" s="76"/>
      <c r="V734" s="77"/>
      <c r="W734" s="77"/>
      <c r="X734" s="76"/>
      <c r="Y734" s="76"/>
      <c r="Z734" s="68"/>
      <c r="AA734" s="68"/>
      <c r="AB734" s="68"/>
      <c r="AC734" s="68"/>
      <c r="AD734" s="68"/>
      <c r="AE734" s="68"/>
    </row>
    <row r="735" spans="16:31" x14ac:dyDescent="0.2">
      <c r="P735" s="68"/>
      <c r="Q735" s="74"/>
      <c r="R735" s="74"/>
      <c r="S735" s="74"/>
      <c r="T735" s="75"/>
      <c r="U735" s="76"/>
      <c r="V735" s="77"/>
      <c r="W735" s="77"/>
      <c r="X735" s="76"/>
      <c r="Y735" s="76"/>
      <c r="Z735" s="68"/>
      <c r="AA735" s="68"/>
      <c r="AB735" s="68"/>
      <c r="AC735" s="68"/>
      <c r="AD735" s="68"/>
      <c r="AE735" s="68"/>
    </row>
    <row r="736" spans="16:31" x14ac:dyDescent="0.2">
      <c r="P736" s="68"/>
      <c r="Q736" s="74"/>
      <c r="R736" s="74"/>
      <c r="S736" s="74"/>
      <c r="T736" s="75"/>
      <c r="U736" s="76"/>
      <c r="V736" s="77"/>
      <c r="W736" s="77"/>
      <c r="X736" s="76"/>
      <c r="Y736" s="76"/>
      <c r="Z736" s="68"/>
      <c r="AA736" s="68"/>
      <c r="AB736" s="68"/>
      <c r="AC736" s="68"/>
      <c r="AD736" s="68"/>
      <c r="AE736" s="68"/>
    </row>
    <row r="737" spans="16:31" x14ac:dyDescent="0.2">
      <c r="P737" s="68"/>
      <c r="Q737" s="74"/>
      <c r="R737" s="74"/>
      <c r="S737" s="74"/>
      <c r="T737" s="75"/>
      <c r="U737" s="76"/>
      <c r="V737" s="77"/>
      <c r="W737" s="77"/>
      <c r="X737" s="76"/>
      <c r="Y737" s="76"/>
      <c r="Z737" s="68"/>
      <c r="AA737" s="68"/>
      <c r="AB737" s="68"/>
      <c r="AC737" s="68"/>
      <c r="AD737" s="68"/>
      <c r="AE737" s="68"/>
    </row>
    <row r="738" spans="16:31" x14ac:dyDescent="0.2">
      <c r="P738" s="68"/>
      <c r="Q738" s="74"/>
      <c r="R738" s="74"/>
      <c r="S738" s="74"/>
      <c r="T738" s="75"/>
      <c r="U738" s="76"/>
      <c r="V738" s="77"/>
      <c r="W738" s="77"/>
      <c r="X738" s="76"/>
      <c r="Y738" s="76"/>
      <c r="Z738" s="68"/>
      <c r="AA738" s="68"/>
      <c r="AB738" s="68"/>
      <c r="AC738" s="68"/>
      <c r="AD738" s="68"/>
      <c r="AE738" s="68"/>
    </row>
    <row r="739" spans="16:31" x14ac:dyDescent="0.2">
      <c r="P739" s="68"/>
      <c r="Q739" s="74"/>
      <c r="R739" s="74"/>
      <c r="S739" s="74"/>
      <c r="T739" s="75"/>
      <c r="U739" s="76"/>
      <c r="V739" s="77"/>
      <c r="W739" s="77"/>
      <c r="X739" s="76"/>
      <c r="Y739" s="76"/>
      <c r="Z739" s="68"/>
      <c r="AA739" s="68"/>
      <c r="AB739" s="68"/>
      <c r="AC739" s="68"/>
      <c r="AD739" s="68"/>
      <c r="AE739" s="68"/>
    </row>
    <row r="740" spans="16:31" x14ac:dyDescent="0.2">
      <c r="P740" s="68"/>
      <c r="Q740" s="74"/>
      <c r="R740" s="74"/>
      <c r="S740" s="74"/>
      <c r="T740" s="75"/>
      <c r="U740" s="76"/>
      <c r="V740" s="77"/>
      <c r="W740" s="77"/>
      <c r="X740" s="76"/>
      <c r="Y740" s="76"/>
      <c r="Z740" s="68"/>
      <c r="AA740" s="68"/>
      <c r="AB740" s="68"/>
      <c r="AC740" s="68"/>
      <c r="AD740" s="68"/>
      <c r="AE740" s="68"/>
    </row>
    <row r="741" spans="16:31" x14ac:dyDescent="0.2">
      <c r="P741" s="68"/>
      <c r="Q741" s="74"/>
      <c r="R741" s="74"/>
      <c r="S741" s="74"/>
      <c r="T741" s="75"/>
      <c r="U741" s="76"/>
      <c r="V741" s="77"/>
      <c r="W741" s="77"/>
      <c r="X741" s="76"/>
      <c r="Y741" s="76"/>
      <c r="Z741" s="68"/>
      <c r="AA741" s="68"/>
      <c r="AB741" s="68"/>
      <c r="AC741" s="68"/>
      <c r="AD741" s="68"/>
      <c r="AE741" s="68"/>
    </row>
    <row r="742" spans="16:31" x14ac:dyDescent="0.2">
      <c r="P742" s="68"/>
      <c r="Q742" s="74"/>
      <c r="R742" s="74"/>
      <c r="S742" s="74"/>
      <c r="T742" s="75"/>
      <c r="U742" s="76"/>
      <c r="V742" s="77"/>
      <c r="W742" s="77"/>
      <c r="X742" s="76"/>
      <c r="Y742" s="76"/>
      <c r="Z742" s="68"/>
      <c r="AA742" s="68"/>
      <c r="AB742" s="68"/>
      <c r="AC742" s="68"/>
      <c r="AD742" s="68"/>
      <c r="AE742" s="68"/>
    </row>
    <row r="743" spans="16:31" x14ac:dyDescent="0.2">
      <c r="P743" s="68"/>
      <c r="Q743" s="74"/>
      <c r="R743" s="74"/>
      <c r="S743" s="74"/>
      <c r="T743" s="75"/>
      <c r="U743" s="76"/>
      <c r="V743" s="77"/>
      <c r="W743" s="77"/>
      <c r="X743" s="76"/>
      <c r="Y743" s="76"/>
      <c r="Z743" s="68"/>
      <c r="AA743" s="68"/>
      <c r="AB743" s="68"/>
      <c r="AC743" s="68"/>
      <c r="AD743" s="68"/>
      <c r="AE743" s="68"/>
    </row>
    <row r="744" spans="16:31" x14ac:dyDescent="0.2">
      <c r="P744" s="68"/>
      <c r="Q744" s="74"/>
      <c r="R744" s="74"/>
      <c r="S744" s="74"/>
      <c r="T744" s="75"/>
      <c r="U744" s="76"/>
      <c r="V744" s="77"/>
      <c r="W744" s="77"/>
      <c r="X744" s="76"/>
      <c r="Y744" s="76"/>
      <c r="Z744" s="68"/>
      <c r="AA744" s="68"/>
      <c r="AB744" s="68"/>
      <c r="AC744" s="68"/>
      <c r="AD744" s="68"/>
      <c r="AE744" s="68"/>
    </row>
    <row r="745" spans="16:31" x14ac:dyDescent="0.2">
      <c r="P745" s="68"/>
      <c r="Q745" s="74"/>
      <c r="R745" s="74"/>
      <c r="S745" s="74"/>
      <c r="T745" s="75"/>
      <c r="U745" s="76"/>
      <c r="V745" s="77"/>
      <c r="W745" s="77"/>
      <c r="X745" s="76"/>
      <c r="Y745" s="76"/>
      <c r="Z745" s="68"/>
      <c r="AA745" s="68"/>
      <c r="AB745" s="68"/>
      <c r="AC745" s="68"/>
      <c r="AD745" s="68"/>
      <c r="AE745" s="68"/>
    </row>
    <row r="746" spans="16:31" x14ac:dyDescent="0.2">
      <c r="P746" s="68"/>
      <c r="Q746" s="74"/>
      <c r="R746" s="74"/>
      <c r="S746" s="74"/>
      <c r="T746" s="75"/>
      <c r="U746" s="76"/>
      <c r="V746" s="77"/>
      <c r="W746" s="77"/>
      <c r="X746" s="76"/>
      <c r="Y746" s="76"/>
      <c r="Z746" s="68"/>
      <c r="AA746" s="68"/>
      <c r="AB746" s="68"/>
      <c r="AC746" s="68"/>
      <c r="AD746" s="68"/>
      <c r="AE746" s="68"/>
    </row>
    <row r="747" spans="16:31" x14ac:dyDescent="0.2">
      <c r="P747" s="68"/>
      <c r="Q747" s="74"/>
      <c r="R747" s="74"/>
      <c r="S747" s="74"/>
      <c r="T747" s="75"/>
      <c r="U747" s="76"/>
      <c r="V747" s="77"/>
      <c r="W747" s="77"/>
      <c r="X747" s="76"/>
      <c r="Y747" s="76"/>
      <c r="Z747" s="68"/>
      <c r="AA747" s="68"/>
      <c r="AB747" s="68"/>
      <c r="AC747" s="68"/>
      <c r="AD747" s="68"/>
      <c r="AE747" s="68"/>
    </row>
    <row r="748" spans="16:31" x14ac:dyDescent="0.2">
      <c r="P748" s="68"/>
      <c r="Q748" s="74"/>
      <c r="R748" s="74"/>
      <c r="S748" s="74"/>
      <c r="T748" s="75"/>
      <c r="U748" s="76"/>
      <c r="V748" s="77"/>
      <c r="W748" s="77"/>
      <c r="X748" s="76"/>
      <c r="Y748" s="76"/>
      <c r="Z748" s="68"/>
      <c r="AA748" s="68"/>
      <c r="AB748" s="68"/>
      <c r="AC748" s="68"/>
      <c r="AD748" s="68"/>
      <c r="AE748" s="68"/>
    </row>
    <row r="749" spans="16:31" x14ac:dyDescent="0.2">
      <c r="P749" s="68"/>
      <c r="Q749" s="74"/>
      <c r="R749" s="74"/>
      <c r="S749" s="74"/>
      <c r="T749" s="75"/>
      <c r="U749" s="76"/>
      <c r="V749" s="77"/>
      <c r="W749" s="77"/>
      <c r="X749" s="76"/>
      <c r="Y749" s="76"/>
      <c r="Z749" s="68"/>
      <c r="AA749" s="68"/>
      <c r="AB749" s="68"/>
      <c r="AC749" s="68"/>
      <c r="AD749" s="68"/>
      <c r="AE749" s="68"/>
    </row>
    <row r="750" spans="16:31" x14ac:dyDescent="0.2">
      <c r="P750" s="68"/>
      <c r="Q750" s="74"/>
      <c r="R750" s="74"/>
      <c r="S750" s="74"/>
      <c r="T750" s="75"/>
      <c r="U750" s="76"/>
      <c r="V750" s="77"/>
      <c r="W750" s="77"/>
      <c r="X750" s="76"/>
      <c r="Y750" s="76"/>
      <c r="Z750" s="68"/>
      <c r="AA750" s="68"/>
      <c r="AB750" s="68"/>
      <c r="AC750" s="68"/>
      <c r="AD750" s="68"/>
      <c r="AE750" s="68"/>
    </row>
    <row r="751" spans="16:31" x14ac:dyDescent="0.2">
      <c r="P751" s="68"/>
      <c r="Q751" s="74"/>
      <c r="R751" s="74"/>
      <c r="S751" s="74"/>
      <c r="T751" s="75"/>
      <c r="U751" s="76"/>
      <c r="V751" s="77"/>
      <c r="W751" s="77"/>
      <c r="X751" s="76"/>
      <c r="Y751" s="76"/>
      <c r="Z751" s="68"/>
      <c r="AA751" s="68"/>
      <c r="AB751" s="68"/>
      <c r="AC751" s="68"/>
      <c r="AD751" s="68"/>
      <c r="AE751" s="68"/>
    </row>
    <row r="752" spans="16:31" x14ac:dyDescent="0.2">
      <c r="P752" s="68"/>
      <c r="Q752" s="74"/>
      <c r="R752" s="74"/>
      <c r="S752" s="74"/>
      <c r="T752" s="75"/>
      <c r="U752" s="76"/>
      <c r="V752" s="77"/>
      <c r="W752" s="77"/>
      <c r="X752" s="76"/>
      <c r="Y752" s="76"/>
      <c r="Z752" s="68"/>
      <c r="AA752" s="68"/>
      <c r="AB752" s="68"/>
      <c r="AC752" s="68"/>
      <c r="AD752" s="68"/>
      <c r="AE752" s="68"/>
    </row>
    <row r="753" spans="16:31" x14ac:dyDescent="0.2">
      <c r="P753" s="68"/>
      <c r="Q753" s="74"/>
      <c r="R753" s="74"/>
      <c r="S753" s="74"/>
      <c r="T753" s="75"/>
      <c r="U753" s="76"/>
      <c r="V753" s="77"/>
      <c r="W753" s="77"/>
      <c r="X753" s="76"/>
      <c r="Y753" s="76"/>
      <c r="Z753" s="68"/>
      <c r="AA753" s="68"/>
      <c r="AB753" s="68"/>
      <c r="AC753" s="68"/>
      <c r="AD753" s="68"/>
      <c r="AE753" s="68"/>
    </row>
    <row r="754" spans="16:31" x14ac:dyDescent="0.2">
      <c r="P754" s="68"/>
      <c r="Q754" s="74"/>
      <c r="R754" s="74"/>
      <c r="S754" s="74"/>
      <c r="T754" s="75"/>
      <c r="U754" s="76"/>
      <c r="V754" s="77"/>
      <c r="W754" s="77"/>
      <c r="X754" s="76"/>
      <c r="Y754" s="76"/>
      <c r="Z754" s="68"/>
      <c r="AA754" s="68"/>
      <c r="AB754" s="68"/>
      <c r="AC754" s="68"/>
      <c r="AD754" s="68"/>
      <c r="AE754" s="68"/>
    </row>
    <row r="755" spans="16:31" x14ac:dyDescent="0.2">
      <c r="P755" s="68"/>
      <c r="Q755" s="74"/>
      <c r="R755" s="74"/>
      <c r="S755" s="74"/>
      <c r="T755" s="75"/>
      <c r="U755" s="76"/>
      <c r="V755" s="77"/>
      <c r="W755" s="77"/>
      <c r="X755" s="76"/>
      <c r="Y755" s="76"/>
      <c r="Z755" s="68"/>
      <c r="AA755" s="68"/>
      <c r="AB755" s="68"/>
      <c r="AC755" s="68"/>
      <c r="AD755" s="68"/>
      <c r="AE755" s="68"/>
    </row>
    <row r="756" spans="16:31" x14ac:dyDescent="0.2">
      <c r="P756" s="68"/>
      <c r="Q756" s="74"/>
      <c r="R756" s="74"/>
      <c r="S756" s="74"/>
      <c r="T756" s="75"/>
      <c r="U756" s="76"/>
      <c r="V756" s="77"/>
      <c r="W756" s="77"/>
      <c r="X756" s="76"/>
      <c r="Y756" s="76"/>
      <c r="Z756" s="68"/>
      <c r="AA756" s="68"/>
      <c r="AB756" s="68"/>
      <c r="AC756" s="68"/>
      <c r="AD756" s="68"/>
      <c r="AE756" s="68"/>
    </row>
    <row r="757" spans="16:31" x14ac:dyDescent="0.2">
      <c r="P757" s="68"/>
      <c r="Q757" s="74"/>
      <c r="R757" s="74"/>
      <c r="S757" s="74"/>
      <c r="T757" s="75"/>
      <c r="U757" s="76"/>
      <c r="V757" s="77"/>
      <c r="W757" s="77"/>
      <c r="X757" s="76"/>
      <c r="Y757" s="76"/>
      <c r="Z757" s="68"/>
      <c r="AA757" s="68"/>
      <c r="AB757" s="68"/>
      <c r="AC757" s="68"/>
      <c r="AD757" s="68"/>
      <c r="AE757" s="68"/>
    </row>
    <row r="758" spans="16:31" x14ac:dyDescent="0.2">
      <c r="P758" s="68"/>
      <c r="Q758" s="74"/>
      <c r="R758" s="74"/>
      <c r="S758" s="74"/>
      <c r="T758" s="75"/>
      <c r="U758" s="76"/>
      <c r="V758" s="77"/>
      <c r="W758" s="77"/>
      <c r="X758" s="76"/>
      <c r="Y758" s="76"/>
      <c r="Z758" s="68"/>
      <c r="AA758" s="68"/>
      <c r="AB758" s="68"/>
      <c r="AC758" s="68"/>
      <c r="AD758" s="68"/>
      <c r="AE758" s="68"/>
    </row>
    <row r="759" spans="16:31" x14ac:dyDescent="0.2">
      <c r="P759" s="68"/>
      <c r="Q759" s="74"/>
      <c r="R759" s="74"/>
      <c r="S759" s="74"/>
      <c r="T759" s="75"/>
      <c r="U759" s="76"/>
      <c r="V759" s="77"/>
      <c r="W759" s="77"/>
      <c r="X759" s="76"/>
      <c r="Y759" s="76"/>
      <c r="Z759" s="68"/>
      <c r="AA759" s="68"/>
      <c r="AB759" s="68"/>
      <c r="AC759" s="68"/>
      <c r="AD759" s="68"/>
      <c r="AE759" s="68"/>
    </row>
    <row r="760" spans="16:31" x14ac:dyDescent="0.2">
      <c r="P760" s="68"/>
      <c r="Q760" s="74"/>
      <c r="R760" s="74"/>
      <c r="S760" s="74"/>
      <c r="T760" s="75"/>
      <c r="U760" s="76"/>
      <c r="V760" s="77"/>
      <c r="W760" s="77"/>
      <c r="X760" s="76"/>
      <c r="Y760" s="76"/>
      <c r="Z760" s="68"/>
      <c r="AA760" s="68"/>
      <c r="AB760" s="68"/>
      <c r="AC760" s="68"/>
      <c r="AD760" s="68"/>
      <c r="AE760" s="68"/>
    </row>
    <row r="761" spans="16:31" x14ac:dyDescent="0.2">
      <c r="P761" s="68"/>
      <c r="Q761" s="74"/>
      <c r="R761" s="74"/>
      <c r="S761" s="74"/>
      <c r="T761" s="75"/>
      <c r="U761" s="76"/>
      <c r="V761" s="77"/>
      <c r="W761" s="77"/>
      <c r="X761" s="76"/>
      <c r="Y761" s="76"/>
      <c r="Z761" s="68"/>
      <c r="AA761" s="68"/>
      <c r="AB761" s="68"/>
      <c r="AC761" s="68"/>
      <c r="AD761" s="68"/>
      <c r="AE761" s="68"/>
    </row>
    <row r="762" spans="16:31" x14ac:dyDescent="0.2">
      <c r="P762" s="68"/>
      <c r="Q762" s="74"/>
      <c r="R762" s="74"/>
      <c r="S762" s="74"/>
      <c r="T762" s="75"/>
      <c r="U762" s="76"/>
      <c r="V762" s="77"/>
      <c r="W762" s="77"/>
      <c r="X762" s="76"/>
      <c r="Y762" s="76"/>
      <c r="Z762" s="68"/>
      <c r="AA762" s="68"/>
      <c r="AB762" s="68"/>
      <c r="AC762" s="68"/>
      <c r="AD762" s="68"/>
      <c r="AE762" s="68"/>
    </row>
    <row r="763" spans="16:31" x14ac:dyDescent="0.2">
      <c r="P763" s="68"/>
      <c r="Q763" s="74"/>
      <c r="R763" s="74"/>
      <c r="S763" s="74"/>
      <c r="T763" s="75"/>
      <c r="U763" s="76"/>
      <c r="V763" s="77"/>
      <c r="W763" s="77"/>
      <c r="X763" s="76"/>
      <c r="Y763" s="76"/>
      <c r="Z763" s="68"/>
      <c r="AA763" s="68"/>
      <c r="AB763" s="68"/>
      <c r="AC763" s="68"/>
      <c r="AD763" s="68"/>
      <c r="AE763" s="68"/>
    </row>
    <row r="764" spans="16:31" x14ac:dyDescent="0.2">
      <c r="P764" s="68"/>
      <c r="Q764" s="74"/>
      <c r="R764" s="74"/>
      <c r="S764" s="74"/>
      <c r="T764" s="75"/>
      <c r="U764" s="76"/>
      <c r="V764" s="77"/>
      <c r="W764" s="77"/>
      <c r="X764" s="76"/>
      <c r="Y764" s="76"/>
      <c r="Z764" s="68"/>
      <c r="AA764" s="68"/>
      <c r="AB764" s="68"/>
      <c r="AC764" s="68"/>
      <c r="AD764" s="68"/>
      <c r="AE764" s="68"/>
    </row>
    <row r="765" spans="16:31" x14ac:dyDescent="0.2">
      <c r="P765" s="68"/>
      <c r="Q765" s="74"/>
      <c r="R765" s="74"/>
      <c r="S765" s="74"/>
      <c r="T765" s="75"/>
      <c r="U765" s="76"/>
      <c r="V765" s="77"/>
      <c r="W765" s="77"/>
      <c r="X765" s="76"/>
      <c r="Y765" s="76"/>
      <c r="Z765" s="68"/>
      <c r="AA765" s="68"/>
      <c r="AB765" s="68"/>
      <c r="AC765" s="68"/>
      <c r="AD765" s="68"/>
      <c r="AE765" s="68"/>
    </row>
    <row r="766" spans="16:31" x14ac:dyDescent="0.2">
      <c r="P766" s="68"/>
      <c r="Q766" s="74"/>
      <c r="R766" s="74"/>
      <c r="S766" s="74"/>
      <c r="T766" s="75"/>
      <c r="U766" s="76"/>
      <c r="V766" s="77"/>
      <c r="W766" s="77"/>
      <c r="X766" s="76"/>
      <c r="Y766" s="76"/>
      <c r="Z766" s="68"/>
      <c r="AA766" s="68"/>
      <c r="AB766" s="68"/>
      <c r="AC766" s="68"/>
      <c r="AD766" s="68"/>
      <c r="AE766" s="68"/>
    </row>
    <row r="767" spans="16:31" x14ac:dyDescent="0.2">
      <c r="P767" s="68"/>
      <c r="Q767" s="74"/>
      <c r="R767" s="74"/>
      <c r="S767" s="74"/>
      <c r="T767" s="75"/>
      <c r="U767" s="76"/>
      <c r="V767" s="77"/>
      <c r="W767" s="77"/>
      <c r="X767" s="76"/>
      <c r="Y767" s="76"/>
      <c r="Z767" s="68"/>
      <c r="AA767" s="68"/>
      <c r="AB767" s="68"/>
      <c r="AC767" s="68"/>
      <c r="AD767" s="68"/>
      <c r="AE767" s="68"/>
    </row>
    <row r="768" spans="16:31" x14ac:dyDescent="0.2">
      <c r="P768" s="68"/>
      <c r="Q768" s="74"/>
      <c r="R768" s="74"/>
      <c r="S768" s="74"/>
      <c r="T768" s="75"/>
      <c r="U768" s="76"/>
      <c r="V768" s="77"/>
      <c r="W768" s="77"/>
      <c r="X768" s="76"/>
      <c r="Y768" s="76"/>
      <c r="Z768" s="68"/>
      <c r="AA768" s="68"/>
      <c r="AB768" s="68"/>
      <c r="AC768" s="68"/>
      <c r="AD768" s="68"/>
      <c r="AE768" s="68"/>
    </row>
    <row r="769" spans="16:31" x14ac:dyDescent="0.2">
      <c r="P769" s="68"/>
      <c r="Q769" s="74"/>
      <c r="R769" s="74"/>
      <c r="S769" s="74"/>
      <c r="T769" s="75"/>
      <c r="U769" s="76"/>
      <c r="V769" s="77"/>
      <c r="W769" s="77"/>
      <c r="X769" s="76"/>
      <c r="Y769" s="76"/>
      <c r="Z769" s="68"/>
      <c r="AA769" s="68"/>
      <c r="AB769" s="68"/>
      <c r="AC769" s="68"/>
      <c r="AD769" s="68"/>
      <c r="AE769" s="68"/>
    </row>
    <row r="770" spans="16:31" x14ac:dyDescent="0.2">
      <c r="P770" s="68"/>
      <c r="Q770" s="74"/>
      <c r="R770" s="74"/>
      <c r="S770" s="74"/>
      <c r="T770" s="75"/>
      <c r="U770" s="76"/>
      <c r="V770" s="77"/>
      <c r="W770" s="77"/>
      <c r="X770" s="76"/>
      <c r="Y770" s="76"/>
      <c r="Z770" s="68"/>
      <c r="AA770" s="68"/>
      <c r="AB770" s="68"/>
      <c r="AC770" s="68"/>
      <c r="AD770" s="68"/>
      <c r="AE770" s="68"/>
    </row>
    <row r="771" spans="16:31" x14ac:dyDescent="0.2">
      <c r="P771" s="68"/>
      <c r="Q771" s="74"/>
      <c r="R771" s="74"/>
      <c r="S771" s="74"/>
      <c r="T771" s="75"/>
      <c r="U771" s="76"/>
      <c r="V771" s="77"/>
      <c r="W771" s="77"/>
      <c r="X771" s="76"/>
      <c r="Y771" s="76"/>
      <c r="Z771" s="68"/>
      <c r="AA771" s="68"/>
      <c r="AB771" s="68"/>
      <c r="AC771" s="68"/>
      <c r="AD771" s="68"/>
      <c r="AE771" s="68"/>
    </row>
    <row r="772" spans="16:31" x14ac:dyDescent="0.2">
      <c r="P772" s="68"/>
      <c r="Q772" s="74"/>
      <c r="R772" s="74"/>
      <c r="S772" s="74"/>
      <c r="T772" s="75"/>
      <c r="U772" s="76"/>
      <c r="V772" s="77"/>
      <c r="W772" s="77"/>
      <c r="X772" s="76"/>
      <c r="Y772" s="76"/>
      <c r="Z772" s="68"/>
      <c r="AA772" s="68"/>
      <c r="AB772" s="68"/>
      <c r="AC772" s="68"/>
      <c r="AD772" s="68"/>
      <c r="AE772" s="68"/>
    </row>
    <row r="773" spans="16:31" x14ac:dyDescent="0.2">
      <c r="P773" s="68"/>
      <c r="Q773" s="74"/>
      <c r="R773" s="74"/>
      <c r="S773" s="74"/>
      <c r="T773" s="75"/>
      <c r="U773" s="76"/>
      <c r="V773" s="77"/>
      <c r="W773" s="77"/>
      <c r="X773" s="76"/>
      <c r="Y773" s="76"/>
      <c r="Z773" s="68"/>
      <c r="AA773" s="68"/>
      <c r="AB773" s="68"/>
      <c r="AC773" s="68"/>
      <c r="AD773" s="68"/>
      <c r="AE773" s="68"/>
    </row>
    <row r="774" spans="16:31" x14ac:dyDescent="0.2">
      <c r="P774" s="68"/>
      <c r="Q774" s="74"/>
      <c r="R774" s="74"/>
      <c r="S774" s="74"/>
      <c r="T774" s="75"/>
      <c r="U774" s="76"/>
      <c r="V774" s="77"/>
      <c r="W774" s="77"/>
      <c r="X774" s="76"/>
      <c r="Y774" s="76"/>
      <c r="Z774" s="68"/>
      <c r="AA774" s="68"/>
      <c r="AB774" s="68"/>
      <c r="AC774" s="68"/>
      <c r="AD774" s="68"/>
      <c r="AE774" s="68"/>
    </row>
    <row r="775" spans="16:31" x14ac:dyDescent="0.2">
      <c r="P775" s="68"/>
      <c r="Q775" s="74"/>
      <c r="R775" s="74"/>
      <c r="S775" s="74"/>
      <c r="T775" s="75"/>
      <c r="U775" s="76"/>
      <c r="V775" s="77"/>
      <c r="W775" s="77"/>
      <c r="X775" s="76"/>
      <c r="Y775" s="76"/>
      <c r="Z775" s="68"/>
      <c r="AA775" s="68"/>
      <c r="AB775" s="68"/>
      <c r="AC775" s="68"/>
      <c r="AD775" s="68"/>
      <c r="AE775" s="68"/>
    </row>
    <row r="776" spans="16:31" x14ac:dyDescent="0.2">
      <c r="P776" s="68"/>
      <c r="Q776" s="74"/>
      <c r="R776" s="74"/>
      <c r="S776" s="74"/>
      <c r="T776" s="75"/>
      <c r="U776" s="76"/>
      <c r="V776" s="77"/>
      <c r="W776" s="77"/>
      <c r="X776" s="76"/>
      <c r="Y776" s="76"/>
      <c r="Z776" s="68"/>
      <c r="AA776" s="68"/>
      <c r="AB776" s="68"/>
      <c r="AC776" s="68"/>
      <c r="AD776" s="68"/>
      <c r="AE776" s="68"/>
    </row>
    <row r="777" spans="16:31" x14ac:dyDescent="0.2">
      <c r="P777" s="68"/>
      <c r="Q777" s="74"/>
      <c r="R777" s="74"/>
      <c r="S777" s="74"/>
      <c r="T777" s="75"/>
      <c r="U777" s="76"/>
      <c r="V777" s="77"/>
      <c r="W777" s="77"/>
      <c r="X777" s="76"/>
      <c r="Y777" s="76"/>
      <c r="Z777" s="68"/>
      <c r="AA777" s="68"/>
      <c r="AB777" s="68"/>
      <c r="AC777" s="68"/>
      <c r="AD777" s="68"/>
      <c r="AE777" s="68"/>
    </row>
    <row r="778" spans="16:31" x14ac:dyDescent="0.2">
      <c r="P778" s="68"/>
      <c r="Q778" s="74"/>
      <c r="R778" s="74"/>
      <c r="S778" s="74"/>
      <c r="T778" s="75"/>
      <c r="U778" s="76"/>
      <c r="V778" s="77"/>
      <c r="W778" s="77"/>
      <c r="X778" s="76"/>
      <c r="Y778" s="76"/>
      <c r="Z778" s="68"/>
      <c r="AA778" s="68"/>
      <c r="AB778" s="68"/>
      <c r="AC778" s="68"/>
      <c r="AD778" s="68"/>
      <c r="AE778" s="68"/>
    </row>
    <row r="779" spans="16:31" x14ac:dyDescent="0.2">
      <c r="P779" s="68"/>
      <c r="Q779" s="74"/>
      <c r="R779" s="74"/>
      <c r="S779" s="74"/>
      <c r="T779" s="75"/>
      <c r="U779" s="76"/>
      <c r="V779" s="77"/>
      <c r="W779" s="77"/>
      <c r="X779" s="76"/>
      <c r="Y779" s="76"/>
      <c r="Z779" s="68"/>
      <c r="AA779" s="68"/>
      <c r="AB779" s="68"/>
      <c r="AC779" s="68"/>
      <c r="AD779" s="68"/>
      <c r="AE779" s="68"/>
    </row>
    <row r="780" spans="16:31" x14ac:dyDescent="0.2">
      <c r="P780" s="68"/>
      <c r="Q780" s="74"/>
      <c r="R780" s="74"/>
      <c r="S780" s="74"/>
      <c r="T780" s="75"/>
      <c r="U780" s="76"/>
      <c r="V780" s="77"/>
      <c r="W780" s="77"/>
      <c r="X780" s="76"/>
      <c r="Y780" s="76"/>
      <c r="Z780" s="68"/>
      <c r="AA780" s="68"/>
      <c r="AB780" s="68"/>
      <c r="AC780" s="68"/>
      <c r="AD780" s="68"/>
      <c r="AE780" s="68"/>
    </row>
    <row r="781" spans="16:31" x14ac:dyDescent="0.2">
      <c r="P781" s="68"/>
      <c r="Q781" s="74"/>
      <c r="R781" s="74"/>
      <c r="S781" s="74"/>
      <c r="T781" s="75"/>
      <c r="U781" s="76"/>
      <c r="V781" s="77"/>
      <c r="W781" s="77"/>
      <c r="X781" s="76"/>
      <c r="Y781" s="76"/>
      <c r="Z781" s="68"/>
      <c r="AA781" s="68"/>
      <c r="AB781" s="68"/>
      <c r="AC781" s="68"/>
      <c r="AD781" s="68"/>
      <c r="AE781" s="68"/>
    </row>
    <row r="782" spans="16:31" x14ac:dyDescent="0.2">
      <c r="P782" s="68"/>
      <c r="Q782" s="74"/>
      <c r="R782" s="74"/>
      <c r="S782" s="74"/>
      <c r="T782" s="75"/>
      <c r="U782" s="76"/>
      <c r="V782" s="77"/>
      <c r="W782" s="77"/>
      <c r="X782" s="76"/>
      <c r="Y782" s="76"/>
      <c r="Z782" s="68"/>
      <c r="AA782" s="68"/>
      <c r="AB782" s="68"/>
      <c r="AC782" s="68"/>
      <c r="AD782" s="68"/>
      <c r="AE782" s="68"/>
    </row>
    <row r="783" spans="16:31" x14ac:dyDescent="0.2">
      <c r="P783" s="68"/>
      <c r="Q783" s="74"/>
      <c r="R783" s="74"/>
      <c r="S783" s="74"/>
      <c r="T783" s="75"/>
      <c r="U783" s="76"/>
      <c r="V783" s="77"/>
      <c r="W783" s="77"/>
      <c r="X783" s="76"/>
      <c r="Y783" s="76"/>
      <c r="Z783" s="68"/>
      <c r="AA783" s="68"/>
      <c r="AB783" s="68"/>
      <c r="AC783" s="68"/>
      <c r="AD783" s="68"/>
      <c r="AE783" s="68"/>
    </row>
    <row r="784" spans="16:31" x14ac:dyDescent="0.2">
      <c r="P784" s="68"/>
      <c r="Q784" s="74"/>
      <c r="R784" s="74"/>
      <c r="S784" s="74"/>
      <c r="T784" s="75"/>
      <c r="U784" s="76"/>
      <c r="V784" s="77"/>
      <c r="W784" s="77"/>
      <c r="X784" s="76"/>
      <c r="Y784" s="76"/>
      <c r="Z784" s="68"/>
      <c r="AA784" s="68"/>
      <c r="AB784" s="68"/>
      <c r="AC784" s="68"/>
      <c r="AD784" s="68"/>
      <c r="AE784" s="68"/>
    </row>
    <row r="785" spans="16:31" x14ac:dyDescent="0.2">
      <c r="P785" s="68"/>
      <c r="Q785" s="74"/>
      <c r="R785" s="74"/>
      <c r="S785" s="74"/>
      <c r="T785" s="75"/>
      <c r="U785" s="76"/>
      <c r="V785" s="77"/>
      <c r="W785" s="77"/>
      <c r="X785" s="76"/>
      <c r="Y785" s="76"/>
      <c r="Z785" s="68"/>
      <c r="AA785" s="68"/>
      <c r="AB785" s="68"/>
      <c r="AC785" s="68"/>
      <c r="AD785" s="68"/>
      <c r="AE785" s="68"/>
    </row>
    <row r="786" spans="16:31" x14ac:dyDescent="0.2">
      <c r="P786" s="68"/>
      <c r="Q786" s="74"/>
      <c r="R786" s="74"/>
      <c r="S786" s="74"/>
      <c r="T786" s="75"/>
      <c r="U786" s="76"/>
      <c r="V786" s="77"/>
      <c r="W786" s="77"/>
      <c r="X786" s="76"/>
      <c r="Y786" s="76"/>
      <c r="Z786" s="68"/>
      <c r="AA786" s="68"/>
      <c r="AB786" s="68"/>
      <c r="AC786" s="68"/>
      <c r="AD786" s="68"/>
      <c r="AE786" s="68"/>
    </row>
    <row r="787" spans="16:31" x14ac:dyDescent="0.2">
      <c r="P787" s="68"/>
      <c r="Q787" s="74"/>
      <c r="R787" s="74"/>
      <c r="S787" s="74"/>
      <c r="T787" s="75"/>
      <c r="U787" s="76"/>
      <c r="V787" s="77"/>
      <c r="W787" s="77"/>
      <c r="X787" s="76"/>
      <c r="Y787" s="76"/>
      <c r="Z787" s="68"/>
      <c r="AA787" s="68"/>
      <c r="AB787" s="68"/>
      <c r="AC787" s="68"/>
      <c r="AD787" s="68"/>
      <c r="AE787" s="68"/>
    </row>
    <row r="788" spans="16:31" x14ac:dyDescent="0.2">
      <c r="P788" s="68"/>
      <c r="Q788" s="74"/>
      <c r="R788" s="74"/>
      <c r="S788" s="74"/>
      <c r="T788" s="75"/>
      <c r="U788" s="76"/>
      <c r="V788" s="77"/>
      <c r="W788" s="77"/>
      <c r="X788" s="76"/>
      <c r="Y788" s="76"/>
      <c r="Z788" s="68"/>
      <c r="AA788" s="68"/>
      <c r="AB788" s="68"/>
      <c r="AC788" s="68"/>
      <c r="AD788" s="68"/>
      <c r="AE788" s="68"/>
    </row>
    <row r="789" spans="16:31" x14ac:dyDescent="0.2">
      <c r="P789" s="68"/>
      <c r="Q789" s="74"/>
      <c r="R789" s="74"/>
      <c r="S789" s="74"/>
      <c r="T789" s="75"/>
      <c r="U789" s="76"/>
      <c r="V789" s="77"/>
      <c r="W789" s="77"/>
      <c r="X789" s="76"/>
      <c r="Y789" s="76"/>
      <c r="Z789" s="68"/>
      <c r="AA789" s="68"/>
      <c r="AB789" s="68"/>
      <c r="AC789" s="68"/>
      <c r="AD789" s="68"/>
      <c r="AE789" s="68"/>
    </row>
    <row r="790" spans="16:31" x14ac:dyDescent="0.2">
      <c r="P790" s="68"/>
      <c r="Q790" s="74"/>
      <c r="R790" s="74"/>
      <c r="S790" s="74"/>
      <c r="T790" s="75"/>
      <c r="U790" s="76"/>
      <c r="V790" s="77"/>
      <c r="W790" s="77"/>
      <c r="X790" s="76"/>
      <c r="Y790" s="76"/>
      <c r="Z790" s="68"/>
      <c r="AA790" s="68"/>
      <c r="AB790" s="68"/>
      <c r="AC790" s="68"/>
      <c r="AD790" s="68"/>
      <c r="AE790" s="68"/>
    </row>
    <row r="791" spans="16:31" x14ac:dyDescent="0.2">
      <c r="P791" s="68"/>
      <c r="Q791" s="74"/>
      <c r="R791" s="74"/>
      <c r="S791" s="74"/>
      <c r="T791" s="75"/>
      <c r="U791" s="76"/>
      <c r="V791" s="77"/>
      <c r="W791" s="77"/>
      <c r="X791" s="76"/>
      <c r="Y791" s="76"/>
      <c r="Z791" s="68"/>
      <c r="AA791" s="68"/>
      <c r="AB791" s="68"/>
      <c r="AC791" s="68"/>
      <c r="AD791" s="68"/>
      <c r="AE791" s="68"/>
    </row>
    <row r="792" spans="16:31" x14ac:dyDescent="0.2">
      <c r="P792" s="68"/>
      <c r="Q792" s="74"/>
      <c r="R792" s="74"/>
      <c r="S792" s="74"/>
      <c r="T792" s="75"/>
      <c r="U792" s="76"/>
      <c r="V792" s="77"/>
      <c r="W792" s="77"/>
      <c r="X792" s="76"/>
      <c r="Y792" s="76"/>
      <c r="Z792" s="68"/>
      <c r="AA792" s="68"/>
      <c r="AB792" s="68"/>
      <c r="AC792" s="68"/>
      <c r="AD792" s="68"/>
      <c r="AE792" s="68"/>
    </row>
    <row r="793" spans="16:31" x14ac:dyDescent="0.2">
      <c r="P793" s="68"/>
      <c r="Q793" s="74"/>
      <c r="R793" s="74"/>
      <c r="S793" s="74"/>
      <c r="T793" s="75"/>
      <c r="U793" s="76"/>
      <c r="V793" s="77"/>
      <c r="W793" s="77"/>
      <c r="X793" s="76"/>
      <c r="Y793" s="76"/>
      <c r="Z793" s="68"/>
      <c r="AA793" s="68"/>
      <c r="AB793" s="68"/>
      <c r="AC793" s="68"/>
      <c r="AD793" s="68"/>
      <c r="AE793" s="68"/>
    </row>
    <row r="794" spans="16:31" x14ac:dyDescent="0.2">
      <c r="P794" s="68"/>
      <c r="Q794" s="74"/>
      <c r="R794" s="74"/>
      <c r="S794" s="74"/>
      <c r="T794" s="75"/>
      <c r="U794" s="76"/>
      <c r="V794" s="77"/>
      <c r="W794" s="77"/>
      <c r="X794" s="76"/>
      <c r="Y794" s="76"/>
      <c r="Z794" s="68"/>
      <c r="AA794" s="68"/>
      <c r="AB794" s="68"/>
      <c r="AC794" s="68"/>
      <c r="AD794" s="68"/>
      <c r="AE794" s="68"/>
    </row>
    <row r="795" spans="16:31" x14ac:dyDescent="0.2">
      <c r="P795" s="68"/>
      <c r="Q795" s="74"/>
      <c r="R795" s="74"/>
      <c r="S795" s="74"/>
      <c r="T795" s="75"/>
      <c r="U795" s="76"/>
      <c r="V795" s="77"/>
      <c r="W795" s="77"/>
      <c r="X795" s="76"/>
      <c r="Y795" s="76"/>
      <c r="Z795" s="68"/>
      <c r="AA795" s="68"/>
      <c r="AB795" s="68"/>
      <c r="AC795" s="68"/>
      <c r="AD795" s="68"/>
      <c r="AE795" s="68"/>
    </row>
    <row r="796" spans="16:31" x14ac:dyDescent="0.2">
      <c r="P796" s="68"/>
      <c r="Q796" s="74"/>
      <c r="R796" s="74"/>
      <c r="S796" s="74"/>
      <c r="T796" s="75"/>
      <c r="U796" s="76"/>
      <c r="V796" s="77"/>
      <c r="W796" s="77"/>
      <c r="X796" s="76"/>
      <c r="Y796" s="76"/>
      <c r="Z796" s="68"/>
      <c r="AA796" s="68"/>
      <c r="AB796" s="68"/>
      <c r="AC796" s="68"/>
      <c r="AD796" s="68"/>
      <c r="AE796" s="68"/>
    </row>
    <row r="797" spans="16:31" x14ac:dyDescent="0.2">
      <c r="P797" s="68"/>
      <c r="Q797" s="74"/>
      <c r="R797" s="74"/>
      <c r="S797" s="74"/>
      <c r="T797" s="75"/>
      <c r="U797" s="76"/>
      <c r="V797" s="77"/>
      <c r="W797" s="77"/>
      <c r="X797" s="76"/>
      <c r="Y797" s="76"/>
      <c r="Z797" s="68"/>
      <c r="AA797" s="68"/>
      <c r="AB797" s="68"/>
      <c r="AC797" s="68"/>
      <c r="AD797" s="68"/>
      <c r="AE797" s="68"/>
    </row>
    <row r="798" spans="16:31" x14ac:dyDescent="0.2">
      <c r="P798" s="68"/>
      <c r="Q798" s="74"/>
      <c r="R798" s="74"/>
      <c r="S798" s="74"/>
      <c r="T798" s="75"/>
      <c r="U798" s="76"/>
      <c r="V798" s="77"/>
      <c r="W798" s="77"/>
      <c r="X798" s="76"/>
      <c r="Y798" s="76"/>
      <c r="Z798" s="68"/>
      <c r="AA798" s="68"/>
      <c r="AB798" s="68"/>
      <c r="AC798" s="68"/>
      <c r="AD798" s="68"/>
      <c r="AE798" s="68"/>
    </row>
    <row r="799" spans="16:31" x14ac:dyDescent="0.2">
      <c r="P799" s="68"/>
      <c r="Q799" s="74"/>
      <c r="R799" s="74"/>
      <c r="S799" s="74"/>
      <c r="T799" s="75"/>
      <c r="U799" s="76"/>
      <c r="V799" s="77"/>
      <c r="W799" s="77"/>
      <c r="X799" s="76"/>
      <c r="Y799" s="76"/>
      <c r="Z799" s="68"/>
      <c r="AA799" s="68"/>
      <c r="AB799" s="68"/>
      <c r="AC799" s="68"/>
      <c r="AD799" s="68"/>
      <c r="AE799" s="68"/>
    </row>
    <row r="800" spans="16:31" x14ac:dyDescent="0.2">
      <c r="P800" s="68"/>
      <c r="Q800" s="74"/>
      <c r="R800" s="74"/>
      <c r="S800" s="74"/>
      <c r="T800" s="75"/>
      <c r="U800" s="76"/>
      <c r="V800" s="77"/>
      <c r="W800" s="77"/>
      <c r="X800" s="76"/>
      <c r="Y800" s="76"/>
      <c r="Z800" s="68"/>
      <c r="AA800" s="68"/>
      <c r="AB800" s="68"/>
      <c r="AC800" s="68"/>
      <c r="AD800" s="68"/>
      <c r="AE800" s="68"/>
    </row>
    <row r="801" spans="16:31" x14ac:dyDescent="0.2">
      <c r="P801" s="68"/>
      <c r="Q801" s="74"/>
      <c r="R801" s="74"/>
      <c r="S801" s="74"/>
      <c r="T801" s="75"/>
      <c r="U801" s="76"/>
      <c r="V801" s="77"/>
      <c r="W801" s="77"/>
      <c r="X801" s="76"/>
      <c r="Y801" s="76"/>
      <c r="Z801" s="68"/>
      <c r="AA801" s="68"/>
      <c r="AB801" s="68"/>
      <c r="AC801" s="68"/>
      <c r="AD801" s="68"/>
      <c r="AE801" s="68"/>
    </row>
    <row r="802" spans="16:31" x14ac:dyDescent="0.2">
      <c r="P802" s="68"/>
      <c r="Q802" s="74"/>
      <c r="R802" s="74"/>
      <c r="S802" s="74"/>
      <c r="T802" s="75"/>
      <c r="U802" s="76"/>
      <c r="V802" s="77"/>
      <c r="W802" s="77"/>
      <c r="X802" s="76"/>
      <c r="Y802" s="76"/>
      <c r="Z802" s="68"/>
      <c r="AA802" s="68"/>
      <c r="AB802" s="68"/>
      <c r="AC802" s="68"/>
      <c r="AD802" s="68"/>
      <c r="AE802" s="68"/>
    </row>
    <row r="803" spans="16:31" x14ac:dyDescent="0.2">
      <c r="P803" s="68"/>
      <c r="Q803" s="74"/>
      <c r="R803" s="74"/>
      <c r="S803" s="74"/>
      <c r="T803" s="75"/>
      <c r="U803" s="76"/>
      <c r="V803" s="77"/>
      <c r="W803" s="77"/>
      <c r="X803" s="76"/>
      <c r="Y803" s="76"/>
      <c r="Z803" s="68"/>
      <c r="AA803" s="68"/>
      <c r="AB803" s="68"/>
      <c r="AC803" s="68"/>
      <c r="AD803" s="68"/>
      <c r="AE803" s="68"/>
    </row>
    <row r="804" spans="16:31" x14ac:dyDescent="0.2">
      <c r="P804" s="68"/>
      <c r="Q804" s="74"/>
      <c r="R804" s="74"/>
      <c r="S804" s="74"/>
      <c r="T804" s="75"/>
      <c r="U804" s="76"/>
      <c r="V804" s="77"/>
      <c r="W804" s="77"/>
      <c r="X804" s="76"/>
      <c r="Y804" s="76"/>
      <c r="Z804" s="68"/>
      <c r="AA804" s="68"/>
      <c r="AB804" s="68"/>
      <c r="AC804" s="68"/>
      <c r="AD804" s="68"/>
      <c r="AE804" s="68"/>
    </row>
    <row r="805" spans="16:31" x14ac:dyDescent="0.2">
      <c r="P805" s="68"/>
      <c r="Q805" s="74"/>
      <c r="R805" s="74"/>
      <c r="S805" s="74"/>
      <c r="T805" s="75"/>
      <c r="U805" s="76"/>
      <c r="V805" s="77"/>
      <c r="W805" s="77"/>
      <c r="X805" s="76"/>
      <c r="Y805" s="76"/>
      <c r="Z805" s="68"/>
      <c r="AA805" s="68"/>
      <c r="AB805" s="68"/>
      <c r="AC805" s="68"/>
      <c r="AD805" s="68"/>
      <c r="AE805" s="68"/>
    </row>
    <row r="806" spans="16:31" x14ac:dyDescent="0.2">
      <c r="P806" s="68"/>
      <c r="Q806" s="74"/>
      <c r="R806" s="74"/>
      <c r="S806" s="74"/>
      <c r="T806" s="75"/>
      <c r="U806" s="76"/>
      <c r="V806" s="77"/>
      <c r="W806" s="77"/>
      <c r="X806" s="76"/>
      <c r="Y806" s="76"/>
      <c r="Z806" s="68"/>
      <c r="AA806" s="68"/>
      <c r="AB806" s="68"/>
      <c r="AC806" s="68"/>
      <c r="AD806" s="68"/>
      <c r="AE806" s="68"/>
    </row>
    <row r="807" spans="16:31" x14ac:dyDescent="0.2">
      <c r="P807" s="68"/>
      <c r="Q807" s="74"/>
      <c r="R807" s="74"/>
      <c r="S807" s="74"/>
      <c r="T807" s="75"/>
      <c r="U807" s="76"/>
      <c r="V807" s="77"/>
      <c r="W807" s="77"/>
      <c r="X807" s="76"/>
      <c r="Y807" s="76"/>
      <c r="Z807" s="68"/>
      <c r="AA807" s="68"/>
      <c r="AB807" s="68"/>
      <c r="AC807" s="68"/>
      <c r="AD807" s="68"/>
      <c r="AE807" s="68"/>
    </row>
    <row r="808" spans="16:31" x14ac:dyDescent="0.2">
      <c r="P808" s="68"/>
      <c r="Q808" s="74"/>
      <c r="R808" s="74"/>
      <c r="S808" s="74"/>
      <c r="T808" s="75"/>
      <c r="U808" s="76"/>
      <c r="V808" s="77"/>
      <c r="W808" s="77"/>
      <c r="X808" s="76"/>
      <c r="Y808" s="76"/>
      <c r="Z808" s="68"/>
      <c r="AA808" s="68"/>
      <c r="AB808" s="68"/>
      <c r="AC808" s="68"/>
      <c r="AD808" s="68"/>
      <c r="AE808" s="68"/>
    </row>
    <row r="809" spans="16:31" x14ac:dyDescent="0.2">
      <c r="P809" s="68"/>
      <c r="Q809" s="74"/>
      <c r="R809" s="74"/>
      <c r="S809" s="74"/>
      <c r="T809" s="75"/>
      <c r="U809" s="76"/>
      <c r="V809" s="77"/>
      <c r="W809" s="77"/>
      <c r="X809" s="76"/>
      <c r="Y809" s="76"/>
      <c r="Z809" s="68"/>
      <c r="AA809" s="68"/>
      <c r="AB809" s="68"/>
      <c r="AC809" s="68"/>
      <c r="AD809" s="68"/>
      <c r="AE809" s="68"/>
    </row>
    <row r="810" spans="16:31" x14ac:dyDescent="0.2">
      <c r="P810" s="68"/>
      <c r="Q810" s="74"/>
      <c r="R810" s="74"/>
      <c r="S810" s="74"/>
      <c r="T810" s="75"/>
      <c r="U810" s="76"/>
      <c r="V810" s="77"/>
      <c r="W810" s="77"/>
      <c r="X810" s="76"/>
      <c r="Y810" s="76"/>
      <c r="Z810" s="68"/>
      <c r="AA810" s="68"/>
      <c r="AB810" s="68"/>
      <c r="AC810" s="68"/>
      <c r="AD810" s="68"/>
      <c r="AE810" s="68"/>
    </row>
    <row r="811" spans="16:31" x14ac:dyDescent="0.2">
      <c r="P811" s="68"/>
      <c r="Q811" s="74"/>
      <c r="R811" s="74"/>
      <c r="S811" s="74"/>
      <c r="T811" s="75"/>
      <c r="U811" s="76"/>
      <c r="V811" s="77"/>
      <c r="W811" s="77"/>
      <c r="X811" s="76"/>
      <c r="Y811" s="76"/>
      <c r="Z811" s="68"/>
      <c r="AA811" s="68"/>
      <c r="AB811" s="68"/>
      <c r="AC811" s="68"/>
      <c r="AD811" s="68"/>
      <c r="AE811" s="68"/>
    </row>
    <row r="812" spans="16:31" x14ac:dyDescent="0.2">
      <c r="P812" s="68"/>
      <c r="Q812" s="74"/>
      <c r="R812" s="74"/>
      <c r="S812" s="74"/>
      <c r="T812" s="75"/>
      <c r="U812" s="76"/>
      <c r="V812" s="77"/>
      <c r="W812" s="77"/>
      <c r="X812" s="76"/>
      <c r="Y812" s="76"/>
      <c r="Z812" s="68"/>
      <c r="AA812" s="68"/>
      <c r="AB812" s="68"/>
      <c r="AC812" s="68"/>
      <c r="AD812" s="68"/>
      <c r="AE812" s="68"/>
    </row>
    <row r="813" spans="16:31" x14ac:dyDescent="0.2">
      <c r="P813" s="68"/>
      <c r="Q813" s="74"/>
      <c r="R813" s="74"/>
      <c r="S813" s="74"/>
      <c r="T813" s="75"/>
      <c r="U813" s="76"/>
      <c r="V813" s="77"/>
      <c r="W813" s="77"/>
      <c r="X813" s="76"/>
      <c r="Y813" s="76"/>
      <c r="Z813" s="68"/>
      <c r="AA813" s="68"/>
      <c r="AB813" s="68"/>
      <c r="AC813" s="68"/>
      <c r="AD813" s="68"/>
      <c r="AE813" s="68"/>
    </row>
    <row r="814" spans="16:31" x14ac:dyDescent="0.2">
      <c r="P814" s="68"/>
      <c r="Q814" s="74"/>
      <c r="R814" s="74"/>
      <c r="S814" s="74"/>
      <c r="T814" s="75"/>
      <c r="U814" s="76"/>
      <c r="V814" s="77"/>
      <c r="W814" s="77"/>
      <c r="X814" s="76"/>
      <c r="Y814" s="76"/>
      <c r="Z814" s="68"/>
      <c r="AA814" s="68"/>
      <c r="AB814" s="68"/>
      <c r="AC814" s="68"/>
      <c r="AD814" s="68"/>
      <c r="AE814" s="68"/>
    </row>
    <row r="815" spans="16:31" x14ac:dyDescent="0.2">
      <c r="P815" s="68"/>
      <c r="Q815" s="74"/>
      <c r="R815" s="74"/>
      <c r="S815" s="74"/>
      <c r="T815" s="75"/>
      <c r="U815" s="76"/>
      <c r="V815" s="77"/>
      <c r="W815" s="77"/>
      <c r="X815" s="76"/>
      <c r="Y815" s="76"/>
      <c r="Z815" s="68"/>
      <c r="AA815" s="68"/>
      <c r="AB815" s="68"/>
      <c r="AC815" s="68"/>
      <c r="AD815" s="68"/>
      <c r="AE815" s="68"/>
    </row>
    <row r="816" spans="16:31" x14ac:dyDescent="0.2">
      <c r="P816" s="68"/>
      <c r="Q816" s="74"/>
      <c r="R816" s="74"/>
      <c r="S816" s="74"/>
      <c r="T816" s="75"/>
      <c r="U816" s="76"/>
      <c r="V816" s="77"/>
      <c r="W816" s="77"/>
      <c r="X816" s="76"/>
      <c r="Y816" s="76"/>
      <c r="Z816" s="68"/>
      <c r="AA816" s="68"/>
      <c r="AB816" s="68"/>
      <c r="AC816" s="68"/>
      <c r="AD816" s="68"/>
      <c r="AE816" s="68"/>
    </row>
    <row r="817" spans="16:31" x14ac:dyDescent="0.2">
      <c r="P817" s="68"/>
      <c r="Q817" s="74"/>
      <c r="R817" s="74"/>
      <c r="S817" s="74"/>
      <c r="T817" s="75"/>
      <c r="U817" s="76"/>
      <c r="V817" s="77"/>
      <c r="W817" s="77"/>
      <c r="X817" s="76"/>
      <c r="Y817" s="76"/>
      <c r="Z817" s="68"/>
      <c r="AA817" s="68"/>
      <c r="AB817" s="68"/>
      <c r="AC817" s="68"/>
      <c r="AD817" s="68"/>
      <c r="AE817" s="68"/>
    </row>
    <row r="818" spans="16:31" x14ac:dyDescent="0.2">
      <c r="P818" s="68"/>
      <c r="Q818" s="74"/>
      <c r="R818" s="74"/>
      <c r="S818" s="74"/>
      <c r="T818" s="75"/>
      <c r="U818" s="76"/>
      <c r="V818" s="77"/>
      <c r="W818" s="77"/>
      <c r="X818" s="76"/>
      <c r="Y818" s="76"/>
      <c r="Z818" s="68"/>
      <c r="AA818" s="68"/>
      <c r="AB818" s="68"/>
      <c r="AC818" s="68"/>
      <c r="AD818" s="68"/>
      <c r="AE818" s="68"/>
    </row>
    <row r="819" spans="16:31" x14ac:dyDescent="0.2">
      <c r="P819" s="68"/>
      <c r="Q819" s="74"/>
      <c r="R819" s="74"/>
      <c r="S819" s="74"/>
      <c r="T819" s="75"/>
      <c r="U819" s="76"/>
      <c r="V819" s="77"/>
      <c r="W819" s="77"/>
      <c r="X819" s="76"/>
      <c r="Y819" s="76"/>
      <c r="Z819" s="68"/>
      <c r="AA819" s="68"/>
      <c r="AB819" s="68"/>
      <c r="AC819" s="68"/>
      <c r="AD819" s="68"/>
      <c r="AE819" s="68"/>
    </row>
    <row r="820" spans="16:31" x14ac:dyDescent="0.2">
      <c r="P820" s="68"/>
      <c r="Q820" s="74"/>
      <c r="R820" s="74"/>
      <c r="S820" s="74"/>
      <c r="T820" s="75"/>
      <c r="U820" s="76"/>
      <c r="V820" s="77"/>
      <c r="W820" s="77"/>
      <c r="X820" s="76"/>
      <c r="Y820" s="76"/>
      <c r="Z820" s="68"/>
      <c r="AA820" s="68"/>
      <c r="AB820" s="68"/>
      <c r="AC820" s="68"/>
      <c r="AD820" s="68"/>
      <c r="AE820" s="68"/>
    </row>
    <row r="821" spans="16:31" x14ac:dyDescent="0.2">
      <c r="P821" s="68"/>
      <c r="Q821" s="74"/>
      <c r="R821" s="74"/>
      <c r="S821" s="74"/>
      <c r="T821" s="75"/>
      <c r="U821" s="76"/>
      <c r="V821" s="77"/>
      <c r="W821" s="77"/>
      <c r="X821" s="76"/>
      <c r="Y821" s="76"/>
      <c r="Z821" s="68"/>
      <c r="AA821" s="68"/>
      <c r="AB821" s="68"/>
      <c r="AC821" s="68"/>
      <c r="AD821" s="68"/>
      <c r="AE821" s="68"/>
    </row>
    <row r="822" spans="16:31" x14ac:dyDescent="0.2">
      <c r="P822" s="68"/>
      <c r="Q822" s="74"/>
      <c r="R822" s="74"/>
      <c r="S822" s="74"/>
      <c r="T822" s="75"/>
      <c r="U822" s="76"/>
      <c r="V822" s="77"/>
      <c r="W822" s="77"/>
      <c r="X822" s="76"/>
      <c r="Y822" s="76"/>
      <c r="Z822" s="68"/>
      <c r="AA822" s="68"/>
      <c r="AB822" s="68"/>
      <c r="AC822" s="68"/>
      <c r="AD822" s="68"/>
      <c r="AE822" s="68"/>
    </row>
    <row r="823" spans="16:31" x14ac:dyDescent="0.2">
      <c r="P823" s="68"/>
      <c r="Q823" s="74"/>
      <c r="R823" s="74"/>
      <c r="S823" s="74"/>
      <c r="T823" s="75"/>
      <c r="U823" s="76"/>
      <c r="V823" s="77"/>
      <c r="W823" s="77"/>
      <c r="X823" s="76"/>
      <c r="Y823" s="76"/>
      <c r="Z823" s="68"/>
      <c r="AA823" s="68"/>
      <c r="AB823" s="68"/>
      <c r="AC823" s="68"/>
      <c r="AD823" s="68"/>
      <c r="AE823" s="68"/>
    </row>
    <row r="824" spans="16:31" x14ac:dyDescent="0.2">
      <c r="P824" s="68"/>
      <c r="Q824" s="74"/>
      <c r="R824" s="74"/>
      <c r="S824" s="74"/>
      <c r="T824" s="75"/>
      <c r="U824" s="76"/>
      <c r="V824" s="77"/>
      <c r="W824" s="77"/>
      <c r="X824" s="76"/>
      <c r="Y824" s="76"/>
      <c r="Z824" s="68"/>
      <c r="AA824" s="68"/>
      <c r="AB824" s="68"/>
      <c r="AC824" s="68"/>
      <c r="AD824" s="68"/>
      <c r="AE824" s="68"/>
    </row>
    <row r="825" spans="16:31" x14ac:dyDescent="0.2">
      <c r="P825" s="68"/>
      <c r="Q825" s="74"/>
      <c r="R825" s="74"/>
      <c r="S825" s="74"/>
      <c r="T825" s="75"/>
      <c r="U825" s="76"/>
      <c r="V825" s="77"/>
      <c r="W825" s="77"/>
      <c r="X825" s="76"/>
      <c r="Y825" s="76"/>
      <c r="Z825" s="68"/>
      <c r="AA825" s="68"/>
      <c r="AB825" s="68"/>
      <c r="AC825" s="68"/>
      <c r="AD825" s="68"/>
      <c r="AE825" s="68"/>
    </row>
    <row r="826" spans="16:31" x14ac:dyDescent="0.2">
      <c r="P826" s="68"/>
      <c r="Q826" s="74"/>
      <c r="R826" s="74"/>
      <c r="S826" s="74"/>
      <c r="T826" s="75"/>
      <c r="U826" s="76"/>
      <c r="V826" s="77"/>
      <c r="W826" s="77"/>
      <c r="X826" s="76"/>
      <c r="Y826" s="76"/>
      <c r="Z826" s="68"/>
      <c r="AA826" s="68"/>
      <c r="AB826" s="68"/>
      <c r="AC826" s="68"/>
      <c r="AD826" s="68"/>
      <c r="AE826" s="68"/>
    </row>
    <row r="827" spans="16:31" x14ac:dyDescent="0.2">
      <c r="P827" s="68"/>
      <c r="Q827" s="74"/>
      <c r="R827" s="74"/>
      <c r="S827" s="74"/>
      <c r="T827" s="75"/>
      <c r="U827" s="76"/>
      <c r="V827" s="77"/>
      <c r="W827" s="77"/>
      <c r="X827" s="76"/>
      <c r="Y827" s="76"/>
      <c r="Z827" s="68"/>
      <c r="AA827" s="68"/>
      <c r="AB827" s="68"/>
      <c r="AC827" s="68"/>
      <c r="AD827" s="68"/>
      <c r="AE827" s="68"/>
    </row>
    <row r="828" spans="16:31" x14ac:dyDescent="0.2">
      <c r="P828" s="68"/>
      <c r="Q828" s="74"/>
      <c r="R828" s="74"/>
      <c r="S828" s="74"/>
      <c r="T828" s="75"/>
      <c r="U828" s="76"/>
      <c r="V828" s="77"/>
      <c r="W828" s="77"/>
      <c r="X828" s="76"/>
      <c r="Y828" s="76"/>
      <c r="Z828" s="68"/>
      <c r="AA828" s="68"/>
      <c r="AB828" s="68"/>
      <c r="AC828" s="68"/>
      <c r="AD828" s="68"/>
      <c r="AE828" s="68"/>
    </row>
    <row r="829" spans="16:31" x14ac:dyDescent="0.2">
      <c r="P829" s="68"/>
      <c r="Q829" s="74"/>
      <c r="R829" s="74"/>
      <c r="S829" s="74"/>
      <c r="T829" s="75"/>
      <c r="U829" s="76"/>
      <c r="V829" s="77"/>
      <c r="W829" s="77"/>
      <c r="X829" s="76"/>
      <c r="Y829" s="76"/>
      <c r="Z829" s="68"/>
      <c r="AA829" s="68"/>
      <c r="AB829" s="68"/>
      <c r="AC829" s="68"/>
      <c r="AD829" s="68"/>
      <c r="AE829" s="68"/>
    </row>
    <row r="830" spans="16:31" x14ac:dyDescent="0.2">
      <c r="P830" s="68"/>
      <c r="Q830" s="74"/>
      <c r="R830" s="74"/>
      <c r="S830" s="74"/>
      <c r="T830" s="75"/>
      <c r="U830" s="76"/>
      <c r="V830" s="77"/>
      <c r="W830" s="77"/>
      <c r="X830" s="76"/>
      <c r="Y830" s="76"/>
      <c r="Z830" s="68"/>
      <c r="AA830" s="68"/>
      <c r="AB830" s="68"/>
      <c r="AC830" s="68"/>
      <c r="AD830" s="68"/>
      <c r="AE830" s="68"/>
    </row>
    <row r="831" spans="16:31" x14ac:dyDescent="0.2">
      <c r="P831" s="68"/>
      <c r="Q831" s="74"/>
      <c r="R831" s="74"/>
      <c r="S831" s="74"/>
      <c r="T831" s="75"/>
      <c r="U831" s="76"/>
      <c r="V831" s="77"/>
      <c r="W831" s="77"/>
      <c r="X831" s="76"/>
      <c r="Y831" s="76"/>
      <c r="Z831" s="68"/>
      <c r="AA831" s="68"/>
      <c r="AB831" s="68"/>
      <c r="AC831" s="68"/>
      <c r="AD831" s="68"/>
      <c r="AE831" s="68"/>
    </row>
    <row r="832" spans="16:31" x14ac:dyDescent="0.2">
      <c r="P832" s="68"/>
      <c r="Q832" s="74"/>
      <c r="R832" s="74"/>
      <c r="S832" s="74"/>
      <c r="T832" s="75"/>
      <c r="U832" s="76"/>
      <c r="V832" s="77"/>
      <c r="W832" s="77"/>
      <c r="X832" s="76"/>
      <c r="Y832" s="76"/>
      <c r="Z832" s="68"/>
      <c r="AA832" s="68"/>
      <c r="AB832" s="68"/>
      <c r="AC832" s="68"/>
      <c r="AD832" s="68"/>
      <c r="AE832" s="68"/>
    </row>
    <row r="833" spans="16:31" x14ac:dyDescent="0.2">
      <c r="P833" s="68"/>
      <c r="Q833" s="74"/>
      <c r="R833" s="74"/>
      <c r="S833" s="74"/>
      <c r="T833" s="75"/>
      <c r="U833" s="76"/>
      <c r="V833" s="77"/>
      <c r="W833" s="77"/>
      <c r="X833" s="76"/>
      <c r="Y833" s="76"/>
      <c r="Z833" s="68"/>
      <c r="AA833" s="68"/>
      <c r="AB833" s="68"/>
      <c r="AC833" s="68"/>
      <c r="AD833" s="68"/>
      <c r="AE833" s="68"/>
    </row>
    <row r="834" spans="16:31" x14ac:dyDescent="0.2">
      <c r="P834" s="68"/>
      <c r="Q834" s="74"/>
      <c r="R834" s="74"/>
      <c r="S834" s="74"/>
      <c r="T834" s="75"/>
      <c r="U834" s="76"/>
      <c r="V834" s="77"/>
      <c r="W834" s="77"/>
      <c r="X834" s="76"/>
      <c r="Y834" s="76"/>
      <c r="Z834" s="68"/>
      <c r="AA834" s="68"/>
      <c r="AB834" s="68"/>
      <c r="AC834" s="68"/>
      <c r="AD834" s="68"/>
      <c r="AE834" s="68"/>
    </row>
    <row r="835" spans="16:31" x14ac:dyDescent="0.2">
      <c r="P835" s="68"/>
      <c r="Q835" s="74"/>
      <c r="R835" s="74"/>
      <c r="S835" s="74"/>
      <c r="T835" s="75"/>
      <c r="U835" s="76"/>
      <c r="V835" s="77"/>
      <c r="W835" s="77"/>
      <c r="X835" s="76"/>
      <c r="Y835" s="76"/>
      <c r="Z835" s="68"/>
      <c r="AA835" s="68"/>
      <c r="AB835" s="68"/>
      <c r="AC835" s="68"/>
      <c r="AD835" s="68"/>
      <c r="AE835" s="68"/>
    </row>
    <row r="836" spans="16:31" x14ac:dyDescent="0.2">
      <c r="P836" s="68"/>
      <c r="Q836" s="74"/>
      <c r="R836" s="74"/>
      <c r="S836" s="74"/>
      <c r="T836" s="75"/>
      <c r="U836" s="76"/>
      <c r="V836" s="77"/>
      <c r="W836" s="77"/>
      <c r="X836" s="76"/>
      <c r="Y836" s="76"/>
      <c r="Z836" s="68"/>
      <c r="AA836" s="68"/>
      <c r="AB836" s="68"/>
      <c r="AC836" s="68"/>
      <c r="AD836" s="68"/>
      <c r="AE836" s="68"/>
    </row>
    <row r="837" spans="16:31" x14ac:dyDescent="0.2">
      <c r="P837" s="68"/>
      <c r="Q837" s="74"/>
      <c r="R837" s="74"/>
      <c r="S837" s="74"/>
      <c r="T837" s="75"/>
      <c r="U837" s="76"/>
      <c r="V837" s="77"/>
      <c r="W837" s="77"/>
      <c r="X837" s="76"/>
      <c r="Y837" s="76"/>
      <c r="Z837" s="68"/>
      <c r="AA837" s="68"/>
      <c r="AB837" s="68"/>
      <c r="AC837" s="68"/>
      <c r="AD837" s="68"/>
      <c r="AE837" s="68"/>
    </row>
    <row r="838" spans="16:31" x14ac:dyDescent="0.2">
      <c r="P838" s="68"/>
      <c r="Q838" s="74"/>
      <c r="R838" s="74"/>
      <c r="S838" s="74"/>
      <c r="T838" s="75"/>
      <c r="U838" s="76"/>
      <c r="V838" s="77"/>
      <c r="W838" s="77"/>
      <c r="X838" s="76"/>
      <c r="Y838" s="76"/>
      <c r="Z838" s="68"/>
      <c r="AA838" s="68"/>
      <c r="AB838" s="68"/>
      <c r="AC838" s="68"/>
      <c r="AD838" s="68"/>
      <c r="AE838" s="68"/>
    </row>
    <row r="839" spans="16:31" x14ac:dyDescent="0.2">
      <c r="P839" s="68"/>
      <c r="Q839" s="74"/>
      <c r="R839" s="74"/>
      <c r="S839" s="74"/>
      <c r="T839" s="75"/>
      <c r="U839" s="76"/>
      <c r="V839" s="77"/>
      <c r="W839" s="77"/>
      <c r="X839" s="76"/>
      <c r="Y839" s="76"/>
      <c r="Z839" s="68"/>
      <c r="AA839" s="68"/>
      <c r="AB839" s="68"/>
      <c r="AC839" s="68"/>
      <c r="AD839" s="68"/>
      <c r="AE839" s="68"/>
    </row>
    <row r="840" spans="16:31" x14ac:dyDescent="0.2">
      <c r="P840" s="68"/>
      <c r="Q840" s="74"/>
      <c r="R840" s="74"/>
      <c r="S840" s="74"/>
      <c r="T840" s="75"/>
      <c r="U840" s="76"/>
      <c r="V840" s="77"/>
      <c r="W840" s="77"/>
      <c r="X840" s="76"/>
      <c r="Y840" s="76"/>
      <c r="Z840" s="68"/>
      <c r="AA840" s="68"/>
      <c r="AB840" s="68"/>
      <c r="AC840" s="68"/>
      <c r="AD840" s="68"/>
      <c r="AE840" s="68"/>
    </row>
    <row r="841" spans="16:31" x14ac:dyDescent="0.2">
      <c r="P841" s="68"/>
      <c r="Q841" s="74"/>
      <c r="R841" s="74"/>
      <c r="S841" s="74"/>
      <c r="T841" s="75"/>
      <c r="U841" s="76"/>
      <c r="V841" s="77"/>
      <c r="W841" s="77"/>
      <c r="X841" s="76"/>
      <c r="Y841" s="76"/>
      <c r="Z841" s="68"/>
      <c r="AA841" s="68"/>
      <c r="AB841" s="68"/>
      <c r="AC841" s="68"/>
      <c r="AD841" s="68"/>
      <c r="AE841" s="68"/>
    </row>
    <row r="842" spans="16:31" x14ac:dyDescent="0.2">
      <c r="P842" s="68"/>
      <c r="Q842" s="74"/>
      <c r="R842" s="74"/>
      <c r="S842" s="74"/>
      <c r="T842" s="75"/>
      <c r="U842" s="76"/>
      <c r="V842" s="77"/>
      <c r="W842" s="77"/>
      <c r="X842" s="76"/>
      <c r="Y842" s="76"/>
      <c r="Z842" s="68"/>
      <c r="AA842" s="68"/>
      <c r="AB842" s="68"/>
      <c r="AC842" s="68"/>
      <c r="AD842" s="68"/>
      <c r="AE842" s="68"/>
    </row>
    <row r="843" spans="16:31" x14ac:dyDescent="0.2">
      <c r="P843" s="68"/>
      <c r="Q843" s="74"/>
      <c r="R843" s="74"/>
      <c r="S843" s="74"/>
      <c r="T843" s="75"/>
      <c r="U843" s="76"/>
      <c r="V843" s="77"/>
      <c r="W843" s="77"/>
      <c r="X843" s="76"/>
      <c r="Y843" s="76"/>
      <c r="Z843" s="68"/>
      <c r="AA843" s="68"/>
      <c r="AB843" s="68"/>
      <c r="AC843" s="68"/>
      <c r="AD843" s="68"/>
      <c r="AE843" s="68"/>
    </row>
    <row r="844" spans="16:31" x14ac:dyDescent="0.2">
      <c r="P844" s="68"/>
      <c r="Q844" s="74"/>
      <c r="R844" s="74"/>
      <c r="S844" s="74"/>
      <c r="T844" s="75"/>
      <c r="U844" s="76"/>
      <c r="V844" s="77"/>
      <c r="W844" s="77"/>
      <c r="X844" s="76"/>
      <c r="Y844" s="76"/>
      <c r="Z844" s="68"/>
      <c r="AA844" s="68"/>
      <c r="AB844" s="68"/>
      <c r="AC844" s="68"/>
      <c r="AD844" s="68"/>
      <c r="AE844" s="68"/>
    </row>
    <row r="845" spans="16:31" x14ac:dyDescent="0.2">
      <c r="P845" s="68"/>
      <c r="Q845" s="74"/>
      <c r="R845" s="74"/>
      <c r="S845" s="74"/>
      <c r="T845" s="75"/>
      <c r="U845" s="76"/>
      <c r="V845" s="77"/>
      <c r="W845" s="77"/>
      <c r="X845" s="76"/>
      <c r="Y845" s="76"/>
      <c r="Z845" s="68"/>
      <c r="AA845" s="68"/>
      <c r="AB845" s="68"/>
      <c r="AC845" s="68"/>
      <c r="AD845" s="68"/>
      <c r="AE845" s="68"/>
    </row>
    <row r="846" spans="16:31" x14ac:dyDescent="0.2">
      <c r="P846" s="68"/>
      <c r="Q846" s="74"/>
      <c r="R846" s="74"/>
      <c r="S846" s="74"/>
      <c r="T846" s="75"/>
      <c r="U846" s="76"/>
      <c r="V846" s="77"/>
      <c r="W846" s="77"/>
      <c r="X846" s="76"/>
      <c r="Y846" s="76"/>
      <c r="Z846" s="68"/>
      <c r="AA846" s="68"/>
      <c r="AB846" s="68"/>
      <c r="AC846" s="68"/>
      <c r="AD846" s="68"/>
      <c r="AE846" s="68"/>
    </row>
    <row r="847" spans="16:31" x14ac:dyDescent="0.2">
      <c r="P847" s="68"/>
      <c r="Q847" s="74"/>
      <c r="R847" s="74"/>
      <c r="S847" s="74"/>
      <c r="T847" s="75"/>
      <c r="U847" s="76"/>
      <c r="V847" s="77"/>
      <c r="W847" s="77"/>
      <c r="X847" s="76"/>
      <c r="Y847" s="76"/>
      <c r="Z847" s="68"/>
      <c r="AA847" s="68"/>
      <c r="AB847" s="68"/>
      <c r="AC847" s="68"/>
      <c r="AD847" s="68"/>
      <c r="AE847" s="68"/>
    </row>
    <row r="848" spans="16:31" x14ac:dyDescent="0.2">
      <c r="P848" s="68"/>
      <c r="Q848" s="74"/>
      <c r="R848" s="74"/>
      <c r="S848" s="74"/>
      <c r="T848" s="75"/>
      <c r="U848" s="76"/>
      <c r="V848" s="77"/>
      <c r="W848" s="77"/>
      <c r="X848" s="76"/>
      <c r="Y848" s="76"/>
      <c r="Z848" s="68"/>
      <c r="AA848" s="68"/>
      <c r="AB848" s="68"/>
      <c r="AC848" s="68"/>
      <c r="AD848" s="68"/>
      <c r="AE848" s="68"/>
    </row>
    <row r="849" spans="16:31" x14ac:dyDescent="0.2">
      <c r="P849" s="68"/>
      <c r="Q849" s="74"/>
      <c r="R849" s="74"/>
      <c r="S849" s="74"/>
      <c r="T849" s="75"/>
      <c r="U849" s="76"/>
      <c r="V849" s="77"/>
      <c r="W849" s="77"/>
      <c r="X849" s="76"/>
      <c r="Y849" s="76"/>
      <c r="Z849" s="68"/>
      <c r="AA849" s="68"/>
      <c r="AB849" s="68"/>
      <c r="AC849" s="68"/>
      <c r="AD849" s="68"/>
      <c r="AE849" s="68"/>
    </row>
    <row r="850" spans="16:31" x14ac:dyDescent="0.2">
      <c r="P850" s="68"/>
      <c r="Q850" s="74"/>
      <c r="R850" s="74"/>
      <c r="S850" s="74"/>
      <c r="T850" s="75"/>
      <c r="U850" s="76"/>
      <c r="V850" s="77"/>
      <c r="W850" s="77"/>
      <c r="X850" s="76"/>
      <c r="Y850" s="76"/>
      <c r="Z850" s="68"/>
      <c r="AA850" s="68"/>
      <c r="AB850" s="68"/>
      <c r="AC850" s="68"/>
      <c r="AD850" s="68"/>
      <c r="AE850" s="68"/>
    </row>
    <row r="851" spans="16:31" x14ac:dyDescent="0.2">
      <c r="P851" s="68"/>
      <c r="Q851" s="74"/>
      <c r="R851" s="74"/>
      <c r="S851" s="74"/>
      <c r="T851" s="75"/>
      <c r="U851" s="76"/>
      <c r="V851" s="77"/>
      <c r="W851" s="77"/>
      <c r="X851" s="76"/>
      <c r="Y851" s="76"/>
      <c r="Z851" s="68"/>
      <c r="AA851" s="68"/>
      <c r="AB851" s="68"/>
      <c r="AC851" s="68"/>
      <c r="AD851" s="68"/>
      <c r="AE851" s="68"/>
    </row>
    <row r="852" spans="16:31" x14ac:dyDescent="0.2">
      <c r="P852" s="68"/>
      <c r="Q852" s="74"/>
      <c r="R852" s="74"/>
      <c r="S852" s="74"/>
      <c r="T852" s="75"/>
      <c r="U852" s="76"/>
      <c r="V852" s="77"/>
      <c r="W852" s="77"/>
      <c r="X852" s="76"/>
      <c r="Y852" s="76"/>
      <c r="Z852" s="68"/>
      <c r="AA852" s="68"/>
      <c r="AB852" s="68"/>
      <c r="AC852" s="68"/>
      <c r="AD852" s="68"/>
      <c r="AE852" s="68"/>
    </row>
    <row r="853" spans="16:31" x14ac:dyDescent="0.2">
      <c r="P853" s="68"/>
      <c r="Q853" s="74"/>
      <c r="R853" s="74"/>
      <c r="S853" s="74"/>
      <c r="T853" s="75"/>
      <c r="U853" s="76"/>
      <c r="V853" s="77"/>
      <c r="W853" s="77"/>
      <c r="X853" s="76"/>
      <c r="Y853" s="76"/>
      <c r="Z853" s="68"/>
      <c r="AA853" s="68"/>
      <c r="AB853" s="68"/>
      <c r="AC853" s="68"/>
      <c r="AD853" s="68"/>
      <c r="AE853" s="68"/>
    </row>
    <row r="854" spans="16:31" x14ac:dyDescent="0.2">
      <c r="P854" s="68"/>
      <c r="Q854" s="74"/>
      <c r="R854" s="74"/>
      <c r="S854" s="74"/>
      <c r="T854" s="75"/>
      <c r="U854" s="76"/>
      <c r="V854" s="77"/>
      <c r="W854" s="77"/>
      <c r="X854" s="76"/>
      <c r="Y854" s="76"/>
      <c r="Z854" s="68"/>
      <c r="AA854" s="68"/>
      <c r="AB854" s="68"/>
      <c r="AC854" s="68"/>
      <c r="AD854" s="68"/>
      <c r="AE854" s="68"/>
    </row>
    <row r="855" spans="16:31" x14ac:dyDescent="0.2">
      <c r="P855" s="68"/>
      <c r="Q855" s="74"/>
      <c r="R855" s="74"/>
      <c r="S855" s="74"/>
      <c r="T855" s="75"/>
      <c r="U855" s="76"/>
      <c r="V855" s="77"/>
      <c r="W855" s="77"/>
      <c r="X855" s="76"/>
      <c r="Y855" s="76"/>
      <c r="Z855" s="68"/>
      <c r="AA855" s="68"/>
      <c r="AB855" s="68"/>
      <c r="AC855" s="68"/>
      <c r="AD855" s="68"/>
      <c r="AE855" s="68"/>
    </row>
    <row r="856" spans="16:31" x14ac:dyDescent="0.2">
      <c r="P856" s="68"/>
      <c r="Q856" s="74"/>
      <c r="R856" s="74"/>
      <c r="S856" s="74"/>
      <c r="T856" s="75"/>
      <c r="U856" s="76"/>
      <c r="V856" s="77"/>
      <c r="W856" s="77"/>
      <c r="X856" s="76"/>
      <c r="Y856" s="76"/>
      <c r="Z856" s="68"/>
      <c r="AA856" s="68"/>
      <c r="AB856" s="68"/>
      <c r="AC856" s="68"/>
      <c r="AD856" s="68"/>
      <c r="AE856" s="68"/>
    </row>
    <row r="857" spans="16:31" x14ac:dyDescent="0.2">
      <c r="P857" s="68"/>
      <c r="Q857" s="74"/>
      <c r="R857" s="74"/>
      <c r="S857" s="74"/>
      <c r="T857" s="75"/>
      <c r="U857" s="76"/>
      <c r="V857" s="77"/>
      <c r="W857" s="77"/>
      <c r="X857" s="76"/>
      <c r="Y857" s="76"/>
      <c r="Z857" s="68"/>
      <c r="AA857" s="68"/>
      <c r="AB857" s="68"/>
      <c r="AC857" s="68"/>
      <c r="AD857" s="68"/>
      <c r="AE857" s="68"/>
    </row>
    <row r="858" spans="16:31" x14ac:dyDescent="0.2">
      <c r="P858" s="68"/>
      <c r="Q858" s="74"/>
      <c r="R858" s="74"/>
      <c r="S858" s="74"/>
      <c r="T858" s="75"/>
      <c r="U858" s="76"/>
      <c r="V858" s="77"/>
      <c r="W858" s="77"/>
      <c r="X858" s="76"/>
      <c r="Y858" s="76"/>
      <c r="Z858" s="68"/>
      <c r="AA858" s="68"/>
      <c r="AB858" s="68"/>
      <c r="AC858" s="68"/>
      <c r="AD858" s="68"/>
      <c r="AE858" s="68"/>
    </row>
    <row r="859" spans="16:31" x14ac:dyDescent="0.2">
      <c r="P859" s="68"/>
      <c r="Q859" s="74"/>
      <c r="R859" s="74"/>
      <c r="S859" s="74"/>
      <c r="T859" s="75"/>
      <c r="U859" s="76"/>
      <c r="V859" s="77"/>
      <c r="W859" s="77"/>
      <c r="X859" s="76"/>
      <c r="Y859" s="76"/>
      <c r="Z859" s="68"/>
      <c r="AA859" s="68"/>
      <c r="AB859" s="68"/>
      <c r="AC859" s="68"/>
      <c r="AD859" s="68"/>
      <c r="AE859" s="68"/>
    </row>
    <row r="860" spans="16:31" x14ac:dyDescent="0.2">
      <c r="P860" s="68"/>
      <c r="Q860" s="74"/>
      <c r="R860" s="74"/>
      <c r="S860" s="74"/>
      <c r="T860" s="75"/>
      <c r="U860" s="76"/>
      <c r="V860" s="77"/>
      <c r="W860" s="77"/>
      <c r="X860" s="76"/>
      <c r="Y860" s="76"/>
      <c r="Z860" s="68"/>
      <c r="AA860" s="68"/>
      <c r="AB860" s="68"/>
      <c r="AC860" s="68"/>
      <c r="AD860" s="68"/>
      <c r="AE860" s="68"/>
    </row>
    <row r="861" spans="16:31" x14ac:dyDescent="0.2">
      <c r="P861" s="68"/>
      <c r="Q861" s="74"/>
      <c r="R861" s="74"/>
      <c r="S861" s="74"/>
      <c r="T861" s="75"/>
      <c r="U861" s="76"/>
      <c r="V861" s="77"/>
      <c r="W861" s="77"/>
      <c r="X861" s="76"/>
      <c r="Y861" s="76"/>
      <c r="Z861" s="68"/>
      <c r="AA861" s="68"/>
      <c r="AB861" s="68"/>
      <c r="AC861" s="68"/>
      <c r="AD861" s="68"/>
      <c r="AE861" s="68"/>
    </row>
    <row r="862" spans="16:31" x14ac:dyDescent="0.2">
      <c r="P862" s="68"/>
      <c r="Q862" s="74"/>
      <c r="R862" s="74"/>
      <c r="S862" s="74"/>
      <c r="T862" s="75"/>
      <c r="U862" s="76"/>
      <c r="V862" s="77"/>
      <c r="W862" s="77"/>
      <c r="X862" s="76"/>
      <c r="Y862" s="76"/>
      <c r="Z862" s="68"/>
      <c r="AA862" s="68"/>
      <c r="AB862" s="68"/>
      <c r="AC862" s="68"/>
      <c r="AD862" s="68"/>
      <c r="AE862" s="68"/>
    </row>
    <row r="863" spans="16:31" x14ac:dyDescent="0.2">
      <c r="P863" s="68"/>
      <c r="Q863" s="74"/>
      <c r="R863" s="74"/>
      <c r="S863" s="74"/>
      <c r="T863" s="75"/>
      <c r="U863" s="76"/>
      <c r="V863" s="77"/>
      <c r="W863" s="77"/>
      <c r="X863" s="76"/>
      <c r="Y863" s="76"/>
      <c r="Z863" s="68"/>
      <c r="AA863" s="68"/>
      <c r="AB863" s="68"/>
      <c r="AC863" s="68"/>
      <c r="AD863" s="68"/>
      <c r="AE863" s="68"/>
    </row>
    <row r="864" spans="16:31" x14ac:dyDescent="0.2">
      <c r="P864" s="68"/>
      <c r="Q864" s="74"/>
      <c r="R864" s="74"/>
      <c r="S864" s="74"/>
      <c r="T864" s="75"/>
      <c r="U864" s="76"/>
      <c r="V864" s="77"/>
      <c r="W864" s="77"/>
      <c r="X864" s="76"/>
      <c r="Y864" s="76"/>
      <c r="Z864" s="68"/>
      <c r="AA864" s="68"/>
      <c r="AB864" s="68"/>
      <c r="AC864" s="68"/>
      <c r="AD864" s="68"/>
      <c r="AE864" s="68"/>
    </row>
    <row r="865" spans="16:31" x14ac:dyDescent="0.2">
      <c r="P865" s="68"/>
      <c r="Q865" s="74"/>
      <c r="R865" s="74"/>
      <c r="S865" s="74"/>
      <c r="T865" s="75"/>
      <c r="U865" s="76"/>
      <c r="V865" s="77"/>
      <c r="W865" s="77"/>
      <c r="X865" s="76"/>
      <c r="Y865" s="76"/>
      <c r="Z865" s="68"/>
      <c r="AA865" s="68"/>
      <c r="AB865" s="68"/>
      <c r="AC865" s="68"/>
      <c r="AD865" s="68"/>
      <c r="AE865" s="68"/>
    </row>
    <row r="866" spans="16:31" x14ac:dyDescent="0.2">
      <c r="P866" s="68"/>
      <c r="Q866" s="74"/>
      <c r="R866" s="74"/>
      <c r="S866" s="74"/>
      <c r="T866" s="75"/>
      <c r="U866" s="76"/>
      <c r="V866" s="77"/>
      <c r="W866" s="77"/>
      <c r="X866" s="76"/>
      <c r="Y866" s="76"/>
      <c r="Z866" s="68"/>
      <c r="AA866" s="68"/>
      <c r="AB866" s="68"/>
      <c r="AC866" s="68"/>
      <c r="AD866" s="68"/>
      <c r="AE866" s="68"/>
    </row>
    <row r="867" spans="16:31" x14ac:dyDescent="0.2">
      <c r="P867" s="68"/>
      <c r="Q867" s="74"/>
      <c r="R867" s="74"/>
      <c r="S867" s="74"/>
      <c r="T867" s="75"/>
      <c r="U867" s="76"/>
      <c r="V867" s="77"/>
      <c r="W867" s="77"/>
      <c r="X867" s="76"/>
      <c r="Y867" s="76"/>
      <c r="Z867" s="68"/>
      <c r="AA867" s="68"/>
      <c r="AB867" s="68"/>
      <c r="AC867" s="68"/>
      <c r="AD867" s="68"/>
      <c r="AE867" s="68"/>
    </row>
    <row r="868" spans="16:31" x14ac:dyDescent="0.2">
      <c r="P868" s="68"/>
      <c r="Q868" s="74"/>
      <c r="R868" s="74"/>
      <c r="S868" s="74"/>
      <c r="T868" s="75"/>
      <c r="U868" s="76"/>
      <c r="V868" s="77"/>
      <c r="W868" s="77"/>
      <c r="X868" s="76"/>
      <c r="Y868" s="76"/>
      <c r="Z868" s="68"/>
      <c r="AA868" s="68"/>
      <c r="AB868" s="68"/>
      <c r="AC868" s="68"/>
      <c r="AD868" s="68"/>
      <c r="AE868" s="68"/>
    </row>
    <row r="869" spans="16:31" x14ac:dyDescent="0.2">
      <c r="P869" s="68"/>
      <c r="Q869" s="74"/>
      <c r="R869" s="74"/>
      <c r="S869" s="74"/>
      <c r="T869" s="75"/>
      <c r="U869" s="76"/>
      <c r="V869" s="77"/>
      <c r="W869" s="77"/>
      <c r="X869" s="76"/>
      <c r="Y869" s="76"/>
      <c r="Z869" s="68"/>
      <c r="AA869" s="68"/>
      <c r="AB869" s="68"/>
      <c r="AC869" s="68"/>
      <c r="AD869" s="68"/>
      <c r="AE869" s="68"/>
    </row>
    <row r="870" spans="16:31" x14ac:dyDescent="0.2">
      <c r="P870" s="68"/>
      <c r="Q870" s="74"/>
      <c r="R870" s="74"/>
      <c r="S870" s="74"/>
      <c r="T870" s="75"/>
      <c r="U870" s="76"/>
      <c r="V870" s="77"/>
      <c r="W870" s="77"/>
      <c r="X870" s="76"/>
      <c r="Y870" s="76"/>
      <c r="Z870" s="68"/>
      <c r="AA870" s="68"/>
      <c r="AB870" s="68"/>
      <c r="AC870" s="68"/>
      <c r="AD870" s="68"/>
      <c r="AE870" s="68"/>
    </row>
    <row r="871" spans="16:31" x14ac:dyDescent="0.2">
      <c r="P871" s="68"/>
      <c r="Q871" s="74"/>
      <c r="R871" s="74"/>
      <c r="S871" s="74"/>
      <c r="T871" s="75"/>
      <c r="U871" s="76"/>
      <c r="V871" s="77"/>
      <c r="W871" s="77"/>
      <c r="X871" s="76"/>
      <c r="Y871" s="76"/>
      <c r="Z871" s="68"/>
      <c r="AA871" s="68"/>
      <c r="AB871" s="68"/>
      <c r="AC871" s="68"/>
      <c r="AD871" s="68"/>
      <c r="AE871" s="68"/>
    </row>
    <row r="872" spans="16:31" x14ac:dyDescent="0.2">
      <c r="P872" s="68"/>
      <c r="Q872" s="74"/>
      <c r="R872" s="74"/>
      <c r="S872" s="74"/>
      <c r="T872" s="75"/>
      <c r="U872" s="76"/>
      <c r="V872" s="77"/>
      <c r="W872" s="77"/>
      <c r="X872" s="76"/>
      <c r="Y872" s="76"/>
      <c r="Z872" s="68"/>
      <c r="AA872" s="68"/>
      <c r="AB872" s="68"/>
      <c r="AC872" s="68"/>
      <c r="AD872" s="68"/>
      <c r="AE872" s="68"/>
    </row>
    <row r="873" spans="16:31" x14ac:dyDescent="0.2">
      <c r="P873" s="68"/>
      <c r="Q873" s="74"/>
      <c r="R873" s="74"/>
      <c r="S873" s="74"/>
      <c r="T873" s="75"/>
      <c r="U873" s="76"/>
      <c r="V873" s="77"/>
      <c r="W873" s="77"/>
      <c r="X873" s="76"/>
      <c r="Y873" s="76"/>
      <c r="Z873" s="68"/>
      <c r="AA873" s="68"/>
      <c r="AB873" s="68"/>
      <c r="AC873" s="68"/>
      <c r="AD873" s="68"/>
      <c r="AE873" s="68"/>
    </row>
    <row r="874" spans="16:31" x14ac:dyDescent="0.2">
      <c r="P874" s="68"/>
      <c r="Q874" s="74"/>
      <c r="R874" s="74"/>
      <c r="S874" s="74"/>
      <c r="T874" s="75"/>
      <c r="U874" s="76"/>
      <c r="V874" s="77"/>
      <c r="W874" s="77"/>
      <c r="X874" s="76"/>
      <c r="Y874" s="76"/>
      <c r="Z874" s="68"/>
      <c r="AA874" s="68"/>
      <c r="AB874" s="68"/>
      <c r="AC874" s="68"/>
      <c r="AD874" s="68"/>
      <c r="AE874" s="68"/>
    </row>
    <row r="875" spans="16:31" x14ac:dyDescent="0.2">
      <c r="P875" s="68"/>
      <c r="Q875" s="74"/>
      <c r="R875" s="74"/>
      <c r="S875" s="74"/>
      <c r="T875" s="75"/>
      <c r="U875" s="76"/>
      <c r="V875" s="77"/>
      <c r="W875" s="77"/>
      <c r="X875" s="76"/>
      <c r="Y875" s="76"/>
      <c r="Z875" s="68"/>
      <c r="AA875" s="68"/>
      <c r="AB875" s="68"/>
      <c r="AC875" s="68"/>
      <c r="AD875" s="68"/>
      <c r="AE875" s="68"/>
    </row>
    <row r="876" spans="16:31" x14ac:dyDescent="0.2">
      <c r="P876" s="68"/>
      <c r="Q876" s="74"/>
      <c r="R876" s="74"/>
      <c r="S876" s="74"/>
      <c r="T876" s="75"/>
      <c r="U876" s="76"/>
      <c r="V876" s="77"/>
      <c r="W876" s="77"/>
      <c r="X876" s="76"/>
      <c r="Y876" s="76"/>
      <c r="Z876" s="68"/>
      <c r="AA876" s="68"/>
      <c r="AB876" s="68"/>
      <c r="AC876" s="68"/>
      <c r="AD876" s="68"/>
      <c r="AE876" s="68"/>
    </row>
    <row r="877" spans="16:31" x14ac:dyDescent="0.2">
      <c r="P877" s="68"/>
      <c r="Q877" s="74"/>
      <c r="R877" s="74"/>
      <c r="S877" s="74"/>
      <c r="T877" s="75"/>
      <c r="U877" s="76"/>
      <c r="V877" s="77"/>
      <c r="W877" s="77"/>
      <c r="X877" s="76"/>
      <c r="Y877" s="76"/>
      <c r="Z877" s="68"/>
      <c r="AA877" s="68"/>
      <c r="AB877" s="68"/>
      <c r="AC877" s="68"/>
      <c r="AD877" s="68"/>
      <c r="AE877" s="68"/>
    </row>
    <row r="878" spans="16:31" x14ac:dyDescent="0.2">
      <c r="P878" s="68"/>
      <c r="Q878" s="74"/>
      <c r="R878" s="74"/>
      <c r="S878" s="74"/>
      <c r="T878" s="75"/>
      <c r="U878" s="76"/>
      <c r="V878" s="77"/>
      <c r="W878" s="77"/>
      <c r="X878" s="76"/>
      <c r="Y878" s="76"/>
      <c r="Z878" s="68"/>
      <c r="AA878" s="68"/>
      <c r="AB878" s="68"/>
      <c r="AC878" s="68"/>
      <c r="AD878" s="68"/>
      <c r="AE878" s="68"/>
    </row>
    <row r="879" spans="16:31" x14ac:dyDescent="0.2">
      <c r="P879" s="68"/>
      <c r="Q879" s="74"/>
      <c r="R879" s="74"/>
      <c r="S879" s="74"/>
      <c r="T879" s="75"/>
      <c r="U879" s="76"/>
      <c r="V879" s="77"/>
      <c r="W879" s="77"/>
      <c r="X879" s="76"/>
      <c r="Y879" s="76"/>
      <c r="Z879" s="68"/>
      <c r="AA879" s="68"/>
      <c r="AB879" s="68"/>
      <c r="AC879" s="68"/>
      <c r="AD879" s="68"/>
      <c r="AE879" s="68"/>
    </row>
    <row r="880" spans="16:31" x14ac:dyDescent="0.2">
      <c r="P880" s="68"/>
      <c r="Q880" s="74"/>
      <c r="R880" s="74"/>
      <c r="S880" s="74"/>
      <c r="T880" s="75"/>
      <c r="U880" s="76"/>
      <c r="V880" s="77"/>
      <c r="W880" s="77"/>
      <c r="X880" s="76"/>
      <c r="Y880" s="76"/>
      <c r="Z880" s="68"/>
      <c r="AA880" s="68"/>
      <c r="AB880" s="68"/>
      <c r="AC880" s="68"/>
      <c r="AD880" s="68"/>
      <c r="AE880" s="68"/>
    </row>
    <row r="881" spans="16:31" x14ac:dyDescent="0.2">
      <c r="P881" s="68"/>
      <c r="Q881" s="74"/>
      <c r="R881" s="74"/>
      <c r="S881" s="74"/>
      <c r="T881" s="75"/>
      <c r="U881" s="76"/>
      <c r="V881" s="77"/>
      <c r="W881" s="77"/>
      <c r="X881" s="76"/>
      <c r="Y881" s="76"/>
      <c r="Z881" s="68"/>
      <c r="AA881" s="68"/>
      <c r="AB881" s="68"/>
      <c r="AC881" s="68"/>
      <c r="AD881" s="68"/>
      <c r="AE881" s="68"/>
    </row>
    <row r="882" spans="16:31" x14ac:dyDescent="0.2">
      <c r="P882" s="68"/>
      <c r="Q882" s="74"/>
      <c r="R882" s="74"/>
      <c r="S882" s="74"/>
      <c r="T882" s="75"/>
      <c r="U882" s="76"/>
      <c r="V882" s="77"/>
      <c r="W882" s="77"/>
      <c r="X882" s="76"/>
      <c r="Y882" s="76"/>
      <c r="Z882" s="68"/>
      <c r="AA882" s="68"/>
      <c r="AB882" s="68"/>
      <c r="AC882" s="68"/>
      <c r="AD882" s="68"/>
      <c r="AE882" s="68"/>
    </row>
    <row r="883" spans="16:31" x14ac:dyDescent="0.2">
      <c r="P883" s="68"/>
      <c r="Q883" s="74"/>
      <c r="R883" s="74"/>
      <c r="S883" s="74"/>
      <c r="T883" s="75"/>
      <c r="U883" s="76"/>
      <c r="V883" s="77"/>
      <c r="W883" s="77"/>
      <c r="X883" s="76"/>
      <c r="Y883" s="76"/>
      <c r="Z883" s="68"/>
      <c r="AA883" s="68"/>
      <c r="AB883" s="68"/>
      <c r="AC883" s="68"/>
      <c r="AD883" s="68"/>
      <c r="AE883" s="68"/>
    </row>
    <row r="884" spans="16:31" x14ac:dyDescent="0.2">
      <c r="P884" s="68"/>
      <c r="Q884" s="74"/>
      <c r="R884" s="74"/>
      <c r="S884" s="74"/>
      <c r="T884" s="75"/>
      <c r="U884" s="76"/>
      <c r="V884" s="77"/>
      <c r="W884" s="77"/>
      <c r="X884" s="76"/>
      <c r="Y884" s="76"/>
      <c r="Z884" s="68"/>
      <c r="AA884" s="68"/>
      <c r="AB884" s="68"/>
      <c r="AC884" s="68"/>
      <c r="AD884" s="68"/>
      <c r="AE884" s="68"/>
    </row>
    <row r="885" spans="16:31" x14ac:dyDescent="0.2">
      <c r="P885" s="68"/>
      <c r="Q885" s="74"/>
      <c r="R885" s="74"/>
      <c r="S885" s="74"/>
      <c r="T885" s="75"/>
      <c r="U885" s="76"/>
      <c r="V885" s="77"/>
      <c r="W885" s="77"/>
      <c r="X885" s="76"/>
      <c r="Y885" s="76"/>
      <c r="Z885" s="68"/>
      <c r="AA885" s="68"/>
      <c r="AB885" s="68"/>
      <c r="AC885" s="68"/>
      <c r="AD885" s="68"/>
      <c r="AE885" s="68"/>
    </row>
    <row r="886" spans="16:31" x14ac:dyDescent="0.2">
      <c r="P886" s="68"/>
      <c r="Q886" s="74"/>
      <c r="R886" s="74"/>
      <c r="S886" s="74"/>
      <c r="T886" s="75"/>
      <c r="U886" s="76"/>
      <c r="V886" s="77"/>
      <c r="W886" s="77"/>
      <c r="X886" s="76"/>
      <c r="Y886" s="76"/>
      <c r="Z886" s="68"/>
      <c r="AA886" s="68"/>
      <c r="AB886" s="68"/>
      <c r="AC886" s="68"/>
      <c r="AD886" s="68"/>
      <c r="AE886" s="68"/>
    </row>
    <row r="887" spans="16:31" x14ac:dyDescent="0.2">
      <c r="P887" s="68"/>
      <c r="Q887" s="74"/>
      <c r="R887" s="74"/>
      <c r="S887" s="74"/>
      <c r="T887" s="75"/>
      <c r="U887" s="76"/>
      <c r="V887" s="77"/>
      <c r="W887" s="77"/>
      <c r="X887" s="76"/>
      <c r="Y887" s="76"/>
      <c r="Z887" s="68"/>
      <c r="AA887" s="68"/>
      <c r="AB887" s="68"/>
      <c r="AC887" s="68"/>
      <c r="AD887" s="68"/>
      <c r="AE887" s="68"/>
    </row>
    <row r="888" spans="16:31" x14ac:dyDescent="0.2">
      <c r="P888" s="68"/>
      <c r="Q888" s="74"/>
      <c r="R888" s="74"/>
      <c r="S888" s="74"/>
      <c r="T888" s="75"/>
      <c r="U888" s="76"/>
      <c r="V888" s="77"/>
      <c r="W888" s="77"/>
      <c r="X888" s="76"/>
      <c r="Y888" s="76"/>
      <c r="Z888" s="68"/>
      <c r="AA888" s="68"/>
      <c r="AB888" s="68"/>
      <c r="AC888" s="68"/>
      <c r="AD888" s="68"/>
      <c r="AE888" s="68"/>
    </row>
    <row r="889" spans="16:31" x14ac:dyDescent="0.2">
      <c r="P889" s="68"/>
      <c r="Q889" s="74"/>
      <c r="R889" s="74"/>
      <c r="S889" s="74"/>
      <c r="T889" s="75"/>
      <c r="U889" s="76"/>
      <c r="V889" s="77"/>
      <c r="W889" s="77"/>
      <c r="X889" s="76"/>
      <c r="Y889" s="76"/>
      <c r="Z889" s="68"/>
      <c r="AA889" s="68"/>
      <c r="AB889" s="68"/>
      <c r="AC889" s="68"/>
      <c r="AD889" s="68"/>
      <c r="AE889" s="68"/>
    </row>
    <row r="890" spans="16:31" x14ac:dyDescent="0.2">
      <c r="P890" s="68"/>
      <c r="Q890" s="74"/>
      <c r="R890" s="74"/>
      <c r="S890" s="74"/>
      <c r="T890" s="75"/>
      <c r="U890" s="76"/>
      <c r="V890" s="77"/>
      <c r="W890" s="77"/>
      <c r="X890" s="76"/>
      <c r="Y890" s="76"/>
      <c r="Z890" s="68"/>
      <c r="AA890" s="68"/>
      <c r="AB890" s="68"/>
      <c r="AC890" s="68"/>
      <c r="AD890" s="68"/>
      <c r="AE890" s="68"/>
    </row>
    <row r="891" spans="16:31" x14ac:dyDescent="0.2">
      <c r="P891" s="68"/>
      <c r="Q891" s="74"/>
      <c r="R891" s="74"/>
      <c r="S891" s="74"/>
      <c r="T891" s="75"/>
      <c r="U891" s="76"/>
      <c r="V891" s="77"/>
      <c r="W891" s="77"/>
      <c r="X891" s="76"/>
      <c r="Y891" s="76"/>
      <c r="Z891" s="68"/>
      <c r="AA891" s="68"/>
      <c r="AB891" s="68"/>
      <c r="AC891" s="68"/>
      <c r="AD891" s="68"/>
      <c r="AE891" s="68"/>
    </row>
    <row r="892" spans="16:31" x14ac:dyDescent="0.2">
      <c r="P892" s="68"/>
      <c r="Q892" s="74"/>
      <c r="R892" s="74"/>
      <c r="S892" s="74"/>
      <c r="T892" s="75"/>
      <c r="U892" s="76"/>
      <c r="V892" s="77"/>
      <c r="W892" s="77"/>
      <c r="X892" s="76"/>
      <c r="Y892" s="76"/>
      <c r="Z892" s="68"/>
      <c r="AA892" s="68"/>
      <c r="AB892" s="68"/>
      <c r="AC892" s="68"/>
      <c r="AD892" s="68"/>
      <c r="AE892" s="68"/>
    </row>
    <row r="893" spans="16:31" x14ac:dyDescent="0.2">
      <c r="P893" s="68"/>
      <c r="Q893" s="74"/>
      <c r="R893" s="74"/>
      <c r="S893" s="74"/>
      <c r="T893" s="75"/>
      <c r="U893" s="76"/>
      <c r="V893" s="77"/>
      <c r="W893" s="77"/>
      <c r="X893" s="76"/>
      <c r="Y893" s="76"/>
      <c r="Z893" s="68"/>
      <c r="AA893" s="68"/>
      <c r="AB893" s="68"/>
      <c r="AC893" s="68"/>
      <c r="AD893" s="68"/>
      <c r="AE893" s="68"/>
    </row>
    <row r="894" spans="16:31" x14ac:dyDescent="0.2">
      <c r="P894" s="68"/>
      <c r="Q894" s="74"/>
      <c r="R894" s="74"/>
      <c r="S894" s="74"/>
      <c r="T894" s="75"/>
      <c r="U894" s="76"/>
      <c r="V894" s="77"/>
      <c r="W894" s="77"/>
      <c r="X894" s="76"/>
      <c r="Y894" s="76"/>
      <c r="Z894" s="68"/>
      <c r="AA894" s="68"/>
      <c r="AB894" s="68"/>
      <c r="AC894" s="68"/>
      <c r="AD894" s="68"/>
      <c r="AE894" s="68"/>
    </row>
    <row r="895" spans="16:31" x14ac:dyDescent="0.2">
      <c r="P895" s="68"/>
      <c r="Q895" s="74"/>
      <c r="R895" s="74"/>
      <c r="S895" s="74"/>
      <c r="T895" s="75"/>
      <c r="U895" s="76"/>
      <c r="V895" s="77"/>
      <c r="W895" s="77"/>
      <c r="X895" s="76"/>
      <c r="Y895" s="76"/>
      <c r="Z895" s="68"/>
      <c r="AA895" s="68"/>
      <c r="AB895" s="68"/>
      <c r="AC895" s="68"/>
      <c r="AD895" s="68"/>
      <c r="AE895" s="68"/>
    </row>
    <row r="896" spans="16:31" x14ac:dyDescent="0.2">
      <c r="P896" s="68"/>
      <c r="Q896" s="74"/>
      <c r="R896" s="74"/>
      <c r="S896" s="74"/>
      <c r="T896" s="75"/>
      <c r="U896" s="76"/>
      <c r="V896" s="77"/>
      <c r="W896" s="77"/>
      <c r="X896" s="76"/>
      <c r="Y896" s="76"/>
      <c r="Z896" s="68"/>
      <c r="AA896" s="68"/>
      <c r="AB896" s="68"/>
      <c r="AC896" s="68"/>
      <c r="AD896" s="68"/>
      <c r="AE896" s="68"/>
    </row>
    <row r="897" spans="16:31" x14ac:dyDescent="0.2">
      <c r="P897" s="68"/>
      <c r="Q897" s="74"/>
      <c r="R897" s="74"/>
      <c r="S897" s="74"/>
      <c r="T897" s="75"/>
      <c r="U897" s="76"/>
      <c r="V897" s="77"/>
      <c r="W897" s="77"/>
      <c r="X897" s="76"/>
      <c r="Y897" s="76"/>
      <c r="Z897" s="68"/>
      <c r="AA897" s="68"/>
      <c r="AB897" s="68"/>
      <c r="AC897" s="68"/>
      <c r="AD897" s="68"/>
      <c r="AE897" s="68"/>
    </row>
    <row r="898" spans="16:31" x14ac:dyDescent="0.2">
      <c r="P898" s="68"/>
      <c r="Q898" s="74"/>
      <c r="R898" s="74"/>
      <c r="S898" s="74"/>
      <c r="T898" s="75"/>
      <c r="U898" s="76"/>
      <c r="V898" s="77"/>
      <c r="W898" s="77"/>
      <c r="X898" s="76"/>
      <c r="Y898" s="76"/>
      <c r="Z898" s="68"/>
      <c r="AA898" s="68"/>
      <c r="AB898" s="68"/>
      <c r="AC898" s="68"/>
      <c r="AD898" s="68"/>
      <c r="AE898" s="68"/>
    </row>
    <row r="899" spans="16:31" x14ac:dyDescent="0.2">
      <c r="P899" s="68"/>
      <c r="Q899" s="74"/>
      <c r="R899" s="74"/>
      <c r="S899" s="74"/>
      <c r="T899" s="75"/>
      <c r="U899" s="76"/>
      <c r="V899" s="77"/>
      <c r="W899" s="77"/>
      <c r="X899" s="76"/>
      <c r="Y899" s="76"/>
      <c r="Z899" s="68"/>
      <c r="AA899" s="68"/>
      <c r="AB899" s="68"/>
      <c r="AC899" s="68"/>
      <c r="AD899" s="68"/>
      <c r="AE899" s="68"/>
    </row>
    <row r="900" spans="16:31" x14ac:dyDescent="0.2">
      <c r="P900" s="68"/>
      <c r="Q900" s="74"/>
      <c r="R900" s="74"/>
      <c r="S900" s="74"/>
      <c r="T900" s="75"/>
      <c r="U900" s="76"/>
      <c r="V900" s="77"/>
      <c r="W900" s="77"/>
      <c r="X900" s="76"/>
      <c r="Y900" s="76"/>
      <c r="Z900" s="68"/>
      <c r="AA900" s="68"/>
      <c r="AB900" s="68"/>
      <c r="AC900" s="68"/>
      <c r="AD900" s="68"/>
      <c r="AE900" s="68"/>
    </row>
    <row r="901" spans="16:31" x14ac:dyDescent="0.2">
      <c r="P901" s="68"/>
      <c r="Q901" s="74"/>
      <c r="R901" s="74"/>
      <c r="S901" s="74"/>
      <c r="T901" s="75"/>
      <c r="U901" s="76"/>
      <c r="V901" s="77"/>
      <c r="W901" s="77"/>
      <c r="X901" s="76"/>
      <c r="Y901" s="76"/>
      <c r="Z901" s="68"/>
      <c r="AA901" s="68"/>
      <c r="AB901" s="68"/>
      <c r="AC901" s="68"/>
      <c r="AD901" s="68"/>
      <c r="AE901" s="68"/>
    </row>
    <row r="902" spans="16:31" x14ac:dyDescent="0.2">
      <c r="P902" s="68"/>
      <c r="Q902" s="74"/>
      <c r="R902" s="74"/>
      <c r="S902" s="74"/>
      <c r="T902" s="75"/>
      <c r="U902" s="76"/>
      <c r="V902" s="77"/>
      <c r="W902" s="77"/>
      <c r="X902" s="76"/>
      <c r="Y902" s="76"/>
      <c r="Z902" s="68"/>
      <c r="AA902" s="68"/>
      <c r="AB902" s="68"/>
      <c r="AC902" s="68"/>
      <c r="AD902" s="68"/>
      <c r="AE902" s="68"/>
    </row>
    <row r="903" spans="16:31" x14ac:dyDescent="0.2">
      <c r="P903" s="68"/>
      <c r="Q903" s="74"/>
      <c r="R903" s="74"/>
      <c r="S903" s="74"/>
      <c r="T903" s="75"/>
      <c r="U903" s="76"/>
      <c r="V903" s="77"/>
      <c r="W903" s="77"/>
      <c r="X903" s="76"/>
      <c r="Y903" s="76"/>
      <c r="Z903" s="68"/>
      <c r="AA903" s="68"/>
      <c r="AB903" s="68"/>
      <c r="AC903" s="68"/>
      <c r="AD903" s="68"/>
      <c r="AE903" s="68"/>
    </row>
    <row r="904" spans="16:31" x14ac:dyDescent="0.2">
      <c r="P904" s="68"/>
      <c r="Q904" s="74"/>
      <c r="R904" s="74"/>
      <c r="S904" s="74"/>
      <c r="T904" s="75"/>
      <c r="U904" s="76"/>
      <c r="V904" s="77"/>
      <c r="W904" s="77"/>
      <c r="X904" s="76"/>
      <c r="Y904" s="76"/>
      <c r="Z904" s="68"/>
      <c r="AA904" s="68"/>
      <c r="AB904" s="68"/>
      <c r="AC904" s="68"/>
      <c r="AD904" s="68"/>
      <c r="AE904" s="68"/>
    </row>
    <row r="905" spans="16:31" x14ac:dyDescent="0.2">
      <c r="P905" s="68"/>
      <c r="Q905" s="74"/>
      <c r="R905" s="74"/>
      <c r="S905" s="74"/>
      <c r="T905" s="75"/>
      <c r="U905" s="76"/>
      <c r="V905" s="77"/>
      <c r="W905" s="77"/>
      <c r="X905" s="76"/>
      <c r="Y905" s="76"/>
      <c r="Z905" s="68"/>
      <c r="AA905" s="68"/>
      <c r="AB905" s="68"/>
      <c r="AC905" s="68"/>
      <c r="AD905" s="68"/>
      <c r="AE905" s="68"/>
    </row>
    <row r="906" spans="16:31" x14ac:dyDescent="0.2">
      <c r="P906" s="68"/>
      <c r="Q906" s="74"/>
      <c r="R906" s="74"/>
      <c r="S906" s="74"/>
      <c r="T906" s="75"/>
      <c r="U906" s="76"/>
      <c r="V906" s="77"/>
      <c r="W906" s="77"/>
      <c r="X906" s="76"/>
      <c r="Y906" s="76"/>
      <c r="Z906" s="68"/>
      <c r="AA906" s="68"/>
      <c r="AB906" s="68"/>
      <c r="AC906" s="68"/>
      <c r="AD906" s="68"/>
      <c r="AE906" s="68"/>
    </row>
    <row r="907" spans="16:31" x14ac:dyDescent="0.2">
      <c r="P907" s="68"/>
      <c r="Q907" s="74"/>
      <c r="R907" s="74"/>
      <c r="S907" s="74"/>
      <c r="T907" s="75"/>
      <c r="U907" s="76"/>
      <c r="V907" s="77"/>
      <c r="W907" s="77"/>
      <c r="X907" s="76"/>
      <c r="Y907" s="76"/>
      <c r="Z907" s="68"/>
      <c r="AA907" s="68"/>
      <c r="AB907" s="68"/>
      <c r="AC907" s="68"/>
      <c r="AD907" s="68"/>
      <c r="AE907" s="68"/>
    </row>
    <row r="908" spans="16:31" x14ac:dyDescent="0.2">
      <c r="P908" s="68"/>
      <c r="Q908" s="74"/>
      <c r="R908" s="74"/>
      <c r="S908" s="74"/>
      <c r="T908" s="75"/>
      <c r="U908" s="76"/>
      <c r="V908" s="77"/>
      <c r="W908" s="77"/>
      <c r="X908" s="76"/>
      <c r="Y908" s="76"/>
      <c r="Z908" s="68"/>
      <c r="AA908" s="68"/>
      <c r="AB908" s="68"/>
      <c r="AC908" s="68"/>
      <c r="AD908" s="68"/>
      <c r="AE908" s="68"/>
    </row>
    <row r="909" spans="16:31" x14ac:dyDescent="0.2">
      <c r="P909" s="68"/>
      <c r="Q909" s="74"/>
      <c r="R909" s="74"/>
      <c r="S909" s="74"/>
      <c r="T909" s="75"/>
      <c r="U909" s="76"/>
      <c r="V909" s="77"/>
      <c r="W909" s="77"/>
      <c r="X909" s="76"/>
      <c r="Y909" s="76"/>
      <c r="Z909" s="68"/>
      <c r="AA909" s="68"/>
      <c r="AB909" s="68"/>
      <c r="AC909" s="68"/>
      <c r="AD909" s="68"/>
      <c r="AE909" s="68"/>
    </row>
    <row r="910" spans="16:31" x14ac:dyDescent="0.2">
      <c r="P910" s="68"/>
      <c r="Q910" s="74"/>
      <c r="R910" s="74"/>
      <c r="S910" s="74"/>
      <c r="T910" s="75"/>
      <c r="U910" s="76"/>
      <c r="V910" s="77"/>
      <c r="W910" s="77"/>
      <c r="X910" s="76"/>
      <c r="Y910" s="76"/>
      <c r="Z910" s="68"/>
      <c r="AA910" s="68"/>
      <c r="AB910" s="68"/>
      <c r="AC910" s="68"/>
      <c r="AD910" s="68"/>
      <c r="AE910" s="68"/>
    </row>
    <row r="911" spans="16:31" x14ac:dyDescent="0.2">
      <c r="P911" s="68"/>
      <c r="Q911" s="74"/>
      <c r="R911" s="74"/>
      <c r="S911" s="74"/>
      <c r="T911" s="75"/>
      <c r="U911" s="76"/>
      <c r="V911" s="77"/>
      <c r="W911" s="77"/>
      <c r="X911" s="76"/>
      <c r="Y911" s="76"/>
      <c r="Z911" s="68"/>
      <c r="AA911" s="68"/>
      <c r="AB911" s="68"/>
      <c r="AC911" s="68"/>
      <c r="AD911" s="68"/>
      <c r="AE911" s="68"/>
    </row>
    <row r="912" spans="16:31" x14ac:dyDescent="0.2">
      <c r="P912" s="68"/>
      <c r="Q912" s="74"/>
      <c r="R912" s="74"/>
      <c r="S912" s="74"/>
      <c r="T912" s="75"/>
      <c r="U912" s="76"/>
      <c r="V912" s="77"/>
      <c r="W912" s="77"/>
      <c r="X912" s="76"/>
      <c r="Y912" s="76"/>
      <c r="Z912" s="68"/>
      <c r="AA912" s="68"/>
      <c r="AB912" s="68"/>
      <c r="AC912" s="68"/>
      <c r="AD912" s="68"/>
      <c r="AE912" s="68"/>
    </row>
    <row r="913" spans="16:31" x14ac:dyDescent="0.2">
      <c r="P913" s="68"/>
      <c r="Q913" s="74"/>
      <c r="R913" s="74"/>
      <c r="S913" s="74"/>
      <c r="T913" s="75"/>
      <c r="U913" s="76"/>
      <c r="V913" s="77"/>
      <c r="W913" s="77"/>
      <c r="X913" s="76"/>
      <c r="Y913" s="76"/>
      <c r="Z913" s="68"/>
      <c r="AA913" s="68"/>
      <c r="AB913" s="68"/>
      <c r="AC913" s="68"/>
      <c r="AD913" s="68"/>
      <c r="AE913" s="68"/>
    </row>
    <row r="914" spans="16:31" x14ac:dyDescent="0.2">
      <c r="P914" s="68"/>
      <c r="Q914" s="74"/>
      <c r="R914" s="74"/>
      <c r="S914" s="74"/>
      <c r="T914" s="75"/>
      <c r="U914" s="76"/>
      <c r="V914" s="77"/>
      <c r="W914" s="77"/>
      <c r="X914" s="76"/>
      <c r="Y914" s="76"/>
      <c r="Z914" s="68"/>
      <c r="AA914" s="68"/>
      <c r="AB914" s="68"/>
      <c r="AC914" s="68"/>
      <c r="AD914" s="68"/>
      <c r="AE914" s="68"/>
    </row>
    <row r="915" spans="16:31" x14ac:dyDescent="0.2">
      <c r="P915" s="68"/>
      <c r="Q915" s="74"/>
      <c r="R915" s="74"/>
      <c r="S915" s="74"/>
      <c r="T915" s="75"/>
      <c r="U915" s="76"/>
      <c r="V915" s="77"/>
      <c r="W915" s="77"/>
      <c r="X915" s="76"/>
      <c r="Y915" s="76"/>
      <c r="Z915" s="68"/>
      <c r="AA915" s="68"/>
      <c r="AB915" s="68"/>
      <c r="AC915" s="68"/>
      <c r="AD915" s="68"/>
      <c r="AE915" s="68"/>
    </row>
    <row r="916" spans="16:31" x14ac:dyDescent="0.2">
      <c r="P916" s="68"/>
      <c r="Q916" s="74"/>
      <c r="R916" s="74"/>
      <c r="S916" s="74"/>
      <c r="T916" s="75"/>
      <c r="U916" s="76"/>
      <c r="V916" s="77"/>
      <c r="W916" s="77"/>
      <c r="X916" s="76"/>
      <c r="Y916" s="76"/>
      <c r="Z916" s="68"/>
      <c r="AA916" s="68"/>
      <c r="AB916" s="68"/>
      <c r="AC916" s="68"/>
      <c r="AD916" s="68"/>
      <c r="AE916" s="68"/>
    </row>
    <row r="917" spans="16:31" x14ac:dyDescent="0.2">
      <c r="P917" s="68"/>
      <c r="Q917" s="74"/>
      <c r="R917" s="74"/>
      <c r="S917" s="74"/>
      <c r="T917" s="75"/>
      <c r="U917" s="76"/>
      <c r="V917" s="77"/>
      <c r="W917" s="77"/>
      <c r="X917" s="76"/>
      <c r="Y917" s="76"/>
      <c r="Z917" s="68"/>
      <c r="AA917" s="68"/>
      <c r="AB917" s="68"/>
      <c r="AC917" s="68"/>
      <c r="AD917" s="68"/>
      <c r="AE917" s="68"/>
    </row>
    <row r="918" spans="16:31" x14ac:dyDescent="0.2">
      <c r="P918" s="68"/>
      <c r="Q918" s="74"/>
      <c r="R918" s="74"/>
      <c r="S918" s="74"/>
      <c r="T918" s="75"/>
      <c r="U918" s="76"/>
      <c r="V918" s="77"/>
      <c r="W918" s="77"/>
      <c r="X918" s="76"/>
      <c r="Y918" s="76"/>
      <c r="Z918" s="68"/>
      <c r="AA918" s="68"/>
      <c r="AB918" s="68"/>
      <c r="AC918" s="68"/>
      <c r="AD918" s="68"/>
      <c r="AE918" s="68"/>
    </row>
    <row r="919" spans="16:31" x14ac:dyDescent="0.2">
      <c r="P919" s="68"/>
      <c r="Q919" s="74"/>
      <c r="R919" s="74"/>
      <c r="S919" s="74"/>
      <c r="T919" s="75"/>
      <c r="U919" s="76"/>
      <c r="V919" s="77"/>
      <c r="W919" s="77"/>
      <c r="X919" s="76"/>
      <c r="Y919" s="76"/>
      <c r="Z919" s="68"/>
      <c r="AA919" s="68"/>
      <c r="AB919" s="68"/>
      <c r="AC919" s="68"/>
      <c r="AD919" s="68"/>
      <c r="AE919" s="68"/>
    </row>
    <row r="920" spans="16:31" x14ac:dyDescent="0.2">
      <c r="P920" s="68"/>
      <c r="Q920" s="74"/>
      <c r="R920" s="74"/>
      <c r="S920" s="74"/>
      <c r="T920" s="75"/>
      <c r="U920" s="76"/>
      <c r="V920" s="77"/>
      <c r="W920" s="77"/>
      <c r="X920" s="76"/>
      <c r="Y920" s="76"/>
      <c r="Z920" s="68"/>
      <c r="AA920" s="68"/>
      <c r="AB920" s="68"/>
      <c r="AC920" s="68"/>
      <c r="AD920" s="68"/>
      <c r="AE920" s="68"/>
    </row>
    <row r="921" spans="16:31" x14ac:dyDescent="0.2">
      <c r="P921" s="68"/>
      <c r="Q921" s="74"/>
      <c r="R921" s="74"/>
      <c r="S921" s="74"/>
      <c r="T921" s="75"/>
      <c r="U921" s="76"/>
      <c r="V921" s="77"/>
      <c r="W921" s="77"/>
      <c r="X921" s="76"/>
      <c r="Y921" s="76"/>
      <c r="Z921" s="68"/>
      <c r="AA921" s="68"/>
      <c r="AB921" s="68"/>
      <c r="AC921" s="68"/>
      <c r="AD921" s="68"/>
      <c r="AE921" s="68"/>
    </row>
    <row r="922" spans="16:31" x14ac:dyDescent="0.2">
      <c r="P922" s="68"/>
      <c r="Q922" s="74"/>
      <c r="R922" s="74"/>
      <c r="S922" s="74"/>
      <c r="T922" s="75"/>
      <c r="U922" s="76"/>
      <c r="V922" s="77"/>
      <c r="W922" s="77"/>
      <c r="X922" s="76"/>
      <c r="Y922" s="76"/>
      <c r="Z922" s="68"/>
      <c r="AA922" s="68"/>
      <c r="AB922" s="68"/>
      <c r="AC922" s="68"/>
      <c r="AD922" s="68"/>
      <c r="AE922" s="68"/>
    </row>
    <row r="923" spans="16:31" x14ac:dyDescent="0.2">
      <c r="P923" s="68"/>
      <c r="Q923" s="74"/>
      <c r="R923" s="74"/>
      <c r="S923" s="74"/>
      <c r="T923" s="75"/>
      <c r="U923" s="76"/>
      <c r="V923" s="77"/>
      <c r="W923" s="77"/>
      <c r="X923" s="76"/>
      <c r="Y923" s="76"/>
      <c r="Z923" s="68"/>
      <c r="AA923" s="68"/>
      <c r="AB923" s="68"/>
      <c r="AC923" s="68"/>
      <c r="AD923" s="68"/>
      <c r="AE923" s="68"/>
    </row>
    <row r="924" spans="16:31" x14ac:dyDescent="0.2">
      <c r="P924" s="68"/>
      <c r="Q924" s="74"/>
      <c r="R924" s="74"/>
      <c r="S924" s="74"/>
      <c r="T924" s="75"/>
      <c r="U924" s="76"/>
      <c r="V924" s="77"/>
      <c r="W924" s="77"/>
      <c r="X924" s="76"/>
      <c r="Y924" s="76"/>
      <c r="Z924" s="68"/>
      <c r="AA924" s="68"/>
      <c r="AB924" s="68"/>
      <c r="AC924" s="68"/>
      <c r="AD924" s="68"/>
      <c r="AE924" s="68"/>
    </row>
    <row r="925" spans="16:31" x14ac:dyDescent="0.2">
      <c r="P925" s="68"/>
      <c r="Q925" s="74"/>
      <c r="R925" s="74"/>
      <c r="S925" s="74"/>
      <c r="T925" s="75"/>
      <c r="U925" s="76"/>
      <c r="V925" s="77"/>
      <c r="W925" s="77"/>
      <c r="X925" s="76"/>
      <c r="Y925" s="76"/>
      <c r="Z925" s="68"/>
      <c r="AA925" s="68"/>
      <c r="AB925" s="68"/>
      <c r="AC925" s="68"/>
      <c r="AD925" s="68"/>
      <c r="AE925" s="68"/>
    </row>
    <row r="926" spans="16:31" x14ac:dyDescent="0.2">
      <c r="P926" s="68"/>
      <c r="Q926" s="74"/>
      <c r="R926" s="74"/>
      <c r="S926" s="74"/>
      <c r="T926" s="75"/>
      <c r="U926" s="76"/>
      <c r="V926" s="77"/>
      <c r="W926" s="77"/>
      <c r="X926" s="76"/>
      <c r="Y926" s="76"/>
      <c r="Z926" s="68"/>
      <c r="AA926" s="68"/>
      <c r="AB926" s="68"/>
      <c r="AC926" s="68"/>
      <c r="AD926" s="68"/>
      <c r="AE926" s="68"/>
    </row>
    <row r="927" spans="16:31" x14ac:dyDescent="0.2">
      <c r="P927" s="68"/>
      <c r="Q927" s="74"/>
      <c r="R927" s="74"/>
      <c r="S927" s="74"/>
      <c r="T927" s="75"/>
      <c r="U927" s="76"/>
      <c r="V927" s="77"/>
      <c r="W927" s="77"/>
      <c r="X927" s="76"/>
      <c r="Y927" s="76"/>
      <c r="Z927" s="68"/>
      <c r="AA927" s="68"/>
      <c r="AB927" s="68"/>
      <c r="AC927" s="68"/>
      <c r="AD927" s="68"/>
      <c r="AE927" s="68"/>
    </row>
    <row r="928" spans="16:31" x14ac:dyDescent="0.2">
      <c r="P928" s="68"/>
      <c r="Q928" s="74"/>
      <c r="R928" s="74"/>
      <c r="S928" s="74"/>
      <c r="T928" s="75"/>
      <c r="U928" s="76"/>
      <c r="V928" s="77"/>
      <c r="W928" s="77"/>
      <c r="X928" s="76"/>
      <c r="Y928" s="76"/>
      <c r="Z928" s="68"/>
      <c r="AA928" s="68"/>
      <c r="AB928" s="68"/>
      <c r="AC928" s="68"/>
      <c r="AD928" s="68"/>
      <c r="AE928" s="68"/>
    </row>
    <row r="929" spans="16:31" x14ac:dyDescent="0.2">
      <c r="P929" s="68"/>
      <c r="Q929" s="74"/>
      <c r="R929" s="74"/>
      <c r="S929" s="74"/>
      <c r="T929" s="75"/>
      <c r="U929" s="76"/>
      <c r="V929" s="77"/>
      <c r="W929" s="77"/>
      <c r="X929" s="76"/>
      <c r="Y929" s="76"/>
      <c r="Z929" s="68"/>
      <c r="AA929" s="68"/>
      <c r="AB929" s="68"/>
      <c r="AC929" s="68"/>
      <c r="AD929" s="68"/>
      <c r="AE929" s="68"/>
    </row>
    <row r="930" spans="16:31" x14ac:dyDescent="0.2">
      <c r="P930" s="68"/>
      <c r="Q930" s="74"/>
      <c r="R930" s="74"/>
      <c r="S930" s="74"/>
      <c r="T930" s="75"/>
      <c r="U930" s="76"/>
      <c r="V930" s="77"/>
      <c r="W930" s="77"/>
      <c r="X930" s="76"/>
      <c r="Y930" s="76"/>
      <c r="Z930" s="68"/>
      <c r="AA930" s="68"/>
      <c r="AB930" s="68"/>
      <c r="AC930" s="68"/>
      <c r="AD930" s="68"/>
      <c r="AE930" s="68"/>
    </row>
    <row r="931" spans="16:31" x14ac:dyDescent="0.2">
      <c r="P931" s="68"/>
      <c r="Q931" s="74"/>
      <c r="R931" s="74"/>
      <c r="S931" s="74"/>
      <c r="T931" s="75"/>
      <c r="U931" s="76"/>
      <c r="V931" s="77"/>
      <c r="W931" s="77"/>
      <c r="X931" s="76"/>
      <c r="Y931" s="76"/>
      <c r="Z931" s="68"/>
      <c r="AA931" s="68"/>
      <c r="AB931" s="68"/>
      <c r="AC931" s="68"/>
      <c r="AD931" s="68"/>
      <c r="AE931" s="68"/>
    </row>
    <row r="932" spans="16:31" x14ac:dyDescent="0.2">
      <c r="P932" s="68"/>
      <c r="Q932" s="74"/>
      <c r="R932" s="74"/>
      <c r="S932" s="74"/>
      <c r="T932" s="75"/>
      <c r="U932" s="76"/>
      <c r="V932" s="77"/>
      <c r="W932" s="77"/>
      <c r="X932" s="76"/>
      <c r="Y932" s="76"/>
      <c r="Z932" s="68"/>
      <c r="AA932" s="68"/>
      <c r="AB932" s="68"/>
      <c r="AC932" s="68"/>
      <c r="AD932" s="68"/>
      <c r="AE932" s="68"/>
    </row>
    <row r="933" spans="16:31" x14ac:dyDescent="0.2">
      <c r="P933" s="68"/>
      <c r="Q933" s="74"/>
      <c r="R933" s="74"/>
      <c r="S933" s="74"/>
      <c r="T933" s="75"/>
      <c r="U933" s="76"/>
      <c r="V933" s="77"/>
      <c r="W933" s="77"/>
      <c r="X933" s="76"/>
      <c r="Y933" s="76"/>
      <c r="Z933" s="68"/>
      <c r="AA933" s="68"/>
      <c r="AB933" s="68"/>
      <c r="AC933" s="68"/>
      <c r="AD933" s="68"/>
      <c r="AE933" s="68"/>
    </row>
    <row r="934" spans="16:31" x14ac:dyDescent="0.2">
      <c r="P934" s="68"/>
      <c r="Q934" s="74"/>
      <c r="R934" s="74"/>
      <c r="S934" s="74"/>
      <c r="T934" s="75"/>
      <c r="U934" s="76"/>
      <c r="V934" s="77"/>
      <c r="W934" s="77"/>
      <c r="X934" s="76"/>
      <c r="Y934" s="76"/>
      <c r="Z934" s="68"/>
      <c r="AA934" s="68"/>
      <c r="AB934" s="68"/>
      <c r="AC934" s="68"/>
      <c r="AD934" s="68"/>
      <c r="AE934" s="68"/>
    </row>
    <row r="935" spans="16:31" x14ac:dyDescent="0.2">
      <c r="P935" s="68"/>
      <c r="Q935" s="74"/>
      <c r="R935" s="74"/>
      <c r="S935" s="74"/>
      <c r="T935" s="75"/>
      <c r="U935" s="76"/>
      <c r="V935" s="77"/>
      <c r="W935" s="77"/>
      <c r="X935" s="76"/>
      <c r="Y935" s="76"/>
      <c r="Z935" s="68"/>
      <c r="AA935" s="68"/>
      <c r="AB935" s="68"/>
      <c r="AC935" s="68"/>
      <c r="AD935" s="68"/>
      <c r="AE935" s="68"/>
    </row>
    <row r="936" spans="16:31" x14ac:dyDescent="0.2">
      <c r="P936" s="68"/>
      <c r="Q936" s="74"/>
      <c r="R936" s="74"/>
      <c r="S936" s="74"/>
      <c r="T936" s="75"/>
      <c r="U936" s="76"/>
      <c r="V936" s="77"/>
      <c r="W936" s="77"/>
      <c r="X936" s="76"/>
      <c r="Y936" s="76"/>
      <c r="Z936" s="68"/>
      <c r="AA936" s="68"/>
      <c r="AB936" s="68"/>
      <c r="AC936" s="68"/>
      <c r="AD936" s="68"/>
      <c r="AE936" s="68"/>
    </row>
    <row r="937" spans="16:31" x14ac:dyDescent="0.2">
      <c r="P937" s="68"/>
      <c r="Q937" s="74"/>
      <c r="R937" s="74"/>
      <c r="S937" s="74"/>
      <c r="T937" s="75"/>
      <c r="U937" s="76"/>
      <c r="V937" s="77"/>
      <c r="W937" s="77"/>
      <c r="X937" s="76"/>
      <c r="Y937" s="76"/>
      <c r="Z937" s="68"/>
      <c r="AA937" s="68"/>
      <c r="AB937" s="68"/>
      <c r="AC937" s="68"/>
      <c r="AD937" s="68"/>
      <c r="AE937" s="68"/>
    </row>
    <row r="938" spans="16:31" x14ac:dyDescent="0.2">
      <c r="P938" s="68"/>
      <c r="Q938" s="74"/>
      <c r="R938" s="74"/>
      <c r="S938" s="74"/>
      <c r="T938" s="75"/>
      <c r="U938" s="76"/>
      <c r="V938" s="77"/>
      <c r="W938" s="77"/>
      <c r="X938" s="76"/>
      <c r="Y938" s="76"/>
      <c r="Z938" s="68"/>
      <c r="AA938" s="68"/>
      <c r="AB938" s="68"/>
      <c r="AC938" s="68"/>
      <c r="AD938" s="68"/>
      <c r="AE938" s="68"/>
    </row>
    <row r="939" spans="16:31" x14ac:dyDescent="0.2">
      <c r="P939" s="68"/>
      <c r="Q939" s="74"/>
      <c r="R939" s="74"/>
      <c r="S939" s="74"/>
      <c r="T939" s="75"/>
      <c r="U939" s="76"/>
      <c r="V939" s="77"/>
      <c r="W939" s="77"/>
      <c r="X939" s="76"/>
      <c r="Y939" s="76"/>
      <c r="Z939" s="68"/>
      <c r="AA939" s="68"/>
      <c r="AB939" s="68"/>
      <c r="AC939" s="68"/>
      <c r="AD939" s="68"/>
      <c r="AE939" s="68"/>
    </row>
    <row r="940" spans="16:31" x14ac:dyDescent="0.2">
      <c r="P940" s="68"/>
      <c r="Q940" s="74"/>
      <c r="R940" s="74"/>
      <c r="S940" s="74"/>
      <c r="T940" s="75"/>
      <c r="U940" s="76"/>
      <c r="V940" s="77"/>
      <c r="W940" s="77"/>
      <c r="X940" s="76"/>
      <c r="Y940" s="76"/>
      <c r="Z940" s="68"/>
      <c r="AA940" s="68"/>
      <c r="AB940" s="68"/>
      <c r="AC940" s="68"/>
      <c r="AD940" s="68"/>
      <c r="AE940" s="68"/>
    </row>
    <row r="941" spans="16:31" x14ac:dyDescent="0.2">
      <c r="P941" s="68"/>
      <c r="Q941" s="74"/>
      <c r="R941" s="74"/>
      <c r="S941" s="74"/>
      <c r="T941" s="75"/>
      <c r="U941" s="76"/>
      <c r="V941" s="77"/>
      <c r="W941" s="77"/>
      <c r="X941" s="76"/>
      <c r="Y941" s="76"/>
      <c r="Z941" s="68"/>
      <c r="AA941" s="68"/>
      <c r="AB941" s="68"/>
      <c r="AC941" s="68"/>
      <c r="AD941" s="68"/>
      <c r="AE941" s="68"/>
    </row>
    <row r="942" spans="16:31" x14ac:dyDescent="0.2">
      <c r="P942" s="68"/>
      <c r="Q942" s="74"/>
      <c r="R942" s="74"/>
      <c r="S942" s="74"/>
      <c r="T942" s="75"/>
      <c r="U942" s="76"/>
      <c r="V942" s="77"/>
      <c r="W942" s="77"/>
      <c r="X942" s="76"/>
      <c r="Y942" s="76"/>
      <c r="Z942" s="68"/>
      <c r="AA942" s="68"/>
      <c r="AB942" s="68"/>
      <c r="AC942" s="68"/>
      <c r="AD942" s="68"/>
      <c r="AE942" s="68"/>
    </row>
    <row r="943" spans="16:31" x14ac:dyDescent="0.2">
      <c r="P943" s="68"/>
      <c r="Q943" s="74"/>
      <c r="R943" s="74"/>
      <c r="S943" s="74"/>
      <c r="T943" s="75"/>
      <c r="U943" s="76"/>
      <c r="V943" s="77"/>
      <c r="W943" s="77"/>
      <c r="X943" s="76"/>
      <c r="Y943" s="76"/>
      <c r="Z943" s="68"/>
      <c r="AA943" s="68"/>
      <c r="AB943" s="68"/>
      <c r="AC943" s="68"/>
      <c r="AD943" s="68"/>
      <c r="AE943" s="68"/>
    </row>
    <row r="944" spans="16:31" x14ac:dyDescent="0.2">
      <c r="P944" s="68"/>
      <c r="Q944" s="74"/>
      <c r="R944" s="74"/>
      <c r="S944" s="74"/>
      <c r="T944" s="75"/>
      <c r="U944" s="76"/>
      <c r="V944" s="77"/>
      <c r="W944" s="77"/>
      <c r="X944" s="76"/>
      <c r="Y944" s="76"/>
      <c r="Z944" s="68"/>
      <c r="AA944" s="68"/>
      <c r="AB944" s="68"/>
      <c r="AC944" s="68"/>
      <c r="AD944" s="68"/>
      <c r="AE944" s="68"/>
    </row>
    <row r="945" spans="16:31" x14ac:dyDescent="0.2">
      <c r="P945" s="68"/>
      <c r="Q945" s="74"/>
      <c r="R945" s="74"/>
      <c r="S945" s="74"/>
      <c r="T945" s="75"/>
      <c r="U945" s="76"/>
      <c r="V945" s="77"/>
      <c r="W945" s="77"/>
      <c r="X945" s="76"/>
      <c r="Y945" s="76"/>
      <c r="Z945" s="68"/>
      <c r="AA945" s="68"/>
      <c r="AB945" s="68"/>
      <c r="AC945" s="68"/>
      <c r="AD945" s="68"/>
      <c r="AE945" s="68"/>
    </row>
    <row r="946" spans="16:31" x14ac:dyDescent="0.2">
      <c r="P946" s="68"/>
      <c r="Q946" s="74"/>
      <c r="R946" s="74"/>
      <c r="S946" s="74"/>
      <c r="T946" s="75"/>
      <c r="U946" s="76"/>
      <c r="V946" s="77"/>
      <c r="W946" s="77"/>
      <c r="X946" s="76"/>
      <c r="Y946" s="76"/>
      <c r="Z946" s="68"/>
      <c r="AA946" s="68"/>
      <c r="AB946" s="68"/>
      <c r="AC946" s="68"/>
      <c r="AD946" s="68"/>
      <c r="AE946" s="68"/>
    </row>
    <row r="947" spans="16:31" x14ac:dyDescent="0.2">
      <c r="P947" s="68"/>
      <c r="Q947" s="74"/>
      <c r="R947" s="74"/>
      <c r="S947" s="74"/>
      <c r="T947" s="75"/>
      <c r="U947" s="76"/>
      <c r="V947" s="77"/>
      <c r="W947" s="77"/>
      <c r="X947" s="76"/>
      <c r="Y947" s="76"/>
      <c r="Z947" s="68"/>
      <c r="AA947" s="68"/>
      <c r="AB947" s="68"/>
      <c r="AC947" s="68"/>
      <c r="AD947" s="68"/>
      <c r="AE947" s="68"/>
    </row>
    <row r="948" spans="16:31" x14ac:dyDescent="0.2">
      <c r="P948" s="68"/>
      <c r="Q948" s="74"/>
      <c r="R948" s="74"/>
      <c r="S948" s="74"/>
      <c r="T948" s="75"/>
      <c r="U948" s="76"/>
      <c r="V948" s="77"/>
      <c r="W948" s="77"/>
      <c r="X948" s="76"/>
      <c r="Y948" s="76"/>
      <c r="Z948" s="68"/>
      <c r="AA948" s="68"/>
      <c r="AB948" s="68"/>
      <c r="AC948" s="68"/>
      <c r="AD948" s="68"/>
      <c r="AE948" s="68"/>
    </row>
    <row r="949" spans="16:31" x14ac:dyDescent="0.2">
      <c r="P949" s="68"/>
      <c r="Q949" s="74"/>
      <c r="R949" s="74"/>
      <c r="S949" s="74"/>
      <c r="T949" s="75"/>
      <c r="U949" s="76"/>
      <c r="V949" s="77"/>
      <c r="W949" s="77"/>
      <c r="X949" s="76"/>
      <c r="Y949" s="76"/>
      <c r="Z949" s="68"/>
      <c r="AA949" s="68"/>
      <c r="AB949" s="68"/>
      <c r="AC949" s="68"/>
      <c r="AD949" s="68"/>
      <c r="AE949" s="68"/>
    </row>
    <row r="950" spans="16:31" x14ac:dyDescent="0.2">
      <c r="P950" s="68"/>
      <c r="Q950" s="74"/>
      <c r="R950" s="74"/>
      <c r="S950" s="74"/>
      <c r="T950" s="75"/>
      <c r="U950" s="76"/>
      <c r="V950" s="77"/>
      <c r="W950" s="77"/>
      <c r="X950" s="76"/>
      <c r="Y950" s="76"/>
      <c r="Z950" s="68"/>
      <c r="AA950" s="68"/>
      <c r="AB950" s="68"/>
      <c r="AC950" s="68"/>
      <c r="AD950" s="68"/>
      <c r="AE950" s="68"/>
    </row>
    <row r="951" spans="16:31" x14ac:dyDescent="0.2">
      <c r="P951" s="68"/>
      <c r="Q951" s="74"/>
      <c r="R951" s="74"/>
      <c r="S951" s="74"/>
      <c r="T951" s="75"/>
      <c r="U951" s="76"/>
      <c r="V951" s="77"/>
      <c r="W951" s="77"/>
      <c r="X951" s="76"/>
      <c r="Y951" s="76"/>
      <c r="Z951" s="68"/>
      <c r="AA951" s="68"/>
      <c r="AB951" s="68"/>
      <c r="AC951" s="68"/>
      <c r="AD951" s="68"/>
      <c r="AE951" s="68"/>
    </row>
    <row r="952" spans="16:31" x14ac:dyDescent="0.2">
      <c r="P952" s="68"/>
      <c r="Q952" s="74"/>
      <c r="R952" s="74"/>
      <c r="S952" s="74"/>
      <c r="T952" s="75"/>
      <c r="U952" s="76"/>
      <c r="V952" s="77"/>
      <c r="W952" s="77"/>
      <c r="X952" s="76"/>
      <c r="Y952" s="76"/>
      <c r="Z952" s="68"/>
      <c r="AA952" s="68"/>
      <c r="AB952" s="68"/>
      <c r="AC952" s="68"/>
      <c r="AD952" s="68"/>
      <c r="AE952" s="68"/>
    </row>
    <row r="953" spans="16:31" x14ac:dyDescent="0.2">
      <c r="P953" s="68"/>
      <c r="Q953" s="74"/>
      <c r="R953" s="74"/>
      <c r="S953" s="74"/>
      <c r="T953" s="75"/>
      <c r="U953" s="76"/>
      <c r="V953" s="77"/>
      <c r="W953" s="77"/>
      <c r="X953" s="76"/>
      <c r="Y953" s="76"/>
      <c r="Z953" s="68"/>
      <c r="AA953" s="68"/>
      <c r="AB953" s="68"/>
      <c r="AC953" s="68"/>
      <c r="AD953" s="68"/>
      <c r="AE953" s="68"/>
    </row>
    <row r="954" spans="16:31" x14ac:dyDescent="0.2">
      <c r="P954" s="68"/>
      <c r="Q954" s="74"/>
      <c r="R954" s="74"/>
      <c r="S954" s="74"/>
      <c r="T954" s="75"/>
      <c r="U954" s="76"/>
      <c r="V954" s="77"/>
      <c r="W954" s="77"/>
      <c r="X954" s="76"/>
      <c r="Y954" s="76"/>
      <c r="Z954" s="68"/>
      <c r="AA954" s="68"/>
      <c r="AB954" s="68"/>
      <c r="AC954" s="68"/>
      <c r="AD954" s="68"/>
      <c r="AE954" s="68"/>
    </row>
    <row r="955" spans="16:31" x14ac:dyDescent="0.2">
      <c r="P955" s="68"/>
      <c r="Q955" s="74"/>
      <c r="R955" s="74"/>
      <c r="S955" s="74"/>
      <c r="T955" s="75"/>
      <c r="U955" s="76"/>
      <c r="V955" s="77"/>
      <c r="W955" s="77"/>
      <c r="X955" s="76"/>
      <c r="Y955" s="76"/>
      <c r="Z955" s="68"/>
      <c r="AA955" s="68"/>
      <c r="AB955" s="68"/>
      <c r="AC955" s="68"/>
      <c r="AD955" s="68"/>
      <c r="AE955" s="68"/>
    </row>
    <row r="956" spans="16:31" x14ac:dyDescent="0.2">
      <c r="P956" s="68"/>
      <c r="Q956" s="74"/>
      <c r="R956" s="74"/>
      <c r="S956" s="74"/>
      <c r="T956" s="75"/>
      <c r="U956" s="76"/>
      <c r="V956" s="77"/>
      <c r="W956" s="77"/>
      <c r="X956" s="76"/>
      <c r="Y956" s="76"/>
      <c r="Z956" s="68"/>
      <c r="AA956" s="68"/>
      <c r="AB956" s="68"/>
      <c r="AC956" s="68"/>
      <c r="AD956" s="68"/>
      <c r="AE956" s="68"/>
    </row>
    <row r="957" spans="16:31" x14ac:dyDescent="0.2">
      <c r="P957" s="68"/>
      <c r="Q957" s="74"/>
      <c r="R957" s="74"/>
      <c r="S957" s="74"/>
      <c r="T957" s="75"/>
      <c r="U957" s="76"/>
      <c r="V957" s="77"/>
      <c r="W957" s="77"/>
      <c r="X957" s="76"/>
      <c r="Y957" s="76"/>
      <c r="Z957" s="68"/>
      <c r="AA957" s="68"/>
      <c r="AB957" s="68"/>
      <c r="AC957" s="68"/>
      <c r="AD957" s="68"/>
      <c r="AE957" s="68"/>
    </row>
    <row r="958" spans="16:31" x14ac:dyDescent="0.2">
      <c r="P958" s="68"/>
      <c r="Q958" s="74"/>
      <c r="R958" s="74"/>
      <c r="S958" s="74"/>
      <c r="T958" s="75"/>
      <c r="U958" s="76"/>
      <c r="V958" s="77"/>
      <c r="W958" s="77"/>
      <c r="X958" s="76"/>
      <c r="Y958" s="76"/>
      <c r="Z958" s="68"/>
      <c r="AA958" s="68"/>
      <c r="AB958" s="68"/>
      <c r="AC958" s="68"/>
      <c r="AD958" s="68"/>
      <c r="AE958" s="68"/>
    </row>
    <row r="959" spans="16:31" x14ac:dyDescent="0.2">
      <c r="P959" s="68"/>
      <c r="Q959" s="74"/>
      <c r="R959" s="74"/>
      <c r="S959" s="74"/>
      <c r="T959" s="75"/>
      <c r="U959" s="76"/>
      <c r="V959" s="77"/>
      <c r="W959" s="77"/>
      <c r="X959" s="76"/>
      <c r="Y959" s="76"/>
      <c r="Z959" s="68"/>
      <c r="AA959" s="68"/>
      <c r="AB959" s="68"/>
      <c r="AC959" s="68"/>
      <c r="AD959" s="68"/>
      <c r="AE959" s="68"/>
    </row>
    <row r="960" spans="16:31" x14ac:dyDescent="0.2">
      <c r="P960" s="68"/>
      <c r="Q960" s="74"/>
      <c r="R960" s="74"/>
      <c r="S960" s="74"/>
      <c r="T960" s="75"/>
      <c r="U960" s="76"/>
      <c r="V960" s="77"/>
      <c r="W960" s="77"/>
      <c r="X960" s="76"/>
      <c r="Y960" s="76"/>
      <c r="Z960" s="68"/>
      <c r="AA960" s="68"/>
      <c r="AB960" s="68"/>
      <c r="AC960" s="68"/>
      <c r="AD960" s="68"/>
      <c r="AE960" s="68"/>
    </row>
    <row r="961" spans="16:31" x14ac:dyDescent="0.2">
      <c r="P961" s="68"/>
      <c r="Q961" s="74"/>
      <c r="R961" s="74"/>
      <c r="S961" s="74"/>
      <c r="T961" s="75"/>
      <c r="U961" s="76"/>
      <c r="V961" s="77"/>
      <c r="W961" s="77"/>
      <c r="X961" s="76"/>
      <c r="Y961" s="76"/>
      <c r="Z961" s="68"/>
      <c r="AA961" s="68"/>
      <c r="AB961" s="68"/>
      <c r="AC961" s="68"/>
      <c r="AD961" s="68"/>
      <c r="AE961" s="68"/>
    </row>
    <row r="962" spans="16:31" x14ac:dyDescent="0.2">
      <c r="P962" s="68"/>
      <c r="Q962" s="74"/>
      <c r="R962" s="74"/>
      <c r="S962" s="74"/>
      <c r="T962" s="75"/>
      <c r="U962" s="76"/>
      <c r="V962" s="77"/>
      <c r="W962" s="77"/>
      <c r="X962" s="76"/>
      <c r="Y962" s="76"/>
      <c r="Z962" s="68"/>
      <c r="AA962" s="68"/>
      <c r="AB962" s="68"/>
      <c r="AC962" s="68"/>
      <c r="AD962" s="68"/>
      <c r="AE962" s="68"/>
    </row>
    <row r="963" spans="16:31" x14ac:dyDescent="0.2">
      <c r="P963" s="68"/>
      <c r="Q963" s="74"/>
      <c r="R963" s="74"/>
      <c r="S963" s="74"/>
      <c r="T963" s="75"/>
      <c r="U963" s="76"/>
      <c r="V963" s="77"/>
      <c r="W963" s="77"/>
      <c r="X963" s="76"/>
      <c r="Y963" s="76"/>
      <c r="Z963" s="68"/>
      <c r="AA963" s="68"/>
      <c r="AB963" s="68"/>
      <c r="AC963" s="68"/>
      <c r="AD963" s="68"/>
      <c r="AE963" s="68"/>
    </row>
    <row r="964" spans="16:31" x14ac:dyDescent="0.2">
      <c r="P964" s="68"/>
      <c r="Q964" s="74"/>
      <c r="R964" s="74"/>
      <c r="S964" s="74"/>
      <c r="T964" s="75"/>
      <c r="U964" s="76"/>
      <c r="V964" s="77"/>
      <c r="W964" s="77"/>
      <c r="X964" s="76"/>
      <c r="Y964" s="76"/>
      <c r="Z964" s="68"/>
      <c r="AA964" s="68"/>
      <c r="AB964" s="68"/>
      <c r="AC964" s="68"/>
      <c r="AD964" s="68"/>
      <c r="AE964" s="68"/>
    </row>
    <row r="965" spans="16:31" x14ac:dyDescent="0.2">
      <c r="P965" s="68"/>
      <c r="Q965" s="74"/>
      <c r="R965" s="74"/>
      <c r="S965" s="74"/>
      <c r="T965" s="75"/>
      <c r="U965" s="76"/>
      <c r="V965" s="77"/>
      <c r="W965" s="77"/>
      <c r="X965" s="76"/>
      <c r="Y965" s="76"/>
      <c r="Z965" s="68"/>
      <c r="AA965" s="68"/>
      <c r="AB965" s="68"/>
      <c r="AC965" s="68"/>
      <c r="AD965" s="68"/>
      <c r="AE965" s="68"/>
    </row>
    <row r="966" spans="16:31" x14ac:dyDescent="0.2">
      <c r="P966" s="68"/>
      <c r="Q966" s="74"/>
      <c r="R966" s="74"/>
      <c r="S966" s="74"/>
      <c r="T966" s="75"/>
      <c r="U966" s="76"/>
      <c r="V966" s="77"/>
      <c r="W966" s="77"/>
      <c r="X966" s="76"/>
      <c r="Y966" s="76"/>
      <c r="Z966" s="68"/>
      <c r="AA966" s="68"/>
      <c r="AB966" s="68"/>
      <c r="AC966" s="68"/>
      <c r="AD966" s="68"/>
      <c r="AE966" s="68"/>
    </row>
    <row r="967" spans="16:31" x14ac:dyDescent="0.2">
      <c r="P967" s="68"/>
      <c r="Q967" s="74"/>
      <c r="R967" s="74"/>
      <c r="S967" s="74"/>
      <c r="T967" s="75"/>
      <c r="U967" s="76"/>
      <c r="V967" s="77"/>
      <c r="W967" s="77"/>
      <c r="X967" s="76"/>
      <c r="Y967" s="76"/>
      <c r="Z967" s="68"/>
      <c r="AA967" s="68"/>
      <c r="AB967" s="68"/>
      <c r="AC967" s="68"/>
      <c r="AD967" s="68"/>
      <c r="AE967" s="68"/>
    </row>
    <row r="968" spans="16:31" x14ac:dyDescent="0.2">
      <c r="P968" s="68"/>
      <c r="Q968" s="74"/>
      <c r="R968" s="74"/>
      <c r="S968" s="74"/>
      <c r="T968" s="75"/>
      <c r="U968" s="76"/>
      <c r="V968" s="77"/>
      <c r="W968" s="77"/>
      <c r="X968" s="76"/>
      <c r="Y968" s="76"/>
      <c r="Z968" s="68"/>
      <c r="AA968" s="68"/>
      <c r="AB968" s="68"/>
      <c r="AC968" s="68"/>
      <c r="AD968" s="68"/>
      <c r="AE968" s="68"/>
    </row>
    <row r="969" spans="16:31" x14ac:dyDescent="0.2">
      <c r="P969" s="68"/>
      <c r="Q969" s="74"/>
      <c r="R969" s="74"/>
      <c r="S969" s="74"/>
      <c r="T969" s="75"/>
      <c r="U969" s="76"/>
      <c r="V969" s="77"/>
      <c r="W969" s="77"/>
      <c r="X969" s="76"/>
      <c r="Y969" s="76"/>
      <c r="Z969" s="68"/>
      <c r="AA969" s="68"/>
      <c r="AB969" s="68"/>
      <c r="AC969" s="68"/>
      <c r="AD969" s="68"/>
      <c r="AE969" s="68"/>
    </row>
    <row r="970" spans="16:31" x14ac:dyDescent="0.2">
      <c r="P970" s="68"/>
      <c r="Q970" s="74"/>
      <c r="R970" s="74"/>
      <c r="S970" s="74"/>
      <c r="T970" s="75"/>
      <c r="U970" s="76"/>
      <c r="V970" s="77"/>
      <c r="W970" s="77"/>
      <c r="X970" s="76"/>
      <c r="Y970" s="76"/>
      <c r="Z970" s="68"/>
      <c r="AA970" s="68"/>
      <c r="AB970" s="68"/>
      <c r="AC970" s="68"/>
      <c r="AD970" s="68"/>
      <c r="AE970" s="68"/>
    </row>
    <row r="971" spans="16:31" x14ac:dyDescent="0.2">
      <c r="P971" s="68"/>
      <c r="Q971" s="74"/>
      <c r="R971" s="74"/>
      <c r="S971" s="74"/>
      <c r="T971" s="75"/>
      <c r="U971" s="76"/>
      <c r="V971" s="77"/>
      <c r="W971" s="77"/>
      <c r="X971" s="76"/>
      <c r="Y971" s="76"/>
      <c r="Z971" s="68"/>
      <c r="AA971" s="68"/>
      <c r="AB971" s="68"/>
      <c r="AC971" s="68"/>
      <c r="AD971" s="68"/>
      <c r="AE971" s="68"/>
    </row>
    <row r="972" spans="16:31" x14ac:dyDescent="0.2">
      <c r="P972" s="68"/>
      <c r="Q972" s="74"/>
      <c r="R972" s="74"/>
      <c r="S972" s="74"/>
      <c r="T972" s="75"/>
      <c r="U972" s="76"/>
      <c r="V972" s="77"/>
      <c r="W972" s="77"/>
      <c r="X972" s="76"/>
      <c r="Y972" s="76"/>
      <c r="Z972" s="68"/>
      <c r="AA972" s="68"/>
      <c r="AB972" s="68"/>
      <c r="AC972" s="68"/>
      <c r="AD972" s="68"/>
      <c r="AE972" s="68"/>
    </row>
    <row r="973" spans="16:31" x14ac:dyDescent="0.2">
      <c r="P973" s="68"/>
      <c r="Q973" s="74"/>
      <c r="R973" s="74"/>
      <c r="S973" s="74"/>
      <c r="T973" s="75"/>
      <c r="U973" s="76"/>
      <c r="V973" s="77"/>
      <c r="W973" s="77"/>
      <c r="X973" s="76"/>
      <c r="Y973" s="76"/>
      <c r="Z973" s="68"/>
      <c r="AA973" s="68"/>
      <c r="AB973" s="68"/>
      <c r="AC973" s="68"/>
      <c r="AD973" s="68"/>
      <c r="AE973" s="68"/>
    </row>
    <row r="974" spans="16:31" x14ac:dyDescent="0.2">
      <c r="P974" s="68"/>
      <c r="Q974" s="74"/>
      <c r="R974" s="74"/>
      <c r="S974" s="74"/>
      <c r="T974" s="75"/>
      <c r="U974" s="76"/>
      <c r="V974" s="77"/>
      <c r="W974" s="77"/>
      <c r="X974" s="76"/>
      <c r="Y974" s="76"/>
      <c r="Z974" s="68"/>
      <c r="AA974" s="68"/>
      <c r="AB974" s="68"/>
      <c r="AC974" s="68"/>
      <c r="AD974" s="68"/>
      <c r="AE974" s="68"/>
    </row>
    <row r="975" spans="16:31" x14ac:dyDescent="0.2">
      <c r="P975" s="68"/>
      <c r="Q975" s="74"/>
      <c r="R975" s="74"/>
      <c r="S975" s="74"/>
      <c r="T975" s="75"/>
      <c r="U975" s="76"/>
      <c r="V975" s="77"/>
      <c r="W975" s="77"/>
      <c r="X975" s="76"/>
      <c r="Y975" s="76"/>
      <c r="Z975" s="68"/>
      <c r="AA975" s="68"/>
      <c r="AB975" s="68"/>
      <c r="AC975" s="68"/>
      <c r="AD975" s="68"/>
      <c r="AE975" s="68"/>
    </row>
    <row r="976" spans="16:31" x14ac:dyDescent="0.2">
      <c r="P976" s="68"/>
      <c r="Q976" s="74"/>
      <c r="R976" s="74"/>
      <c r="S976" s="74"/>
      <c r="T976" s="75"/>
      <c r="U976" s="76"/>
      <c r="V976" s="77"/>
      <c r="W976" s="77"/>
      <c r="X976" s="76"/>
      <c r="Y976" s="76"/>
      <c r="Z976" s="68"/>
      <c r="AA976" s="68"/>
      <c r="AB976" s="68"/>
      <c r="AC976" s="68"/>
      <c r="AD976" s="68"/>
      <c r="AE976" s="68"/>
    </row>
    <row r="977" spans="16:31" x14ac:dyDescent="0.2">
      <c r="P977" s="68"/>
      <c r="Q977" s="74"/>
      <c r="R977" s="74"/>
      <c r="S977" s="74"/>
      <c r="T977" s="75"/>
      <c r="U977" s="76"/>
      <c r="V977" s="77"/>
      <c r="W977" s="77"/>
      <c r="X977" s="76"/>
      <c r="Y977" s="76"/>
      <c r="Z977" s="68"/>
      <c r="AA977" s="68"/>
      <c r="AB977" s="68"/>
      <c r="AC977" s="68"/>
      <c r="AD977" s="68"/>
      <c r="AE977" s="68"/>
    </row>
    <row r="978" spans="16:31" x14ac:dyDescent="0.2">
      <c r="P978" s="68"/>
      <c r="Q978" s="74"/>
      <c r="R978" s="74"/>
      <c r="S978" s="74"/>
      <c r="T978" s="75"/>
      <c r="U978" s="76"/>
      <c r="V978" s="77"/>
      <c r="W978" s="77"/>
      <c r="X978" s="76"/>
      <c r="Y978" s="76"/>
      <c r="Z978" s="68"/>
      <c r="AA978" s="68"/>
      <c r="AB978" s="68"/>
      <c r="AC978" s="68"/>
      <c r="AD978" s="68"/>
      <c r="AE978" s="68"/>
    </row>
    <row r="979" spans="16:31" x14ac:dyDescent="0.2">
      <c r="P979" s="68"/>
      <c r="Q979" s="74"/>
      <c r="R979" s="74"/>
      <c r="S979" s="74"/>
      <c r="T979" s="75"/>
      <c r="U979" s="76"/>
      <c r="V979" s="77"/>
      <c r="W979" s="77"/>
      <c r="X979" s="76"/>
      <c r="Y979" s="76"/>
      <c r="Z979" s="68"/>
      <c r="AA979" s="68"/>
      <c r="AB979" s="68"/>
      <c r="AC979" s="68"/>
      <c r="AD979" s="68"/>
      <c r="AE979" s="68"/>
    </row>
    <row r="980" spans="16:31" x14ac:dyDescent="0.2">
      <c r="P980" s="68"/>
      <c r="Q980" s="74"/>
      <c r="R980" s="74"/>
      <c r="S980" s="74"/>
      <c r="T980" s="75"/>
      <c r="U980" s="76"/>
      <c r="V980" s="77"/>
      <c r="W980" s="77"/>
      <c r="X980" s="76"/>
      <c r="Y980" s="76"/>
      <c r="Z980" s="68"/>
      <c r="AA980" s="68"/>
      <c r="AB980" s="68"/>
      <c r="AC980" s="68"/>
      <c r="AD980" s="68"/>
      <c r="AE980" s="68"/>
    </row>
    <row r="981" spans="16:31" x14ac:dyDescent="0.2">
      <c r="P981" s="68"/>
      <c r="Q981" s="74"/>
      <c r="R981" s="74"/>
      <c r="S981" s="74"/>
      <c r="T981" s="75"/>
      <c r="U981" s="76"/>
      <c r="V981" s="77"/>
      <c r="W981" s="77"/>
      <c r="X981" s="76"/>
      <c r="Y981" s="76"/>
      <c r="Z981" s="68"/>
      <c r="AA981" s="68"/>
      <c r="AB981" s="68"/>
      <c r="AC981" s="68"/>
      <c r="AD981" s="68"/>
      <c r="AE981" s="68"/>
    </row>
    <row r="982" spans="16:31" x14ac:dyDescent="0.2">
      <c r="P982" s="68"/>
      <c r="Q982" s="74"/>
      <c r="R982" s="74"/>
      <c r="S982" s="74"/>
      <c r="T982" s="75"/>
      <c r="U982" s="76"/>
      <c r="V982" s="77"/>
      <c r="W982" s="77"/>
      <c r="X982" s="76"/>
      <c r="Y982" s="76"/>
      <c r="Z982" s="68"/>
      <c r="AA982" s="68"/>
      <c r="AB982" s="68"/>
      <c r="AC982" s="68"/>
      <c r="AD982" s="68"/>
      <c r="AE982" s="68"/>
    </row>
    <row r="983" spans="16:31" x14ac:dyDescent="0.2">
      <c r="P983" s="68"/>
      <c r="Q983" s="74"/>
      <c r="R983" s="74"/>
      <c r="S983" s="74"/>
      <c r="T983" s="75"/>
      <c r="U983" s="76"/>
      <c r="V983" s="77"/>
      <c r="W983" s="77"/>
      <c r="X983" s="76"/>
      <c r="Y983" s="76"/>
      <c r="Z983" s="68"/>
      <c r="AA983" s="68"/>
      <c r="AB983" s="68"/>
      <c r="AC983" s="68"/>
      <c r="AD983" s="68"/>
      <c r="AE983" s="68"/>
    </row>
    <row r="984" spans="16:31" x14ac:dyDescent="0.2">
      <c r="P984" s="68"/>
      <c r="Q984" s="74"/>
      <c r="R984" s="74"/>
      <c r="S984" s="74"/>
      <c r="T984" s="75"/>
      <c r="U984" s="76"/>
      <c r="V984" s="77"/>
      <c r="W984" s="77"/>
      <c r="X984" s="76"/>
      <c r="Y984" s="76"/>
      <c r="Z984" s="68"/>
      <c r="AA984" s="68"/>
      <c r="AB984" s="68"/>
      <c r="AC984" s="68"/>
      <c r="AD984" s="68"/>
      <c r="AE984" s="68"/>
    </row>
    <row r="985" spans="16:31" x14ac:dyDescent="0.2">
      <c r="P985" s="68"/>
      <c r="Q985" s="74"/>
      <c r="R985" s="74"/>
      <c r="S985" s="74"/>
      <c r="T985" s="75"/>
      <c r="U985" s="76"/>
      <c r="V985" s="77"/>
      <c r="W985" s="77"/>
      <c r="X985" s="76"/>
      <c r="Y985" s="76"/>
      <c r="Z985" s="68"/>
      <c r="AA985" s="68"/>
      <c r="AB985" s="68"/>
      <c r="AC985" s="68"/>
      <c r="AD985" s="68"/>
      <c r="AE985" s="68"/>
    </row>
    <row r="986" spans="16:31" x14ac:dyDescent="0.2">
      <c r="P986" s="68"/>
      <c r="Q986" s="74"/>
      <c r="R986" s="74"/>
      <c r="S986" s="74"/>
      <c r="T986" s="75"/>
      <c r="U986" s="76"/>
      <c r="V986" s="77"/>
      <c r="W986" s="77"/>
      <c r="X986" s="76"/>
      <c r="Y986" s="76"/>
      <c r="Z986" s="68"/>
      <c r="AA986" s="68"/>
      <c r="AB986" s="68"/>
      <c r="AC986" s="68"/>
      <c r="AD986" s="68"/>
      <c r="AE986" s="68"/>
    </row>
    <row r="987" spans="16:31" x14ac:dyDescent="0.2">
      <c r="P987" s="68"/>
      <c r="Q987" s="74"/>
      <c r="R987" s="74"/>
      <c r="S987" s="74"/>
      <c r="T987" s="75"/>
      <c r="U987" s="76"/>
      <c r="V987" s="77"/>
      <c r="W987" s="77"/>
      <c r="X987" s="76"/>
      <c r="Y987" s="76"/>
      <c r="Z987" s="68"/>
      <c r="AA987" s="68"/>
      <c r="AB987" s="68"/>
      <c r="AC987" s="68"/>
      <c r="AD987" s="68"/>
      <c r="AE987" s="68"/>
    </row>
    <row r="988" spans="16:31" x14ac:dyDescent="0.2">
      <c r="P988" s="68"/>
      <c r="Q988" s="74"/>
      <c r="R988" s="74"/>
      <c r="S988" s="74"/>
      <c r="T988" s="75"/>
      <c r="U988" s="76"/>
      <c r="V988" s="77"/>
      <c r="W988" s="77"/>
      <c r="X988" s="76"/>
      <c r="Y988" s="76"/>
      <c r="Z988" s="68"/>
      <c r="AA988" s="68"/>
      <c r="AB988" s="68"/>
      <c r="AC988" s="68"/>
      <c r="AD988" s="68"/>
      <c r="AE988" s="68"/>
    </row>
    <row r="989" spans="16:31" x14ac:dyDescent="0.2">
      <c r="P989" s="68"/>
      <c r="Q989" s="74"/>
      <c r="R989" s="74"/>
      <c r="S989" s="74"/>
      <c r="T989" s="75"/>
      <c r="U989" s="76"/>
      <c r="V989" s="77"/>
      <c r="W989" s="77"/>
      <c r="X989" s="76"/>
      <c r="Y989" s="76"/>
      <c r="Z989" s="68"/>
      <c r="AA989" s="68"/>
      <c r="AB989" s="68"/>
      <c r="AC989" s="68"/>
      <c r="AD989" s="68"/>
      <c r="AE989" s="68"/>
    </row>
    <row r="990" spans="16:31" x14ac:dyDescent="0.2">
      <c r="P990" s="68"/>
      <c r="Q990" s="74"/>
      <c r="R990" s="74"/>
      <c r="S990" s="74"/>
      <c r="T990" s="75"/>
      <c r="U990" s="76"/>
      <c r="V990" s="77"/>
      <c r="W990" s="77"/>
      <c r="X990" s="76"/>
      <c r="Y990" s="76"/>
      <c r="Z990" s="68"/>
      <c r="AA990" s="68"/>
      <c r="AB990" s="68"/>
      <c r="AC990" s="68"/>
      <c r="AD990" s="68"/>
      <c r="AE990" s="68"/>
    </row>
    <row r="991" spans="16:31" x14ac:dyDescent="0.2">
      <c r="P991" s="68"/>
      <c r="Q991" s="74"/>
      <c r="R991" s="74"/>
      <c r="S991" s="74"/>
      <c r="T991" s="75"/>
      <c r="U991" s="76"/>
      <c r="V991" s="77"/>
      <c r="W991" s="77"/>
      <c r="X991" s="76"/>
      <c r="Y991" s="76"/>
      <c r="Z991" s="68"/>
      <c r="AA991" s="68"/>
      <c r="AB991" s="68"/>
      <c r="AC991" s="68"/>
      <c r="AD991" s="68"/>
      <c r="AE991" s="68"/>
    </row>
    <row r="992" spans="16:31" x14ac:dyDescent="0.2">
      <c r="P992" s="68"/>
      <c r="Q992" s="74"/>
      <c r="R992" s="74"/>
      <c r="S992" s="74"/>
      <c r="T992" s="75"/>
      <c r="U992" s="76"/>
      <c r="V992" s="77"/>
      <c r="W992" s="77"/>
      <c r="X992" s="76"/>
      <c r="Y992" s="76"/>
      <c r="Z992" s="68"/>
      <c r="AA992" s="68"/>
      <c r="AB992" s="68"/>
      <c r="AC992" s="68"/>
      <c r="AD992" s="68"/>
      <c r="AE992" s="68"/>
    </row>
    <row r="993" spans="16:31" x14ac:dyDescent="0.2">
      <c r="P993" s="68"/>
      <c r="Q993" s="74"/>
      <c r="R993" s="74"/>
      <c r="S993" s="74"/>
      <c r="T993" s="75"/>
      <c r="U993" s="76"/>
      <c r="V993" s="77"/>
      <c r="W993" s="77"/>
      <c r="X993" s="76"/>
      <c r="Y993" s="76"/>
      <c r="Z993" s="68"/>
      <c r="AA993" s="68"/>
      <c r="AB993" s="68"/>
      <c r="AC993" s="68"/>
      <c r="AD993" s="68"/>
      <c r="AE993" s="68"/>
    </row>
    <row r="994" spans="16:31" x14ac:dyDescent="0.2">
      <c r="P994" s="68"/>
      <c r="Q994" s="74"/>
      <c r="R994" s="74"/>
      <c r="S994" s="74"/>
      <c r="T994" s="75"/>
      <c r="U994" s="76"/>
      <c r="V994" s="77"/>
      <c r="W994" s="77"/>
      <c r="X994" s="76"/>
      <c r="Y994" s="76"/>
      <c r="Z994" s="68"/>
      <c r="AA994" s="68"/>
      <c r="AB994" s="68"/>
      <c r="AC994" s="68"/>
      <c r="AD994" s="68"/>
      <c r="AE994" s="68"/>
    </row>
    <row r="995" spans="16:31" x14ac:dyDescent="0.2">
      <c r="P995" s="68"/>
      <c r="Q995" s="74"/>
      <c r="R995" s="74"/>
      <c r="S995" s="74"/>
      <c r="T995" s="75"/>
      <c r="U995" s="76"/>
      <c r="V995" s="77"/>
      <c r="W995" s="77"/>
      <c r="X995" s="76"/>
      <c r="Y995" s="76"/>
      <c r="Z995" s="68"/>
      <c r="AA995" s="68"/>
      <c r="AB995" s="68"/>
      <c r="AC995" s="68"/>
      <c r="AD995" s="68"/>
      <c r="AE995" s="68"/>
    </row>
    <row r="996" spans="16:31" x14ac:dyDescent="0.2">
      <c r="P996" s="68"/>
      <c r="Q996" s="74"/>
      <c r="R996" s="74"/>
      <c r="S996" s="74"/>
      <c r="T996" s="75"/>
      <c r="U996" s="76"/>
      <c r="V996" s="77"/>
      <c r="W996" s="77"/>
      <c r="X996" s="76"/>
      <c r="Y996" s="76"/>
      <c r="Z996" s="68"/>
      <c r="AA996" s="68"/>
      <c r="AB996" s="68"/>
      <c r="AC996" s="68"/>
      <c r="AD996" s="68"/>
      <c r="AE996" s="68"/>
    </row>
    <row r="997" spans="16:31" x14ac:dyDescent="0.2">
      <c r="P997" s="68"/>
      <c r="Q997" s="74"/>
      <c r="R997" s="74"/>
      <c r="S997" s="74"/>
      <c r="T997" s="75"/>
      <c r="U997" s="76"/>
      <c r="V997" s="77"/>
      <c r="W997" s="77"/>
      <c r="X997" s="76"/>
      <c r="Y997" s="76"/>
      <c r="Z997" s="68"/>
      <c r="AA997" s="68"/>
      <c r="AB997" s="68"/>
      <c r="AC997" s="68"/>
      <c r="AD997" s="68"/>
      <c r="AE997" s="68"/>
    </row>
    <row r="998" spans="16:31" x14ac:dyDescent="0.2">
      <c r="P998" s="68"/>
      <c r="Q998" s="74"/>
      <c r="R998" s="74"/>
      <c r="S998" s="74"/>
      <c r="T998" s="75"/>
      <c r="U998" s="76"/>
      <c r="V998" s="77"/>
      <c r="W998" s="77"/>
      <c r="X998" s="76"/>
      <c r="Y998" s="76"/>
      <c r="Z998" s="68"/>
      <c r="AA998" s="68"/>
      <c r="AB998" s="68"/>
      <c r="AC998" s="68"/>
      <c r="AD998" s="68"/>
      <c r="AE998" s="68"/>
    </row>
    <row r="999" spans="16:31" x14ac:dyDescent="0.2">
      <c r="P999" s="68"/>
      <c r="Q999" s="74"/>
      <c r="R999" s="74"/>
      <c r="S999" s="74"/>
      <c r="T999" s="75"/>
      <c r="U999" s="76"/>
      <c r="V999" s="77"/>
      <c r="W999" s="77"/>
      <c r="X999" s="76"/>
      <c r="Y999" s="76"/>
      <c r="Z999" s="68"/>
      <c r="AA999" s="68"/>
      <c r="AB999" s="68"/>
      <c r="AC999" s="68"/>
      <c r="AD999" s="68"/>
      <c r="AE999" s="68"/>
    </row>
    <row r="1000" spans="16:31" x14ac:dyDescent="0.2">
      <c r="P1000" s="68"/>
      <c r="Q1000" s="74"/>
      <c r="R1000" s="74"/>
      <c r="S1000" s="74"/>
      <c r="T1000" s="75"/>
      <c r="U1000" s="76"/>
      <c r="V1000" s="77"/>
      <c r="W1000" s="77"/>
      <c r="X1000" s="76"/>
      <c r="Y1000" s="76"/>
      <c r="Z1000" s="68"/>
      <c r="AA1000" s="68"/>
      <c r="AB1000" s="68"/>
      <c r="AC1000" s="68"/>
      <c r="AD1000" s="68"/>
      <c r="AE1000" s="68"/>
    </row>
    <row r="1001" spans="16:31" x14ac:dyDescent="0.2">
      <c r="P1001" s="68"/>
      <c r="Q1001" s="74"/>
      <c r="R1001" s="74"/>
      <c r="S1001" s="74"/>
      <c r="T1001" s="75"/>
      <c r="U1001" s="76"/>
      <c r="V1001" s="77"/>
      <c r="W1001" s="77"/>
      <c r="X1001" s="76"/>
      <c r="Y1001" s="76"/>
      <c r="Z1001" s="68"/>
      <c r="AA1001" s="68"/>
      <c r="AB1001" s="68"/>
      <c r="AC1001" s="68"/>
      <c r="AD1001" s="68"/>
      <c r="AE1001" s="68"/>
    </row>
    <row r="1002" spans="16:31" x14ac:dyDescent="0.2">
      <c r="P1002" s="68"/>
      <c r="Q1002" s="74"/>
      <c r="R1002" s="74"/>
      <c r="S1002" s="74"/>
      <c r="T1002" s="75"/>
      <c r="U1002" s="76"/>
      <c r="V1002" s="77"/>
      <c r="W1002" s="77"/>
      <c r="X1002" s="76"/>
      <c r="Y1002" s="76"/>
      <c r="Z1002" s="68"/>
      <c r="AA1002" s="68"/>
      <c r="AB1002" s="68"/>
      <c r="AC1002" s="68"/>
      <c r="AD1002" s="68"/>
      <c r="AE1002" s="68"/>
    </row>
    <row r="1003" spans="16:31" x14ac:dyDescent="0.2">
      <c r="P1003" s="68"/>
      <c r="Q1003" s="74"/>
      <c r="R1003" s="74"/>
      <c r="S1003" s="74"/>
      <c r="T1003" s="75"/>
      <c r="U1003" s="76"/>
      <c r="V1003" s="77"/>
      <c r="W1003" s="77"/>
      <c r="X1003" s="76"/>
      <c r="Y1003" s="76"/>
      <c r="Z1003" s="68"/>
      <c r="AA1003" s="68"/>
      <c r="AB1003" s="68"/>
      <c r="AC1003" s="68"/>
      <c r="AD1003" s="68"/>
      <c r="AE1003" s="68"/>
    </row>
    <row r="1004" spans="16:31" x14ac:dyDescent="0.2">
      <c r="P1004" s="68"/>
      <c r="Q1004" s="74"/>
      <c r="R1004" s="74"/>
      <c r="S1004" s="74"/>
      <c r="T1004" s="75"/>
      <c r="U1004" s="76"/>
      <c r="V1004" s="77"/>
      <c r="W1004" s="77"/>
      <c r="X1004" s="76"/>
      <c r="Y1004" s="76"/>
      <c r="Z1004" s="68"/>
      <c r="AA1004" s="68"/>
      <c r="AB1004" s="68"/>
      <c r="AC1004" s="68"/>
      <c r="AD1004" s="68"/>
      <c r="AE1004" s="68"/>
    </row>
    <row r="1005" spans="16:31" x14ac:dyDescent="0.2">
      <c r="P1005" s="68"/>
      <c r="Q1005" s="74"/>
      <c r="R1005" s="74"/>
      <c r="S1005" s="74"/>
      <c r="T1005" s="75"/>
      <c r="U1005" s="76"/>
      <c r="V1005" s="77"/>
      <c r="W1005" s="77"/>
      <c r="X1005" s="76"/>
      <c r="Y1005" s="76"/>
      <c r="Z1005" s="68"/>
      <c r="AA1005" s="68"/>
      <c r="AB1005" s="68"/>
      <c r="AC1005" s="68"/>
      <c r="AD1005" s="68"/>
      <c r="AE1005" s="68"/>
    </row>
    <row r="1006" spans="16:31" x14ac:dyDescent="0.2">
      <c r="P1006" s="68"/>
      <c r="Q1006" s="74"/>
      <c r="R1006" s="74"/>
      <c r="S1006" s="74"/>
      <c r="T1006" s="75"/>
      <c r="U1006" s="76"/>
      <c r="V1006" s="77"/>
      <c r="W1006" s="77"/>
      <c r="X1006" s="76"/>
      <c r="Y1006" s="76"/>
      <c r="Z1006" s="68"/>
      <c r="AA1006" s="68"/>
      <c r="AB1006" s="68"/>
      <c r="AC1006" s="68"/>
      <c r="AD1006" s="68"/>
      <c r="AE1006" s="68"/>
    </row>
    <row r="1007" spans="16:31" x14ac:dyDescent="0.2">
      <c r="P1007" s="68"/>
      <c r="Q1007" s="74"/>
      <c r="R1007" s="74"/>
      <c r="S1007" s="74"/>
      <c r="T1007" s="75"/>
      <c r="U1007" s="76"/>
      <c r="V1007" s="77"/>
      <c r="W1007" s="77"/>
      <c r="X1007" s="76"/>
      <c r="Y1007" s="76"/>
      <c r="Z1007" s="68"/>
      <c r="AA1007" s="68"/>
      <c r="AB1007" s="68"/>
      <c r="AC1007" s="68"/>
      <c r="AD1007" s="68"/>
      <c r="AE1007" s="68"/>
    </row>
    <row r="1008" spans="16:31" x14ac:dyDescent="0.2">
      <c r="P1008" s="68"/>
      <c r="Q1008" s="74"/>
      <c r="R1008" s="74"/>
      <c r="S1008" s="74"/>
      <c r="T1008" s="75"/>
      <c r="U1008" s="76"/>
      <c r="V1008" s="77"/>
      <c r="W1008" s="77"/>
      <c r="X1008" s="76"/>
      <c r="Y1008" s="76"/>
      <c r="Z1008" s="68"/>
      <c r="AA1008" s="68"/>
      <c r="AB1008" s="68"/>
      <c r="AC1008" s="68"/>
      <c r="AD1008" s="68"/>
      <c r="AE1008" s="68"/>
    </row>
    <row r="1009" spans="16:31" x14ac:dyDescent="0.2">
      <c r="P1009" s="68"/>
      <c r="Q1009" s="74"/>
      <c r="R1009" s="74"/>
      <c r="S1009" s="74"/>
      <c r="T1009" s="75"/>
      <c r="U1009" s="76"/>
      <c r="V1009" s="77"/>
      <c r="W1009" s="77"/>
      <c r="X1009" s="76"/>
      <c r="Y1009" s="76"/>
      <c r="Z1009" s="68"/>
      <c r="AA1009" s="68"/>
      <c r="AB1009" s="68"/>
      <c r="AC1009" s="68"/>
      <c r="AD1009" s="68"/>
      <c r="AE1009" s="68"/>
    </row>
    <row r="1010" spans="16:31" x14ac:dyDescent="0.2">
      <c r="P1010" s="68"/>
      <c r="Q1010" s="74"/>
      <c r="R1010" s="74"/>
      <c r="S1010" s="74"/>
      <c r="T1010" s="75"/>
      <c r="U1010" s="76"/>
      <c r="V1010" s="77"/>
      <c r="W1010" s="77"/>
      <c r="X1010" s="76"/>
      <c r="Y1010" s="76"/>
      <c r="Z1010" s="68"/>
      <c r="AA1010" s="68"/>
      <c r="AB1010" s="68"/>
      <c r="AC1010" s="68"/>
      <c r="AD1010" s="68"/>
      <c r="AE1010" s="68"/>
    </row>
    <row r="1011" spans="16:31" x14ac:dyDescent="0.2">
      <c r="P1011" s="68"/>
      <c r="Q1011" s="74"/>
      <c r="R1011" s="74"/>
      <c r="S1011" s="74"/>
      <c r="T1011" s="75"/>
      <c r="U1011" s="76"/>
      <c r="V1011" s="77"/>
      <c r="W1011" s="77"/>
      <c r="X1011" s="76"/>
      <c r="Y1011" s="76"/>
      <c r="Z1011" s="68"/>
      <c r="AA1011" s="68"/>
      <c r="AB1011" s="68"/>
      <c r="AC1011" s="68"/>
      <c r="AD1011" s="68"/>
      <c r="AE1011" s="68"/>
    </row>
    <row r="1012" spans="16:31" x14ac:dyDescent="0.2">
      <c r="P1012" s="68"/>
      <c r="Q1012" s="74"/>
      <c r="R1012" s="74"/>
      <c r="S1012" s="74"/>
      <c r="T1012" s="75"/>
      <c r="U1012" s="76"/>
      <c r="V1012" s="77"/>
      <c r="W1012" s="77"/>
      <c r="X1012" s="76"/>
      <c r="Y1012" s="76"/>
      <c r="Z1012" s="68"/>
      <c r="AA1012" s="68"/>
      <c r="AB1012" s="68"/>
      <c r="AC1012" s="68"/>
      <c r="AD1012" s="68"/>
      <c r="AE1012" s="68"/>
    </row>
    <row r="1013" spans="16:31" x14ac:dyDescent="0.2">
      <c r="P1013" s="68"/>
      <c r="Q1013" s="74"/>
      <c r="R1013" s="74"/>
      <c r="S1013" s="74"/>
      <c r="T1013" s="75"/>
      <c r="U1013" s="76"/>
      <c r="V1013" s="77"/>
      <c r="W1013" s="77"/>
      <c r="X1013" s="76"/>
      <c r="Y1013" s="76"/>
      <c r="Z1013" s="68"/>
      <c r="AA1013" s="68"/>
      <c r="AB1013" s="68"/>
      <c r="AC1013" s="68"/>
      <c r="AD1013" s="68"/>
      <c r="AE1013" s="68"/>
    </row>
    <row r="1014" spans="16:31" x14ac:dyDescent="0.2">
      <c r="P1014" s="68"/>
      <c r="Q1014" s="74"/>
      <c r="R1014" s="74"/>
      <c r="S1014" s="74"/>
      <c r="T1014" s="75"/>
      <c r="U1014" s="76"/>
      <c r="V1014" s="77"/>
      <c r="W1014" s="77"/>
      <c r="X1014" s="76"/>
      <c r="Y1014" s="76"/>
      <c r="Z1014" s="68"/>
      <c r="AA1014" s="68"/>
      <c r="AB1014" s="68"/>
      <c r="AC1014" s="68"/>
      <c r="AD1014" s="68"/>
      <c r="AE1014" s="68"/>
    </row>
    <row r="1015" spans="16:31" x14ac:dyDescent="0.2">
      <c r="P1015" s="68"/>
      <c r="Q1015" s="74"/>
      <c r="R1015" s="74"/>
      <c r="S1015" s="74"/>
      <c r="T1015" s="75"/>
      <c r="U1015" s="76"/>
      <c r="V1015" s="77"/>
      <c r="W1015" s="77"/>
      <c r="X1015" s="76"/>
      <c r="Y1015" s="76"/>
      <c r="Z1015" s="68"/>
      <c r="AA1015" s="68"/>
      <c r="AB1015" s="68"/>
      <c r="AC1015" s="68"/>
      <c r="AD1015" s="68"/>
      <c r="AE1015" s="68"/>
    </row>
    <row r="1016" spans="16:31" x14ac:dyDescent="0.2">
      <c r="P1016" s="68"/>
      <c r="Q1016" s="74"/>
      <c r="R1016" s="74"/>
      <c r="S1016" s="74"/>
      <c r="T1016" s="75"/>
      <c r="U1016" s="76"/>
      <c r="V1016" s="77"/>
      <c r="W1016" s="77"/>
      <c r="X1016" s="76"/>
      <c r="Y1016" s="76"/>
      <c r="Z1016" s="68"/>
      <c r="AA1016" s="68"/>
      <c r="AB1016" s="68"/>
      <c r="AC1016" s="68"/>
      <c r="AD1016" s="68"/>
      <c r="AE1016" s="68"/>
    </row>
    <row r="1017" spans="16:31" x14ac:dyDescent="0.2">
      <c r="P1017" s="68"/>
      <c r="Q1017" s="74"/>
      <c r="R1017" s="74"/>
      <c r="S1017" s="74"/>
      <c r="T1017" s="75"/>
      <c r="U1017" s="76"/>
      <c r="V1017" s="77"/>
      <c r="W1017" s="77"/>
      <c r="X1017" s="76"/>
      <c r="Y1017" s="76"/>
      <c r="Z1017" s="68"/>
      <c r="AA1017" s="68"/>
      <c r="AB1017" s="68"/>
      <c r="AC1017" s="68"/>
      <c r="AD1017" s="68"/>
      <c r="AE1017" s="68"/>
    </row>
    <row r="1018" spans="16:31" x14ac:dyDescent="0.2">
      <c r="P1018" s="68"/>
      <c r="Q1018" s="74"/>
      <c r="R1018" s="74"/>
      <c r="S1018" s="74"/>
      <c r="T1018" s="75"/>
      <c r="U1018" s="76"/>
      <c r="V1018" s="77"/>
      <c r="W1018" s="77"/>
      <c r="X1018" s="76"/>
      <c r="Y1018" s="76"/>
      <c r="Z1018" s="68"/>
      <c r="AA1018" s="68"/>
      <c r="AB1018" s="68"/>
      <c r="AC1018" s="68"/>
      <c r="AD1018" s="68"/>
      <c r="AE1018" s="68"/>
    </row>
    <row r="1019" spans="16:31" x14ac:dyDescent="0.2">
      <c r="P1019" s="68"/>
      <c r="Q1019" s="74"/>
      <c r="R1019" s="74"/>
      <c r="S1019" s="74"/>
      <c r="T1019" s="75"/>
      <c r="U1019" s="76"/>
      <c r="V1019" s="77"/>
      <c r="W1019" s="77"/>
      <c r="X1019" s="76"/>
      <c r="Y1019" s="76"/>
      <c r="Z1019" s="68"/>
      <c r="AA1019" s="68"/>
      <c r="AB1019" s="68"/>
      <c r="AC1019" s="68"/>
      <c r="AD1019" s="68"/>
      <c r="AE1019" s="68"/>
    </row>
    <row r="1020" spans="16:31" x14ac:dyDescent="0.2">
      <c r="P1020" s="68"/>
      <c r="Q1020" s="74"/>
      <c r="R1020" s="74"/>
      <c r="S1020" s="74"/>
      <c r="T1020" s="75"/>
      <c r="U1020" s="76"/>
      <c r="V1020" s="77"/>
      <c r="W1020" s="77"/>
      <c r="X1020" s="76"/>
      <c r="Y1020" s="76"/>
      <c r="Z1020" s="68"/>
      <c r="AA1020" s="68"/>
      <c r="AB1020" s="68"/>
      <c r="AC1020" s="68"/>
      <c r="AD1020" s="68"/>
      <c r="AE1020" s="68"/>
    </row>
    <row r="1021" spans="16:31" x14ac:dyDescent="0.2">
      <c r="P1021" s="68"/>
      <c r="Q1021" s="74"/>
      <c r="R1021" s="74"/>
      <c r="S1021" s="74"/>
      <c r="T1021" s="75"/>
      <c r="U1021" s="76"/>
      <c r="V1021" s="77"/>
      <c r="W1021" s="77"/>
      <c r="X1021" s="76"/>
      <c r="Y1021" s="76"/>
      <c r="Z1021" s="68"/>
      <c r="AA1021" s="68"/>
      <c r="AB1021" s="68"/>
      <c r="AC1021" s="68"/>
      <c r="AD1021" s="68"/>
      <c r="AE1021" s="68"/>
    </row>
    <row r="1022" spans="16:31" x14ac:dyDescent="0.2">
      <c r="P1022" s="68"/>
      <c r="Q1022" s="74"/>
      <c r="R1022" s="74"/>
      <c r="S1022" s="74"/>
      <c r="T1022" s="75"/>
      <c r="U1022" s="76"/>
      <c r="V1022" s="77"/>
      <c r="W1022" s="77"/>
      <c r="X1022" s="76"/>
      <c r="Y1022" s="76"/>
      <c r="Z1022" s="68"/>
      <c r="AA1022" s="68"/>
      <c r="AB1022" s="68"/>
      <c r="AC1022" s="68"/>
      <c r="AD1022" s="68"/>
      <c r="AE1022" s="68"/>
    </row>
    <row r="1023" spans="16:31" x14ac:dyDescent="0.2">
      <c r="P1023" s="68"/>
      <c r="Q1023" s="74"/>
      <c r="R1023" s="74"/>
      <c r="S1023" s="74"/>
      <c r="T1023" s="75"/>
      <c r="U1023" s="76"/>
      <c r="V1023" s="77"/>
      <c r="W1023" s="77"/>
      <c r="X1023" s="76"/>
      <c r="Y1023" s="76"/>
      <c r="Z1023" s="68"/>
      <c r="AA1023" s="68"/>
      <c r="AB1023" s="68"/>
      <c r="AC1023" s="68"/>
      <c r="AD1023" s="68"/>
      <c r="AE1023" s="68"/>
    </row>
    <row r="1024" spans="16:31" x14ac:dyDescent="0.2">
      <c r="P1024" s="68"/>
      <c r="Q1024" s="74"/>
      <c r="R1024" s="74"/>
      <c r="S1024" s="74"/>
      <c r="T1024" s="75"/>
      <c r="U1024" s="76"/>
      <c r="V1024" s="77"/>
      <c r="W1024" s="77"/>
      <c r="X1024" s="76"/>
      <c r="Y1024" s="76"/>
      <c r="Z1024" s="68"/>
      <c r="AA1024" s="68"/>
      <c r="AB1024" s="68"/>
      <c r="AC1024" s="68"/>
      <c r="AD1024" s="68"/>
      <c r="AE1024" s="68"/>
    </row>
    <row r="1025" spans="16:31" x14ac:dyDescent="0.2">
      <c r="P1025" s="68"/>
      <c r="Q1025" s="74"/>
      <c r="R1025" s="74"/>
      <c r="S1025" s="74"/>
      <c r="T1025" s="75"/>
      <c r="U1025" s="76"/>
      <c r="V1025" s="77"/>
      <c r="W1025" s="77"/>
      <c r="X1025" s="76"/>
      <c r="Y1025" s="76"/>
      <c r="Z1025" s="68"/>
      <c r="AA1025" s="68"/>
      <c r="AB1025" s="68"/>
      <c r="AC1025" s="68"/>
      <c r="AD1025" s="68"/>
      <c r="AE1025" s="68"/>
    </row>
    <row r="1026" spans="16:31" x14ac:dyDescent="0.2">
      <c r="P1026" s="68"/>
      <c r="Q1026" s="74"/>
      <c r="R1026" s="74"/>
      <c r="S1026" s="74"/>
      <c r="T1026" s="75"/>
      <c r="U1026" s="76"/>
      <c r="V1026" s="77"/>
      <c r="W1026" s="77"/>
      <c r="X1026" s="76"/>
      <c r="Y1026" s="76"/>
      <c r="Z1026" s="68"/>
      <c r="AA1026" s="68"/>
      <c r="AB1026" s="68"/>
      <c r="AC1026" s="68"/>
      <c r="AD1026" s="68"/>
      <c r="AE1026" s="68"/>
    </row>
    <row r="1027" spans="16:31" x14ac:dyDescent="0.2">
      <c r="P1027" s="68"/>
      <c r="Q1027" s="74"/>
      <c r="R1027" s="74"/>
      <c r="S1027" s="74"/>
      <c r="T1027" s="75"/>
      <c r="U1027" s="76"/>
      <c r="V1027" s="77"/>
      <c r="W1027" s="77"/>
      <c r="X1027" s="76"/>
      <c r="Y1027" s="76"/>
      <c r="Z1027" s="68"/>
      <c r="AA1027" s="68"/>
      <c r="AB1027" s="68"/>
      <c r="AC1027" s="68"/>
      <c r="AD1027" s="68"/>
      <c r="AE1027" s="68"/>
    </row>
    <row r="1028" spans="16:31" x14ac:dyDescent="0.2">
      <c r="P1028" s="68"/>
      <c r="Q1028" s="74"/>
      <c r="R1028" s="74"/>
      <c r="S1028" s="74"/>
      <c r="T1028" s="75"/>
      <c r="U1028" s="76"/>
      <c r="V1028" s="77"/>
      <c r="W1028" s="77"/>
      <c r="X1028" s="76"/>
      <c r="Y1028" s="76"/>
      <c r="Z1028" s="68"/>
      <c r="AA1028" s="68"/>
      <c r="AB1028" s="68"/>
      <c r="AC1028" s="68"/>
      <c r="AD1028" s="68"/>
      <c r="AE1028" s="68"/>
    </row>
    <row r="1029" spans="16:31" x14ac:dyDescent="0.2">
      <c r="P1029" s="68"/>
      <c r="Q1029" s="74"/>
      <c r="R1029" s="74"/>
      <c r="S1029" s="74"/>
      <c r="T1029" s="75"/>
      <c r="U1029" s="76"/>
      <c r="V1029" s="77"/>
      <c r="W1029" s="77"/>
      <c r="X1029" s="76"/>
      <c r="Y1029" s="76"/>
      <c r="Z1029" s="68"/>
      <c r="AA1029" s="68"/>
      <c r="AB1029" s="68"/>
      <c r="AC1029" s="68"/>
      <c r="AD1029" s="68"/>
      <c r="AE1029" s="68"/>
    </row>
    <row r="1030" spans="16:31" x14ac:dyDescent="0.2">
      <c r="P1030" s="68"/>
      <c r="Q1030" s="74"/>
      <c r="R1030" s="74"/>
      <c r="S1030" s="74"/>
      <c r="T1030" s="75"/>
      <c r="U1030" s="76"/>
      <c r="V1030" s="77"/>
      <c r="W1030" s="77"/>
      <c r="X1030" s="76"/>
      <c r="Y1030" s="76"/>
      <c r="Z1030" s="68"/>
      <c r="AA1030" s="68"/>
      <c r="AB1030" s="68"/>
      <c r="AC1030" s="68"/>
      <c r="AD1030" s="68"/>
      <c r="AE1030" s="68"/>
    </row>
    <row r="1031" spans="16:31" x14ac:dyDescent="0.2">
      <c r="P1031" s="68"/>
      <c r="Q1031" s="74"/>
      <c r="R1031" s="74"/>
      <c r="S1031" s="74"/>
      <c r="T1031" s="75"/>
      <c r="U1031" s="76"/>
      <c r="V1031" s="77"/>
      <c r="W1031" s="77"/>
      <c r="X1031" s="76"/>
      <c r="Y1031" s="76"/>
      <c r="Z1031" s="68"/>
      <c r="AA1031" s="68"/>
      <c r="AB1031" s="68"/>
      <c r="AC1031" s="68"/>
      <c r="AD1031" s="68"/>
      <c r="AE1031" s="68"/>
    </row>
    <row r="1032" spans="16:31" x14ac:dyDescent="0.2">
      <c r="P1032" s="68"/>
      <c r="Q1032" s="74"/>
      <c r="R1032" s="74"/>
      <c r="S1032" s="74"/>
      <c r="T1032" s="75"/>
      <c r="U1032" s="76"/>
      <c r="V1032" s="77"/>
      <c r="W1032" s="77"/>
      <c r="X1032" s="76"/>
      <c r="Y1032" s="76"/>
      <c r="Z1032" s="68"/>
      <c r="AA1032" s="68"/>
      <c r="AB1032" s="68"/>
      <c r="AC1032" s="68"/>
      <c r="AD1032" s="68"/>
      <c r="AE1032" s="68"/>
    </row>
    <row r="1033" spans="16:31" x14ac:dyDescent="0.2">
      <c r="P1033" s="68"/>
      <c r="Q1033" s="74"/>
      <c r="R1033" s="74"/>
      <c r="S1033" s="74"/>
      <c r="T1033" s="75"/>
      <c r="U1033" s="76"/>
      <c r="V1033" s="77"/>
      <c r="W1033" s="77"/>
      <c r="X1033" s="76"/>
      <c r="Y1033" s="76"/>
      <c r="Z1033" s="68"/>
      <c r="AA1033" s="68"/>
      <c r="AB1033" s="68"/>
      <c r="AC1033" s="68"/>
      <c r="AD1033" s="68"/>
      <c r="AE1033" s="68"/>
    </row>
    <row r="1034" spans="16:31" x14ac:dyDescent="0.2">
      <c r="P1034" s="68"/>
      <c r="Q1034" s="74"/>
      <c r="R1034" s="74"/>
      <c r="S1034" s="74"/>
      <c r="T1034" s="75"/>
      <c r="U1034" s="76"/>
      <c r="V1034" s="77"/>
      <c r="W1034" s="77"/>
      <c r="X1034" s="76"/>
      <c r="Y1034" s="76"/>
      <c r="Z1034" s="68"/>
      <c r="AA1034" s="68"/>
      <c r="AB1034" s="68"/>
      <c r="AC1034" s="68"/>
      <c r="AD1034" s="68"/>
      <c r="AE1034" s="68"/>
    </row>
    <row r="1035" spans="16:31" x14ac:dyDescent="0.2">
      <c r="P1035" s="68"/>
      <c r="Q1035" s="74"/>
      <c r="R1035" s="74"/>
      <c r="S1035" s="74"/>
      <c r="T1035" s="75"/>
      <c r="U1035" s="76"/>
      <c r="V1035" s="77"/>
      <c r="W1035" s="77"/>
      <c r="X1035" s="76"/>
      <c r="Y1035" s="76"/>
      <c r="Z1035" s="68"/>
      <c r="AA1035" s="68"/>
      <c r="AB1035" s="68"/>
      <c r="AC1035" s="68"/>
      <c r="AD1035" s="68"/>
      <c r="AE1035" s="68"/>
    </row>
    <row r="1036" spans="16:31" x14ac:dyDescent="0.2">
      <c r="P1036" s="68"/>
      <c r="Q1036" s="74"/>
      <c r="R1036" s="74"/>
      <c r="S1036" s="74"/>
      <c r="T1036" s="75"/>
      <c r="U1036" s="76"/>
      <c r="V1036" s="77"/>
      <c r="W1036" s="77"/>
      <c r="X1036" s="76"/>
      <c r="Y1036" s="76"/>
      <c r="Z1036" s="68"/>
      <c r="AA1036" s="68"/>
      <c r="AB1036" s="68"/>
      <c r="AC1036" s="68"/>
      <c r="AD1036" s="68"/>
      <c r="AE1036" s="68"/>
    </row>
    <row r="1037" spans="16:31" x14ac:dyDescent="0.2">
      <c r="P1037" s="68"/>
      <c r="Q1037" s="74"/>
      <c r="R1037" s="74"/>
      <c r="S1037" s="74"/>
      <c r="T1037" s="75"/>
      <c r="U1037" s="76"/>
      <c r="V1037" s="77"/>
      <c r="W1037" s="77"/>
      <c r="X1037" s="76"/>
      <c r="Y1037" s="76"/>
      <c r="Z1037" s="68"/>
      <c r="AA1037" s="68"/>
      <c r="AB1037" s="68"/>
      <c r="AC1037" s="68"/>
      <c r="AD1037" s="68"/>
      <c r="AE1037" s="68"/>
    </row>
    <row r="1038" spans="16:31" x14ac:dyDescent="0.2">
      <c r="P1038" s="68"/>
      <c r="Q1038" s="74"/>
      <c r="R1038" s="74"/>
      <c r="S1038" s="74"/>
      <c r="T1038" s="75"/>
      <c r="U1038" s="76"/>
      <c r="V1038" s="77"/>
      <c r="W1038" s="77"/>
      <c r="X1038" s="76"/>
      <c r="Y1038" s="76"/>
      <c r="Z1038" s="68"/>
      <c r="AA1038" s="68"/>
      <c r="AB1038" s="68"/>
      <c r="AC1038" s="68"/>
      <c r="AD1038" s="68"/>
      <c r="AE1038" s="68"/>
    </row>
    <row r="1039" spans="16:31" x14ac:dyDescent="0.2">
      <c r="P1039" s="68"/>
      <c r="Q1039" s="74"/>
      <c r="R1039" s="74"/>
      <c r="S1039" s="74"/>
      <c r="T1039" s="75"/>
      <c r="U1039" s="76"/>
      <c r="V1039" s="77"/>
      <c r="W1039" s="77"/>
      <c r="X1039" s="76"/>
      <c r="Y1039" s="76"/>
      <c r="Z1039" s="68"/>
      <c r="AA1039" s="68"/>
      <c r="AB1039" s="68"/>
      <c r="AC1039" s="68"/>
      <c r="AD1039" s="68"/>
      <c r="AE1039" s="68"/>
    </row>
    <row r="1040" spans="16:31" x14ac:dyDescent="0.2">
      <c r="P1040" s="68"/>
      <c r="Q1040" s="74"/>
      <c r="R1040" s="74"/>
      <c r="S1040" s="74"/>
      <c r="T1040" s="75"/>
      <c r="U1040" s="76"/>
      <c r="V1040" s="77"/>
      <c r="W1040" s="77"/>
      <c r="X1040" s="76"/>
      <c r="Y1040" s="76"/>
      <c r="Z1040" s="68"/>
      <c r="AA1040" s="68"/>
      <c r="AB1040" s="68"/>
      <c r="AC1040" s="68"/>
      <c r="AD1040" s="68"/>
      <c r="AE1040" s="68"/>
    </row>
    <row r="1041" spans="16:31" x14ac:dyDescent="0.2">
      <c r="P1041" s="68"/>
      <c r="Q1041" s="74"/>
      <c r="R1041" s="74"/>
      <c r="S1041" s="74"/>
      <c r="T1041" s="75"/>
      <c r="U1041" s="76"/>
      <c r="V1041" s="77"/>
      <c r="W1041" s="77"/>
      <c r="X1041" s="76"/>
      <c r="Y1041" s="76"/>
      <c r="Z1041" s="68"/>
      <c r="AA1041" s="68"/>
      <c r="AB1041" s="68"/>
      <c r="AC1041" s="68"/>
      <c r="AD1041" s="68"/>
      <c r="AE1041" s="68"/>
    </row>
    <row r="1042" spans="16:31" x14ac:dyDescent="0.2">
      <c r="P1042" s="68"/>
      <c r="Q1042" s="74"/>
      <c r="R1042" s="74"/>
      <c r="S1042" s="74"/>
      <c r="T1042" s="75"/>
      <c r="U1042" s="76"/>
      <c r="V1042" s="77"/>
      <c r="W1042" s="77"/>
      <c r="X1042" s="76"/>
      <c r="Y1042" s="76"/>
      <c r="Z1042" s="68"/>
      <c r="AA1042" s="68"/>
      <c r="AB1042" s="68"/>
      <c r="AC1042" s="68"/>
      <c r="AD1042" s="68"/>
      <c r="AE1042" s="68"/>
    </row>
    <row r="1043" spans="16:31" x14ac:dyDescent="0.2">
      <c r="P1043" s="68"/>
      <c r="Q1043" s="74"/>
      <c r="R1043" s="74"/>
      <c r="S1043" s="74"/>
      <c r="T1043" s="75"/>
      <c r="U1043" s="76"/>
      <c r="V1043" s="77"/>
      <c r="W1043" s="77"/>
      <c r="X1043" s="76"/>
      <c r="Y1043" s="76"/>
      <c r="Z1043" s="68"/>
      <c r="AA1043" s="68"/>
      <c r="AB1043" s="68"/>
      <c r="AC1043" s="68"/>
      <c r="AD1043" s="68"/>
      <c r="AE1043" s="68"/>
    </row>
    <row r="1044" spans="16:31" x14ac:dyDescent="0.2">
      <c r="P1044" s="68"/>
      <c r="Q1044" s="74"/>
      <c r="R1044" s="74"/>
      <c r="S1044" s="74"/>
      <c r="T1044" s="75"/>
      <c r="U1044" s="76"/>
      <c r="V1044" s="77"/>
      <c r="W1044" s="77"/>
      <c r="X1044" s="76"/>
      <c r="Y1044" s="76"/>
      <c r="Z1044" s="68"/>
      <c r="AA1044" s="68"/>
      <c r="AB1044" s="68"/>
      <c r="AC1044" s="68"/>
      <c r="AD1044" s="68"/>
      <c r="AE1044" s="68"/>
    </row>
    <row r="1045" spans="16:31" x14ac:dyDescent="0.2">
      <c r="P1045" s="68"/>
      <c r="Q1045" s="74"/>
      <c r="R1045" s="74"/>
      <c r="S1045" s="74"/>
      <c r="T1045" s="75"/>
      <c r="U1045" s="76"/>
      <c r="V1045" s="77"/>
      <c r="W1045" s="77"/>
      <c r="X1045" s="76"/>
      <c r="Y1045" s="76"/>
      <c r="Z1045" s="68"/>
      <c r="AA1045" s="68"/>
      <c r="AB1045" s="68"/>
      <c r="AC1045" s="68"/>
      <c r="AD1045" s="68"/>
      <c r="AE1045" s="68"/>
    </row>
    <row r="1046" spans="16:31" x14ac:dyDescent="0.2">
      <c r="P1046" s="68"/>
      <c r="Q1046" s="74"/>
      <c r="R1046" s="74"/>
      <c r="S1046" s="74"/>
      <c r="T1046" s="75"/>
      <c r="U1046" s="76"/>
      <c r="V1046" s="77"/>
      <c r="W1046" s="77"/>
      <c r="X1046" s="76"/>
      <c r="Y1046" s="76"/>
      <c r="Z1046" s="68"/>
      <c r="AA1046" s="68"/>
      <c r="AB1046" s="68"/>
      <c r="AC1046" s="68"/>
      <c r="AD1046" s="68"/>
      <c r="AE1046" s="68"/>
    </row>
    <row r="1047" spans="16:31" x14ac:dyDescent="0.2">
      <c r="P1047" s="68"/>
      <c r="Q1047" s="74"/>
      <c r="R1047" s="74"/>
      <c r="S1047" s="74"/>
      <c r="T1047" s="75"/>
      <c r="U1047" s="76"/>
      <c r="V1047" s="77"/>
      <c r="W1047" s="77"/>
      <c r="X1047" s="76"/>
      <c r="Y1047" s="76"/>
      <c r="Z1047" s="68"/>
      <c r="AA1047" s="68"/>
      <c r="AB1047" s="68"/>
      <c r="AC1047" s="68"/>
      <c r="AD1047" s="68"/>
      <c r="AE1047" s="68"/>
    </row>
    <row r="1048" spans="16:31" x14ac:dyDescent="0.2">
      <c r="P1048" s="68"/>
      <c r="Q1048" s="74"/>
      <c r="R1048" s="74"/>
      <c r="S1048" s="74"/>
      <c r="T1048" s="75"/>
      <c r="U1048" s="76"/>
      <c r="V1048" s="77"/>
      <c r="W1048" s="77"/>
      <c r="X1048" s="76"/>
      <c r="Y1048" s="76"/>
      <c r="Z1048" s="68"/>
      <c r="AA1048" s="68"/>
      <c r="AB1048" s="68"/>
      <c r="AC1048" s="68"/>
      <c r="AD1048" s="68"/>
      <c r="AE1048" s="68"/>
    </row>
    <row r="1049" spans="16:31" x14ac:dyDescent="0.2">
      <c r="P1049" s="68"/>
      <c r="Q1049" s="74"/>
      <c r="R1049" s="74"/>
      <c r="S1049" s="74"/>
      <c r="T1049" s="75"/>
      <c r="U1049" s="76"/>
      <c r="V1049" s="77"/>
      <c r="W1049" s="77"/>
      <c r="X1049" s="76"/>
      <c r="Y1049" s="76"/>
      <c r="Z1049" s="68"/>
      <c r="AA1049" s="68"/>
      <c r="AB1049" s="68"/>
      <c r="AC1049" s="68"/>
      <c r="AD1049" s="68"/>
      <c r="AE1049" s="68"/>
    </row>
    <row r="1050" spans="16:31" x14ac:dyDescent="0.2">
      <c r="P1050" s="68"/>
      <c r="Q1050" s="74"/>
      <c r="R1050" s="74"/>
      <c r="S1050" s="74"/>
      <c r="T1050" s="75"/>
      <c r="U1050" s="76"/>
      <c r="V1050" s="77"/>
      <c r="W1050" s="77"/>
      <c r="X1050" s="76"/>
      <c r="Y1050" s="76"/>
      <c r="Z1050" s="68"/>
      <c r="AA1050" s="68"/>
      <c r="AB1050" s="68"/>
      <c r="AC1050" s="68"/>
      <c r="AD1050" s="68"/>
      <c r="AE1050" s="68"/>
    </row>
    <row r="1051" spans="16:31" x14ac:dyDescent="0.2">
      <c r="P1051" s="68"/>
      <c r="Q1051" s="74"/>
      <c r="R1051" s="74"/>
      <c r="S1051" s="74"/>
      <c r="T1051" s="75"/>
      <c r="U1051" s="76"/>
      <c r="V1051" s="77"/>
      <c r="W1051" s="77"/>
      <c r="X1051" s="76"/>
      <c r="Y1051" s="76"/>
      <c r="Z1051" s="68"/>
      <c r="AA1051" s="68"/>
      <c r="AB1051" s="68"/>
      <c r="AC1051" s="68"/>
      <c r="AD1051" s="68"/>
      <c r="AE1051" s="68"/>
    </row>
    <row r="1052" spans="16:31" x14ac:dyDescent="0.2">
      <c r="P1052" s="68"/>
      <c r="Q1052" s="74"/>
      <c r="R1052" s="74"/>
      <c r="S1052" s="74"/>
      <c r="T1052" s="75"/>
      <c r="U1052" s="76"/>
      <c r="V1052" s="77"/>
      <c r="W1052" s="77"/>
      <c r="X1052" s="76"/>
      <c r="Y1052" s="76"/>
      <c r="Z1052" s="68"/>
      <c r="AA1052" s="68"/>
      <c r="AB1052" s="68"/>
      <c r="AC1052" s="68"/>
      <c r="AD1052" s="68"/>
      <c r="AE1052" s="68"/>
    </row>
    <row r="1053" spans="16:31" x14ac:dyDescent="0.2">
      <c r="P1053" s="68"/>
      <c r="Q1053" s="74"/>
      <c r="R1053" s="74"/>
      <c r="S1053" s="74"/>
      <c r="T1053" s="75"/>
      <c r="U1053" s="76"/>
      <c r="V1053" s="77"/>
      <c r="W1053" s="77"/>
      <c r="X1053" s="76"/>
      <c r="Y1053" s="76"/>
      <c r="Z1053" s="68"/>
      <c r="AA1053" s="68"/>
      <c r="AB1053" s="68"/>
      <c r="AC1053" s="68"/>
      <c r="AD1053" s="68"/>
      <c r="AE1053" s="68"/>
    </row>
    <row r="1054" spans="16:31" x14ac:dyDescent="0.2">
      <c r="P1054" s="68"/>
      <c r="Q1054" s="74"/>
      <c r="R1054" s="74"/>
      <c r="S1054" s="74"/>
      <c r="T1054" s="75"/>
      <c r="U1054" s="76"/>
      <c r="V1054" s="77"/>
      <c r="W1054" s="77"/>
      <c r="X1054" s="76"/>
      <c r="Y1054" s="76"/>
      <c r="Z1054" s="68"/>
      <c r="AA1054" s="68"/>
      <c r="AB1054" s="68"/>
      <c r="AC1054" s="68"/>
      <c r="AD1054" s="68"/>
      <c r="AE1054" s="68"/>
    </row>
    <row r="1055" spans="16:31" x14ac:dyDescent="0.2">
      <c r="P1055" s="68"/>
      <c r="Q1055" s="74"/>
      <c r="R1055" s="74"/>
      <c r="S1055" s="74"/>
      <c r="T1055" s="75"/>
      <c r="U1055" s="76"/>
      <c r="V1055" s="77"/>
      <c r="W1055" s="77"/>
      <c r="X1055" s="76"/>
      <c r="Y1055" s="76"/>
      <c r="Z1055" s="68"/>
      <c r="AA1055" s="68"/>
      <c r="AB1055" s="68"/>
      <c r="AC1055" s="68"/>
      <c r="AD1055" s="68"/>
      <c r="AE1055" s="68"/>
    </row>
    <row r="1056" spans="16:31" x14ac:dyDescent="0.2">
      <c r="P1056" s="68"/>
      <c r="Q1056" s="74"/>
      <c r="R1056" s="74"/>
      <c r="S1056" s="74"/>
      <c r="T1056" s="75"/>
      <c r="U1056" s="76"/>
      <c r="V1056" s="77"/>
      <c r="W1056" s="77"/>
      <c r="X1056" s="76"/>
      <c r="Y1056" s="76"/>
      <c r="Z1056" s="68"/>
      <c r="AA1056" s="68"/>
      <c r="AB1056" s="68"/>
      <c r="AC1056" s="68"/>
      <c r="AD1056" s="68"/>
      <c r="AE1056" s="68"/>
    </row>
    <row r="1057" spans="16:31" x14ac:dyDescent="0.2">
      <c r="P1057" s="68"/>
      <c r="Q1057" s="74"/>
      <c r="R1057" s="74"/>
      <c r="S1057" s="74"/>
      <c r="T1057" s="75"/>
      <c r="U1057" s="76"/>
      <c r="V1057" s="77"/>
      <c r="W1057" s="77"/>
      <c r="X1057" s="76"/>
      <c r="Y1057" s="76"/>
      <c r="Z1057" s="68"/>
      <c r="AA1057" s="68"/>
      <c r="AB1057" s="68"/>
      <c r="AC1057" s="68"/>
      <c r="AD1057" s="68"/>
      <c r="AE1057" s="68"/>
    </row>
    <row r="1058" spans="16:31" x14ac:dyDescent="0.2">
      <c r="P1058" s="68"/>
      <c r="Q1058" s="74"/>
      <c r="R1058" s="74"/>
      <c r="S1058" s="74"/>
      <c r="T1058" s="75"/>
      <c r="U1058" s="76"/>
      <c r="V1058" s="77"/>
      <c r="W1058" s="77"/>
      <c r="X1058" s="76"/>
      <c r="Y1058" s="76"/>
      <c r="Z1058" s="68"/>
      <c r="AA1058" s="68"/>
      <c r="AB1058" s="68"/>
      <c r="AC1058" s="68"/>
      <c r="AD1058" s="68"/>
      <c r="AE1058" s="68"/>
    </row>
    <row r="1059" spans="16:31" x14ac:dyDescent="0.2">
      <c r="P1059" s="68"/>
      <c r="Q1059" s="74"/>
      <c r="R1059" s="74"/>
      <c r="S1059" s="74"/>
      <c r="T1059" s="75"/>
      <c r="U1059" s="76"/>
      <c r="V1059" s="77"/>
      <c r="W1059" s="77"/>
      <c r="X1059" s="76"/>
      <c r="Y1059" s="76"/>
      <c r="Z1059" s="68"/>
      <c r="AA1059" s="68"/>
      <c r="AB1059" s="68"/>
      <c r="AC1059" s="68"/>
      <c r="AD1059" s="68"/>
      <c r="AE1059" s="68"/>
    </row>
    <row r="1060" spans="16:31" x14ac:dyDescent="0.2">
      <c r="P1060" s="68"/>
      <c r="Q1060" s="74"/>
      <c r="R1060" s="74"/>
      <c r="S1060" s="74"/>
      <c r="T1060" s="75"/>
      <c r="U1060" s="76"/>
      <c r="V1060" s="77"/>
      <c r="W1060" s="77"/>
      <c r="X1060" s="76"/>
      <c r="Y1060" s="76"/>
      <c r="Z1060" s="68"/>
      <c r="AA1060" s="68"/>
      <c r="AB1060" s="68"/>
      <c r="AC1060" s="68"/>
      <c r="AD1060" s="68"/>
      <c r="AE1060" s="68"/>
    </row>
    <row r="1061" spans="16:31" x14ac:dyDescent="0.2">
      <c r="P1061" s="68"/>
      <c r="Q1061" s="74"/>
      <c r="R1061" s="74"/>
      <c r="S1061" s="74"/>
      <c r="T1061" s="75"/>
      <c r="U1061" s="76"/>
      <c r="V1061" s="77"/>
      <c r="W1061" s="77"/>
      <c r="X1061" s="76"/>
      <c r="Y1061" s="76"/>
      <c r="Z1061" s="68"/>
      <c r="AA1061" s="68"/>
      <c r="AB1061" s="68"/>
      <c r="AC1061" s="68"/>
      <c r="AD1061" s="68"/>
      <c r="AE1061" s="68"/>
    </row>
    <row r="1062" spans="16:31" x14ac:dyDescent="0.2">
      <c r="P1062" s="68"/>
      <c r="Q1062" s="74"/>
      <c r="R1062" s="74"/>
      <c r="S1062" s="74"/>
      <c r="T1062" s="75"/>
      <c r="U1062" s="76"/>
      <c r="V1062" s="77"/>
      <c r="W1062" s="77"/>
      <c r="X1062" s="76"/>
      <c r="Y1062" s="76"/>
      <c r="Z1062" s="68"/>
      <c r="AA1062" s="68"/>
      <c r="AB1062" s="68"/>
      <c r="AC1062" s="68"/>
      <c r="AD1062" s="68"/>
      <c r="AE1062" s="68"/>
    </row>
    <row r="1063" spans="16:31" x14ac:dyDescent="0.2">
      <c r="P1063" s="68"/>
      <c r="Q1063" s="74"/>
      <c r="R1063" s="74"/>
      <c r="S1063" s="74"/>
      <c r="T1063" s="75"/>
      <c r="U1063" s="76"/>
      <c r="V1063" s="77"/>
      <c r="W1063" s="77"/>
      <c r="X1063" s="76"/>
      <c r="Y1063" s="76"/>
      <c r="Z1063" s="68"/>
      <c r="AA1063" s="68"/>
      <c r="AB1063" s="68"/>
      <c r="AC1063" s="68"/>
      <c r="AD1063" s="68"/>
      <c r="AE1063" s="68"/>
    </row>
    <row r="1064" spans="16:31" x14ac:dyDescent="0.2">
      <c r="P1064" s="68"/>
      <c r="Q1064" s="74"/>
      <c r="R1064" s="74"/>
      <c r="S1064" s="74"/>
      <c r="T1064" s="75"/>
      <c r="U1064" s="76"/>
      <c r="V1064" s="77"/>
      <c r="W1064" s="77"/>
      <c r="X1064" s="76"/>
      <c r="Y1064" s="76"/>
      <c r="Z1064" s="68"/>
      <c r="AA1064" s="68"/>
      <c r="AB1064" s="68"/>
      <c r="AC1064" s="68"/>
      <c r="AD1064" s="68"/>
      <c r="AE1064" s="68"/>
    </row>
    <row r="1065" spans="16:31" x14ac:dyDescent="0.2">
      <c r="P1065" s="68"/>
      <c r="Q1065" s="74"/>
      <c r="R1065" s="74"/>
      <c r="S1065" s="74"/>
      <c r="T1065" s="75"/>
      <c r="U1065" s="76"/>
      <c r="V1065" s="77"/>
      <c r="W1065" s="77"/>
      <c r="X1065" s="76"/>
      <c r="Y1065" s="76"/>
      <c r="Z1065" s="68"/>
      <c r="AA1065" s="68"/>
      <c r="AB1065" s="68"/>
      <c r="AC1065" s="68"/>
      <c r="AD1065" s="68"/>
      <c r="AE1065" s="68"/>
    </row>
    <row r="1066" spans="16:31" x14ac:dyDescent="0.2">
      <c r="P1066" s="68"/>
      <c r="Q1066" s="74"/>
      <c r="R1066" s="74"/>
      <c r="S1066" s="74"/>
      <c r="T1066" s="75"/>
      <c r="U1066" s="76"/>
      <c r="V1066" s="77"/>
      <c r="W1066" s="77"/>
      <c r="X1066" s="76"/>
      <c r="Y1066" s="76"/>
      <c r="Z1066" s="68"/>
      <c r="AA1066" s="68"/>
      <c r="AB1066" s="68"/>
      <c r="AC1066" s="68"/>
      <c r="AD1066" s="68"/>
      <c r="AE1066" s="68"/>
    </row>
    <row r="1067" spans="16:31" x14ac:dyDescent="0.2">
      <c r="P1067" s="68"/>
      <c r="Q1067" s="74"/>
      <c r="R1067" s="74"/>
      <c r="S1067" s="74"/>
      <c r="T1067" s="75"/>
      <c r="U1067" s="76"/>
      <c r="V1067" s="77"/>
      <c r="W1067" s="77"/>
      <c r="X1067" s="76"/>
      <c r="Y1067" s="76"/>
      <c r="Z1067" s="68"/>
      <c r="AA1067" s="68"/>
      <c r="AB1067" s="68"/>
      <c r="AC1067" s="68"/>
      <c r="AD1067" s="68"/>
      <c r="AE1067" s="68"/>
    </row>
    <row r="1068" spans="16:31" x14ac:dyDescent="0.2">
      <c r="P1068" s="68"/>
      <c r="Q1068" s="74"/>
      <c r="R1068" s="74"/>
      <c r="S1068" s="74"/>
      <c r="T1068" s="75"/>
      <c r="U1068" s="76"/>
      <c r="V1068" s="77"/>
      <c r="W1068" s="77"/>
      <c r="X1068" s="76"/>
      <c r="Y1068" s="76"/>
      <c r="Z1068" s="68"/>
      <c r="AA1068" s="68"/>
      <c r="AB1068" s="68"/>
      <c r="AC1068" s="68"/>
      <c r="AD1068" s="68"/>
      <c r="AE1068" s="68"/>
    </row>
    <row r="1069" spans="16:31" x14ac:dyDescent="0.2">
      <c r="P1069" s="68"/>
      <c r="Q1069" s="74"/>
      <c r="R1069" s="74"/>
      <c r="S1069" s="74"/>
      <c r="T1069" s="75"/>
      <c r="U1069" s="76"/>
      <c r="V1069" s="77"/>
      <c r="W1069" s="77"/>
      <c r="X1069" s="76"/>
      <c r="Y1069" s="76"/>
      <c r="Z1069" s="68"/>
      <c r="AA1069" s="68"/>
      <c r="AB1069" s="68"/>
      <c r="AC1069" s="68"/>
      <c r="AD1069" s="68"/>
      <c r="AE1069" s="68"/>
    </row>
    <row r="1070" spans="16:31" x14ac:dyDescent="0.2">
      <c r="P1070" s="68"/>
      <c r="Q1070" s="74"/>
      <c r="R1070" s="74"/>
      <c r="S1070" s="74"/>
      <c r="T1070" s="75"/>
      <c r="U1070" s="76"/>
      <c r="V1070" s="77"/>
      <c r="W1070" s="77"/>
      <c r="X1070" s="76"/>
      <c r="Y1070" s="76"/>
      <c r="Z1070" s="68"/>
      <c r="AA1070" s="68"/>
      <c r="AB1070" s="68"/>
      <c r="AC1070" s="68"/>
      <c r="AD1070" s="68"/>
      <c r="AE1070" s="68"/>
    </row>
    <row r="1071" spans="16:31" x14ac:dyDescent="0.2">
      <c r="P1071" s="68"/>
      <c r="Q1071" s="74"/>
      <c r="R1071" s="74"/>
      <c r="S1071" s="74"/>
      <c r="T1071" s="75"/>
      <c r="U1071" s="76"/>
      <c r="V1071" s="77"/>
      <c r="W1071" s="77"/>
      <c r="X1071" s="76"/>
      <c r="Y1071" s="76"/>
      <c r="Z1071" s="68"/>
      <c r="AA1071" s="68"/>
      <c r="AB1071" s="68"/>
      <c r="AC1071" s="68"/>
      <c r="AD1071" s="68"/>
      <c r="AE1071" s="68"/>
    </row>
    <row r="1072" spans="16:31" x14ac:dyDescent="0.2">
      <c r="P1072" s="68"/>
      <c r="Q1072" s="74"/>
      <c r="R1072" s="74"/>
      <c r="S1072" s="74"/>
      <c r="T1072" s="75"/>
      <c r="U1072" s="76"/>
      <c r="V1072" s="77"/>
      <c r="W1072" s="77"/>
      <c r="X1072" s="76"/>
      <c r="Y1072" s="76"/>
      <c r="Z1072" s="68"/>
      <c r="AA1072" s="68"/>
      <c r="AB1072" s="68"/>
      <c r="AC1072" s="68"/>
      <c r="AD1072" s="68"/>
      <c r="AE1072" s="68"/>
    </row>
    <row r="1073" spans="16:31" x14ac:dyDescent="0.2">
      <c r="P1073" s="68"/>
      <c r="Q1073" s="74"/>
      <c r="R1073" s="74"/>
      <c r="S1073" s="74"/>
      <c r="T1073" s="75"/>
      <c r="U1073" s="76"/>
      <c r="V1073" s="77"/>
      <c r="W1073" s="77"/>
      <c r="X1073" s="76"/>
      <c r="Y1073" s="76"/>
      <c r="Z1073" s="68"/>
      <c r="AA1073" s="68"/>
      <c r="AB1073" s="68"/>
      <c r="AC1073" s="68"/>
      <c r="AD1073" s="68"/>
      <c r="AE1073" s="68"/>
    </row>
    <row r="1074" spans="16:31" x14ac:dyDescent="0.2">
      <c r="P1074" s="68"/>
      <c r="Q1074" s="74"/>
      <c r="R1074" s="74"/>
      <c r="S1074" s="74"/>
      <c r="T1074" s="75"/>
      <c r="U1074" s="76"/>
      <c r="V1074" s="77"/>
      <c r="W1074" s="77"/>
      <c r="X1074" s="76"/>
      <c r="Y1074" s="76"/>
      <c r="Z1074" s="68"/>
      <c r="AA1074" s="68"/>
      <c r="AB1074" s="68"/>
      <c r="AC1074" s="68"/>
      <c r="AD1074" s="68"/>
      <c r="AE1074" s="68"/>
    </row>
    <row r="1075" spans="16:31" x14ac:dyDescent="0.2">
      <c r="P1075" s="68"/>
      <c r="Q1075" s="74"/>
      <c r="R1075" s="74"/>
      <c r="S1075" s="74"/>
      <c r="T1075" s="75"/>
      <c r="U1075" s="76"/>
      <c r="V1075" s="77"/>
      <c r="W1075" s="77"/>
      <c r="X1075" s="76"/>
      <c r="Y1075" s="76"/>
      <c r="Z1075" s="68"/>
      <c r="AA1075" s="68"/>
      <c r="AB1075" s="68"/>
      <c r="AC1075" s="68"/>
      <c r="AD1075" s="68"/>
      <c r="AE1075" s="68"/>
    </row>
    <row r="1076" spans="16:31" x14ac:dyDescent="0.2">
      <c r="P1076" s="68"/>
      <c r="Q1076" s="74"/>
      <c r="R1076" s="74"/>
      <c r="S1076" s="74"/>
      <c r="T1076" s="75"/>
      <c r="U1076" s="76"/>
      <c r="V1076" s="77"/>
      <c r="W1076" s="77"/>
      <c r="X1076" s="76"/>
      <c r="Y1076" s="76"/>
      <c r="Z1076" s="68"/>
      <c r="AA1076" s="68"/>
      <c r="AB1076" s="68"/>
      <c r="AC1076" s="68"/>
      <c r="AD1076" s="68"/>
      <c r="AE1076" s="68"/>
    </row>
    <row r="1077" spans="16:31" x14ac:dyDescent="0.2">
      <c r="P1077" s="68"/>
      <c r="Q1077" s="74"/>
      <c r="R1077" s="74"/>
      <c r="S1077" s="74"/>
      <c r="T1077" s="75"/>
      <c r="U1077" s="76"/>
      <c r="V1077" s="77"/>
      <c r="W1077" s="77"/>
      <c r="X1077" s="76"/>
      <c r="Y1077" s="76"/>
      <c r="Z1077" s="68"/>
      <c r="AA1077" s="68"/>
      <c r="AB1077" s="68"/>
      <c r="AC1077" s="68"/>
      <c r="AD1077" s="68"/>
      <c r="AE1077" s="68"/>
    </row>
    <row r="1078" spans="16:31" x14ac:dyDescent="0.2">
      <c r="P1078" s="68"/>
      <c r="Q1078" s="74"/>
      <c r="R1078" s="74"/>
      <c r="S1078" s="74"/>
      <c r="T1078" s="75"/>
      <c r="U1078" s="76"/>
      <c r="V1078" s="77"/>
      <c r="W1078" s="77"/>
      <c r="X1078" s="76"/>
      <c r="Y1078" s="76"/>
      <c r="Z1078" s="68"/>
      <c r="AA1078" s="68"/>
      <c r="AB1078" s="68"/>
      <c r="AC1078" s="68"/>
      <c r="AD1078" s="68"/>
      <c r="AE1078" s="68"/>
    </row>
    <row r="1079" spans="16:31" x14ac:dyDescent="0.2">
      <c r="P1079" s="68"/>
      <c r="Q1079" s="74"/>
      <c r="R1079" s="74"/>
      <c r="S1079" s="74"/>
      <c r="T1079" s="75"/>
      <c r="U1079" s="76"/>
      <c r="V1079" s="77"/>
      <c r="W1079" s="77"/>
      <c r="X1079" s="76"/>
      <c r="Y1079" s="76"/>
      <c r="Z1079" s="68"/>
      <c r="AA1079" s="68"/>
      <c r="AB1079" s="68"/>
      <c r="AC1079" s="68"/>
      <c r="AD1079" s="68"/>
      <c r="AE1079" s="68"/>
    </row>
    <row r="1080" spans="16:31" x14ac:dyDescent="0.2">
      <c r="P1080" s="68"/>
      <c r="Q1080" s="74"/>
      <c r="R1080" s="74"/>
      <c r="S1080" s="74"/>
      <c r="T1080" s="75"/>
      <c r="U1080" s="76"/>
      <c r="V1080" s="77"/>
      <c r="W1080" s="77"/>
      <c r="X1080" s="76"/>
      <c r="Y1080" s="76"/>
      <c r="Z1080" s="68"/>
      <c r="AA1080" s="68"/>
      <c r="AB1080" s="68"/>
      <c r="AC1080" s="68"/>
      <c r="AD1080" s="68"/>
      <c r="AE1080" s="68"/>
    </row>
    <row r="1081" spans="16:31" x14ac:dyDescent="0.2">
      <c r="P1081" s="68"/>
      <c r="Q1081" s="74"/>
      <c r="R1081" s="74"/>
      <c r="S1081" s="74"/>
      <c r="T1081" s="75"/>
      <c r="U1081" s="76"/>
      <c r="V1081" s="77"/>
      <c r="W1081" s="77"/>
      <c r="X1081" s="76"/>
      <c r="Y1081" s="76"/>
      <c r="Z1081" s="68"/>
      <c r="AA1081" s="68"/>
      <c r="AB1081" s="68"/>
      <c r="AC1081" s="68"/>
      <c r="AD1081" s="68"/>
      <c r="AE1081" s="68"/>
    </row>
    <row r="1082" spans="16:31" x14ac:dyDescent="0.2">
      <c r="P1082" s="68"/>
      <c r="Q1082" s="74"/>
      <c r="R1082" s="74"/>
      <c r="S1082" s="74"/>
      <c r="T1082" s="75"/>
      <c r="U1082" s="76"/>
      <c r="V1082" s="77"/>
      <c r="W1082" s="77"/>
      <c r="X1082" s="76"/>
      <c r="Y1082" s="76"/>
      <c r="Z1082" s="68"/>
      <c r="AA1082" s="68"/>
      <c r="AB1082" s="68"/>
      <c r="AC1082" s="68"/>
      <c r="AD1082" s="68"/>
      <c r="AE1082" s="68"/>
    </row>
    <row r="1083" spans="16:31" x14ac:dyDescent="0.2">
      <c r="P1083" s="68"/>
      <c r="Q1083" s="74"/>
      <c r="R1083" s="74"/>
      <c r="S1083" s="74"/>
      <c r="T1083" s="75"/>
      <c r="U1083" s="76"/>
      <c r="V1083" s="77"/>
      <c r="W1083" s="77"/>
      <c r="X1083" s="76"/>
      <c r="Y1083" s="76"/>
      <c r="Z1083" s="68"/>
      <c r="AA1083" s="68"/>
      <c r="AB1083" s="68"/>
      <c r="AC1083" s="68"/>
      <c r="AD1083" s="68"/>
      <c r="AE1083" s="68"/>
    </row>
    <row r="1084" spans="16:31" x14ac:dyDescent="0.2">
      <c r="P1084" s="68"/>
      <c r="Q1084" s="74"/>
      <c r="R1084" s="74"/>
      <c r="S1084" s="74"/>
      <c r="T1084" s="75"/>
      <c r="U1084" s="76"/>
      <c r="V1084" s="77"/>
      <c r="W1084" s="77"/>
      <c r="X1084" s="76"/>
      <c r="Y1084" s="76"/>
      <c r="Z1084" s="68"/>
      <c r="AA1084" s="68"/>
      <c r="AB1084" s="68"/>
      <c r="AC1084" s="68"/>
      <c r="AD1084" s="68"/>
      <c r="AE1084" s="68"/>
    </row>
    <row r="1085" spans="16:31" x14ac:dyDescent="0.2">
      <c r="P1085" s="68"/>
      <c r="Q1085" s="74"/>
      <c r="R1085" s="74"/>
      <c r="S1085" s="74"/>
      <c r="T1085" s="75"/>
      <c r="U1085" s="76"/>
      <c r="V1085" s="77"/>
      <c r="W1085" s="77"/>
      <c r="X1085" s="76"/>
      <c r="Y1085" s="76"/>
      <c r="Z1085" s="68"/>
      <c r="AA1085" s="68"/>
      <c r="AB1085" s="68"/>
      <c r="AC1085" s="68"/>
      <c r="AD1085" s="68"/>
      <c r="AE1085" s="68"/>
    </row>
    <row r="1086" spans="16:31" x14ac:dyDescent="0.2">
      <c r="P1086" s="68"/>
      <c r="Q1086" s="74"/>
      <c r="R1086" s="74"/>
      <c r="S1086" s="74"/>
      <c r="T1086" s="75"/>
      <c r="U1086" s="76"/>
      <c r="V1086" s="77"/>
      <c r="W1086" s="77"/>
      <c r="X1086" s="76"/>
      <c r="Y1086" s="76"/>
      <c r="Z1086" s="68"/>
      <c r="AA1086" s="68"/>
      <c r="AB1086" s="68"/>
      <c r="AC1086" s="68"/>
      <c r="AD1086" s="68"/>
      <c r="AE1086" s="68"/>
    </row>
    <row r="1087" spans="16:31" x14ac:dyDescent="0.2">
      <c r="P1087" s="68"/>
      <c r="Q1087" s="74"/>
      <c r="R1087" s="74"/>
      <c r="S1087" s="74"/>
      <c r="T1087" s="75"/>
      <c r="U1087" s="76"/>
      <c r="V1087" s="77"/>
      <c r="W1087" s="77"/>
      <c r="X1087" s="76"/>
      <c r="Y1087" s="76"/>
      <c r="Z1087" s="68"/>
      <c r="AA1087" s="68"/>
      <c r="AB1087" s="68"/>
      <c r="AC1087" s="68"/>
      <c r="AD1087" s="68"/>
      <c r="AE1087" s="68"/>
    </row>
    <row r="1088" spans="16:31" x14ac:dyDescent="0.2">
      <c r="P1088" s="68"/>
      <c r="Q1088" s="74"/>
      <c r="R1088" s="74"/>
      <c r="S1088" s="74"/>
      <c r="T1088" s="75"/>
      <c r="U1088" s="76"/>
      <c r="V1088" s="77"/>
      <c r="W1088" s="77"/>
      <c r="X1088" s="76"/>
      <c r="Y1088" s="76"/>
      <c r="Z1088" s="68"/>
      <c r="AA1088" s="68"/>
      <c r="AB1088" s="68"/>
      <c r="AC1088" s="68"/>
      <c r="AD1088" s="68"/>
      <c r="AE1088" s="68"/>
    </row>
    <row r="1089" spans="16:31" x14ac:dyDescent="0.2">
      <c r="P1089" s="68"/>
      <c r="Q1089" s="74"/>
      <c r="R1089" s="74"/>
      <c r="S1089" s="74"/>
      <c r="T1089" s="75"/>
      <c r="U1089" s="76"/>
      <c r="V1089" s="77"/>
      <c r="W1089" s="77"/>
      <c r="X1089" s="76"/>
      <c r="Y1089" s="76"/>
      <c r="Z1089" s="68"/>
      <c r="AA1089" s="68"/>
      <c r="AB1089" s="68"/>
      <c r="AC1089" s="68"/>
      <c r="AD1089" s="68"/>
      <c r="AE1089" s="68"/>
    </row>
    <row r="1090" spans="16:31" x14ac:dyDescent="0.2">
      <c r="P1090" s="68"/>
      <c r="Q1090" s="74"/>
      <c r="R1090" s="74"/>
      <c r="S1090" s="74"/>
      <c r="T1090" s="75"/>
      <c r="U1090" s="76"/>
      <c r="V1090" s="77"/>
      <c r="W1090" s="77"/>
      <c r="X1090" s="76"/>
      <c r="Y1090" s="76"/>
      <c r="Z1090" s="68"/>
      <c r="AA1090" s="68"/>
      <c r="AB1090" s="68"/>
      <c r="AC1090" s="68"/>
      <c r="AD1090" s="68"/>
      <c r="AE1090" s="68"/>
    </row>
    <row r="1091" spans="16:31" x14ac:dyDescent="0.2">
      <c r="P1091" s="68"/>
      <c r="Q1091" s="74"/>
      <c r="R1091" s="74"/>
      <c r="S1091" s="74"/>
      <c r="T1091" s="75"/>
      <c r="U1091" s="76"/>
      <c r="V1091" s="77"/>
      <c r="W1091" s="77"/>
      <c r="X1091" s="76"/>
      <c r="Y1091" s="76"/>
      <c r="Z1091" s="68"/>
      <c r="AA1091" s="68"/>
      <c r="AB1091" s="68"/>
      <c r="AC1091" s="68"/>
      <c r="AD1091" s="68"/>
      <c r="AE1091" s="68"/>
    </row>
    <row r="1092" spans="16:31" x14ac:dyDescent="0.2">
      <c r="P1092" s="68"/>
      <c r="Q1092" s="74"/>
      <c r="R1092" s="74"/>
      <c r="S1092" s="74"/>
      <c r="T1092" s="75"/>
      <c r="U1092" s="76"/>
      <c r="V1092" s="77"/>
      <c r="W1092" s="77"/>
      <c r="X1092" s="76"/>
      <c r="Y1092" s="76"/>
      <c r="Z1092" s="68"/>
      <c r="AA1092" s="68"/>
      <c r="AB1092" s="68"/>
      <c r="AC1092" s="68"/>
      <c r="AD1092" s="68"/>
      <c r="AE1092" s="68"/>
    </row>
    <row r="1093" spans="16:31" x14ac:dyDescent="0.2">
      <c r="P1093" s="68"/>
      <c r="Q1093" s="74"/>
      <c r="R1093" s="74"/>
      <c r="S1093" s="74"/>
      <c r="T1093" s="75"/>
      <c r="U1093" s="76"/>
      <c r="V1093" s="77"/>
      <c r="W1093" s="77"/>
      <c r="X1093" s="76"/>
      <c r="Y1093" s="76"/>
      <c r="Z1093" s="68"/>
      <c r="AA1093" s="68"/>
      <c r="AB1093" s="68"/>
      <c r="AC1093" s="68"/>
      <c r="AD1093" s="68"/>
      <c r="AE1093" s="68"/>
    </row>
    <row r="1094" spans="16:31" x14ac:dyDescent="0.2">
      <c r="P1094" s="68"/>
      <c r="Q1094" s="74"/>
      <c r="R1094" s="74"/>
      <c r="S1094" s="74"/>
      <c r="T1094" s="75"/>
      <c r="U1094" s="76"/>
      <c r="V1094" s="77"/>
      <c r="W1094" s="77"/>
      <c r="X1094" s="76"/>
      <c r="Y1094" s="76"/>
      <c r="Z1094" s="68"/>
      <c r="AA1094" s="68"/>
      <c r="AB1094" s="68"/>
      <c r="AC1094" s="68"/>
      <c r="AD1094" s="68"/>
      <c r="AE1094" s="68"/>
    </row>
    <row r="1095" spans="16:31" x14ac:dyDescent="0.2">
      <c r="P1095" s="68"/>
      <c r="Q1095" s="74"/>
      <c r="R1095" s="74"/>
      <c r="S1095" s="74"/>
      <c r="T1095" s="75"/>
      <c r="U1095" s="76"/>
      <c r="V1095" s="77"/>
      <c r="W1095" s="77"/>
      <c r="X1095" s="76"/>
      <c r="Y1095" s="76"/>
      <c r="Z1095" s="68"/>
      <c r="AA1095" s="68"/>
      <c r="AB1095" s="68"/>
      <c r="AC1095" s="68"/>
      <c r="AD1095" s="68"/>
      <c r="AE1095" s="68"/>
    </row>
    <row r="1096" spans="16:31" x14ac:dyDescent="0.2">
      <c r="P1096" s="68"/>
      <c r="Q1096" s="74"/>
      <c r="R1096" s="74"/>
      <c r="S1096" s="74"/>
      <c r="T1096" s="75"/>
      <c r="U1096" s="76"/>
      <c r="V1096" s="77"/>
      <c r="W1096" s="77"/>
      <c r="X1096" s="76"/>
      <c r="Y1096" s="76"/>
      <c r="Z1096" s="68"/>
      <c r="AA1096" s="68"/>
      <c r="AB1096" s="68"/>
      <c r="AC1096" s="68"/>
      <c r="AD1096" s="68"/>
      <c r="AE1096" s="68"/>
    </row>
    <row r="1097" spans="16:31" x14ac:dyDescent="0.2">
      <c r="P1097" s="68"/>
      <c r="Q1097" s="74"/>
      <c r="R1097" s="74"/>
      <c r="S1097" s="74"/>
      <c r="T1097" s="75"/>
      <c r="U1097" s="76"/>
      <c r="V1097" s="77"/>
      <c r="W1097" s="77"/>
      <c r="X1097" s="76"/>
      <c r="Y1097" s="76"/>
      <c r="Z1097" s="68"/>
      <c r="AA1097" s="68"/>
      <c r="AB1097" s="68"/>
      <c r="AC1097" s="68"/>
      <c r="AD1097" s="68"/>
      <c r="AE1097" s="68"/>
    </row>
    <row r="1098" spans="16:31" x14ac:dyDescent="0.2">
      <c r="P1098" s="68"/>
      <c r="Q1098" s="74"/>
      <c r="R1098" s="74"/>
      <c r="S1098" s="74"/>
      <c r="T1098" s="75"/>
      <c r="U1098" s="76"/>
      <c r="V1098" s="77"/>
      <c r="W1098" s="77"/>
      <c r="X1098" s="76"/>
      <c r="Y1098" s="76"/>
      <c r="Z1098" s="68"/>
      <c r="AA1098" s="68"/>
      <c r="AB1098" s="68"/>
      <c r="AC1098" s="68"/>
      <c r="AD1098" s="68"/>
      <c r="AE1098" s="68"/>
    </row>
    <row r="1099" spans="16:31" x14ac:dyDescent="0.2">
      <c r="P1099" s="68"/>
      <c r="Q1099" s="74"/>
      <c r="R1099" s="74"/>
      <c r="S1099" s="74"/>
      <c r="T1099" s="75"/>
      <c r="U1099" s="76"/>
      <c r="V1099" s="77"/>
      <c r="W1099" s="77"/>
      <c r="X1099" s="76"/>
      <c r="Y1099" s="76"/>
      <c r="Z1099" s="68"/>
      <c r="AA1099" s="68"/>
      <c r="AB1099" s="68"/>
      <c r="AC1099" s="68"/>
      <c r="AD1099" s="68"/>
      <c r="AE1099" s="68"/>
    </row>
    <row r="1100" spans="16:31" x14ac:dyDescent="0.2">
      <c r="P1100" s="68"/>
      <c r="Q1100" s="74"/>
      <c r="R1100" s="74"/>
      <c r="S1100" s="74"/>
      <c r="T1100" s="75"/>
      <c r="U1100" s="76"/>
      <c r="V1100" s="77"/>
      <c r="W1100" s="77"/>
      <c r="X1100" s="76"/>
      <c r="Y1100" s="76"/>
      <c r="Z1100" s="68"/>
      <c r="AA1100" s="68"/>
      <c r="AB1100" s="68"/>
      <c r="AC1100" s="68"/>
      <c r="AD1100" s="68"/>
      <c r="AE1100" s="68"/>
    </row>
    <row r="1101" spans="16:31" x14ac:dyDescent="0.2">
      <c r="P1101" s="68"/>
      <c r="Q1101" s="74"/>
      <c r="R1101" s="74"/>
      <c r="S1101" s="74"/>
      <c r="T1101" s="75"/>
      <c r="U1101" s="76"/>
      <c r="V1101" s="77"/>
      <c r="W1101" s="77"/>
      <c r="X1101" s="76"/>
      <c r="Y1101" s="76"/>
      <c r="Z1101" s="68"/>
      <c r="AA1101" s="68"/>
      <c r="AB1101" s="68"/>
      <c r="AC1101" s="68"/>
      <c r="AD1101" s="68"/>
      <c r="AE1101" s="68"/>
    </row>
    <row r="1102" spans="16:31" x14ac:dyDescent="0.2">
      <c r="P1102" s="68"/>
      <c r="Q1102" s="74"/>
      <c r="R1102" s="74"/>
      <c r="S1102" s="74"/>
      <c r="T1102" s="75"/>
      <c r="U1102" s="76"/>
      <c r="V1102" s="77"/>
      <c r="W1102" s="77"/>
      <c r="X1102" s="76"/>
      <c r="Y1102" s="76"/>
      <c r="Z1102" s="68"/>
      <c r="AA1102" s="68"/>
      <c r="AB1102" s="68"/>
      <c r="AC1102" s="68"/>
      <c r="AD1102" s="68"/>
      <c r="AE1102" s="68"/>
    </row>
    <row r="1103" spans="16:31" x14ac:dyDescent="0.2">
      <c r="P1103" s="68"/>
      <c r="Q1103" s="74"/>
      <c r="R1103" s="74"/>
      <c r="S1103" s="74"/>
      <c r="T1103" s="75"/>
      <c r="U1103" s="76"/>
      <c r="V1103" s="77"/>
      <c r="W1103" s="77"/>
      <c r="X1103" s="76"/>
      <c r="Y1103" s="76"/>
      <c r="Z1103" s="68"/>
      <c r="AA1103" s="68"/>
      <c r="AB1103" s="68"/>
      <c r="AC1103" s="68"/>
      <c r="AD1103" s="68"/>
      <c r="AE1103" s="68"/>
    </row>
    <row r="1104" spans="16:31" x14ac:dyDescent="0.2">
      <c r="P1104" s="68"/>
      <c r="Q1104" s="74"/>
      <c r="R1104" s="74"/>
      <c r="S1104" s="74"/>
      <c r="T1104" s="75"/>
      <c r="U1104" s="76"/>
      <c r="V1104" s="77"/>
      <c r="W1104" s="77"/>
      <c r="X1104" s="76"/>
      <c r="Y1104" s="76"/>
      <c r="Z1104" s="68"/>
      <c r="AA1104" s="68"/>
      <c r="AB1104" s="68"/>
      <c r="AC1104" s="68"/>
      <c r="AD1104" s="68"/>
      <c r="AE1104" s="68"/>
    </row>
    <row r="1105" spans="16:31" x14ac:dyDescent="0.2">
      <c r="P1105" s="68"/>
      <c r="Q1105" s="74"/>
      <c r="R1105" s="74"/>
      <c r="S1105" s="74"/>
      <c r="T1105" s="75"/>
      <c r="U1105" s="76"/>
      <c r="V1105" s="77"/>
      <c r="W1105" s="77"/>
      <c r="X1105" s="76"/>
      <c r="Y1105" s="76"/>
      <c r="Z1105" s="68"/>
      <c r="AA1105" s="68"/>
      <c r="AB1105" s="68"/>
      <c r="AC1105" s="68"/>
      <c r="AD1105" s="68"/>
      <c r="AE1105" s="68"/>
    </row>
    <row r="1106" spans="16:31" x14ac:dyDescent="0.2">
      <c r="P1106" s="68"/>
      <c r="Q1106" s="74"/>
      <c r="R1106" s="74"/>
      <c r="S1106" s="74"/>
      <c r="T1106" s="75"/>
      <c r="U1106" s="76"/>
      <c r="V1106" s="77"/>
      <c r="W1106" s="77"/>
      <c r="X1106" s="76"/>
      <c r="Y1106" s="76"/>
      <c r="Z1106" s="68"/>
      <c r="AA1106" s="68"/>
      <c r="AB1106" s="68"/>
      <c r="AC1106" s="68"/>
      <c r="AD1106" s="68"/>
      <c r="AE1106" s="68"/>
    </row>
    <row r="1107" spans="16:31" x14ac:dyDescent="0.2">
      <c r="P1107" s="68"/>
      <c r="Q1107" s="74"/>
      <c r="R1107" s="74"/>
      <c r="S1107" s="74"/>
      <c r="T1107" s="75"/>
      <c r="U1107" s="76"/>
      <c r="V1107" s="77"/>
      <c r="W1107" s="77"/>
      <c r="X1107" s="76"/>
      <c r="Y1107" s="76"/>
      <c r="Z1107" s="68"/>
      <c r="AA1107" s="68"/>
      <c r="AB1107" s="68"/>
      <c r="AC1107" s="68"/>
      <c r="AD1107" s="68"/>
      <c r="AE1107" s="68"/>
    </row>
    <row r="1108" spans="16:31" x14ac:dyDescent="0.2">
      <c r="P1108" s="68"/>
      <c r="Q1108" s="74"/>
      <c r="R1108" s="74"/>
      <c r="S1108" s="74"/>
      <c r="T1108" s="75"/>
      <c r="U1108" s="76"/>
      <c r="V1108" s="77"/>
      <c r="W1108" s="77"/>
      <c r="X1108" s="76"/>
      <c r="Y1108" s="76"/>
      <c r="Z1108" s="68"/>
      <c r="AA1108" s="68"/>
      <c r="AB1108" s="68"/>
      <c r="AC1108" s="68"/>
      <c r="AD1108" s="68"/>
      <c r="AE1108" s="68"/>
    </row>
    <row r="1109" spans="16:31" x14ac:dyDescent="0.2">
      <c r="P1109" s="68"/>
      <c r="Q1109" s="74"/>
      <c r="R1109" s="74"/>
      <c r="S1109" s="74"/>
      <c r="T1109" s="75"/>
      <c r="U1109" s="76"/>
      <c r="V1109" s="77"/>
      <c r="W1109" s="77"/>
      <c r="X1109" s="76"/>
      <c r="Y1109" s="76"/>
      <c r="Z1109" s="68"/>
      <c r="AA1109" s="68"/>
      <c r="AB1109" s="68"/>
      <c r="AC1109" s="68"/>
      <c r="AD1109" s="68"/>
      <c r="AE1109" s="68"/>
    </row>
    <row r="1110" spans="16:31" x14ac:dyDescent="0.2">
      <c r="P1110" s="68"/>
      <c r="Q1110" s="74"/>
      <c r="R1110" s="74"/>
      <c r="S1110" s="74"/>
      <c r="T1110" s="75"/>
      <c r="U1110" s="76"/>
      <c r="V1110" s="77"/>
      <c r="W1110" s="77"/>
      <c r="X1110" s="76"/>
      <c r="Y1110" s="76"/>
      <c r="Z1110" s="68"/>
      <c r="AA1110" s="68"/>
      <c r="AB1110" s="68"/>
      <c r="AC1110" s="68"/>
      <c r="AD1110" s="68"/>
      <c r="AE1110" s="68"/>
    </row>
    <row r="1111" spans="16:31" x14ac:dyDescent="0.2">
      <c r="P1111" s="68"/>
      <c r="Q1111" s="74"/>
      <c r="R1111" s="74"/>
      <c r="S1111" s="74"/>
      <c r="T1111" s="75"/>
      <c r="U1111" s="76"/>
      <c r="V1111" s="77"/>
      <c r="W1111" s="77"/>
      <c r="X1111" s="76"/>
      <c r="Y1111" s="76"/>
      <c r="Z1111" s="68"/>
      <c r="AA1111" s="68"/>
      <c r="AB1111" s="68"/>
      <c r="AC1111" s="68"/>
      <c r="AD1111" s="68"/>
      <c r="AE1111" s="68"/>
    </row>
    <row r="1112" spans="16:31" x14ac:dyDescent="0.2">
      <c r="P1112" s="68"/>
      <c r="Q1112" s="74"/>
      <c r="R1112" s="74"/>
      <c r="S1112" s="74"/>
      <c r="T1112" s="75"/>
      <c r="U1112" s="76"/>
      <c r="V1112" s="77"/>
      <c r="W1112" s="77"/>
      <c r="X1112" s="76"/>
      <c r="Y1112" s="76"/>
      <c r="Z1112" s="68"/>
      <c r="AA1112" s="68"/>
      <c r="AB1112" s="68"/>
      <c r="AC1112" s="68"/>
      <c r="AD1112" s="68"/>
      <c r="AE1112" s="68"/>
    </row>
    <row r="1113" spans="16:31" x14ac:dyDescent="0.2">
      <c r="P1113" s="68"/>
      <c r="Q1113" s="74"/>
      <c r="R1113" s="74"/>
      <c r="S1113" s="74"/>
      <c r="T1113" s="75"/>
      <c r="U1113" s="76"/>
      <c r="V1113" s="77"/>
      <c r="W1113" s="77"/>
      <c r="X1113" s="76"/>
      <c r="Y1113" s="76"/>
      <c r="Z1113" s="68"/>
      <c r="AA1113" s="68"/>
      <c r="AB1113" s="68"/>
      <c r="AC1113" s="68"/>
      <c r="AD1113" s="68"/>
      <c r="AE1113" s="68"/>
    </row>
    <row r="1114" spans="16:31" x14ac:dyDescent="0.2">
      <c r="P1114" s="68"/>
      <c r="Q1114" s="74"/>
      <c r="R1114" s="74"/>
      <c r="S1114" s="74"/>
      <c r="T1114" s="75"/>
      <c r="U1114" s="76"/>
      <c r="V1114" s="77"/>
      <c r="W1114" s="77"/>
      <c r="X1114" s="76"/>
      <c r="Y1114" s="76"/>
      <c r="Z1114" s="68"/>
      <c r="AA1114" s="68"/>
      <c r="AB1114" s="68"/>
      <c r="AC1114" s="68"/>
      <c r="AD1114" s="68"/>
      <c r="AE1114" s="68"/>
    </row>
    <row r="1115" spans="16:31" x14ac:dyDescent="0.2">
      <c r="P1115" s="68"/>
      <c r="Q1115" s="74"/>
      <c r="R1115" s="74"/>
      <c r="S1115" s="74"/>
      <c r="T1115" s="75"/>
      <c r="U1115" s="76"/>
      <c r="V1115" s="77"/>
      <c r="W1115" s="77"/>
      <c r="X1115" s="76"/>
      <c r="Y1115" s="76"/>
      <c r="Z1115" s="68"/>
      <c r="AA1115" s="68"/>
      <c r="AB1115" s="68"/>
      <c r="AC1115" s="68"/>
      <c r="AD1115" s="68"/>
      <c r="AE1115" s="68"/>
    </row>
    <row r="1116" spans="16:31" x14ac:dyDescent="0.2">
      <c r="P1116" s="68"/>
      <c r="Q1116" s="74"/>
      <c r="R1116" s="74"/>
      <c r="S1116" s="74"/>
      <c r="T1116" s="75"/>
      <c r="U1116" s="76"/>
      <c r="V1116" s="77"/>
      <c r="W1116" s="77"/>
      <c r="X1116" s="76"/>
      <c r="Y1116" s="76"/>
      <c r="Z1116" s="68"/>
      <c r="AA1116" s="68"/>
      <c r="AB1116" s="68"/>
      <c r="AC1116" s="68"/>
      <c r="AD1116" s="68"/>
      <c r="AE1116" s="68"/>
    </row>
    <row r="1117" spans="16:31" x14ac:dyDescent="0.2">
      <c r="P1117" s="68"/>
      <c r="Q1117" s="74"/>
      <c r="R1117" s="74"/>
      <c r="S1117" s="74"/>
      <c r="T1117" s="75"/>
      <c r="U1117" s="76"/>
      <c r="V1117" s="77"/>
      <c r="W1117" s="77"/>
      <c r="X1117" s="76"/>
      <c r="Y1117" s="76"/>
      <c r="Z1117" s="68"/>
      <c r="AA1117" s="68"/>
      <c r="AB1117" s="68"/>
      <c r="AC1117" s="68"/>
      <c r="AD1117" s="68"/>
      <c r="AE1117" s="68"/>
    </row>
    <row r="1118" spans="16:31" x14ac:dyDescent="0.2">
      <c r="P1118" s="68"/>
      <c r="Q1118" s="74"/>
      <c r="R1118" s="74"/>
      <c r="S1118" s="74"/>
      <c r="T1118" s="75"/>
      <c r="U1118" s="76"/>
      <c r="V1118" s="77"/>
      <c r="W1118" s="77"/>
      <c r="X1118" s="76"/>
      <c r="Y1118" s="76"/>
      <c r="Z1118" s="68"/>
      <c r="AA1118" s="68"/>
      <c r="AB1118" s="68"/>
      <c r="AC1118" s="68"/>
      <c r="AD1118" s="68"/>
      <c r="AE1118" s="68"/>
    </row>
    <row r="1119" spans="16:31" x14ac:dyDescent="0.2">
      <c r="P1119" s="68"/>
      <c r="Q1119" s="74"/>
      <c r="R1119" s="74"/>
      <c r="S1119" s="74"/>
      <c r="T1119" s="75"/>
      <c r="U1119" s="76"/>
      <c r="V1119" s="77"/>
      <c r="W1119" s="77"/>
      <c r="X1119" s="76"/>
      <c r="Y1119" s="76"/>
      <c r="Z1119" s="68"/>
      <c r="AA1119" s="68"/>
      <c r="AB1119" s="68"/>
      <c r="AC1119" s="68"/>
      <c r="AD1119" s="68"/>
      <c r="AE1119" s="68"/>
    </row>
    <row r="1120" spans="16:31" x14ac:dyDescent="0.2">
      <c r="P1120" s="68"/>
      <c r="Q1120" s="74"/>
      <c r="R1120" s="74"/>
      <c r="S1120" s="74"/>
      <c r="T1120" s="75"/>
      <c r="U1120" s="76"/>
      <c r="V1120" s="77"/>
      <c r="W1120" s="77"/>
      <c r="X1120" s="76"/>
      <c r="Y1120" s="76"/>
      <c r="Z1120" s="68"/>
      <c r="AA1120" s="68"/>
      <c r="AB1120" s="68"/>
      <c r="AC1120" s="68"/>
      <c r="AD1120" s="68"/>
      <c r="AE1120" s="68"/>
    </row>
    <row r="1121" spans="16:31" x14ac:dyDescent="0.2">
      <c r="P1121" s="68"/>
      <c r="Q1121" s="74"/>
      <c r="R1121" s="74"/>
      <c r="S1121" s="74"/>
      <c r="T1121" s="75"/>
      <c r="U1121" s="76"/>
      <c r="V1121" s="77"/>
      <c r="W1121" s="77"/>
      <c r="X1121" s="76"/>
      <c r="Y1121" s="76"/>
      <c r="Z1121" s="68"/>
      <c r="AA1121" s="68"/>
      <c r="AB1121" s="68"/>
      <c r="AC1121" s="68"/>
      <c r="AD1121" s="68"/>
      <c r="AE1121" s="68"/>
    </row>
    <row r="1122" spans="16:31" x14ac:dyDescent="0.2">
      <c r="P1122" s="68"/>
      <c r="Q1122" s="74"/>
      <c r="R1122" s="74"/>
      <c r="S1122" s="74"/>
      <c r="T1122" s="75"/>
      <c r="U1122" s="76"/>
      <c r="V1122" s="77"/>
      <c r="W1122" s="77"/>
      <c r="X1122" s="76"/>
      <c r="Y1122" s="76"/>
      <c r="Z1122" s="68"/>
      <c r="AA1122" s="68"/>
      <c r="AB1122" s="68"/>
      <c r="AC1122" s="68"/>
      <c r="AD1122" s="68"/>
      <c r="AE1122" s="68"/>
    </row>
    <row r="1123" spans="16:31" x14ac:dyDescent="0.2">
      <c r="P1123" s="68"/>
      <c r="Q1123" s="74"/>
      <c r="R1123" s="74"/>
      <c r="S1123" s="74"/>
      <c r="T1123" s="75"/>
      <c r="U1123" s="76"/>
      <c r="V1123" s="77"/>
      <c r="W1123" s="77"/>
      <c r="X1123" s="76"/>
      <c r="Y1123" s="76"/>
      <c r="Z1123" s="68"/>
      <c r="AA1123" s="68"/>
      <c r="AB1123" s="68"/>
      <c r="AC1123" s="68"/>
      <c r="AD1123" s="68"/>
      <c r="AE1123" s="68"/>
    </row>
    <row r="1124" spans="16:31" x14ac:dyDescent="0.2">
      <c r="P1124" s="68"/>
      <c r="Q1124" s="74"/>
      <c r="R1124" s="74"/>
      <c r="S1124" s="74"/>
      <c r="T1124" s="75"/>
      <c r="U1124" s="76"/>
      <c r="V1124" s="77"/>
      <c r="W1124" s="77"/>
      <c r="X1124" s="76"/>
      <c r="Y1124" s="76"/>
      <c r="Z1124" s="68"/>
      <c r="AA1124" s="68"/>
      <c r="AB1124" s="68"/>
      <c r="AC1124" s="68"/>
      <c r="AD1124" s="68"/>
      <c r="AE1124" s="68"/>
    </row>
    <row r="1125" spans="16:31" x14ac:dyDescent="0.2">
      <c r="P1125" s="68"/>
      <c r="Q1125" s="74"/>
      <c r="R1125" s="74"/>
      <c r="S1125" s="74"/>
      <c r="T1125" s="75"/>
      <c r="U1125" s="76"/>
      <c r="V1125" s="77"/>
      <c r="W1125" s="77"/>
      <c r="X1125" s="76"/>
      <c r="Y1125" s="76"/>
      <c r="Z1125" s="68"/>
      <c r="AA1125" s="68"/>
      <c r="AB1125" s="68"/>
      <c r="AC1125" s="68"/>
      <c r="AD1125" s="68"/>
      <c r="AE1125" s="68"/>
    </row>
    <row r="1126" spans="16:31" x14ac:dyDescent="0.2">
      <c r="P1126" s="68"/>
      <c r="Q1126" s="74"/>
      <c r="R1126" s="74"/>
      <c r="S1126" s="74"/>
      <c r="T1126" s="75"/>
      <c r="U1126" s="76"/>
      <c r="V1126" s="77"/>
      <c r="W1126" s="77"/>
      <c r="X1126" s="76"/>
      <c r="Y1126" s="76"/>
      <c r="Z1126" s="68"/>
      <c r="AA1126" s="68"/>
      <c r="AB1126" s="68"/>
      <c r="AC1126" s="68"/>
      <c r="AD1126" s="68"/>
      <c r="AE1126" s="68"/>
    </row>
    <row r="1127" spans="16:31" x14ac:dyDescent="0.2">
      <c r="P1127" s="68"/>
      <c r="Q1127" s="74"/>
      <c r="R1127" s="74"/>
      <c r="S1127" s="74"/>
      <c r="T1127" s="75"/>
      <c r="U1127" s="76"/>
      <c r="V1127" s="77"/>
      <c r="W1127" s="77"/>
      <c r="X1127" s="76"/>
      <c r="Y1127" s="76"/>
      <c r="Z1127" s="68"/>
      <c r="AA1127" s="68"/>
      <c r="AB1127" s="68"/>
      <c r="AC1127" s="68"/>
      <c r="AD1127" s="68"/>
      <c r="AE1127" s="68"/>
    </row>
    <row r="1128" spans="16:31" x14ac:dyDescent="0.2">
      <c r="P1128" s="68"/>
      <c r="Q1128" s="74"/>
      <c r="R1128" s="74"/>
      <c r="S1128" s="74"/>
      <c r="T1128" s="75"/>
      <c r="U1128" s="76"/>
      <c r="V1128" s="77"/>
      <c r="W1128" s="77"/>
      <c r="X1128" s="76"/>
      <c r="Y1128" s="76"/>
      <c r="Z1128" s="68"/>
      <c r="AA1128" s="68"/>
      <c r="AB1128" s="68"/>
      <c r="AC1128" s="68"/>
      <c r="AD1128" s="68"/>
      <c r="AE1128" s="68"/>
    </row>
    <row r="1129" spans="16:31" x14ac:dyDescent="0.2">
      <c r="P1129" s="68"/>
      <c r="Q1129" s="74"/>
      <c r="R1129" s="74"/>
      <c r="S1129" s="74"/>
      <c r="T1129" s="75"/>
      <c r="U1129" s="76"/>
      <c r="V1129" s="77"/>
      <c r="W1129" s="77"/>
      <c r="X1129" s="76"/>
      <c r="Y1129" s="76"/>
      <c r="Z1129" s="68"/>
      <c r="AA1129" s="68"/>
      <c r="AB1129" s="68"/>
      <c r="AC1129" s="68"/>
      <c r="AD1129" s="68"/>
      <c r="AE1129" s="68"/>
    </row>
    <row r="1130" spans="16:31" x14ac:dyDescent="0.2">
      <c r="P1130" s="68"/>
      <c r="Q1130" s="74"/>
      <c r="R1130" s="74"/>
      <c r="S1130" s="74"/>
      <c r="T1130" s="75"/>
      <c r="U1130" s="76"/>
      <c r="V1130" s="77"/>
      <c r="W1130" s="77"/>
      <c r="X1130" s="76"/>
      <c r="Y1130" s="76"/>
      <c r="Z1130" s="68"/>
      <c r="AA1130" s="68"/>
      <c r="AB1130" s="68"/>
      <c r="AC1130" s="68"/>
      <c r="AD1130" s="68"/>
      <c r="AE1130" s="68"/>
    </row>
    <row r="1131" spans="16:31" x14ac:dyDescent="0.2">
      <c r="P1131" s="68"/>
      <c r="Q1131" s="74"/>
      <c r="R1131" s="74"/>
      <c r="S1131" s="74"/>
      <c r="T1131" s="75"/>
      <c r="U1131" s="76"/>
      <c r="V1131" s="77"/>
      <c r="W1131" s="77"/>
      <c r="X1131" s="76"/>
      <c r="Y1131" s="76"/>
      <c r="Z1131" s="68"/>
      <c r="AA1131" s="68"/>
      <c r="AB1131" s="68"/>
      <c r="AC1131" s="68"/>
      <c r="AD1131" s="68"/>
      <c r="AE1131" s="68"/>
    </row>
    <row r="1132" spans="16:31" x14ac:dyDescent="0.2">
      <c r="P1132" s="68"/>
      <c r="Q1132" s="74"/>
      <c r="R1132" s="74"/>
      <c r="S1132" s="74"/>
      <c r="T1132" s="75"/>
      <c r="U1132" s="76"/>
      <c r="V1132" s="77"/>
      <c r="W1132" s="77"/>
      <c r="X1132" s="76"/>
      <c r="Y1132" s="76"/>
      <c r="Z1132" s="68"/>
      <c r="AA1132" s="68"/>
      <c r="AB1132" s="68"/>
      <c r="AC1132" s="68"/>
      <c r="AD1132" s="68"/>
      <c r="AE1132" s="68"/>
    </row>
    <row r="1133" spans="16:31" x14ac:dyDescent="0.2">
      <c r="P1133" s="68"/>
      <c r="Q1133" s="74"/>
      <c r="R1133" s="74"/>
      <c r="S1133" s="74"/>
      <c r="T1133" s="75"/>
      <c r="U1133" s="76"/>
      <c r="V1133" s="77"/>
      <c r="W1133" s="77"/>
      <c r="X1133" s="76"/>
      <c r="Y1133" s="76"/>
      <c r="Z1133" s="68"/>
      <c r="AA1133" s="68"/>
      <c r="AB1133" s="68"/>
      <c r="AC1133" s="68"/>
      <c r="AD1133" s="68"/>
      <c r="AE1133" s="68"/>
    </row>
    <row r="1134" spans="16:31" x14ac:dyDescent="0.2">
      <c r="P1134" s="68"/>
      <c r="Q1134" s="74"/>
      <c r="R1134" s="74"/>
      <c r="S1134" s="74"/>
      <c r="T1134" s="75"/>
      <c r="U1134" s="76"/>
      <c r="V1134" s="77"/>
      <c r="W1134" s="77"/>
      <c r="X1134" s="76"/>
      <c r="Y1134" s="76"/>
      <c r="Z1134" s="68"/>
      <c r="AA1134" s="68"/>
      <c r="AB1134" s="68"/>
      <c r="AC1134" s="68"/>
      <c r="AD1134" s="68"/>
      <c r="AE1134" s="68"/>
    </row>
    <row r="1135" spans="16:31" x14ac:dyDescent="0.2">
      <c r="P1135" s="68"/>
      <c r="Q1135" s="74"/>
      <c r="R1135" s="74"/>
      <c r="S1135" s="74"/>
      <c r="T1135" s="75"/>
      <c r="U1135" s="76"/>
      <c r="V1135" s="77"/>
      <c r="W1135" s="77"/>
      <c r="X1135" s="76"/>
      <c r="Y1135" s="76"/>
      <c r="Z1135" s="68"/>
      <c r="AA1135" s="68"/>
      <c r="AB1135" s="68"/>
      <c r="AC1135" s="68"/>
      <c r="AD1135" s="68"/>
      <c r="AE1135" s="68"/>
    </row>
    <row r="1136" spans="16:31" x14ac:dyDescent="0.2">
      <c r="P1136" s="68"/>
      <c r="Q1136" s="74"/>
      <c r="R1136" s="74"/>
      <c r="S1136" s="74"/>
      <c r="T1136" s="75"/>
      <c r="U1136" s="76"/>
      <c r="V1136" s="77"/>
      <c r="W1136" s="77"/>
      <c r="X1136" s="76"/>
      <c r="Y1136" s="76"/>
      <c r="Z1136" s="68"/>
      <c r="AA1136" s="68"/>
      <c r="AB1136" s="68"/>
      <c r="AC1136" s="68"/>
      <c r="AD1136" s="68"/>
      <c r="AE1136" s="68"/>
    </row>
    <row r="1137" spans="16:31" x14ac:dyDescent="0.2">
      <c r="P1137" s="68"/>
      <c r="Q1137" s="74"/>
      <c r="R1137" s="74"/>
      <c r="S1137" s="74"/>
      <c r="T1137" s="75"/>
      <c r="U1137" s="76"/>
      <c r="V1137" s="77"/>
      <c r="W1137" s="77"/>
      <c r="X1137" s="76"/>
      <c r="Y1137" s="76"/>
      <c r="Z1137" s="68"/>
      <c r="AA1137" s="68"/>
      <c r="AB1137" s="68"/>
      <c r="AC1137" s="68"/>
      <c r="AD1137" s="68"/>
      <c r="AE1137" s="68"/>
    </row>
    <row r="1138" spans="16:31" x14ac:dyDescent="0.2">
      <c r="P1138" s="68"/>
      <c r="Q1138" s="74"/>
      <c r="R1138" s="74"/>
      <c r="S1138" s="74"/>
      <c r="T1138" s="75"/>
      <c r="U1138" s="76"/>
      <c r="V1138" s="77"/>
      <c r="W1138" s="77"/>
      <c r="X1138" s="76"/>
      <c r="Y1138" s="76"/>
      <c r="Z1138" s="68"/>
      <c r="AA1138" s="68"/>
      <c r="AB1138" s="68"/>
      <c r="AC1138" s="68"/>
      <c r="AD1138" s="68"/>
      <c r="AE1138" s="68"/>
    </row>
    <row r="1139" spans="16:31" x14ac:dyDescent="0.2">
      <c r="P1139" s="68"/>
      <c r="Q1139" s="74"/>
      <c r="R1139" s="74"/>
      <c r="S1139" s="74"/>
      <c r="T1139" s="75"/>
      <c r="U1139" s="76"/>
      <c r="V1139" s="77"/>
      <c r="W1139" s="77"/>
      <c r="X1139" s="76"/>
      <c r="Y1139" s="76"/>
      <c r="Z1139" s="68"/>
      <c r="AA1139" s="68"/>
      <c r="AB1139" s="68"/>
      <c r="AC1139" s="68"/>
      <c r="AD1139" s="68"/>
      <c r="AE1139" s="68"/>
    </row>
    <row r="1140" spans="16:31" x14ac:dyDescent="0.2">
      <c r="P1140" s="68"/>
      <c r="Q1140" s="74"/>
      <c r="R1140" s="74"/>
      <c r="S1140" s="74"/>
      <c r="T1140" s="75"/>
      <c r="U1140" s="76"/>
      <c r="V1140" s="77"/>
      <c r="W1140" s="77"/>
      <c r="X1140" s="76"/>
      <c r="Y1140" s="76"/>
      <c r="Z1140" s="68"/>
      <c r="AA1140" s="68"/>
      <c r="AB1140" s="68"/>
      <c r="AC1140" s="68"/>
      <c r="AD1140" s="68"/>
      <c r="AE1140" s="68"/>
    </row>
    <row r="1141" spans="16:31" x14ac:dyDescent="0.2">
      <c r="P1141" s="68"/>
      <c r="Q1141" s="74"/>
      <c r="R1141" s="74"/>
      <c r="S1141" s="74"/>
      <c r="T1141" s="75"/>
      <c r="U1141" s="76"/>
      <c r="V1141" s="77"/>
      <c r="W1141" s="77"/>
      <c r="X1141" s="76"/>
      <c r="Y1141" s="76"/>
      <c r="Z1141" s="68"/>
      <c r="AA1141" s="68"/>
      <c r="AB1141" s="68"/>
      <c r="AC1141" s="68"/>
      <c r="AD1141" s="68"/>
      <c r="AE1141" s="68"/>
    </row>
    <row r="1142" spans="16:31" x14ac:dyDescent="0.2">
      <c r="P1142" s="68"/>
      <c r="Q1142" s="74"/>
      <c r="R1142" s="74"/>
      <c r="S1142" s="74"/>
      <c r="T1142" s="75"/>
      <c r="U1142" s="76"/>
      <c r="V1142" s="77"/>
      <c r="W1142" s="77"/>
      <c r="X1142" s="76"/>
      <c r="Y1142" s="76"/>
      <c r="Z1142" s="68"/>
      <c r="AA1142" s="68"/>
      <c r="AB1142" s="68"/>
      <c r="AC1142" s="68"/>
      <c r="AD1142" s="68"/>
      <c r="AE1142" s="68"/>
    </row>
    <row r="1143" spans="16:31" x14ac:dyDescent="0.2">
      <c r="P1143" s="68"/>
      <c r="Q1143" s="74"/>
      <c r="R1143" s="74"/>
      <c r="S1143" s="74"/>
      <c r="T1143" s="75"/>
      <c r="U1143" s="76"/>
      <c r="V1143" s="77"/>
      <c r="W1143" s="77"/>
      <c r="X1143" s="76"/>
      <c r="Y1143" s="76"/>
      <c r="Z1143" s="68"/>
      <c r="AA1143" s="68"/>
      <c r="AB1143" s="68"/>
      <c r="AC1143" s="68"/>
      <c r="AD1143" s="68"/>
      <c r="AE1143" s="68"/>
    </row>
    <row r="1144" spans="16:31" x14ac:dyDescent="0.2">
      <c r="P1144" s="68"/>
      <c r="Q1144" s="74"/>
      <c r="R1144" s="74"/>
      <c r="S1144" s="74"/>
      <c r="T1144" s="75"/>
      <c r="U1144" s="76"/>
      <c r="V1144" s="77"/>
      <c r="W1144" s="77"/>
      <c r="X1144" s="76"/>
      <c r="Y1144" s="76"/>
      <c r="Z1144" s="68"/>
      <c r="AA1144" s="68"/>
      <c r="AB1144" s="68"/>
      <c r="AC1144" s="68"/>
      <c r="AD1144" s="68"/>
      <c r="AE1144" s="68"/>
    </row>
    <row r="1145" spans="16:31" x14ac:dyDescent="0.2">
      <c r="P1145" s="68"/>
      <c r="Q1145" s="74"/>
      <c r="R1145" s="74"/>
      <c r="S1145" s="74"/>
      <c r="T1145" s="75"/>
      <c r="U1145" s="76"/>
      <c r="V1145" s="77"/>
      <c r="W1145" s="77"/>
      <c r="X1145" s="76"/>
      <c r="Y1145" s="76"/>
      <c r="Z1145" s="68"/>
      <c r="AA1145" s="68"/>
      <c r="AB1145" s="68"/>
      <c r="AC1145" s="68"/>
      <c r="AD1145" s="68"/>
      <c r="AE1145" s="68"/>
    </row>
    <row r="1146" spans="16:31" x14ac:dyDescent="0.2">
      <c r="P1146" s="68"/>
      <c r="Q1146" s="74"/>
      <c r="R1146" s="74"/>
      <c r="S1146" s="74"/>
      <c r="T1146" s="75"/>
      <c r="U1146" s="76"/>
      <c r="V1146" s="77"/>
      <c r="W1146" s="77"/>
      <c r="X1146" s="76"/>
      <c r="Y1146" s="76"/>
      <c r="Z1146" s="68"/>
      <c r="AA1146" s="68"/>
      <c r="AB1146" s="68"/>
      <c r="AC1146" s="68"/>
      <c r="AD1146" s="68"/>
      <c r="AE1146" s="68"/>
    </row>
    <row r="1147" spans="16:31" x14ac:dyDescent="0.2">
      <c r="P1147" s="68"/>
      <c r="Q1147" s="74"/>
      <c r="R1147" s="74"/>
      <c r="S1147" s="74"/>
      <c r="T1147" s="75"/>
      <c r="U1147" s="76"/>
      <c r="V1147" s="77"/>
      <c r="W1147" s="77"/>
      <c r="X1147" s="76"/>
      <c r="Y1147" s="76"/>
      <c r="Z1147" s="68"/>
      <c r="AA1147" s="68"/>
      <c r="AB1147" s="68"/>
      <c r="AC1147" s="68"/>
      <c r="AD1147" s="68"/>
      <c r="AE1147" s="68"/>
    </row>
    <row r="1148" spans="16:31" x14ac:dyDescent="0.2">
      <c r="P1148" s="68"/>
      <c r="Q1148" s="74"/>
      <c r="R1148" s="74"/>
      <c r="S1148" s="74"/>
      <c r="T1148" s="75"/>
      <c r="U1148" s="76"/>
      <c r="V1148" s="77"/>
      <c r="W1148" s="77"/>
      <c r="X1148" s="76"/>
      <c r="Y1148" s="76"/>
      <c r="Z1148" s="68"/>
      <c r="AA1148" s="68"/>
      <c r="AB1148" s="68"/>
      <c r="AC1148" s="68"/>
      <c r="AD1148" s="68"/>
      <c r="AE1148" s="68"/>
    </row>
    <row r="1149" spans="16:31" x14ac:dyDescent="0.2">
      <c r="P1149" s="68"/>
      <c r="Q1149" s="74"/>
      <c r="R1149" s="74"/>
      <c r="S1149" s="74"/>
      <c r="T1149" s="75"/>
      <c r="U1149" s="76"/>
      <c r="V1149" s="77"/>
      <c r="W1149" s="77"/>
      <c r="X1149" s="76"/>
      <c r="Y1149" s="76"/>
      <c r="Z1149" s="68"/>
      <c r="AA1149" s="68"/>
      <c r="AB1149" s="68"/>
      <c r="AC1149" s="68"/>
      <c r="AD1149" s="68"/>
      <c r="AE1149" s="68"/>
    </row>
    <row r="1150" spans="16:31" x14ac:dyDescent="0.2">
      <c r="P1150" s="68"/>
      <c r="Q1150" s="74"/>
      <c r="R1150" s="74"/>
      <c r="S1150" s="74"/>
      <c r="T1150" s="75"/>
      <c r="U1150" s="76"/>
      <c r="V1150" s="77"/>
      <c r="W1150" s="77"/>
      <c r="X1150" s="76"/>
      <c r="Y1150" s="76"/>
      <c r="Z1150" s="68"/>
      <c r="AA1150" s="68"/>
      <c r="AB1150" s="68"/>
      <c r="AC1150" s="68"/>
      <c r="AD1150" s="68"/>
      <c r="AE1150" s="68"/>
    </row>
    <row r="1151" spans="16:31" x14ac:dyDescent="0.2">
      <c r="P1151" s="68"/>
      <c r="Q1151" s="74"/>
      <c r="R1151" s="74"/>
      <c r="S1151" s="74"/>
      <c r="T1151" s="75"/>
      <c r="U1151" s="76"/>
      <c r="V1151" s="77"/>
      <c r="W1151" s="77"/>
      <c r="X1151" s="76"/>
      <c r="Y1151" s="76"/>
      <c r="Z1151" s="68"/>
      <c r="AA1151" s="68"/>
      <c r="AB1151" s="68"/>
      <c r="AC1151" s="68"/>
      <c r="AD1151" s="68"/>
      <c r="AE1151" s="68"/>
    </row>
    <row r="1152" spans="16:31" x14ac:dyDescent="0.2">
      <c r="P1152" s="68"/>
      <c r="Q1152" s="74"/>
      <c r="R1152" s="74"/>
      <c r="S1152" s="74"/>
      <c r="T1152" s="75"/>
      <c r="U1152" s="76"/>
      <c r="V1152" s="77"/>
      <c r="W1152" s="77"/>
      <c r="X1152" s="76"/>
      <c r="Y1152" s="76"/>
      <c r="Z1152" s="68"/>
      <c r="AA1152" s="68"/>
      <c r="AB1152" s="68"/>
      <c r="AC1152" s="68"/>
      <c r="AD1152" s="68"/>
      <c r="AE1152" s="68"/>
    </row>
    <row r="1153" spans="16:31" x14ac:dyDescent="0.2">
      <c r="P1153" s="68"/>
      <c r="Q1153" s="74"/>
      <c r="R1153" s="74"/>
      <c r="S1153" s="74"/>
      <c r="T1153" s="75"/>
      <c r="U1153" s="76"/>
      <c r="V1153" s="77"/>
      <c r="W1153" s="77"/>
      <c r="X1153" s="76"/>
      <c r="Y1153" s="76"/>
      <c r="Z1153" s="68"/>
      <c r="AA1153" s="68"/>
      <c r="AB1153" s="68"/>
      <c r="AC1153" s="68"/>
      <c r="AD1153" s="68"/>
      <c r="AE1153" s="68"/>
    </row>
    <row r="1154" spans="16:31" x14ac:dyDescent="0.2">
      <c r="P1154" s="68"/>
      <c r="Q1154" s="74"/>
      <c r="R1154" s="74"/>
      <c r="S1154" s="74"/>
      <c r="T1154" s="75"/>
      <c r="U1154" s="76"/>
      <c r="V1154" s="77"/>
      <c r="W1154" s="77"/>
      <c r="X1154" s="76"/>
      <c r="Y1154" s="76"/>
      <c r="Z1154" s="68"/>
      <c r="AA1154" s="68"/>
      <c r="AB1154" s="68"/>
      <c r="AC1154" s="68"/>
      <c r="AD1154" s="68"/>
      <c r="AE1154" s="68"/>
    </row>
    <row r="1155" spans="16:31" x14ac:dyDescent="0.2">
      <c r="P1155" s="68"/>
      <c r="Q1155" s="74"/>
      <c r="R1155" s="74"/>
      <c r="S1155" s="74"/>
      <c r="T1155" s="75"/>
      <c r="U1155" s="76"/>
      <c r="V1155" s="77"/>
      <c r="W1155" s="77"/>
      <c r="X1155" s="76"/>
      <c r="Y1155" s="76"/>
      <c r="Z1155" s="68"/>
      <c r="AA1155" s="68"/>
      <c r="AB1155" s="68"/>
      <c r="AC1155" s="68"/>
      <c r="AD1155" s="68"/>
      <c r="AE1155" s="68"/>
    </row>
    <row r="1156" spans="16:31" x14ac:dyDescent="0.2">
      <c r="P1156" s="68"/>
      <c r="Q1156" s="74"/>
      <c r="R1156" s="74"/>
      <c r="S1156" s="74"/>
      <c r="T1156" s="75"/>
      <c r="U1156" s="76"/>
      <c r="V1156" s="77"/>
      <c r="W1156" s="77"/>
      <c r="X1156" s="76"/>
      <c r="Y1156" s="76"/>
      <c r="Z1156" s="68"/>
      <c r="AA1156" s="68"/>
      <c r="AB1156" s="68"/>
      <c r="AC1156" s="68"/>
      <c r="AD1156" s="68"/>
      <c r="AE1156" s="68"/>
    </row>
    <row r="1157" spans="16:31" x14ac:dyDescent="0.2">
      <c r="P1157" s="68"/>
      <c r="Q1157" s="74"/>
      <c r="R1157" s="74"/>
      <c r="S1157" s="74"/>
      <c r="T1157" s="75"/>
      <c r="U1157" s="76"/>
      <c r="V1157" s="77"/>
      <c r="W1157" s="77"/>
      <c r="X1157" s="76"/>
      <c r="Y1157" s="76"/>
      <c r="Z1157" s="68"/>
      <c r="AA1157" s="68"/>
      <c r="AB1157" s="68"/>
      <c r="AC1157" s="68"/>
      <c r="AD1157" s="68"/>
      <c r="AE1157" s="68"/>
    </row>
    <row r="1158" spans="16:31" x14ac:dyDescent="0.2">
      <c r="P1158" s="68"/>
      <c r="Q1158" s="74"/>
      <c r="R1158" s="74"/>
      <c r="S1158" s="74"/>
      <c r="T1158" s="75"/>
      <c r="U1158" s="76"/>
      <c r="V1158" s="77"/>
      <c r="W1158" s="77"/>
      <c r="X1158" s="76"/>
      <c r="Y1158" s="76"/>
      <c r="Z1158" s="68"/>
      <c r="AA1158" s="68"/>
      <c r="AB1158" s="68"/>
      <c r="AC1158" s="68"/>
      <c r="AD1158" s="68"/>
      <c r="AE1158" s="68"/>
    </row>
    <row r="1159" spans="16:31" x14ac:dyDescent="0.2">
      <c r="P1159" s="68"/>
      <c r="Q1159" s="74"/>
      <c r="R1159" s="74"/>
      <c r="S1159" s="74"/>
      <c r="T1159" s="75"/>
      <c r="U1159" s="76"/>
      <c r="V1159" s="77"/>
      <c r="W1159" s="77"/>
      <c r="X1159" s="76"/>
      <c r="Y1159" s="76"/>
      <c r="Z1159" s="68"/>
      <c r="AA1159" s="68"/>
      <c r="AB1159" s="68"/>
      <c r="AC1159" s="68"/>
      <c r="AD1159" s="68"/>
      <c r="AE1159" s="68"/>
    </row>
    <row r="1160" spans="16:31" x14ac:dyDescent="0.2">
      <c r="P1160" s="68"/>
      <c r="Q1160" s="74"/>
      <c r="R1160" s="74"/>
      <c r="S1160" s="74"/>
      <c r="T1160" s="75"/>
      <c r="U1160" s="76"/>
      <c r="V1160" s="77"/>
      <c r="W1160" s="77"/>
      <c r="X1160" s="76"/>
      <c r="Y1160" s="76"/>
      <c r="Z1160" s="68"/>
      <c r="AA1160" s="68"/>
      <c r="AB1160" s="68"/>
      <c r="AC1160" s="68"/>
      <c r="AD1160" s="68"/>
      <c r="AE1160" s="68"/>
    </row>
    <row r="1161" spans="16:31" x14ac:dyDescent="0.2">
      <c r="P1161" s="68"/>
      <c r="Q1161" s="74"/>
      <c r="R1161" s="74"/>
      <c r="S1161" s="74"/>
      <c r="T1161" s="75"/>
      <c r="U1161" s="76"/>
      <c r="V1161" s="77"/>
      <c r="W1161" s="77"/>
      <c r="X1161" s="76"/>
      <c r="Y1161" s="76"/>
      <c r="Z1161" s="68"/>
      <c r="AA1161" s="68"/>
      <c r="AB1161" s="68"/>
      <c r="AC1161" s="68"/>
      <c r="AD1161" s="68"/>
      <c r="AE1161" s="68"/>
    </row>
    <row r="1162" spans="16:31" x14ac:dyDescent="0.2">
      <c r="P1162" s="68"/>
      <c r="Q1162" s="74"/>
      <c r="R1162" s="74"/>
      <c r="S1162" s="74"/>
      <c r="T1162" s="75"/>
      <c r="U1162" s="76"/>
      <c r="V1162" s="77"/>
      <c r="W1162" s="77"/>
      <c r="X1162" s="76"/>
      <c r="Y1162" s="76"/>
      <c r="Z1162" s="68"/>
      <c r="AA1162" s="68"/>
      <c r="AB1162" s="68"/>
      <c r="AC1162" s="68"/>
      <c r="AD1162" s="68"/>
      <c r="AE1162" s="68"/>
    </row>
    <row r="1163" spans="16:31" x14ac:dyDescent="0.2">
      <c r="P1163" s="68"/>
      <c r="Q1163" s="74"/>
      <c r="R1163" s="74"/>
      <c r="S1163" s="74"/>
      <c r="T1163" s="75"/>
      <c r="U1163" s="76"/>
      <c r="V1163" s="77"/>
      <c r="W1163" s="77"/>
      <c r="X1163" s="76"/>
      <c r="Y1163" s="76"/>
      <c r="Z1163" s="68"/>
      <c r="AA1163" s="68"/>
      <c r="AB1163" s="68"/>
      <c r="AC1163" s="68"/>
      <c r="AD1163" s="68"/>
      <c r="AE1163" s="68"/>
    </row>
    <row r="1164" spans="16:31" x14ac:dyDescent="0.2">
      <c r="P1164" s="68"/>
      <c r="Q1164" s="74"/>
      <c r="R1164" s="74"/>
      <c r="S1164" s="74"/>
      <c r="T1164" s="75"/>
      <c r="U1164" s="76"/>
      <c r="V1164" s="77"/>
      <c r="W1164" s="77"/>
      <c r="X1164" s="76"/>
      <c r="Y1164" s="76"/>
      <c r="Z1164" s="68"/>
      <c r="AA1164" s="68"/>
      <c r="AB1164" s="68"/>
      <c r="AC1164" s="68"/>
      <c r="AD1164" s="68"/>
      <c r="AE1164" s="68"/>
    </row>
    <row r="1165" spans="16:31" x14ac:dyDescent="0.2">
      <c r="P1165" s="68"/>
      <c r="Q1165" s="74"/>
      <c r="R1165" s="74"/>
      <c r="S1165" s="74"/>
      <c r="T1165" s="75"/>
      <c r="U1165" s="76"/>
      <c r="V1165" s="77"/>
      <c r="W1165" s="77"/>
      <c r="X1165" s="76"/>
      <c r="Y1165" s="76"/>
      <c r="Z1165" s="68"/>
      <c r="AA1165" s="68"/>
      <c r="AB1165" s="68"/>
      <c r="AC1165" s="68"/>
      <c r="AD1165" s="68"/>
      <c r="AE1165" s="68"/>
    </row>
    <row r="1166" spans="16:31" x14ac:dyDescent="0.2">
      <c r="P1166" s="68"/>
      <c r="Q1166" s="74"/>
      <c r="R1166" s="74"/>
      <c r="S1166" s="74"/>
      <c r="T1166" s="75"/>
      <c r="U1166" s="76"/>
      <c r="V1166" s="77"/>
      <c r="W1166" s="77"/>
      <c r="X1166" s="76"/>
      <c r="Y1166" s="76"/>
      <c r="Z1166" s="68"/>
      <c r="AA1166" s="68"/>
      <c r="AB1166" s="68"/>
      <c r="AC1166" s="68"/>
      <c r="AD1166" s="68"/>
      <c r="AE1166" s="68"/>
    </row>
    <row r="1167" spans="16:31" x14ac:dyDescent="0.2">
      <c r="P1167" s="68"/>
      <c r="Q1167" s="74"/>
      <c r="R1167" s="74"/>
      <c r="S1167" s="74"/>
      <c r="T1167" s="75"/>
      <c r="U1167" s="76"/>
      <c r="V1167" s="77"/>
      <c r="W1167" s="77"/>
      <c r="X1167" s="76"/>
      <c r="Y1167" s="76"/>
      <c r="Z1167" s="68"/>
      <c r="AA1167" s="68"/>
      <c r="AB1167" s="68"/>
      <c r="AC1167" s="68"/>
      <c r="AD1167" s="68"/>
      <c r="AE1167" s="68"/>
    </row>
    <row r="1168" spans="16:31" x14ac:dyDescent="0.2">
      <c r="P1168" s="68"/>
      <c r="Q1168" s="74"/>
      <c r="R1168" s="74"/>
      <c r="S1168" s="74"/>
      <c r="T1168" s="75"/>
      <c r="U1168" s="76"/>
      <c r="V1168" s="77"/>
      <c r="W1168" s="77"/>
      <c r="X1168" s="76"/>
      <c r="Y1168" s="76"/>
      <c r="Z1168" s="68"/>
      <c r="AA1168" s="68"/>
      <c r="AB1168" s="68"/>
      <c r="AC1168" s="68"/>
      <c r="AD1168" s="68"/>
      <c r="AE1168" s="68"/>
    </row>
    <row r="1169" spans="16:31" x14ac:dyDescent="0.2">
      <c r="P1169" s="68"/>
      <c r="Q1169" s="74"/>
      <c r="R1169" s="74"/>
      <c r="S1169" s="74"/>
      <c r="T1169" s="75"/>
      <c r="U1169" s="76"/>
      <c r="V1169" s="77"/>
      <c r="W1169" s="77"/>
      <c r="X1169" s="76"/>
      <c r="Y1169" s="76"/>
      <c r="Z1169" s="68"/>
      <c r="AA1169" s="68"/>
      <c r="AB1169" s="68"/>
      <c r="AC1169" s="68"/>
      <c r="AD1169" s="68"/>
      <c r="AE1169" s="68"/>
    </row>
    <row r="1170" spans="16:31" x14ac:dyDescent="0.2">
      <c r="P1170" s="68"/>
      <c r="Q1170" s="74"/>
      <c r="R1170" s="74"/>
      <c r="S1170" s="74"/>
      <c r="T1170" s="75"/>
      <c r="U1170" s="76"/>
      <c r="V1170" s="77"/>
      <c r="W1170" s="77"/>
      <c r="X1170" s="76"/>
      <c r="Y1170" s="76"/>
      <c r="Z1170" s="68"/>
      <c r="AA1170" s="68"/>
      <c r="AB1170" s="68"/>
      <c r="AC1170" s="68"/>
      <c r="AD1170" s="68"/>
      <c r="AE1170" s="68"/>
    </row>
    <row r="1171" spans="16:31" x14ac:dyDescent="0.2">
      <c r="P1171" s="68"/>
      <c r="Q1171" s="74"/>
      <c r="R1171" s="74"/>
      <c r="S1171" s="74"/>
      <c r="T1171" s="75"/>
      <c r="U1171" s="76"/>
      <c r="V1171" s="77"/>
      <c r="W1171" s="77"/>
      <c r="X1171" s="76"/>
      <c r="Y1171" s="76"/>
      <c r="Z1171" s="68"/>
      <c r="AA1171" s="68"/>
      <c r="AB1171" s="68"/>
      <c r="AC1171" s="68"/>
      <c r="AD1171" s="68"/>
      <c r="AE1171" s="68"/>
    </row>
    <row r="1172" spans="16:31" x14ac:dyDescent="0.2">
      <c r="P1172" s="68"/>
      <c r="Q1172" s="74"/>
      <c r="R1172" s="74"/>
      <c r="S1172" s="74"/>
      <c r="T1172" s="75"/>
      <c r="U1172" s="76"/>
      <c r="V1172" s="77"/>
      <c r="W1172" s="77"/>
      <c r="X1172" s="76"/>
      <c r="Y1172" s="76"/>
      <c r="Z1172" s="68"/>
      <c r="AA1172" s="68"/>
      <c r="AB1172" s="68"/>
      <c r="AC1172" s="68"/>
      <c r="AD1172" s="68"/>
      <c r="AE1172" s="68"/>
    </row>
    <row r="1173" spans="16:31" x14ac:dyDescent="0.2">
      <c r="P1173" s="68"/>
      <c r="Q1173" s="74"/>
      <c r="R1173" s="74"/>
      <c r="S1173" s="74"/>
      <c r="T1173" s="75"/>
      <c r="U1173" s="76"/>
      <c r="V1173" s="77"/>
      <c r="W1173" s="77"/>
      <c r="X1173" s="76"/>
      <c r="Y1173" s="76"/>
      <c r="Z1173" s="68"/>
      <c r="AA1173" s="68"/>
      <c r="AB1173" s="68"/>
      <c r="AC1173" s="68"/>
      <c r="AD1173" s="68"/>
      <c r="AE1173" s="68"/>
    </row>
    <row r="1174" spans="16:31" x14ac:dyDescent="0.2">
      <c r="P1174" s="68"/>
      <c r="Q1174" s="74"/>
      <c r="R1174" s="74"/>
      <c r="S1174" s="74"/>
      <c r="T1174" s="75"/>
      <c r="U1174" s="76"/>
      <c r="V1174" s="77"/>
      <c r="W1174" s="77"/>
      <c r="X1174" s="76"/>
      <c r="Y1174" s="76"/>
      <c r="Z1174" s="68"/>
      <c r="AA1174" s="68"/>
      <c r="AB1174" s="68"/>
      <c r="AC1174" s="68"/>
      <c r="AD1174" s="68"/>
      <c r="AE1174" s="68"/>
    </row>
    <row r="1175" spans="16:31" x14ac:dyDescent="0.2">
      <c r="P1175" s="68"/>
      <c r="Q1175" s="74"/>
      <c r="R1175" s="74"/>
      <c r="S1175" s="74"/>
      <c r="T1175" s="75"/>
      <c r="U1175" s="76"/>
      <c r="V1175" s="77"/>
      <c r="W1175" s="77"/>
      <c r="X1175" s="76"/>
      <c r="Y1175" s="76"/>
      <c r="Z1175" s="68"/>
      <c r="AA1175" s="68"/>
      <c r="AB1175" s="68"/>
      <c r="AC1175" s="68"/>
      <c r="AD1175" s="68"/>
      <c r="AE1175" s="68"/>
    </row>
    <row r="1176" spans="16:31" x14ac:dyDescent="0.2">
      <c r="P1176" s="68"/>
      <c r="Q1176" s="74"/>
      <c r="R1176" s="74"/>
      <c r="S1176" s="74"/>
      <c r="T1176" s="75"/>
      <c r="U1176" s="76"/>
      <c r="V1176" s="77"/>
      <c r="W1176" s="77"/>
      <c r="X1176" s="76"/>
      <c r="Y1176" s="76"/>
      <c r="Z1176" s="68"/>
      <c r="AA1176" s="68"/>
      <c r="AB1176" s="68"/>
      <c r="AC1176" s="68"/>
      <c r="AD1176" s="68"/>
      <c r="AE1176" s="68"/>
    </row>
    <row r="1177" spans="16:31" x14ac:dyDescent="0.2">
      <c r="P1177" s="68"/>
      <c r="Q1177" s="74"/>
      <c r="R1177" s="74"/>
      <c r="S1177" s="74"/>
      <c r="T1177" s="75"/>
      <c r="U1177" s="76"/>
      <c r="V1177" s="77"/>
      <c r="W1177" s="77"/>
      <c r="X1177" s="76"/>
      <c r="Y1177" s="76"/>
      <c r="Z1177" s="68"/>
      <c r="AA1177" s="68"/>
      <c r="AB1177" s="68"/>
      <c r="AC1177" s="68"/>
      <c r="AD1177" s="68"/>
      <c r="AE1177" s="68"/>
    </row>
    <row r="1178" spans="16:31" x14ac:dyDescent="0.2">
      <c r="P1178" s="68"/>
      <c r="Q1178" s="74"/>
      <c r="R1178" s="74"/>
      <c r="S1178" s="74"/>
      <c r="T1178" s="75"/>
      <c r="U1178" s="76"/>
      <c r="V1178" s="77"/>
      <c r="W1178" s="77"/>
      <c r="X1178" s="76"/>
      <c r="Y1178" s="76"/>
      <c r="Z1178" s="68"/>
      <c r="AA1178" s="68"/>
      <c r="AB1178" s="68"/>
      <c r="AC1178" s="68"/>
      <c r="AD1178" s="68"/>
      <c r="AE1178" s="68"/>
    </row>
    <row r="1179" spans="16:31" x14ac:dyDescent="0.2">
      <c r="P1179" s="68"/>
      <c r="Q1179" s="74"/>
      <c r="R1179" s="74"/>
      <c r="S1179" s="74"/>
      <c r="T1179" s="75"/>
      <c r="U1179" s="76"/>
      <c r="V1179" s="77"/>
      <c r="W1179" s="77"/>
      <c r="X1179" s="76"/>
      <c r="Y1179" s="76"/>
      <c r="Z1179" s="68"/>
      <c r="AA1179" s="68"/>
      <c r="AB1179" s="68"/>
      <c r="AC1179" s="68"/>
      <c r="AD1179" s="68"/>
      <c r="AE1179" s="68"/>
    </row>
    <row r="1180" spans="16:31" x14ac:dyDescent="0.2">
      <c r="P1180" s="68"/>
      <c r="Q1180" s="74"/>
      <c r="R1180" s="74"/>
      <c r="S1180" s="74"/>
      <c r="T1180" s="75"/>
      <c r="U1180" s="76"/>
      <c r="V1180" s="77"/>
      <c r="W1180" s="77"/>
      <c r="X1180" s="76"/>
      <c r="Y1180" s="76"/>
      <c r="Z1180" s="68"/>
      <c r="AA1180" s="68"/>
      <c r="AB1180" s="68"/>
      <c r="AC1180" s="68"/>
      <c r="AD1180" s="68"/>
      <c r="AE1180" s="68"/>
    </row>
    <row r="1181" spans="16:31" x14ac:dyDescent="0.2">
      <c r="P1181" s="68"/>
      <c r="Q1181" s="74"/>
      <c r="R1181" s="74"/>
      <c r="S1181" s="74"/>
      <c r="T1181" s="75"/>
      <c r="U1181" s="76"/>
      <c r="V1181" s="77"/>
      <c r="W1181" s="77"/>
      <c r="X1181" s="76"/>
      <c r="Y1181" s="76"/>
      <c r="Z1181" s="68"/>
      <c r="AA1181" s="68"/>
      <c r="AB1181" s="68"/>
      <c r="AC1181" s="68"/>
      <c r="AD1181" s="68"/>
      <c r="AE1181" s="68"/>
    </row>
    <row r="1182" spans="16:31" x14ac:dyDescent="0.2">
      <c r="P1182" s="68"/>
      <c r="Q1182" s="74"/>
      <c r="R1182" s="74"/>
      <c r="S1182" s="74"/>
      <c r="T1182" s="75"/>
      <c r="U1182" s="76"/>
      <c r="V1182" s="77"/>
      <c r="W1182" s="77"/>
      <c r="X1182" s="76"/>
      <c r="Y1182" s="76"/>
      <c r="Z1182" s="68"/>
      <c r="AA1182" s="68"/>
      <c r="AB1182" s="68"/>
      <c r="AC1182" s="68"/>
      <c r="AD1182" s="68"/>
      <c r="AE1182" s="68"/>
    </row>
    <row r="1183" spans="16:31" x14ac:dyDescent="0.2">
      <c r="P1183" s="68"/>
      <c r="Q1183" s="74"/>
      <c r="R1183" s="74"/>
      <c r="S1183" s="74"/>
      <c r="T1183" s="75"/>
      <c r="U1183" s="76"/>
      <c r="V1183" s="77"/>
      <c r="W1183" s="77"/>
      <c r="X1183" s="76"/>
      <c r="Y1183" s="76"/>
      <c r="Z1183" s="68"/>
      <c r="AA1183" s="68"/>
      <c r="AB1183" s="68"/>
      <c r="AC1183" s="68"/>
      <c r="AD1183" s="68"/>
      <c r="AE1183" s="68"/>
    </row>
    <row r="1184" spans="16:31" x14ac:dyDescent="0.2">
      <c r="P1184" s="68"/>
      <c r="Q1184" s="74"/>
      <c r="R1184" s="74"/>
      <c r="S1184" s="74"/>
      <c r="T1184" s="75"/>
      <c r="U1184" s="76"/>
      <c r="V1184" s="77"/>
      <c r="W1184" s="77"/>
      <c r="X1184" s="76"/>
      <c r="Y1184" s="76"/>
      <c r="Z1184" s="68"/>
      <c r="AA1184" s="68"/>
      <c r="AB1184" s="68"/>
      <c r="AC1184" s="68"/>
      <c r="AD1184" s="68"/>
      <c r="AE1184" s="68"/>
    </row>
    <row r="1185" spans="16:31" x14ac:dyDescent="0.2">
      <c r="P1185" s="68"/>
      <c r="Q1185" s="74"/>
      <c r="R1185" s="74"/>
      <c r="S1185" s="74"/>
      <c r="T1185" s="75"/>
      <c r="U1185" s="76"/>
      <c r="V1185" s="77"/>
      <c r="W1185" s="77"/>
      <c r="X1185" s="76"/>
      <c r="Y1185" s="76"/>
      <c r="Z1185" s="68"/>
      <c r="AA1185" s="68"/>
      <c r="AB1185" s="68"/>
      <c r="AC1185" s="68"/>
      <c r="AD1185" s="68"/>
      <c r="AE1185" s="68"/>
    </row>
    <row r="1186" spans="16:31" x14ac:dyDescent="0.2">
      <c r="P1186" s="68"/>
      <c r="Q1186" s="74"/>
      <c r="R1186" s="74"/>
      <c r="S1186" s="74"/>
      <c r="T1186" s="75"/>
      <c r="U1186" s="76"/>
      <c r="V1186" s="77"/>
      <c r="W1186" s="77"/>
      <c r="X1186" s="76"/>
      <c r="Y1186" s="76"/>
      <c r="Z1186" s="68"/>
      <c r="AA1186" s="68"/>
      <c r="AB1186" s="68"/>
      <c r="AC1186" s="68"/>
      <c r="AD1186" s="68"/>
      <c r="AE1186" s="68"/>
    </row>
    <row r="1187" spans="16:31" x14ac:dyDescent="0.2">
      <c r="P1187" s="68"/>
      <c r="Q1187" s="74"/>
      <c r="R1187" s="74"/>
      <c r="S1187" s="74"/>
      <c r="T1187" s="75"/>
      <c r="U1187" s="76"/>
      <c r="V1187" s="77"/>
      <c r="W1187" s="77"/>
      <c r="X1187" s="76"/>
      <c r="Y1187" s="76"/>
      <c r="Z1187" s="68"/>
      <c r="AA1187" s="68"/>
      <c r="AB1187" s="68"/>
      <c r="AC1187" s="68"/>
      <c r="AD1187" s="68"/>
      <c r="AE1187" s="68"/>
    </row>
    <row r="1188" spans="16:31" x14ac:dyDescent="0.2">
      <c r="P1188" s="68"/>
      <c r="Q1188" s="74"/>
      <c r="R1188" s="74"/>
      <c r="S1188" s="74"/>
      <c r="T1188" s="75"/>
      <c r="U1188" s="76"/>
      <c r="V1188" s="77"/>
      <c r="W1188" s="77"/>
      <c r="X1188" s="76"/>
      <c r="Y1188" s="76"/>
      <c r="Z1188" s="68"/>
      <c r="AA1188" s="68"/>
      <c r="AB1188" s="68"/>
      <c r="AC1188" s="68"/>
      <c r="AD1188" s="68"/>
      <c r="AE1188" s="68"/>
    </row>
    <row r="1189" spans="16:31" x14ac:dyDescent="0.2">
      <c r="P1189" s="68"/>
      <c r="Q1189" s="74"/>
      <c r="R1189" s="74"/>
      <c r="S1189" s="74"/>
      <c r="T1189" s="75"/>
      <c r="U1189" s="76"/>
      <c r="V1189" s="77"/>
      <c r="W1189" s="77"/>
      <c r="X1189" s="76"/>
      <c r="Y1189" s="76"/>
      <c r="Z1189" s="68"/>
      <c r="AA1189" s="68"/>
      <c r="AB1189" s="68"/>
      <c r="AC1189" s="68"/>
      <c r="AD1189" s="68"/>
      <c r="AE1189" s="68"/>
    </row>
    <row r="1190" spans="16:31" x14ac:dyDescent="0.2">
      <c r="P1190" s="68"/>
      <c r="Q1190" s="74"/>
      <c r="R1190" s="74"/>
      <c r="S1190" s="74"/>
      <c r="T1190" s="75"/>
      <c r="U1190" s="76"/>
      <c r="V1190" s="77"/>
      <c r="W1190" s="77"/>
      <c r="X1190" s="76"/>
      <c r="Y1190" s="76"/>
      <c r="Z1190" s="68"/>
      <c r="AA1190" s="68"/>
      <c r="AB1190" s="68"/>
      <c r="AC1190" s="68"/>
      <c r="AD1190" s="68"/>
      <c r="AE1190" s="68"/>
    </row>
    <row r="1191" spans="16:31" x14ac:dyDescent="0.2">
      <c r="P1191" s="68"/>
      <c r="Q1191" s="74"/>
      <c r="R1191" s="74"/>
      <c r="S1191" s="74"/>
      <c r="T1191" s="75"/>
      <c r="U1191" s="76"/>
      <c r="V1191" s="77"/>
      <c r="W1191" s="77"/>
      <c r="X1191" s="76"/>
      <c r="Y1191" s="76"/>
      <c r="Z1191" s="68"/>
      <c r="AA1191" s="68"/>
      <c r="AB1191" s="68"/>
      <c r="AC1191" s="68"/>
      <c r="AD1191" s="68"/>
      <c r="AE1191" s="68"/>
    </row>
    <row r="1192" spans="16:31" x14ac:dyDescent="0.2">
      <c r="P1192" s="68"/>
      <c r="Q1192" s="74"/>
      <c r="R1192" s="74"/>
      <c r="S1192" s="74"/>
      <c r="T1192" s="75"/>
      <c r="U1192" s="76"/>
      <c r="V1192" s="77"/>
      <c r="W1192" s="77"/>
      <c r="X1192" s="76"/>
      <c r="Y1192" s="76"/>
      <c r="Z1192" s="68"/>
      <c r="AA1192" s="68"/>
      <c r="AB1192" s="68"/>
      <c r="AC1192" s="68"/>
      <c r="AD1192" s="68"/>
      <c r="AE1192" s="68"/>
    </row>
    <row r="1193" spans="16:31" x14ac:dyDescent="0.2">
      <c r="P1193" s="68"/>
      <c r="Q1193" s="74"/>
      <c r="R1193" s="74"/>
      <c r="S1193" s="74"/>
      <c r="T1193" s="75"/>
      <c r="U1193" s="76"/>
      <c r="V1193" s="77"/>
      <c r="W1193" s="77"/>
      <c r="X1193" s="76"/>
      <c r="Y1193" s="76"/>
      <c r="Z1193" s="68"/>
      <c r="AA1193" s="68"/>
      <c r="AB1193" s="68"/>
      <c r="AC1193" s="68"/>
      <c r="AD1193" s="68"/>
      <c r="AE1193" s="68"/>
    </row>
    <row r="1194" spans="16:31" x14ac:dyDescent="0.2">
      <c r="P1194" s="68"/>
      <c r="Q1194" s="74"/>
      <c r="R1194" s="74"/>
      <c r="S1194" s="74"/>
      <c r="T1194" s="75"/>
      <c r="U1194" s="76"/>
      <c r="V1194" s="77"/>
      <c r="W1194" s="77"/>
      <c r="X1194" s="76"/>
      <c r="Y1194" s="76"/>
      <c r="Z1194" s="68"/>
      <c r="AA1194" s="68"/>
      <c r="AB1194" s="68"/>
      <c r="AC1194" s="68"/>
      <c r="AD1194" s="68"/>
      <c r="AE1194" s="68"/>
    </row>
    <row r="1195" spans="16:31" x14ac:dyDescent="0.2">
      <c r="P1195" s="68"/>
      <c r="Q1195" s="74"/>
      <c r="R1195" s="74"/>
      <c r="S1195" s="74"/>
      <c r="T1195" s="75"/>
      <c r="U1195" s="76"/>
      <c r="V1195" s="77"/>
      <c r="W1195" s="77"/>
      <c r="X1195" s="76"/>
      <c r="Y1195" s="76"/>
      <c r="Z1195" s="68"/>
      <c r="AA1195" s="68"/>
      <c r="AB1195" s="68"/>
      <c r="AC1195" s="68"/>
      <c r="AD1195" s="68"/>
      <c r="AE1195" s="68"/>
    </row>
    <row r="1196" spans="16:31" x14ac:dyDescent="0.2">
      <c r="P1196" s="68"/>
      <c r="Q1196" s="74"/>
      <c r="R1196" s="74"/>
      <c r="S1196" s="74"/>
      <c r="T1196" s="75"/>
      <c r="U1196" s="76"/>
      <c r="V1196" s="77"/>
      <c r="W1196" s="77"/>
      <c r="X1196" s="76"/>
      <c r="Y1196" s="76"/>
      <c r="Z1196" s="68"/>
      <c r="AA1196" s="68"/>
      <c r="AB1196" s="68"/>
      <c r="AC1196" s="68"/>
      <c r="AD1196" s="68"/>
      <c r="AE1196" s="68"/>
    </row>
    <row r="1197" spans="16:31" x14ac:dyDescent="0.2">
      <c r="P1197" s="68"/>
      <c r="Q1197" s="74"/>
      <c r="R1197" s="74"/>
      <c r="S1197" s="74"/>
      <c r="T1197" s="75"/>
      <c r="U1197" s="76"/>
      <c r="V1197" s="77"/>
      <c r="W1197" s="77"/>
      <c r="X1197" s="76"/>
      <c r="Y1197" s="76"/>
      <c r="Z1197" s="68"/>
      <c r="AA1197" s="68"/>
      <c r="AB1197" s="68"/>
      <c r="AC1197" s="68"/>
      <c r="AD1197" s="68"/>
      <c r="AE1197" s="68"/>
    </row>
    <row r="1198" spans="16:31" x14ac:dyDescent="0.2">
      <c r="P1198" s="68"/>
      <c r="Q1198" s="74"/>
      <c r="R1198" s="74"/>
      <c r="S1198" s="74"/>
      <c r="T1198" s="75"/>
      <c r="U1198" s="76"/>
      <c r="V1198" s="77"/>
      <c r="W1198" s="77"/>
      <c r="X1198" s="76"/>
      <c r="Y1198" s="76"/>
      <c r="Z1198" s="68"/>
      <c r="AA1198" s="68"/>
      <c r="AB1198" s="68"/>
      <c r="AC1198" s="68"/>
      <c r="AD1198" s="68"/>
      <c r="AE1198" s="68"/>
    </row>
    <row r="1199" spans="16:31" x14ac:dyDescent="0.2">
      <c r="P1199" s="68"/>
      <c r="Q1199" s="74"/>
      <c r="R1199" s="74"/>
      <c r="S1199" s="74"/>
      <c r="T1199" s="75"/>
      <c r="U1199" s="76"/>
      <c r="V1199" s="77"/>
      <c r="W1199" s="77"/>
      <c r="X1199" s="76"/>
      <c r="Y1199" s="76"/>
      <c r="Z1199" s="68"/>
      <c r="AA1199" s="68"/>
      <c r="AB1199" s="68"/>
      <c r="AC1199" s="68"/>
      <c r="AD1199" s="68"/>
      <c r="AE1199" s="68"/>
    </row>
    <row r="1200" spans="16:31" x14ac:dyDescent="0.2">
      <c r="P1200" s="68"/>
      <c r="Q1200" s="74"/>
      <c r="R1200" s="74"/>
      <c r="S1200" s="74"/>
      <c r="T1200" s="75"/>
      <c r="U1200" s="76"/>
      <c r="V1200" s="77"/>
      <c r="W1200" s="77"/>
      <c r="X1200" s="76"/>
      <c r="Y1200" s="76"/>
      <c r="Z1200" s="68"/>
      <c r="AA1200" s="68"/>
      <c r="AB1200" s="68"/>
      <c r="AC1200" s="68"/>
      <c r="AD1200" s="68"/>
      <c r="AE1200" s="68"/>
    </row>
    <row r="1201" spans="16:31" x14ac:dyDescent="0.2">
      <c r="P1201" s="68"/>
      <c r="Q1201" s="74"/>
      <c r="R1201" s="74"/>
      <c r="S1201" s="74"/>
      <c r="T1201" s="75"/>
      <c r="U1201" s="76"/>
      <c r="V1201" s="77"/>
      <c r="W1201" s="77"/>
      <c r="X1201" s="76"/>
      <c r="Y1201" s="76"/>
      <c r="Z1201" s="68"/>
      <c r="AA1201" s="68"/>
      <c r="AB1201" s="68"/>
      <c r="AC1201" s="68"/>
      <c r="AD1201" s="68"/>
      <c r="AE1201" s="68"/>
    </row>
    <row r="1202" spans="16:31" x14ac:dyDescent="0.2">
      <c r="P1202" s="68"/>
      <c r="Q1202" s="74"/>
      <c r="R1202" s="74"/>
      <c r="S1202" s="74"/>
      <c r="T1202" s="75"/>
      <c r="U1202" s="76"/>
      <c r="V1202" s="77"/>
      <c r="W1202" s="77"/>
      <c r="X1202" s="76"/>
      <c r="Y1202" s="76"/>
      <c r="Z1202" s="68"/>
      <c r="AA1202" s="68"/>
      <c r="AB1202" s="68"/>
      <c r="AC1202" s="68"/>
      <c r="AD1202" s="68"/>
      <c r="AE1202" s="68"/>
    </row>
    <row r="1203" spans="16:31" x14ac:dyDescent="0.2">
      <c r="P1203" s="68"/>
      <c r="Q1203" s="74"/>
      <c r="R1203" s="74"/>
      <c r="S1203" s="74"/>
      <c r="T1203" s="75"/>
      <c r="U1203" s="76"/>
      <c r="V1203" s="77"/>
      <c r="W1203" s="77"/>
      <c r="X1203" s="76"/>
      <c r="Y1203" s="76"/>
      <c r="Z1203" s="68"/>
      <c r="AA1203" s="68"/>
      <c r="AB1203" s="68"/>
      <c r="AC1203" s="68"/>
      <c r="AD1203" s="68"/>
      <c r="AE1203" s="68"/>
    </row>
    <row r="1204" spans="16:31" x14ac:dyDescent="0.2">
      <c r="P1204" s="68"/>
      <c r="Q1204" s="74"/>
      <c r="R1204" s="74"/>
      <c r="S1204" s="74"/>
      <c r="T1204" s="75"/>
      <c r="U1204" s="76"/>
      <c r="V1204" s="77"/>
      <c r="W1204" s="77"/>
      <c r="X1204" s="76"/>
      <c r="Y1204" s="76"/>
      <c r="Z1204" s="68"/>
      <c r="AA1204" s="68"/>
      <c r="AB1204" s="68"/>
      <c r="AC1204" s="68"/>
      <c r="AD1204" s="68"/>
      <c r="AE1204" s="68"/>
    </row>
    <row r="1205" spans="16:31" x14ac:dyDescent="0.2">
      <c r="P1205" s="68"/>
      <c r="Q1205" s="74"/>
      <c r="R1205" s="74"/>
      <c r="S1205" s="74"/>
      <c r="T1205" s="75"/>
      <c r="U1205" s="76"/>
      <c r="V1205" s="77"/>
      <c r="W1205" s="77"/>
      <c r="X1205" s="76"/>
      <c r="Y1205" s="76"/>
      <c r="Z1205" s="68"/>
      <c r="AA1205" s="68"/>
      <c r="AB1205" s="68"/>
      <c r="AC1205" s="68"/>
      <c r="AD1205" s="68"/>
      <c r="AE1205" s="68"/>
    </row>
    <row r="1206" spans="16:31" x14ac:dyDescent="0.2">
      <c r="P1206" s="68"/>
      <c r="Q1206" s="74"/>
      <c r="R1206" s="74"/>
      <c r="S1206" s="74"/>
      <c r="T1206" s="75"/>
      <c r="U1206" s="76"/>
      <c r="V1206" s="77"/>
      <c r="W1206" s="77"/>
      <c r="X1206" s="76"/>
      <c r="Y1206" s="76"/>
      <c r="Z1206" s="68"/>
      <c r="AA1206" s="68"/>
      <c r="AB1206" s="68"/>
      <c r="AC1206" s="68"/>
      <c r="AD1206" s="68"/>
      <c r="AE1206" s="68"/>
    </row>
    <row r="1207" spans="16:31" x14ac:dyDescent="0.2">
      <c r="P1207" s="68"/>
      <c r="Q1207" s="74"/>
      <c r="R1207" s="74"/>
      <c r="S1207" s="74"/>
      <c r="T1207" s="75"/>
      <c r="U1207" s="76"/>
      <c r="V1207" s="77"/>
      <c r="W1207" s="77"/>
      <c r="X1207" s="76"/>
      <c r="Y1207" s="76"/>
      <c r="Z1207" s="68"/>
      <c r="AA1207" s="68"/>
      <c r="AB1207" s="68"/>
      <c r="AC1207" s="68"/>
      <c r="AD1207" s="68"/>
      <c r="AE1207" s="68"/>
    </row>
    <row r="1208" spans="16:31" x14ac:dyDescent="0.2">
      <c r="P1208" s="68"/>
      <c r="Q1208" s="74"/>
      <c r="R1208" s="74"/>
      <c r="S1208" s="74"/>
      <c r="T1208" s="75"/>
      <c r="U1208" s="76"/>
      <c r="V1208" s="77"/>
      <c r="W1208" s="77"/>
      <c r="X1208" s="76"/>
      <c r="Y1208" s="76"/>
      <c r="Z1208" s="68"/>
      <c r="AA1208" s="68"/>
      <c r="AB1208" s="68"/>
      <c r="AC1208" s="68"/>
      <c r="AD1208" s="68"/>
      <c r="AE1208" s="68"/>
    </row>
    <row r="1209" spans="16:31" x14ac:dyDescent="0.2">
      <c r="P1209" s="68"/>
      <c r="Q1209" s="74"/>
      <c r="R1209" s="74"/>
      <c r="S1209" s="74"/>
      <c r="T1209" s="75"/>
      <c r="U1209" s="76"/>
      <c r="V1209" s="77"/>
      <c r="W1209" s="77"/>
      <c r="X1209" s="76"/>
      <c r="Y1209" s="76"/>
      <c r="Z1209" s="68"/>
      <c r="AA1209" s="68"/>
      <c r="AB1209" s="68"/>
      <c r="AC1209" s="68"/>
      <c r="AD1209" s="68"/>
      <c r="AE1209" s="68"/>
    </row>
    <row r="1210" spans="16:31" x14ac:dyDescent="0.2">
      <c r="P1210" s="68"/>
      <c r="Q1210" s="74"/>
      <c r="R1210" s="74"/>
      <c r="S1210" s="74"/>
      <c r="T1210" s="75"/>
      <c r="U1210" s="76"/>
      <c r="V1210" s="77"/>
      <c r="W1210" s="77"/>
      <c r="X1210" s="76"/>
      <c r="Y1210" s="76"/>
      <c r="Z1210" s="68"/>
      <c r="AA1210" s="68"/>
      <c r="AB1210" s="68"/>
      <c r="AC1210" s="68"/>
      <c r="AD1210" s="68"/>
      <c r="AE1210" s="68"/>
    </row>
    <row r="1211" spans="16:31" x14ac:dyDescent="0.2">
      <c r="P1211" s="68"/>
      <c r="Q1211" s="74"/>
      <c r="R1211" s="74"/>
      <c r="S1211" s="74"/>
      <c r="T1211" s="75"/>
      <c r="U1211" s="76"/>
      <c r="V1211" s="77"/>
      <c r="W1211" s="77"/>
      <c r="X1211" s="76"/>
      <c r="Y1211" s="76"/>
      <c r="Z1211" s="68"/>
      <c r="AA1211" s="68"/>
      <c r="AB1211" s="68"/>
      <c r="AC1211" s="68"/>
      <c r="AD1211" s="68"/>
      <c r="AE1211" s="68"/>
    </row>
    <row r="1212" spans="16:31" x14ac:dyDescent="0.2">
      <c r="P1212" s="68"/>
      <c r="Q1212" s="74"/>
      <c r="R1212" s="74"/>
      <c r="S1212" s="74"/>
      <c r="T1212" s="75"/>
      <c r="U1212" s="76"/>
      <c r="V1212" s="77"/>
      <c r="W1212" s="77"/>
      <c r="X1212" s="76"/>
      <c r="Y1212" s="76"/>
      <c r="Z1212" s="68"/>
      <c r="AA1212" s="68"/>
      <c r="AB1212" s="68"/>
      <c r="AC1212" s="68"/>
      <c r="AD1212" s="68"/>
      <c r="AE1212" s="68"/>
    </row>
    <row r="1213" spans="16:31" x14ac:dyDescent="0.2">
      <c r="P1213" s="68"/>
      <c r="Q1213" s="74"/>
      <c r="R1213" s="74"/>
      <c r="S1213" s="74"/>
      <c r="T1213" s="75"/>
      <c r="U1213" s="76"/>
      <c r="V1213" s="77"/>
      <c r="W1213" s="77"/>
      <c r="X1213" s="76"/>
      <c r="Y1213" s="76"/>
      <c r="Z1213" s="68"/>
      <c r="AA1213" s="68"/>
      <c r="AB1213" s="68"/>
      <c r="AC1213" s="68"/>
      <c r="AD1213" s="68"/>
      <c r="AE1213" s="68"/>
    </row>
    <row r="1214" spans="16:31" x14ac:dyDescent="0.2">
      <c r="P1214" s="68"/>
      <c r="Q1214" s="74"/>
      <c r="R1214" s="74"/>
      <c r="S1214" s="74"/>
      <c r="T1214" s="75"/>
      <c r="U1214" s="76"/>
      <c r="V1214" s="77"/>
      <c r="W1214" s="77"/>
      <c r="X1214" s="76"/>
      <c r="Y1214" s="76"/>
      <c r="Z1214" s="68"/>
      <c r="AA1214" s="68"/>
      <c r="AB1214" s="68"/>
      <c r="AC1214" s="68"/>
      <c r="AD1214" s="68"/>
      <c r="AE1214" s="68"/>
    </row>
    <row r="1215" spans="16:31" x14ac:dyDescent="0.2">
      <c r="P1215" s="68"/>
      <c r="Q1215" s="74"/>
      <c r="R1215" s="74"/>
      <c r="S1215" s="74"/>
      <c r="T1215" s="75"/>
      <c r="U1215" s="76"/>
      <c r="V1215" s="77"/>
      <c r="W1215" s="77"/>
      <c r="X1215" s="76"/>
      <c r="Y1215" s="76"/>
      <c r="Z1215" s="68"/>
      <c r="AA1215" s="68"/>
      <c r="AB1215" s="68"/>
      <c r="AC1215" s="68"/>
      <c r="AD1215" s="68"/>
      <c r="AE1215" s="68"/>
    </row>
    <row r="1216" spans="16:31" x14ac:dyDescent="0.2">
      <c r="P1216" s="68"/>
      <c r="Q1216" s="74"/>
      <c r="R1216" s="74"/>
      <c r="S1216" s="74"/>
      <c r="T1216" s="75"/>
      <c r="U1216" s="76"/>
      <c r="V1216" s="77"/>
      <c r="W1216" s="77"/>
      <c r="X1216" s="76"/>
      <c r="Y1216" s="76"/>
      <c r="Z1216" s="68"/>
      <c r="AA1216" s="68"/>
      <c r="AB1216" s="68"/>
      <c r="AC1216" s="68"/>
      <c r="AD1216" s="68"/>
      <c r="AE1216" s="68"/>
    </row>
    <row r="1217" spans="16:31" x14ac:dyDescent="0.2">
      <c r="P1217" s="68"/>
      <c r="Q1217" s="74"/>
      <c r="R1217" s="74"/>
      <c r="S1217" s="74"/>
      <c r="T1217" s="75"/>
      <c r="U1217" s="76"/>
      <c r="V1217" s="77"/>
      <c r="W1217" s="77"/>
      <c r="X1217" s="76"/>
      <c r="Y1217" s="76"/>
      <c r="Z1217" s="68"/>
      <c r="AA1217" s="68"/>
      <c r="AB1217" s="68"/>
      <c r="AC1217" s="68"/>
      <c r="AD1217" s="68"/>
      <c r="AE1217" s="68"/>
    </row>
    <row r="1218" spans="16:31" x14ac:dyDescent="0.2">
      <c r="P1218" s="68"/>
      <c r="Q1218" s="74"/>
      <c r="R1218" s="74"/>
      <c r="S1218" s="74"/>
      <c r="T1218" s="75"/>
      <c r="U1218" s="76"/>
      <c r="V1218" s="77"/>
      <c r="W1218" s="77"/>
      <c r="X1218" s="76"/>
      <c r="Y1218" s="76"/>
      <c r="Z1218" s="68"/>
      <c r="AA1218" s="68"/>
      <c r="AB1218" s="68"/>
      <c r="AC1218" s="68"/>
      <c r="AD1218" s="68"/>
      <c r="AE1218" s="68"/>
    </row>
    <row r="1219" spans="16:31" x14ac:dyDescent="0.2">
      <c r="P1219" s="68"/>
      <c r="Q1219" s="74"/>
      <c r="R1219" s="74"/>
      <c r="S1219" s="74"/>
      <c r="T1219" s="75"/>
      <c r="U1219" s="76"/>
      <c r="V1219" s="77"/>
      <c r="W1219" s="77"/>
      <c r="X1219" s="76"/>
      <c r="Y1219" s="76"/>
      <c r="Z1219" s="68"/>
      <c r="AA1219" s="68"/>
      <c r="AB1219" s="68"/>
      <c r="AC1219" s="68"/>
      <c r="AD1219" s="68"/>
      <c r="AE1219" s="68"/>
    </row>
    <row r="1220" spans="16:31" x14ac:dyDescent="0.2">
      <c r="P1220" s="68"/>
      <c r="Q1220" s="74"/>
      <c r="R1220" s="74"/>
      <c r="S1220" s="74"/>
      <c r="T1220" s="75"/>
      <c r="U1220" s="76"/>
      <c r="V1220" s="77"/>
      <c r="W1220" s="77"/>
      <c r="X1220" s="76"/>
      <c r="Y1220" s="76"/>
      <c r="Z1220" s="68"/>
      <c r="AA1220" s="68"/>
      <c r="AB1220" s="68"/>
      <c r="AC1220" s="68"/>
      <c r="AD1220" s="68"/>
      <c r="AE1220" s="68"/>
    </row>
    <row r="1221" spans="16:31" x14ac:dyDescent="0.2">
      <c r="P1221" s="68"/>
      <c r="Q1221" s="74"/>
      <c r="R1221" s="74"/>
      <c r="S1221" s="74"/>
      <c r="T1221" s="75"/>
      <c r="U1221" s="76"/>
      <c r="V1221" s="77"/>
      <c r="W1221" s="77"/>
      <c r="X1221" s="76"/>
      <c r="Y1221" s="76"/>
      <c r="Z1221" s="68"/>
      <c r="AA1221" s="68"/>
      <c r="AB1221" s="68"/>
      <c r="AC1221" s="68"/>
      <c r="AD1221" s="68"/>
      <c r="AE1221" s="68"/>
    </row>
    <row r="1222" spans="16:31" x14ac:dyDescent="0.2">
      <c r="P1222" s="68"/>
      <c r="Q1222" s="74"/>
      <c r="R1222" s="74"/>
      <c r="S1222" s="74"/>
      <c r="T1222" s="75"/>
      <c r="U1222" s="76"/>
      <c r="V1222" s="77"/>
      <c r="W1222" s="77"/>
      <c r="X1222" s="76"/>
      <c r="Y1222" s="76"/>
      <c r="Z1222" s="68"/>
      <c r="AA1222" s="68"/>
      <c r="AB1222" s="68"/>
      <c r="AC1222" s="68"/>
      <c r="AD1222" s="68"/>
      <c r="AE1222" s="68"/>
    </row>
    <row r="1223" spans="16:31" x14ac:dyDescent="0.2">
      <c r="P1223" s="68"/>
      <c r="Q1223" s="74"/>
      <c r="R1223" s="74"/>
      <c r="S1223" s="74"/>
      <c r="T1223" s="75"/>
      <c r="U1223" s="76"/>
      <c r="V1223" s="77"/>
      <c r="W1223" s="77"/>
      <c r="X1223" s="76"/>
      <c r="Y1223" s="76"/>
      <c r="Z1223" s="68"/>
      <c r="AA1223" s="68"/>
      <c r="AB1223" s="68"/>
      <c r="AC1223" s="68"/>
      <c r="AD1223" s="68"/>
      <c r="AE1223" s="68"/>
    </row>
    <row r="1224" spans="16:31" x14ac:dyDescent="0.2">
      <c r="P1224" s="68"/>
      <c r="Q1224" s="74"/>
      <c r="R1224" s="74"/>
      <c r="S1224" s="74"/>
      <c r="T1224" s="75"/>
      <c r="U1224" s="76"/>
      <c r="V1224" s="77"/>
      <c r="W1224" s="77"/>
      <c r="X1224" s="76"/>
      <c r="Y1224" s="76"/>
      <c r="Z1224" s="68"/>
      <c r="AA1224" s="68"/>
      <c r="AB1224" s="68"/>
      <c r="AC1224" s="68"/>
      <c r="AD1224" s="68"/>
      <c r="AE1224" s="68"/>
    </row>
    <row r="1225" spans="16:31" x14ac:dyDescent="0.2">
      <c r="P1225" s="68"/>
      <c r="Q1225" s="74"/>
      <c r="R1225" s="74"/>
      <c r="S1225" s="74"/>
      <c r="T1225" s="75"/>
      <c r="U1225" s="76"/>
      <c r="V1225" s="77"/>
      <c r="W1225" s="77"/>
      <c r="X1225" s="76"/>
      <c r="Y1225" s="76"/>
      <c r="Z1225" s="68"/>
      <c r="AA1225" s="68"/>
      <c r="AB1225" s="68"/>
      <c r="AC1225" s="68"/>
      <c r="AD1225" s="68"/>
      <c r="AE1225" s="68"/>
    </row>
    <row r="1226" spans="16:31" x14ac:dyDescent="0.2">
      <c r="P1226" s="68"/>
      <c r="Q1226" s="74"/>
      <c r="R1226" s="74"/>
      <c r="S1226" s="74"/>
      <c r="T1226" s="75"/>
      <c r="U1226" s="76"/>
      <c r="V1226" s="77"/>
      <c r="W1226" s="77"/>
      <c r="X1226" s="76"/>
      <c r="Y1226" s="76"/>
      <c r="Z1226" s="68"/>
      <c r="AA1226" s="68"/>
      <c r="AB1226" s="68"/>
      <c r="AC1226" s="68"/>
      <c r="AD1226" s="68"/>
      <c r="AE1226" s="68"/>
    </row>
    <row r="1227" spans="16:31" x14ac:dyDescent="0.2">
      <c r="P1227" s="68"/>
      <c r="Q1227" s="74"/>
      <c r="R1227" s="74"/>
      <c r="S1227" s="74"/>
      <c r="T1227" s="75"/>
      <c r="U1227" s="76"/>
      <c r="V1227" s="77"/>
      <c r="W1227" s="77"/>
      <c r="X1227" s="76"/>
      <c r="Y1227" s="76"/>
      <c r="Z1227" s="68"/>
      <c r="AA1227" s="68"/>
      <c r="AB1227" s="68"/>
      <c r="AC1227" s="68"/>
      <c r="AD1227" s="68"/>
      <c r="AE1227" s="68"/>
    </row>
    <row r="1228" spans="16:31" x14ac:dyDescent="0.2">
      <c r="P1228" s="68"/>
      <c r="Q1228" s="74"/>
      <c r="R1228" s="74"/>
      <c r="S1228" s="74"/>
      <c r="T1228" s="75"/>
      <c r="U1228" s="76"/>
      <c r="V1228" s="77"/>
      <c r="W1228" s="77"/>
      <c r="X1228" s="76"/>
      <c r="Y1228" s="76"/>
      <c r="Z1228" s="68"/>
      <c r="AA1228" s="68"/>
      <c r="AB1228" s="68"/>
      <c r="AC1228" s="68"/>
      <c r="AD1228" s="68"/>
      <c r="AE1228" s="68"/>
    </row>
    <row r="1229" spans="16:31" x14ac:dyDescent="0.2">
      <c r="P1229" s="68"/>
      <c r="Q1229" s="74"/>
      <c r="R1229" s="74"/>
      <c r="S1229" s="74"/>
      <c r="T1229" s="75"/>
      <c r="U1229" s="76"/>
      <c r="V1229" s="77"/>
      <c r="W1229" s="77"/>
      <c r="X1229" s="76"/>
      <c r="Y1229" s="76"/>
      <c r="Z1229" s="68"/>
      <c r="AA1229" s="68"/>
      <c r="AB1229" s="68"/>
      <c r="AC1229" s="68"/>
      <c r="AD1229" s="68"/>
      <c r="AE1229" s="68"/>
    </row>
    <row r="1230" spans="16:31" x14ac:dyDescent="0.2">
      <c r="P1230" s="68"/>
      <c r="Q1230" s="74"/>
      <c r="R1230" s="74"/>
      <c r="S1230" s="74"/>
      <c r="T1230" s="75"/>
      <c r="U1230" s="76"/>
      <c r="V1230" s="77"/>
      <c r="W1230" s="77"/>
      <c r="X1230" s="76"/>
      <c r="Y1230" s="76"/>
      <c r="Z1230" s="68"/>
      <c r="AA1230" s="68"/>
      <c r="AB1230" s="68"/>
      <c r="AC1230" s="68"/>
      <c r="AD1230" s="68"/>
      <c r="AE1230" s="68"/>
    </row>
    <row r="1231" spans="16:31" x14ac:dyDescent="0.2">
      <c r="P1231" s="68"/>
      <c r="Q1231" s="74"/>
      <c r="R1231" s="74"/>
      <c r="S1231" s="74"/>
      <c r="T1231" s="75"/>
      <c r="U1231" s="76"/>
      <c r="V1231" s="77"/>
      <c r="W1231" s="77"/>
      <c r="X1231" s="76"/>
      <c r="Y1231" s="76"/>
      <c r="Z1231" s="68"/>
      <c r="AA1231" s="68"/>
      <c r="AB1231" s="68"/>
      <c r="AC1231" s="68"/>
      <c r="AD1231" s="68"/>
      <c r="AE1231" s="68"/>
    </row>
    <row r="1232" spans="16:31" x14ac:dyDescent="0.2">
      <c r="P1232" s="68"/>
      <c r="Q1232" s="74"/>
      <c r="R1232" s="74"/>
      <c r="S1232" s="74"/>
      <c r="T1232" s="75"/>
      <c r="U1232" s="76"/>
      <c r="V1232" s="77"/>
      <c r="W1232" s="77"/>
      <c r="X1232" s="76"/>
      <c r="Y1232" s="76"/>
      <c r="Z1232" s="68"/>
      <c r="AA1232" s="68"/>
      <c r="AB1232" s="68"/>
      <c r="AC1232" s="68"/>
      <c r="AD1232" s="68"/>
      <c r="AE1232" s="68"/>
    </row>
    <row r="1233" spans="16:31" x14ac:dyDescent="0.2">
      <c r="P1233" s="68"/>
      <c r="Q1233" s="74"/>
      <c r="R1233" s="74"/>
      <c r="S1233" s="74"/>
      <c r="T1233" s="75"/>
      <c r="U1233" s="76"/>
      <c r="V1233" s="77"/>
      <c r="W1233" s="77"/>
      <c r="X1233" s="76"/>
      <c r="Y1233" s="76"/>
      <c r="Z1233" s="68"/>
      <c r="AA1233" s="68"/>
      <c r="AB1233" s="68"/>
      <c r="AC1233" s="68"/>
      <c r="AD1233" s="68"/>
      <c r="AE1233" s="68"/>
    </row>
    <row r="1234" spans="16:31" x14ac:dyDescent="0.2">
      <c r="P1234" s="68"/>
      <c r="Q1234" s="74"/>
      <c r="R1234" s="74"/>
      <c r="S1234" s="74"/>
      <c r="T1234" s="75"/>
      <c r="U1234" s="76"/>
      <c r="V1234" s="77"/>
      <c r="W1234" s="77"/>
      <c r="X1234" s="76"/>
      <c r="Y1234" s="76"/>
      <c r="Z1234" s="68"/>
      <c r="AA1234" s="68"/>
      <c r="AB1234" s="68"/>
      <c r="AC1234" s="68"/>
      <c r="AD1234" s="68"/>
      <c r="AE1234" s="68"/>
    </row>
    <row r="1235" spans="16:31" x14ac:dyDescent="0.2">
      <c r="P1235" s="68"/>
      <c r="Q1235" s="74"/>
      <c r="R1235" s="74"/>
      <c r="S1235" s="74"/>
      <c r="T1235" s="75"/>
      <c r="U1235" s="76"/>
      <c r="V1235" s="77"/>
      <c r="W1235" s="77"/>
      <c r="X1235" s="76"/>
      <c r="Y1235" s="76"/>
      <c r="Z1235" s="68"/>
      <c r="AA1235" s="68"/>
      <c r="AB1235" s="68"/>
      <c r="AC1235" s="68"/>
      <c r="AD1235" s="68"/>
      <c r="AE1235" s="68"/>
    </row>
    <row r="1236" spans="16:31" x14ac:dyDescent="0.2">
      <c r="P1236" s="68"/>
      <c r="Q1236" s="74"/>
      <c r="R1236" s="74"/>
      <c r="S1236" s="74"/>
      <c r="T1236" s="75"/>
      <c r="U1236" s="76"/>
      <c r="V1236" s="77"/>
      <c r="W1236" s="77"/>
      <c r="X1236" s="76"/>
      <c r="Y1236" s="76"/>
      <c r="Z1236" s="68"/>
      <c r="AA1236" s="68"/>
      <c r="AB1236" s="68"/>
      <c r="AC1236" s="68"/>
      <c r="AD1236" s="68"/>
      <c r="AE1236" s="68"/>
    </row>
    <row r="1237" spans="16:31" x14ac:dyDescent="0.2">
      <c r="P1237" s="68"/>
      <c r="Q1237" s="74"/>
      <c r="R1237" s="74"/>
      <c r="S1237" s="74"/>
      <c r="T1237" s="75"/>
      <c r="U1237" s="76"/>
      <c r="V1237" s="77"/>
      <c r="W1237" s="77"/>
      <c r="X1237" s="76"/>
      <c r="Y1237" s="76"/>
      <c r="Z1237" s="68"/>
      <c r="AA1237" s="68"/>
      <c r="AB1237" s="68"/>
      <c r="AC1237" s="68"/>
      <c r="AD1237" s="68"/>
      <c r="AE1237" s="68"/>
    </row>
    <row r="1238" spans="16:31" x14ac:dyDescent="0.2">
      <c r="P1238" s="68"/>
      <c r="Q1238" s="74"/>
      <c r="R1238" s="74"/>
      <c r="S1238" s="74"/>
      <c r="T1238" s="75"/>
      <c r="U1238" s="76"/>
      <c r="V1238" s="77"/>
      <c r="W1238" s="77"/>
      <c r="X1238" s="76"/>
      <c r="Y1238" s="76"/>
      <c r="Z1238" s="68"/>
      <c r="AA1238" s="68"/>
      <c r="AB1238" s="68"/>
      <c r="AC1238" s="68"/>
      <c r="AD1238" s="68"/>
      <c r="AE1238" s="68"/>
    </row>
    <row r="1239" spans="16:31" x14ac:dyDescent="0.2">
      <c r="P1239" s="68"/>
      <c r="Q1239" s="74"/>
      <c r="R1239" s="74"/>
      <c r="S1239" s="74"/>
      <c r="T1239" s="75"/>
      <c r="U1239" s="76"/>
      <c r="V1239" s="77"/>
      <c r="W1239" s="77"/>
      <c r="X1239" s="76"/>
      <c r="Y1239" s="76"/>
      <c r="Z1239" s="68"/>
      <c r="AA1239" s="68"/>
      <c r="AB1239" s="68"/>
      <c r="AC1239" s="68"/>
      <c r="AD1239" s="68"/>
      <c r="AE1239" s="68"/>
    </row>
    <row r="1240" spans="16:31" x14ac:dyDescent="0.2">
      <c r="P1240" s="68"/>
      <c r="Q1240" s="74"/>
      <c r="R1240" s="74"/>
      <c r="S1240" s="74"/>
      <c r="T1240" s="75"/>
      <c r="U1240" s="76"/>
      <c r="V1240" s="77"/>
      <c r="W1240" s="77"/>
      <c r="X1240" s="76"/>
      <c r="Y1240" s="76"/>
      <c r="Z1240" s="68"/>
      <c r="AA1240" s="68"/>
      <c r="AB1240" s="68"/>
      <c r="AC1240" s="68"/>
      <c r="AD1240" s="68"/>
      <c r="AE1240" s="68"/>
    </row>
    <row r="1241" spans="16:31" x14ac:dyDescent="0.2">
      <c r="P1241" s="68"/>
      <c r="Q1241" s="74"/>
      <c r="R1241" s="74"/>
      <c r="S1241" s="74"/>
      <c r="T1241" s="75"/>
      <c r="U1241" s="76"/>
      <c r="V1241" s="77"/>
      <c r="W1241" s="77"/>
      <c r="X1241" s="76"/>
      <c r="Y1241" s="76"/>
      <c r="Z1241" s="68"/>
      <c r="AA1241" s="68"/>
      <c r="AB1241" s="68"/>
      <c r="AC1241" s="68"/>
      <c r="AD1241" s="68"/>
      <c r="AE1241" s="68"/>
    </row>
    <row r="1242" spans="16:31" x14ac:dyDescent="0.2">
      <c r="P1242" s="68"/>
      <c r="Q1242" s="74"/>
      <c r="R1242" s="74"/>
      <c r="S1242" s="74"/>
      <c r="T1242" s="75"/>
      <c r="U1242" s="76"/>
      <c r="V1242" s="77"/>
      <c r="W1242" s="77"/>
      <c r="X1242" s="76"/>
      <c r="Y1242" s="76"/>
      <c r="Z1242" s="68"/>
      <c r="AA1242" s="68"/>
      <c r="AB1242" s="68"/>
      <c r="AC1242" s="68"/>
      <c r="AD1242" s="68"/>
      <c r="AE1242" s="68"/>
    </row>
    <row r="1243" spans="16:31" x14ac:dyDescent="0.2">
      <c r="P1243" s="68"/>
      <c r="Q1243" s="74"/>
      <c r="R1243" s="74"/>
      <c r="S1243" s="74"/>
      <c r="T1243" s="75"/>
      <c r="U1243" s="76"/>
      <c r="V1243" s="77"/>
      <c r="W1243" s="77"/>
      <c r="X1243" s="76"/>
      <c r="Y1243" s="76"/>
      <c r="Z1243" s="68"/>
      <c r="AA1243" s="68"/>
      <c r="AB1243" s="68"/>
      <c r="AC1243" s="68"/>
      <c r="AD1243" s="68"/>
      <c r="AE1243" s="68"/>
    </row>
    <row r="1244" spans="16:31" x14ac:dyDescent="0.2">
      <c r="P1244" s="68"/>
      <c r="Q1244" s="74"/>
      <c r="R1244" s="74"/>
      <c r="S1244" s="74"/>
      <c r="T1244" s="75"/>
      <c r="U1244" s="76"/>
      <c r="V1244" s="77"/>
      <c r="W1244" s="77"/>
      <c r="X1244" s="76"/>
      <c r="Y1244" s="76"/>
      <c r="Z1244" s="68"/>
      <c r="AA1244" s="68"/>
      <c r="AB1244" s="68"/>
      <c r="AC1244" s="68"/>
      <c r="AD1244" s="68"/>
      <c r="AE1244" s="68"/>
    </row>
    <row r="1245" spans="16:31" x14ac:dyDescent="0.2">
      <c r="P1245" s="68"/>
      <c r="Q1245" s="74"/>
      <c r="R1245" s="74"/>
      <c r="S1245" s="74"/>
      <c r="T1245" s="75"/>
      <c r="U1245" s="76"/>
      <c r="V1245" s="77"/>
      <c r="W1245" s="77"/>
      <c r="X1245" s="76"/>
      <c r="Y1245" s="76"/>
      <c r="Z1245" s="68"/>
      <c r="AA1245" s="68"/>
      <c r="AB1245" s="68"/>
      <c r="AC1245" s="68"/>
      <c r="AD1245" s="68"/>
      <c r="AE1245" s="68"/>
    </row>
    <row r="1246" spans="16:31" x14ac:dyDescent="0.2">
      <c r="P1246" s="68"/>
      <c r="Q1246" s="74"/>
      <c r="R1246" s="74"/>
      <c r="S1246" s="74"/>
      <c r="T1246" s="75"/>
      <c r="U1246" s="76"/>
      <c r="V1246" s="77"/>
      <c r="W1246" s="77"/>
      <c r="X1246" s="76"/>
      <c r="Y1246" s="76"/>
      <c r="Z1246" s="68"/>
      <c r="AA1246" s="68"/>
      <c r="AB1246" s="68"/>
      <c r="AC1246" s="68"/>
      <c r="AD1246" s="68"/>
      <c r="AE1246" s="68"/>
    </row>
    <row r="1247" spans="16:31" x14ac:dyDescent="0.2">
      <c r="P1247" s="68"/>
      <c r="Q1247" s="74"/>
      <c r="R1247" s="74"/>
      <c r="S1247" s="74"/>
      <c r="T1247" s="75"/>
      <c r="U1247" s="76"/>
      <c r="V1247" s="77"/>
      <c r="W1247" s="77"/>
      <c r="X1247" s="76"/>
      <c r="Y1247" s="76"/>
      <c r="Z1247" s="68"/>
      <c r="AA1247" s="68"/>
      <c r="AB1247" s="68"/>
      <c r="AC1247" s="68"/>
      <c r="AD1247" s="68"/>
      <c r="AE1247" s="68"/>
    </row>
    <row r="1248" spans="16:31" x14ac:dyDescent="0.2">
      <c r="P1248" s="68"/>
      <c r="Q1248" s="74"/>
      <c r="R1248" s="74"/>
      <c r="S1248" s="74"/>
      <c r="T1248" s="75"/>
      <c r="U1248" s="76"/>
      <c r="V1248" s="77"/>
      <c r="W1248" s="77"/>
      <c r="X1248" s="76"/>
      <c r="Y1248" s="76"/>
      <c r="Z1248" s="68"/>
      <c r="AA1248" s="68"/>
      <c r="AB1248" s="68"/>
      <c r="AC1248" s="68"/>
      <c r="AD1248" s="68"/>
      <c r="AE1248" s="68"/>
    </row>
    <row r="1249" spans="16:31" x14ac:dyDescent="0.2">
      <c r="P1249" s="68"/>
      <c r="Q1249" s="74"/>
      <c r="R1249" s="74"/>
      <c r="S1249" s="74"/>
      <c r="T1249" s="75"/>
      <c r="U1249" s="76"/>
      <c r="V1249" s="77"/>
      <c r="W1249" s="77"/>
      <c r="X1249" s="76"/>
      <c r="Y1249" s="76"/>
      <c r="Z1249" s="68"/>
      <c r="AA1249" s="68"/>
      <c r="AB1249" s="68"/>
      <c r="AC1249" s="68"/>
      <c r="AD1249" s="68"/>
      <c r="AE1249" s="68"/>
    </row>
    <row r="1250" spans="16:31" x14ac:dyDescent="0.2">
      <c r="P1250" s="68"/>
      <c r="Q1250" s="74"/>
      <c r="R1250" s="74"/>
      <c r="S1250" s="74"/>
      <c r="T1250" s="75"/>
      <c r="U1250" s="76"/>
      <c r="V1250" s="77"/>
      <c r="W1250" s="77"/>
      <c r="X1250" s="76"/>
      <c r="Y1250" s="76"/>
      <c r="Z1250" s="68"/>
      <c r="AA1250" s="68"/>
      <c r="AB1250" s="68"/>
      <c r="AC1250" s="68"/>
      <c r="AD1250" s="68"/>
      <c r="AE1250" s="68"/>
    </row>
    <row r="1251" spans="16:31" x14ac:dyDescent="0.2">
      <c r="P1251" s="68"/>
      <c r="Q1251" s="74"/>
      <c r="R1251" s="74"/>
      <c r="S1251" s="74"/>
      <c r="T1251" s="75"/>
      <c r="U1251" s="76"/>
      <c r="V1251" s="77"/>
      <c r="W1251" s="77"/>
      <c r="X1251" s="76"/>
      <c r="Y1251" s="76"/>
      <c r="Z1251" s="68"/>
      <c r="AA1251" s="68"/>
      <c r="AB1251" s="68"/>
      <c r="AC1251" s="68"/>
      <c r="AD1251" s="68"/>
      <c r="AE1251" s="68"/>
    </row>
    <row r="1252" spans="16:31" x14ac:dyDescent="0.2">
      <c r="P1252" s="68"/>
      <c r="Q1252" s="74"/>
      <c r="R1252" s="74"/>
      <c r="S1252" s="74"/>
      <c r="T1252" s="75"/>
      <c r="U1252" s="76"/>
      <c r="V1252" s="77"/>
      <c r="W1252" s="77"/>
      <c r="X1252" s="76"/>
      <c r="Y1252" s="76"/>
      <c r="Z1252" s="68"/>
      <c r="AA1252" s="68"/>
      <c r="AB1252" s="68"/>
      <c r="AC1252" s="68"/>
      <c r="AD1252" s="68"/>
      <c r="AE1252" s="68"/>
    </row>
    <row r="1253" spans="16:31" x14ac:dyDescent="0.2">
      <c r="P1253" s="68"/>
      <c r="Q1253" s="74"/>
      <c r="R1253" s="74"/>
      <c r="S1253" s="74"/>
      <c r="T1253" s="75"/>
      <c r="U1253" s="76"/>
      <c r="V1253" s="77"/>
      <c r="W1253" s="77"/>
      <c r="X1253" s="76"/>
      <c r="Y1253" s="76"/>
      <c r="Z1253" s="68"/>
      <c r="AA1253" s="68"/>
      <c r="AB1253" s="68"/>
      <c r="AC1253" s="68"/>
      <c r="AD1253" s="68"/>
      <c r="AE1253" s="68"/>
    </row>
    <row r="1254" spans="16:31" x14ac:dyDescent="0.2">
      <c r="P1254" s="68"/>
      <c r="Q1254" s="74"/>
      <c r="R1254" s="74"/>
      <c r="S1254" s="74"/>
      <c r="T1254" s="75"/>
      <c r="U1254" s="76"/>
      <c r="V1254" s="77"/>
      <c r="W1254" s="77"/>
      <c r="X1254" s="76"/>
      <c r="Y1254" s="76"/>
      <c r="Z1254" s="68"/>
      <c r="AA1254" s="68"/>
      <c r="AB1254" s="68"/>
      <c r="AC1254" s="68"/>
      <c r="AD1254" s="68"/>
      <c r="AE1254" s="68"/>
    </row>
    <row r="1255" spans="16:31" x14ac:dyDescent="0.2">
      <c r="P1255" s="68"/>
      <c r="Q1255" s="74"/>
      <c r="R1255" s="74"/>
      <c r="S1255" s="74"/>
      <c r="T1255" s="75"/>
      <c r="U1255" s="76"/>
      <c r="V1255" s="77"/>
      <c r="W1255" s="77"/>
      <c r="X1255" s="76"/>
      <c r="Y1255" s="76"/>
      <c r="Z1255" s="68"/>
      <c r="AA1255" s="68"/>
      <c r="AB1255" s="68"/>
      <c r="AC1255" s="68"/>
      <c r="AD1255" s="68"/>
      <c r="AE1255" s="68"/>
    </row>
    <row r="1256" spans="16:31" x14ac:dyDescent="0.2">
      <c r="P1256" s="68"/>
      <c r="Q1256" s="74"/>
      <c r="R1256" s="74"/>
      <c r="S1256" s="74"/>
      <c r="T1256" s="75"/>
      <c r="U1256" s="76"/>
      <c r="V1256" s="77"/>
      <c r="W1256" s="77"/>
      <c r="X1256" s="76"/>
      <c r="Y1256" s="76"/>
      <c r="Z1256" s="68"/>
      <c r="AA1256" s="68"/>
      <c r="AB1256" s="68"/>
      <c r="AC1256" s="68"/>
      <c r="AD1256" s="68"/>
      <c r="AE1256" s="68"/>
    </row>
    <row r="1257" spans="16:31" x14ac:dyDescent="0.2">
      <c r="P1257" s="68"/>
      <c r="Q1257" s="74"/>
      <c r="R1257" s="74"/>
      <c r="S1257" s="74"/>
      <c r="T1257" s="75"/>
      <c r="U1257" s="76"/>
      <c r="V1257" s="77"/>
      <c r="W1257" s="77"/>
      <c r="X1257" s="76"/>
      <c r="Y1257" s="76"/>
      <c r="Z1257" s="68"/>
      <c r="AA1257" s="68"/>
      <c r="AB1257" s="68"/>
      <c r="AC1257" s="68"/>
      <c r="AD1257" s="68"/>
      <c r="AE1257" s="68"/>
    </row>
    <row r="1258" spans="16:31" x14ac:dyDescent="0.2">
      <c r="P1258" s="68"/>
      <c r="Q1258" s="74"/>
      <c r="R1258" s="74"/>
      <c r="S1258" s="74"/>
      <c r="T1258" s="75"/>
      <c r="U1258" s="76"/>
      <c r="V1258" s="77"/>
      <c r="W1258" s="77"/>
      <c r="X1258" s="76"/>
      <c r="Y1258" s="76"/>
      <c r="Z1258" s="68"/>
      <c r="AA1258" s="68"/>
      <c r="AB1258" s="68"/>
      <c r="AC1258" s="68"/>
      <c r="AD1258" s="68"/>
      <c r="AE1258" s="68"/>
    </row>
    <row r="1259" spans="16:31" x14ac:dyDescent="0.2">
      <c r="P1259" s="68"/>
      <c r="Q1259" s="74"/>
      <c r="R1259" s="74"/>
      <c r="S1259" s="74"/>
      <c r="T1259" s="75"/>
      <c r="U1259" s="76"/>
      <c r="V1259" s="77"/>
      <c r="W1259" s="77"/>
      <c r="X1259" s="76"/>
      <c r="Y1259" s="76"/>
      <c r="Z1259" s="68"/>
      <c r="AA1259" s="68"/>
      <c r="AB1259" s="68"/>
      <c r="AC1259" s="68"/>
      <c r="AD1259" s="68"/>
      <c r="AE1259" s="68"/>
    </row>
    <row r="1260" spans="16:31" x14ac:dyDescent="0.2">
      <c r="P1260" s="68"/>
      <c r="Q1260" s="74"/>
      <c r="R1260" s="74"/>
      <c r="S1260" s="74"/>
      <c r="T1260" s="75"/>
      <c r="U1260" s="76"/>
      <c r="V1260" s="77"/>
      <c r="W1260" s="77"/>
      <c r="X1260" s="76"/>
      <c r="Y1260" s="76"/>
      <c r="Z1260" s="68"/>
      <c r="AA1260" s="68"/>
      <c r="AB1260" s="68"/>
      <c r="AC1260" s="68"/>
      <c r="AD1260" s="68"/>
      <c r="AE1260" s="68"/>
    </row>
    <row r="1261" spans="16:31" x14ac:dyDescent="0.2">
      <c r="P1261" s="68"/>
      <c r="Q1261" s="74"/>
      <c r="R1261" s="74"/>
      <c r="S1261" s="74"/>
      <c r="T1261" s="75"/>
      <c r="U1261" s="76"/>
      <c r="V1261" s="77"/>
      <c r="W1261" s="77"/>
      <c r="X1261" s="76"/>
      <c r="Y1261" s="76"/>
      <c r="Z1261" s="68"/>
      <c r="AA1261" s="68"/>
      <c r="AB1261" s="68"/>
      <c r="AC1261" s="68"/>
      <c r="AD1261" s="68"/>
      <c r="AE1261" s="68"/>
    </row>
    <row r="1262" spans="16:31" x14ac:dyDescent="0.2">
      <c r="P1262" s="68"/>
      <c r="Q1262" s="74"/>
      <c r="R1262" s="74"/>
      <c r="S1262" s="74"/>
      <c r="T1262" s="75"/>
      <c r="U1262" s="76"/>
      <c r="V1262" s="77"/>
      <c r="W1262" s="77"/>
      <c r="X1262" s="76"/>
      <c r="Y1262" s="76"/>
      <c r="Z1262" s="68"/>
      <c r="AA1262" s="68"/>
      <c r="AB1262" s="68"/>
      <c r="AC1262" s="68"/>
      <c r="AD1262" s="68"/>
      <c r="AE1262" s="68"/>
    </row>
    <row r="1263" spans="16:31" x14ac:dyDescent="0.2">
      <c r="P1263" s="68"/>
      <c r="Q1263" s="74"/>
      <c r="R1263" s="74"/>
      <c r="S1263" s="74"/>
      <c r="T1263" s="75"/>
      <c r="U1263" s="76"/>
      <c r="V1263" s="77"/>
      <c r="W1263" s="77"/>
      <c r="X1263" s="76"/>
      <c r="Y1263" s="76"/>
      <c r="Z1263" s="68"/>
      <c r="AA1263" s="68"/>
      <c r="AB1263" s="68"/>
      <c r="AC1263" s="68"/>
      <c r="AD1263" s="68"/>
      <c r="AE1263" s="68"/>
    </row>
    <row r="1264" spans="16:31" x14ac:dyDescent="0.2">
      <c r="P1264" s="68"/>
      <c r="Q1264" s="74"/>
      <c r="R1264" s="74"/>
      <c r="S1264" s="74"/>
      <c r="T1264" s="75"/>
      <c r="U1264" s="76"/>
      <c r="V1264" s="77"/>
      <c r="W1264" s="77"/>
      <c r="X1264" s="76"/>
      <c r="Y1264" s="76"/>
      <c r="Z1264" s="68"/>
      <c r="AA1264" s="68"/>
      <c r="AB1264" s="68"/>
      <c r="AC1264" s="68"/>
      <c r="AD1264" s="68"/>
      <c r="AE1264" s="68"/>
    </row>
    <row r="1265" spans="16:31" x14ac:dyDescent="0.2">
      <c r="P1265" s="68"/>
      <c r="Q1265" s="74"/>
      <c r="R1265" s="74"/>
      <c r="S1265" s="74"/>
      <c r="T1265" s="75"/>
      <c r="U1265" s="76"/>
      <c r="V1265" s="77"/>
      <c r="W1265" s="77"/>
      <c r="X1265" s="76"/>
      <c r="Y1265" s="76"/>
      <c r="Z1265" s="68"/>
      <c r="AA1265" s="68"/>
      <c r="AB1265" s="68"/>
      <c r="AC1265" s="68"/>
      <c r="AD1265" s="68"/>
      <c r="AE1265" s="68"/>
    </row>
    <row r="1266" spans="16:31" x14ac:dyDescent="0.2">
      <c r="P1266" s="68"/>
      <c r="Q1266" s="74"/>
      <c r="R1266" s="74"/>
      <c r="S1266" s="74"/>
      <c r="T1266" s="75"/>
      <c r="U1266" s="76"/>
      <c r="V1266" s="77"/>
      <c r="W1266" s="77"/>
      <c r="X1266" s="76"/>
      <c r="Y1266" s="76"/>
      <c r="Z1266" s="68"/>
      <c r="AA1266" s="68"/>
      <c r="AB1266" s="68"/>
      <c r="AC1266" s="68"/>
      <c r="AD1266" s="68"/>
      <c r="AE1266" s="68"/>
    </row>
    <row r="1267" spans="16:31" x14ac:dyDescent="0.2">
      <c r="P1267" s="68"/>
      <c r="Q1267" s="74"/>
      <c r="R1267" s="74"/>
      <c r="S1267" s="74"/>
      <c r="T1267" s="75"/>
      <c r="U1267" s="76"/>
      <c r="V1267" s="77"/>
      <c r="W1267" s="77"/>
      <c r="X1267" s="76"/>
      <c r="Y1267" s="76"/>
      <c r="Z1267" s="68"/>
      <c r="AA1267" s="68"/>
      <c r="AB1267" s="68"/>
      <c r="AC1267" s="68"/>
      <c r="AD1267" s="68"/>
      <c r="AE1267" s="68"/>
    </row>
    <row r="1268" spans="16:31" x14ac:dyDescent="0.2">
      <c r="P1268" s="68"/>
      <c r="Q1268" s="74"/>
      <c r="R1268" s="74"/>
      <c r="S1268" s="74"/>
      <c r="T1268" s="75"/>
      <c r="U1268" s="76"/>
      <c r="V1268" s="77"/>
      <c r="W1268" s="77"/>
      <c r="X1268" s="76"/>
      <c r="Y1268" s="76"/>
      <c r="Z1268" s="68"/>
      <c r="AA1268" s="68"/>
      <c r="AB1268" s="68"/>
      <c r="AC1268" s="68"/>
      <c r="AD1268" s="68"/>
      <c r="AE1268" s="68"/>
    </row>
    <row r="1269" spans="16:31" x14ac:dyDescent="0.2">
      <c r="P1269" s="68"/>
      <c r="Q1269" s="74"/>
      <c r="R1269" s="74"/>
      <c r="S1269" s="74"/>
      <c r="T1269" s="75"/>
      <c r="U1269" s="76"/>
      <c r="V1269" s="77"/>
      <c r="W1269" s="77"/>
      <c r="X1269" s="76"/>
      <c r="Y1269" s="76"/>
      <c r="Z1269" s="68"/>
      <c r="AA1269" s="68"/>
      <c r="AB1269" s="68"/>
      <c r="AC1269" s="68"/>
      <c r="AD1269" s="68"/>
      <c r="AE1269" s="68"/>
    </row>
    <row r="1270" spans="16:31" x14ac:dyDescent="0.2">
      <c r="P1270" s="68"/>
      <c r="Q1270" s="74"/>
      <c r="R1270" s="74"/>
      <c r="S1270" s="74"/>
      <c r="T1270" s="75"/>
      <c r="U1270" s="76"/>
      <c r="V1270" s="77"/>
      <c r="W1270" s="77"/>
      <c r="X1270" s="76"/>
      <c r="Y1270" s="76"/>
      <c r="Z1270" s="68"/>
      <c r="AA1270" s="68"/>
      <c r="AB1270" s="68"/>
      <c r="AC1270" s="68"/>
      <c r="AD1270" s="68"/>
      <c r="AE1270" s="68"/>
    </row>
    <row r="1271" spans="16:31" x14ac:dyDescent="0.2">
      <c r="P1271" s="68"/>
      <c r="Q1271" s="74"/>
      <c r="R1271" s="74"/>
      <c r="S1271" s="74"/>
      <c r="T1271" s="75"/>
      <c r="U1271" s="76"/>
      <c r="V1271" s="77"/>
      <c r="W1271" s="77"/>
      <c r="X1271" s="76"/>
      <c r="Y1271" s="76"/>
      <c r="Z1271" s="68"/>
      <c r="AA1271" s="68"/>
      <c r="AB1271" s="68"/>
      <c r="AC1271" s="68"/>
      <c r="AD1271" s="68"/>
      <c r="AE1271" s="68"/>
    </row>
    <row r="1272" spans="16:31" x14ac:dyDescent="0.2">
      <c r="P1272" s="68"/>
      <c r="Q1272" s="74"/>
      <c r="R1272" s="74"/>
      <c r="S1272" s="74"/>
      <c r="T1272" s="75"/>
      <c r="U1272" s="76"/>
      <c r="V1272" s="77"/>
      <c r="W1272" s="77"/>
      <c r="X1272" s="76"/>
      <c r="Y1272" s="76"/>
      <c r="Z1272" s="68"/>
      <c r="AA1272" s="68"/>
      <c r="AB1272" s="68"/>
      <c r="AC1272" s="68"/>
      <c r="AD1272" s="68"/>
      <c r="AE1272" s="68"/>
    </row>
    <row r="1273" spans="16:31" x14ac:dyDescent="0.2">
      <c r="P1273" s="68"/>
      <c r="Q1273" s="74"/>
      <c r="R1273" s="74"/>
      <c r="S1273" s="74"/>
      <c r="T1273" s="75"/>
      <c r="U1273" s="76"/>
      <c r="V1273" s="77"/>
      <c r="W1273" s="77"/>
      <c r="X1273" s="76"/>
      <c r="Y1273" s="76"/>
      <c r="Z1273" s="68"/>
      <c r="AA1273" s="68"/>
      <c r="AB1273" s="68"/>
      <c r="AC1273" s="68"/>
      <c r="AD1273" s="68"/>
      <c r="AE1273" s="68"/>
    </row>
    <row r="1274" spans="16:31" x14ac:dyDescent="0.2">
      <c r="P1274" s="68"/>
      <c r="Q1274" s="74"/>
      <c r="R1274" s="74"/>
      <c r="S1274" s="74"/>
      <c r="T1274" s="75"/>
      <c r="U1274" s="76"/>
      <c r="V1274" s="77"/>
      <c r="W1274" s="77"/>
      <c r="X1274" s="76"/>
      <c r="Y1274" s="76"/>
      <c r="Z1274" s="68"/>
      <c r="AA1274" s="68"/>
      <c r="AB1274" s="68"/>
      <c r="AC1274" s="68"/>
      <c r="AD1274" s="68"/>
      <c r="AE1274" s="68"/>
    </row>
    <row r="1275" spans="16:31" x14ac:dyDescent="0.2">
      <c r="P1275" s="68"/>
      <c r="Q1275" s="74"/>
      <c r="R1275" s="74"/>
      <c r="S1275" s="74"/>
      <c r="T1275" s="75"/>
      <c r="U1275" s="76"/>
      <c r="V1275" s="77"/>
      <c r="W1275" s="77"/>
      <c r="X1275" s="76"/>
      <c r="Y1275" s="76"/>
      <c r="Z1275" s="68"/>
      <c r="AA1275" s="68"/>
      <c r="AB1275" s="68"/>
      <c r="AC1275" s="68"/>
      <c r="AD1275" s="68"/>
      <c r="AE1275" s="68"/>
    </row>
    <row r="1276" spans="16:31" x14ac:dyDescent="0.2">
      <c r="P1276" s="68"/>
      <c r="Q1276" s="74"/>
      <c r="R1276" s="74"/>
      <c r="S1276" s="74"/>
      <c r="T1276" s="75"/>
      <c r="U1276" s="76"/>
      <c r="V1276" s="77"/>
      <c r="W1276" s="77"/>
      <c r="X1276" s="76"/>
      <c r="Y1276" s="76"/>
      <c r="Z1276" s="68"/>
      <c r="AA1276" s="68"/>
      <c r="AB1276" s="68"/>
      <c r="AC1276" s="68"/>
      <c r="AD1276" s="68"/>
      <c r="AE1276" s="68"/>
    </row>
    <row r="1277" spans="16:31" x14ac:dyDescent="0.2">
      <c r="P1277" s="68"/>
      <c r="Q1277" s="74"/>
      <c r="R1277" s="74"/>
      <c r="S1277" s="74"/>
      <c r="T1277" s="75"/>
      <c r="U1277" s="76"/>
      <c r="V1277" s="77"/>
      <c r="W1277" s="77"/>
      <c r="X1277" s="76"/>
      <c r="Y1277" s="76"/>
      <c r="Z1277" s="68"/>
      <c r="AA1277" s="68"/>
      <c r="AB1277" s="68"/>
      <c r="AC1277" s="68"/>
      <c r="AD1277" s="68"/>
      <c r="AE1277" s="68"/>
    </row>
    <row r="1278" spans="16:31" x14ac:dyDescent="0.2">
      <c r="P1278" s="68"/>
      <c r="Q1278" s="74"/>
      <c r="R1278" s="74"/>
      <c r="S1278" s="74"/>
      <c r="T1278" s="75"/>
      <c r="U1278" s="76"/>
      <c r="V1278" s="77"/>
      <c r="W1278" s="77"/>
      <c r="X1278" s="76"/>
      <c r="Y1278" s="76"/>
      <c r="Z1278" s="68"/>
      <c r="AA1278" s="68"/>
      <c r="AB1278" s="68"/>
      <c r="AC1278" s="68"/>
      <c r="AD1278" s="68"/>
      <c r="AE1278" s="68"/>
    </row>
    <row r="1279" spans="16:31" x14ac:dyDescent="0.2">
      <c r="P1279" s="68"/>
      <c r="Q1279" s="74"/>
      <c r="R1279" s="74"/>
      <c r="S1279" s="74"/>
      <c r="T1279" s="75"/>
      <c r="U1279" s="76"/>
      <c r="V1279" s="77"/>
      <c r="W1279" s="77"/>
      <c r="X1279" s="76"/>
      <c r="Y1279" s="76"/>
      <c r="Z1279" s="68"/>
      <c r="AA1279" s="68"/>
      <c r="AB1279" s="68"/>
      <c r="AC1279" s="68"/>
      <c r="AD1279" s="68"/>
      <c r="AE1279" s="68"/>
    </row>
    <row r="1280" spans="16:31" x14ac:dyDescent="0.2">
      <c r="P1280" s="68"/>
      <c r="Q1280" s="74"/>
      <c r="R1280" s="74"/>
      <c r="S1280" s="74"/>
      <c r="T1280" s="75"/>
      <c r="U1280" s="76"/>
      <c r="V1280" s="77"/>
      <c r="W1280" s="77"/>
      <c r="X1280" s="76"/>
      <c r="Y1280" s="76"/>
      <c r="Z1280" s="68"/>
      <c r="AA1280" s="68"/>
      <c r="AB1280" s="68"/>
      <c r="AC1280" s="68"/>
      <c r="AD1280" s="68"/>
      <c r="AE1280" s="68"/>
    </row>
    <row r="1281" spans="16:31" x14ac:dyDescent="0.2">
      <c r="P1281" s="68"/>
      <c r="Q1281" s="74"/>
      <c r="R1281" s="74"/>
      <c r="S1281" s="74"/>
      <c r="T1281" s="75"/>
      <c r="U1281" s="76"/>
      <c r="V1281" s="77"/>
      <c r="W1281" s="77"/>
      <c r="X1281" s="76"/>
      <c r="Y1281" s="76"/>
      <c r="Z1281" s="68"/>
      <c r="AA1281" s="68"/>
      <c r="AB1281" s="68"/>
      <c r="AC1281" s="68"/>
      <c r="AD1281" s="68"/>
      <c r="AE1281" s="68"/>
    </row>
    <row r="1282" spans="16:31" x14ac:dyDescent="0.2">
      <c r="P1282" s="68"/>
      <c r="Q1282" s="74"/>
      <c r="R1282" s="74"/>
      <c r="S1282" s="74"/>
      <c r="T1282" s="75"/>
      <c r="U1282" s="76"/>
      <c r="V1282" s="77"/>
      <c r="W1282" s="77"/>
      <c r="X1282" s="76"/>
      <c r="Y1282" s="76"/>
      <c r="Z1282" s="68"/>
      <c r="AA1282" s="68"/>
      <c r="AB1282" s="68"/>
      <c r="AC1282" s="68"/>
      <c r="AD1282" s="68"/>
      <c r="AE1282" s="68"/>
    </row>
    <row r="1283" spans="16:31" x14ac:dyDescent="0.2">
      <c r="P1283" s="68"/>
      <c r="Q1283" s="74"/>
      <c r="R1283" s="74"/>
      <c r="S1283" s="74"/>
      <c r="T1283" s="75"/>
      <c r="U1283" s="76"/>
      <c r="V1283" s="77"/>
      <c r="W1283" s="77"/>
      <c r="X1283" s="76"/>
      <c r="Y1283" s="76"/>
      <c r="Z1283" s="68"/>
      <c r="AA1283" s="68"/>
      <c r="AB1283" s="68"/>
      <c r="AC1283" s="68"/>
      <c r="AD1283" s="68"/>
      <c r="AE1283" s="68"/>
    </row>
    <row r="1284" spans="16:31" x14ac:dyDescent="0.2">
      <c r="P1284" s="68"/>
      <c r="Q1284" s="74"/>
      <c r="R1284" s="74"/>
      <c r="S1284" s="74"/>
      <c r="T1284" s="75"/>
      <c r="U1284" s="76"/>
      <c r="V1284" s="77"/>
      <c r="W1284" s="77"/>
      <c r="X1284" s="76"/>
      <c r="Y1284" s="76"/>
      <c r="Z1284" s="68"/>
      <c r="AA1284" s="68"/>
      <c r="AB1284" s="68"/>
      <c r="AC1284" s="68"/>
      <c r="AD1284" s="68"/>
      <c r="AE1284" s="68"/>
    </row>
    <row r="1285" spans="16:31" x14ac:dyDescent="0.2">
      <c r="P1285" s="68"/>
      <c r="Q1285" s="74"/>
      <c r="R1285" s="74"/>
      <c r="S1285" s="74"/>
      <c r="T1285" s="75"/>
      <c r="U1285" s="76"/>
      <c r="V1285" s="77"/>
      <c r="W1285" s="77"/>
      <c r="X1285" s="76"/>
      <c r="Y1285" s="76"/>
      <c r="Z1285" s="68"/>
      <c r="AA1285" s="68"/>
      <c r="AB1285" s="68"/>
      <c r="AC1285" s="68"/>
      <c r="AD1285" s="68"/>
      <c r="AE1285" s="68"/>
    </row>
    <row r="1286" spans="16:31" x14ac:dyDescent="0.2">
      <c r="P1286" s="68"/>
      <c r="Q1286" s="74"/>
      <c r="R1286" s="74"/>
      <c r="S1286" s="74"/>
      <c r="T1286" s="75"/>
      <c r="U1286" s="76"/>
      <c r="V1286" s="77"/>
      <c r="W1286" s="77"/>
      <c r="X1286" s="76"/>
      <c r="Y1286" s="76"/>
      <c r="Z1286" s="68"/>
      <c r="AA1286" s="68"/>
      <c r="AB1286" s="68"/>
      <c r="AC1286" s="68"/>
      <c r="AD1286" s="68"/>
      <c r="AE1286" s="68"/>
    </row>
    <row r="1287" spans="16:31" x14ac:dyDescent="0.2">
      <c r="P1287" s="68"/>
      <c r="Q1287" s="74"/>
      <c r="R1287" s="74"/>
      <c r="S1287" s="74"/>
      <c r="T1287" s="75"/>
      <c r="U1287" s="76"/>
      <c r="V1287" s="77"/>
      <c r="W1287" s="77"/>
      <c r="X1287" s="76"/>
      <c r="Y1287" s="76"/>
      <c r="Z1287" s="68"/>
      <c r="AA1287" s="68"/>
      <c r="AB1287" s="68"/>
      <c r="AC1287" s="68"/>
      <c r="AD1287" s="68"/>
      <c r="AE1287" s="68"/>
    </row>
    <row r="1288" spans="16:31" x14ac:dyDescent="0.2">
      <c r="P1288" s="68"/>
      <c r="Q1288" s="74"/>
      <c r="R1288" s="74"/>
      <c r="S1288" s="74"/>
      <c r="T1288" s="75"/>
      <c r="U1288" s="76"/>
      <c r="V1288" s="77"/>
      <c r="W1288" s="77"/>
      <c r="X1288" s="76"/>
      <c r="Y1288" s="76"/>
      <c r="Z1288" s="68"/>
      <c r="AA1288" s="68"/>
      <c r="AB1288" s="68"/>
      <c r="AC1288" s="68"/>
      <c r="AD1288" s="68"/>
      <c r="AE1288" s="68"/>
    </row>
    <row r="1289" spans="16:31" x14ac:dyDescent="0.2">
      <c r="P1289" s="68"/>
      <c r="Q1289" s="74"/>
      <c r="R1289" s="74"/>
      <c r="S1289" s="74"/>
      <c r="T1289" s="75"/>
      <c r="U1289" s="76"/>
      <c r="V1289" s="77"/>
      <c r="W1289" s="77"/>
      <c r="X1289" s="76"/>
      <c r="Y1289" s="76"/>
      <c r="Z1289" s="68"/>
      <c r="AA1289" s="68"/>
      <c r="AB1289" s="68"/>
      <c r="AC1289" s="68"/>
      <c r="AD1289" s="68"/>
      <c r="AE1289" s="68"/>
    </row>
    <row r="1290" spans="16:31" x14ac:dyDescent="0.2">
      <c r="P1290" s="68"/>
      <c r="Q1290" s="74"/>
      <c r="R1290" s="74"/>
      <c r="S1290" s="74"/>
      <c r="T1290" s="75"/>
      <c r="U1290" s="76"/>
      <c r="V1290" s="77"/>
      <c r="W1290" s="77"/>
      <c r="X1290" s="76"/>
      <c r="Y1290" s="76"/>
      <c r="Z1290" s="68"/>
      <c r="AA1290" s="68"/>
      <c r="AB1290" s="68"/>
      <c r="AC1290" s="68"/>
      <c r="AD1290" s="68"/>
      <c r="AE1290" s="68"/>
    </row>
    <row r="1291" spans="16:31" x14ac:dyDescent="0.2">
      <c r="P1291" s="68"/>
      <c r="Q1291" s="74"/>
      <c r="R1291" s="74"/>
      <c r="S1291" s="74"/>
      <c r="T1291" s="75"/>
      <c r="U1291" s="76"/>
      <c r="V1291" s="77"/>
      <c r="W1291" s="77"/>
      <c r="X1291" s="76"/>
      <c r="Y1291" s="76"/>
      <c r="Z1291" s="68"/>
      <c r="AA1291" s="68"/>
      <c r="AB1291" s="68"/>
      <c r="AC1291" s="68"/>
      <c r="AD1291" s="68"/>
      <c r="AE1291" s="68"/>
    </row>
    <row r="1292" spans="16:31" x14ac:dyDescent="0.2">
      <c r="P1292" s="68"/>
      <c r="Q1292" s="74"/>
      <c r="R1292" s="74"/>
      <c r="S1292" s="74"/>
      <c r="T1292" s="75"/>
      <c r="U1292" s="76"/>
      <c r="V1292" s="77"/>
      <c r="W1292" s="77"/>
      <c r="X1292" s="76"/>
      <c r="Y1292" s="76"/>
      <c r="Z1292" s="68"/>
      <c r="AA1292" s="68"/>
      <c r="AB1292" s="68"/>
      <c r="AC1292" s="68"/>
      <c r="AD1292" s="68"/>
      <c r="AE1292" s="68"/>
    </row>
    <row r="1293" spans="16:31" x14ac:dyDescent="0.2">
      <c r="P1293" s="68"/>
      <c r="Q1293" s="74"/>
      <c r="R1293" s="74"/>
      <c r="S1293" s="74"/>
      <c r="T1293" s="75"/>
      <c r="U1293" s="76"/>
      <c r="V1293" s="77"/>
      <c r="W1293" s="77"/>
      <c r="X1293" s="76"/>
      <c r="Y1293" s="76"/>
      <c r="Z1293" s="68"/>
      <c r="AA1293" s="68"/>
      <c r="AB1293" s="68"/>
      <c r="AC1293" s="68"/>
      <c r="AD1293" s="68"/>
      <c r="AE1293" s="68"/>
    </row>
    <row r="1294" spans="16:31" x14ac:dyDescent="0.2">
      <c r="P1294" s="68"/>
      <c r="Q1294" s="74"/>
      <c r="R1294" s="74"/>
      <c r="S1294" s="74"/>
      <c r="T1294" s="75"/>
      <c r="U1294" s="76"/>
      <c r="V1294" s="77"/>
      <c r="W1294" s="77"/>
      <c r="X1294" s="76"/>
      <c r="Y1294" s="76"/>
      <c r="Z1294" s="68"/>
      <c r="AA1294" s="68"/>
      <c r="AB1294" s="68"/>
      <c r="AC1294" s="68"/>
      <c r="AD1294" s="68"/>
      <c r="AE1294" s="68"/>
    </row>
    <row r="1295" spans="16:31" x14ac:dyDescent="0.2">
      <c r="P1295" s="68"/>
      <c r="Q1295" s="74"/>
      <c r="R1295" s="74"/>
      <c r="S1295" s="74"/>
      <c r="T1295" s="75"/>
      <c r="U1295" s="76"/>
      <c r="V1295" s="77"/>
      <c r="W1295" s="77"/>
      <c r="X1295" s="76"/>
      <c r="Y1295" s="76"/>
      <c r="Z1295" s="68"/>
      <c r="AA1295" s="68"/>
      <c r="AB1295" s="68"/>
      <c r="AC1295" s="68"/>
      <c r="AD1295" s="68"/>
      <c r="AE1295" s="68"/>
    </row>
    <row r="1296" spans="16:31" x14ac:dyDescent="0.2">
      <c r="P1296" s="68"/>
      <c r="Q1296" s="74"/>
      <c r="R1296" s="74"/>
      <c r="S1296" s="74"/>
      <c r="T1296" s="75"/>
      <c r="U1296" s="76"/>
      <c r="V1296" s="77"/>
      <c r="W1296" s="77"/>
      <c r="X1296" s="76"/>
      <c r="Y1296" s="76"/>
      <c r="Z1296" s="68"/>
      <c r="AA1296" s="68"/>
      <c r="AB1296" s="68"/>
      <c r="AC1296" s="68"/>
      <c r="AD1296" s="68"/>
      <c r="AE1296" s="68"/>
    </row>
    <row r="1297" spans="16:31" x14ac:dyDescent="0.2">
      <c r="P1297" s="68"/>
      <c r="Q1297" s="74"/>
      <c r="R1297" s="74"/>
      <c r="S1297" s="74"/>
      <c r="T1297" s="75"/>
      <c r="U1297" s="76"/>
      <c r="V1297" s="77"/>
      <c r="W1297" s="77"/>
      <c r="X1297" s="76"/>
      <c r="Y1297" s="76"/>
      <c r="Z1297" s="68"/>
      <c r="AA1297" s="68"/>
      <c r="AB1297" s="68"/>
      <c r="AC1297" s="68"/>
      <c r="AD1297" s="68"/>
      <c r="AE1297" s="68"/>
    </row>
    <row r="1298" spans="16:31" x14ac:dyDescent="0.2">
      <c r="P1298" s="68"/>
      <c r="Q1298" s="74"/>
      <c r="R1298" s="74"/>
      <c r="S1298" s="74"/>
      <c r="T1298" s="75"/>
      <c r="U1298" s="76"/>
      <c r="V1298" s="77"/>
      <c r="W1298" s="77"/>
      <c r="X1298" s="76"/>
      <c r="Y1298" s="76"/>
      <c r="Z1298" s="68"/>
      <c r="AA1298" s="68"/>
      <c r="AB1298" s="68"/>
      <c r="AC1298" s="68"/>
      <c r="AD1298" s="68"/>
      <c r="AE1298" s="68"/>
    </row>
    <row r="1299" spans="16:31" x14ac:dyDescent="0.2">
      <c r="P1299" s="68"/>
      <c r="Q1299" s="74"/>
      <c r="R1299" s="74"/>
      <c r="S1299" s="74"/>
      <c r="T1299" s="75"/>
      <c r="U1299" s="76"/>
      <c r="V1299" s="77"/>
      <c r="W1299" s="77"/>
      <c r="X1299" s="76"/>
      <c r="Y1299" s="76"/>
      <c r="Z1299" s="68"/>
      <c r="AA1299" s="68"/>
      <c r="AB1299" s="68"/>
      <c r="AC1299" s="68"/>
      <c r="AD1299" s="68"/>
      <c r="AE1299" s="68"/>
    </row>
    <row r="1300" spans="16:31" x14ac:dyDescent="0.2">
      <c r="P1300" s="68"/>
      <c r="Q1300" s="74"/>
      <c r="R1300" s="74"/>
      <c r="S1300" s="74"/>
      <c r="T1300" s="75"/>
      <c r="U1300" s="76"/>
      <c r="V1300" s="77"/>
      <c r="W1300" s="77"/>
      <c r="X1300" s="76"/>
      <c r="Y1300" s="76"/>
      <c r="Z1300" s="68"/>
      <c r="AA1300" s="68"/>
      <c r="AB1300" s="68"/>
      <c r="AC1300" s="68"/>
      <c r="AD1300" s="68"/>
      <c r="AE1300" s="68"/>
    </row>
    <row r="1301" spans="16:31" x14ac:dyDescent="0.2">
      <c r="P1301" s="68"/>
      <c r="Q1301" s="74"/>
      <c r="R1301" s="74"/>
      <c r="S1301" s="74"/>
      <c r="T1301" s="75"/>
      <c r="U1301" s="76"/>
      <c r="V1301" s="77"/>
      <c r="W1301" s="77"/>
      <c r="X1301" s="76"/>
      <c r="Y1301" s="76"/>
      <c r="Z1301" s="68"/>
      <c r="AA1301" s="68"/>
      <c r="AB1301" s="68"/>
      <c r="AC1301" s="68"/>
      <c r="AD1301" s="68"/>
      <c r="AE1301" s="68"/>
    </row>
    <row r="1302" spans="16:31" x14ac:dyDescent="0.2">
      <c r="P1302" s="68"/>
      <c r="Q1302" s="74"/>
      <c r="R1302" s="74"/>
      <c r="S1302" s="74"/>
      <c r="T1302" s="75"/>
      <c r="U1302" s="76"/>
      <c r="V1302" s="77"/>
      <c r="W1302" s="77"/>
      <c r="X1302" s="76"/>
      <c r="Y1302" s="76"/>
      <c r="Z1302" s="68"/>
      <c r="AA1302" s="68"/>
      <c r="AB1302" s="68"/>
      <c r="AC1302" s="68"/>
      <c r="AD1302" s="68"/>
      <c r="AE1302" s="68"/>
    </row>
    <row r="1303" spans="16:31" x14ac:dyDescent="0.2">
      <c r="P1303" s="68"/>
      <c r="Q1303" s="74"/>
      <c r="R1303" s="74"/>
      <c r="S1303" s="74"/>
      <c r="T1303" s="75"/>
      <c r="U1303" s="76"/>
      <c r="V1303" s="77"/>
      <c r="W1303" s="77"/>
      <c r="X1303" s="76"/>
      <c r="Y1303" s="76"/>
      <c r="Z1303" s="68"/>
      <c r="AA1303" s="68"/>
      <c r="AB1303" s="68"/>
      <c r="AC1303" s="68"/>
      <c r="AD1303" s="68"/>
      <c r="AE1303" s="68"/>
    </row>
    <row r="1304" spans="16:31" x14ac:dyDescent="0.2">
      <c r="P1304" s="68"/>
      <c r="Q1304" s="74"/>
      <c r="R1304" s="74"/>
      <c r="S1304" s="74"/>
      <c r="T1304" s="75"/>
      <c r="U1304" s="76"/>
      <c r="V1304" s="77"/>
      <c r="W1304" s="77"/>
      <c r="X1304" s="76"/>
      <c r="Y1304" s="76"/>
      <c r="Z1304" s="68"/>
      <c r="AA1304" s="68"/>
      <c r="AB1304" s="68"/>
      <c r="AC1304" s="68"/>
      <c r="AD1304" s="68"/>
      <c r="AE1304" s="68"/>
    </row>
    <row r="1305" spans="16:31" x14ac:dyDescent="0.2">
      <c r="P1305" s="68"/>
      <c r="Q1305" s="74"/>
      <c r="R1305" s="74"/>
      <c r="S1305" s="74"/>
      <c r="T1305" s="75"/>
      <c r="U1305" s="76"/>
      <c r="V1305" s="77"/>
      <c r="W1305" s="77"/>
      <c r="X1305" s="76"/>
      <c r="Y1305" s="76"/>
      <c r="Z1305" s="68"/>
      <c r="AA1305" s="68"/>
      <c r="AB1305" s="68"/>
      <c r="AC1305" s="68"/>
      <c r="AD1305" s="68"/>
      <c r="AE1305" s="68"/>
    </row>
    <row r="1306" spans="16:31" x14ac:dyDescent="0.2">
      <c r="P1306" s="68"/>
      <c r="Q1306" s="74"/>
      <c r="R1306" s="74"/>
      <c r="S1306" s="74"/>
      <c r="T1306" s="75"/>
      <c r="U1306" s="76"/>
      <c r="V1306" s="77"/>
      <c r="W1306" s="77"/>
      <c r="X1306" s="76"/>
      <c r="Y1306" s="76"/>
      <c r="Z1306" s="68"/>
      <c r="AA1306" s="68"/>
      <c r="AB1306" s="68"/>
      <c r="AC1306" s="68"/>
      <c r="AD1306" s="68"/>
      <c r="AE1306" s="68"/>
    </row>
    <row r="1307" spans="16:31" x14ac:dyDescent="0.2">
      <c r="P1307" s="68"/>
      <c r="Q1307" s="74"/>
      <c r="R1307" s="74"/>
      <c r="S1307" s="74"/>
      <c r="T1307" s="75"/>
      <c r="U1307" s="76"/>
      <c r="V1307" s="77"/>
      <c r="W1307" s="77"/>
      <c r="X1307" s="76"/>
      <c r="Y1307" s="76"/>
      <c r="Z1307" s="68"/>
      <c r="AA1307" s="68"/>
      <c r="AB1307" s="68"/>
      <c r="AC1307" s="68"/>
      <c r="AD1307" s="68"/>
      <c r="AE1307" s="68"/>
    </row>
    <row r="1308" spans="16:31" x14ac:dyDescent="0.2">
      <c r="P1308" s="68"/>
      <c r="Q1308" s="74"/>
      <c r="R1308" s="74"/>
      <c r="S1308" s="74"/>
      <c r="T1308" s="75"/>
      <c r="U1308" s="76"/>
      <c r="V1308" s="77"/>
      <c r="W1308" s="77"/>
      <c r="X1308" s="76"/>
      <c r="Y1308" s="76"/>
      <c r="Z1308" s="68"/>
      <c r="AA1308" s="68"/>
      <c r="AB1308" s="68"/>
      <c r="AC1308" s="68"/>
      <c r="AD1308" s="68"/>
      <c r="AE1308" s="68"/>
    </row>
    <row r="1309" spans="16:31" x14ac:dyDescent="0.2">
      <c r="P1309" s="68"/>
      <c r="Q1309" s="74"/>
      <c r="R1309" s="74"/>
      <c r="S1309" s="74"/>
      <c r="T1309" s="75"/>
      <c r="U1309" s="76"/>
      <c r="V1309" s="77"/>
      <c r="W1309" s="77"/>
      <c r="X1309" s="76"/>
      <c r="Y1309" s="76"/>
      <c r="Z1309" s="68"/>
      <c r="AA1309" s="68"/>
      <c r="AB1309" s="68"/>
      <c r="AC1309" s="68"/>
      <c r="AD1309" s="68"/>
      <c r="AE1309" s="68"/>
    </row>
    <row r="1310" spans="16:31" x14ac:dyDescent="0.2">
      <c r="P1310" s="68"/>
      <c r="Q1310" s="74"/>
      <c r="R1310" s="74"/>
      <c r="S1310" s="74"/>
      <c r="T1310" s="75"/>
      <c r="U1310" s="76"/>
      <c r="V1310" s="77"/>
      <c r="W1310" s="77"/>
      <c r="X1310" s="76"/>
      <c r="Y1310" s="76"/>
      <c r="Z1310" s="68"/>
      <c r="AA1310" s="68"/>
      <c r="AB1310" s="68"/>
      <c r="AC1310" s="68"/>
      <c r="AD1310" s="68"/>
      <c r="AE1310" s="68"/>
    </row>
    <row r="1311" spans="16:31" x14ac:dyDescent="0.2">
      <c r="P1311" s="68"/>
      <c r="Q1311" s="74"/>
      <c r="R1311" s="74"/>
      <c r="S1311" s="74"/>
      <c r="T1311" s="75"/>
      <c r="U1311" s="76"/>
      <c r="V1311" s="77"/>
      <c r="W1311" s="77"/>
      <c r="X1311" s="76"/>
      <c r="Y1311" s="68"/>
      <c r="Z1311" s="68"/>
      <c r="AA1311" s="68"/>
      <c r="AB1311" s="68"/>
      <c r="AC1311" s="68"/>
      <c r="AD1311" s="68"/>
      <c r="AE1311" s="68"/>
    </row>
    <row r="1312" spans="16:31" x14ac:dyDescent="0.2">
      <c r="P1312" s="68"/>
      <c r="Q1312" s="74"/>
      <c r="R1312" s="74"/>
      <c r="S1312" s="74"/>
      <c r="T1312" s="75"/>
      <c r="U1312" s="76"/>
      <c r="V1312" s="77"/>
      <c r="W1312" s="77"/>
      <c r="X1312" s="76"/>
      <c r="Y1312" s="68"/>
      <c r="Z1312" s="68"/>
      <c r="AA1312" s="68"/>
      <c r="AB1312" s="68"/>
      <c r="AC1312" s="68"/>
      <c r="AD1312" s="68"/>
      <c r="AE1312" s="68"/>
    </row>
    <row r="1313" spans="16:31" x14ac:dyDescent="0.2">
      <c r="P1313" s="68"/>
      <c r="Q1313" s="74"/>
      <c r="R1313" s="74"/>
      <c r="S1313" s="74"/>
      <c r="T1313" s="75"/>
      <c r="U1313" s="76"/>
      <c r="V1313" s="77"/>
      <c r="W1313" s="77"/>
      <c r="X1313" s="76"/>
      <c r="Y1313" s="68"/>
      <c r="Z1313" s="68"/>
      <c r="AA1313" s="68"/>
      <c r="AB1313" s="68"/>
      <c r="AC1313" s="68"/>
      <c r="AD1313" s="68"/>
      <c r="AE1313" s="68"/>
    </row>
    <row r="1314" spans="16:31" x14ac:dyDescent="0.2">
      <c r="P1314" s="68"/>
      <c r="Q1314" s="74"/>
      <c r="R1314" s="74"/>
      <c r="S1314" s="74"/>
      <c r="T1314" s="75"/>
      <c r="U1314" s="76"/>
      <c r="V1314" s="77"/>
      <c r="W1314" s="77"/>
      <c r="X1314" s="76"/>
      <c r="Y1314" s="68"/>
      <c r="Z1314" s="68"/>
      <c r="AA1314" s="68"/>
      <c r="AB1314" s="68"/>
      <c r="AC1314" s="68"/>
      <c r="AD1314" s="68"/>
      <c r="AE1314" s="68"/>
    </row>
    <row r="1315" spans="16:31" x14ac:dyDescent="0.2">
      <c r="P1315" s="68"/>
      <c r="Q1315" s="74"/>
      <c r="R1315" s="74"/>
      <c r="S1315" s="74"/>
      <c r="T1315" s="75"/>
      <c r="U1315" s="76"/>
      <c r="V1315" s="77"/>
      <c r="W1315" s="77"/>
      <c r="X1315" s="76"/>
      <c r="Y1315" s="68"/>
      <c r="Z1315" s="68"/>
      <c r="AA1315" s="68"/>
      <c r="AB1315" s="68"/>
      <c r="AC1315" s="68"/>
      <c r="AD1315" s="68"/>
      <c r="AE1315" s="68"/>
    </row>
    <row r="1316" spans="16:31" x14ac:dyDescent="0.2">
      <c r="P1316" s="68"/>
      <c r="Q1316" s="74"/>
      <c r="R1316" s="74"/>
      <c r="S1316" s="74"/>
      <c r="T1316" s="75"/>
      <c r="U1316" s="76"/>
      <c r="V1316" s="77"/>
      <c r="W1316" s="77"/>
      <c r="X1316" s="76"/>
      <c r="Y1316" s="68"/>
      <c r="Z1316" s="68"/>
      <c r="AA1316" s="68"/>
      <c r="AB1316" s="68"/>
      <c r="AC1316" s="68"/>
      <c r="AD1316" s="68"/>
      <c r="AE1316" s="68"/>
    </row>
    <row r="1317" spans="16:31" x14ac:dyDescent="0.2">
      <c r="P1317" s="68"/>
      <c r="Q1317" s="74"/>
      <c r="R1317" s="74"/>
      <c r="S1317" s="74"/>
      <c r="T1317" s="75"/>
      <c r="U1317" s="76"/>
      <c r="V1317" s="77"/>
      <c r="W1317" s="77"/>
      <c r="X1317" s="76"/>
      <c r="Y1317" s="68"/>
      <c r="Z1317" s="68"/>
      <c r="AA1317" s="68"/>
      <c r="AB1317" s="68"/>
      <c r="AC1317" s="68"/>
      <c r="AD1317" s="68"/>
      <c r="AE1317" s="68"/>
    </row>
    <row r="1318" spans="16:31" x14ac:dyDescent="0.2">
      <c r="P1318" s="68"/>
      <c r="Q1318" s="74"/>
      <c r="R1318" s="74"/>
      <c r="S1318" s="74"/>
      <c r="T1318" s="75"/>
      <c r="U1318" s="76"/>
      <c r="V1318" s="77"/>
      <c r="W1318" s="77"/>
      <c r="X1318" s="76"/>
      <c r="Y1318" s="68"/>
      <c r="Z1318" s="68"/>
      <c r="AA1318" s="68"/>
      <c r="AB1318" s="68"/>
      <c r="AC1318" s="68"/>
      <c r="AD1318" s="68"/>
      <c r="AE1318" s="68"/>
    </row>
    <row r="1319" spans="16:31" x14ac:dyDescent="0.2">
      <c r="P1319" s="68"/>
      <c r="Q1319" s="74"/>
      <c r="R1319" s="74"/>
      <c r="S1319" s="74"/>
      <c r="T1319" s="75"/>
      <c r="U1319" s="76"/>
      <c r="V1319" s="77"/>
      <c r="W1319" s="77"/>
      <c r="X1319" s="76"/>
      <c r="Y1319" s="68"/>
      <c r="Z1319" s="68"/>
      <c r="AA1319" s="68"/>
      <c r="AB1319" s="68"/>
      <c r="AC1319" s="68"/>
      <c r="AD1319" s="68"/>
      <c r="AE1319" s="68"/>
    </row>
    <row r="1320" spans="16:31" x14ac:dyDescent="0.2">
      <c r="P1320" s="68"/>
      <c r="Q1320" s="74"/>
      <c r="R1320" s="74"/>
      <c r="S1320" s="74"/>
      <c r="T1320" s="75"/>
      <c r="U1320" s="76"/>
      <c r="V1320" s="77"/>
      <c r="W1320" s="77"/>
      <c r="X1320" s="76"/>
      <c r="Y1320" s="68"/>
      <c r="Z1320" s="68"/>
      <c r="AA1320" s="68"/>
      <c r="AB1320" s="68"/>
      <c r="AC1320" s="68"/>
      <c r="AD1320" s="68"/>
      <c r="AE1320" s="68"/>
    </row>
    <row r="1321" spans="16:31" x14ac:dyDescent="0.2">
      <c r="P1321" s="68"/>
      <c r="Q1321" s="74"/>
      <c r="R1321" s="74"/>
      <c r="S1321" s="74"/>
      <c r="T1321" s="75"/>
      <c r="U1321" s="76"/>
      <c r="V1321" s="77"/>
      <c r="W1321" s="77"/>
      <c r="X1321" s="76"/>
      <c r="Y1321" s="68"/>
      <c r="Z1321" s="68"/>
      <c r="AA1321" s="68"/>
      <c r="AB1321" s="68"/>
      <c r="AC1321" s="68"/>
      <c r="AD1321" s="68"/>
      <c r="AE1321" s="68"/>
    </row>
    <row r="1322" spans="16:31" x14ac:dyDescent="0.2">
      <c r="P1322" s="68"/>
      <c r="Q1322" s="74"/>
      <c r="R1322" s="74"/>
      <c r="S1322" s="74"/>
      <c r="T1322" s="75"/>
      <c r="U1322" s="76"/>
      <c r="V1322" s="77"/>
      <c r="W1322" s="77"/>
      <c r="X1322" s="76"/>
      <c r="Y1322" s="68"/>
      <c r="Z1322" s="68"/>
      <c r="AA1322" s="68"/>
      <c r="AB1322" s="68"/>
      <c r="AC1322" s="68"/>
      <c r="AD1322" s="68"/>
      <c r="AE1322" s="68"/>
    </row>
    <row r="1323" spans="16:31" x14ac:dyDescent="0.2">
      <c r="P1323" s="68"/>
      <c r="Q1323" s="74"/>
      <c r="R1323" s="74"/>
      <c r="S1323" s="74"/>
      <c r="T1323" s="75"/>
      <c r="U1323" s="76"/>
      <c r="V1323" s="77"/>
      <c r="W1323" s="77"/>
      <c r="X1323" s="76"/>
      <c r="Y1323" s="68"/>
      <c r="Z1323" s="68"/>
      <c r="AA1323" s="68"/>
      <c r="AB1323" s="68"/>
      <c r="AC1323" s="68"/>
      <c r="AD1323" s="68"/>
      <c r="AE1323" s="68"/>
    </row>
    <row r="1324" spans="16:31" x14ac:dyDescent="0.2">
      <c r="P1324" s="68"/>
      <c r="Q1324" s="74"/>
      <c r="R1324" s="74"/>
      <c r="S1324" s="74"/>
      <c r="T1324" s="75"/>
      <c r="U1324" s="76"/>
      <c r="V1324" s="77"/>
      <c r="W1324" s="77"/>
      <c r="X1324" s="76"/>
      <c r="Y1324" s="68"/>
      <c r="Z1324" s="68"/>
      <c r="AA1324" s="68"/>
      <c r="AB1324" s="68"/>
      <c r="AC1324" s="68"/>
      <c r="AD1324" s="68"/>
      <c r="AE1324" s="68"/>
    </row>
    <row r="1325" spans="16:31" x14ac:dyDescent="0.2">
      <c r="P1325" s="68"/>
      <c r="Q1325" s="74"/>
      <c r="R1325" s="74"/>
      <c r="S1325" s="74"/>
      <c r="T1325" s="75"/>
      <c r="U1325" s="76"/>
      <c r="V1325" s="77"/>
      <c r="W1325" s="77"/>
      <c r="X1325" s="76"/>
      <c r="Y1325" s="68"/>
      <c r="Z1325" s="68"/>
      <c r="AA1325" s="68"/>
      <c r="AB1325" s="68"/>
      <c r="AC1325" s="68"/>
      <c r="AD1325" s="68"/>
      <c r="AE1325" s="68"/>
    </row>
    <row r="1326" spans="16:31" x14ac:dyDescent="0.2">
      <c r="P1326" s="68"/>
      <c r="Q1326" s="74"/>
      <c r="R1326" s="74"/>
      <c r="S1326" s="74"/>
      <c r="T1326" s="75"/>
      <c r="U1326" s="76"/>
      <c r="V1326" s="77"/>
      <c r="W1326" s="77"/>
      <c r="X1326" s="76"/>
      <c r="Y1326" s="68"/>
      <c r="Z1326" s="68"/>
      <c r="AA1326" s="68"/>
      <c r="AB1326" s="68"/>
      <c r="AC1326" s="68"/>
      <c r="AD1326" s="68"/>
      <c r="AE1326" s="68"/>
    </row>
    <row r="1327" spans="16:31" x14ac:dyDescent="0.2">
      <c r="P1327" s="68"/>
      <c r="Q1327" s="74"/>
      <c r="R1327" s="74"/>
      <c r="S1327" s="74"/>
      <c r="T1327" s="75"/>
      <c r="U1327" s="76"/>
      <c r="V1327" s="77"/>
      <c r="W1327" s="77"/>
      <c r="X1327" s="76"/>
      <c r="Y1327" s="68"/>
      <c r="Z1327" s="68"/>
      <c r="AA1327" s="68"/>
      <c r="AB1327" s="68"/>
      <c r="AC1327" s="68"/>
      <c r="AD1327" s="68"/>
      <c r="AE1327" s="68"/>
    </row>
    <row r="1328" spans="16:31" x14ac:dyDescent="0.2">
      <c r="P1328" s="68"/>
      <c r="Q1328" s="74"/>
      <c r="R1328" s="74"/>
      <c r="S1328" s="74"/>
      <c r="T1328" s="75"/>
      <c r="U1328" s="76"/>
      <c r="V1328" s="77"/>
      <c r="W1328" s="77"/>
      <c r="X1328" s="76"/>
      <c r="Y1328" s="68"/>
      <c r="Z1328" s="68"/>
      <c r="AA1328" s="68"/>
      <c r="AB1328" s="68"/>
      <c r="AC1328" s="68"/>
      <c r="AD1328" s="68"/>
      <c r="AE1328" s="68"/>
    </row>
    <row r="1329" spans="16:31" x14ac:dyDescent="0.2">
      <c r="P1329" s="68"/>
      <c r="Q1329" s="74"/>
      <c r="R1329" s="74"/>
      <c r="S1329" s="74"/>
      <c r="T1329" s="75"/>
      <c r="U1329" s="76"/>
      <c r="V1329" s="77"/>
      <c r="W1329" s="77"/>
      <c r="X1329" s="76"/>
      <c r="Y1329" s="68"/>
      <c r="Z1329" s="68"/>
      <c r="AA1329" s="68"/>
      <c r="AB1329" s="68"/>
      <c r="AC1329" s="68"/>
      <c r="AD1329" s="68"/>
      <c r="AE1329" s="68"/>
    </row>
    <row r="1330" spans="16:31" x14ac:dyDescent="0.2">
      <c r="P1330" s="68"/>
      <c r="Q1330" s="74"/>
      <c r="R1330" s="74"/>
      <c r="S1330" s="74"/>
      <c r="T1330" s="75"/>
      <c r="U1330" s="76"/>
      <c r="V1330" s="77"/>
      <c r="W1330" s="77"/>
      <c r="X1330" s="76"/>
      <c r="Y1330" s="68"/>
      <c r="Z1330" s="68"/>
      <c r="AA1330" s="68"/>
      <c r="AB1330" s="68"/>
      <c r="AC1330" s="68"/>
      <c r="AD1330" s="68"/>
      <c r="AE1330" s="68"/>
    </row>
    <row r="1331" spans="16:31" x14ac:dyDescent="0.2">
      <c r="P1331" s="68"/>
      <c r="Q1331" s="74"/>
      <c r="R1331" s="74"/>
      <c r="S1331" s="74"/>
      <c r="T1331" s="75"/>
      <c r="U1331" s="76"/>
      <c r="V1331" s="77"/>
      <c r="W1331" s="77"/>
      <c r="X1331" s="76"/>
      <c r="Y1331" s="68"/>
      <c r="Z1331" s="68"/>
      <c r="AA1331" s="68"/>
      <c r="AB1331" s="68"/>
      <c r="AC1331" s="68"/>
      <c r="AD1331" s="68"/>
      <c r="AE1331" s="68"/>
    </row>
    <row r="1332" spans="16:31" x14ac:dyDescent="0.2">
      <c r="P1332" s="68"/>
      <c r="Q1332" s="74"/>
      <c r="R1332" s="74"/>
      <c r="S1332" s="74"/>
      <c r="T1332" s="75"/>
      <c r="U1332" s="76"/>
      <c r="V1332" s="77"/>
      <c r="W1332" s="77"/>
      <c r="X1332" s="76"/>
      <c r="Y1332" s="68"/>
      <c r="Z1332" s="68"/>
      <c r="AA1332" s="68"/>
      <c r="AB1332" s="68"/>
      <c r="AC1332" s="68"/>
      <c r="AD1332" s="68"/>
      <c r="AE1332" s="68"/>
    </row>
    <row r="1333" spans="16:31" x14ac:dyDescent="0.2">
      <c r="P1333" s="68"/>
      <c r="Q1333" s="74"/>
      <c r="R1333" s="74"/>
      <c r="S1333" s="74"/>
      <c r="T1333" s="75"/>
      <c r="U1333" s="76"/>
      <c r="V1333" s="77"/>
      <c r="W1333" s="77"/>
      <c r="X1333" s="76"/>
      <c r="Y1333" s="68"/>
      <c r="Z1333" s="68"/>
      <c r="AA1333" s="68"/>
      <c r="AB1333" s="68"/>
      <c r="AC1333" s="68"/>
      <c r="AD1333" s="68"/>
      <c r="AE1333" s="68"/>
    </row>
    <row r="1334" spans="16:31" x14ac:dyDescent="0.2">
      <c r="P1334" s="68"/>
      <c r="Q1334" s="74"/>
      <c r="R1334" s="74"/>
      <c r="S1334" s="74"/>
      <c r="T1334" s="75"/>
      <c r="U1334" s="76"/>
      <c r="V1334" s="77"/>
      <c r="W1334" s="77"/>
      <c r="X1334" s="76"/>
      <c r="Y1334" s="68"/>
      <c r="Z1334" s="68"/>
      <c r="AA1334" s="68"/>
      <c r="AB1334" s="68"/>
      <c r="AC1334" s="68"/>
      <c r="AD1334" s="68"/>
      <c r="AE1334" s="68"/>
    </row>
    <row r="1335" spans="16:31" x14ac:dyDescent="0.2">
      <c r="P1335" s="68"/>
      <c r="Q1335" s="74"/>
      <c r="R1335" s="74"/>
      <c r="S1335" s="74"/>
      <c r="T1335" s="75"/>
      <c r="U1335" s="76"/>
      <c r="V1335" s="77"/>
      <c r="W1335" s="77"/>
      <c r="X1335" s="76"/>
      <c r="Y1335" s="68"/>
      <c r="Z1335" s="68"/>
      <c r="AA1335" s="68"/>
      <c r="AB1335" s="68"/>
      <c r="AC1335" s="68"/>
      <c r="AD1335" s="68"/>
      <c r="AE1335" s="68"/>
    </row>
    <row r="1336" spans="16:31" x14ac:dyDescent="0.2">
      <c r="P1336" s="68"/>
      <c r="Q1336" s="74"/>
      <c r="R1336" s="74"/>
      <c r="S1336" s="74"/>
      <c r="T1336" s="75"/>
      <c r="U1336" s="76"/>
      <c r="V1336" s="77"/>
      <c r="W1336" s="77"/>
      <c r="X1336" s="76"/>
      <c r="Y1336" s="68"/>
      <c r="Z1336" s="68"/>
      <c r="AA1336" s="68"/>
      <c r="AB1336" s="68"/>
      <c r="AC1336" s="68"/>
      <c r="AD1336" s="68"/>
      <c r="AE1336" s="68"/>
    </row>
    <row r="1337" spans="16:31" x14ac:dyDescent="0.2">
      <c r="P1337" s="68"/>
      <c r="Q1337" s="74"/>
      <c r="R1337" s="74"/>
      <c r="S1337" s="74"/>
      <c r="T1337" s="75"/>
      <c r="U1337" s="76"/>
      <c r="V1337" s="77"/>
      <c r="W1337" s="77"/>
      <c r="X1337" s="76"/>
      <c r="Y1337" s="68"/>
      <c r="Z1337" s="68"/>
      <c r="AA1337" s="68"/>
      <c r="AB1337" s="68"/>
      <c r="AC1337" s="68"/>
      <c r="AD1337" s="68"/>
      <c r="AE1337" s="68"/>
    </row>
    <row r="1338" spans="16:31" x14ac:dyDescent="0.2">
      <c r="P1338" s="68"/>
      <c r="Q1338" s="74"/>
      <c r="R1338" s="74"/>
      <c r="S1338" s="74"/>
      <c r="T1338" s="75"/>
      <c r="U1338" s="76"/>
      <c r="V1338" s="77"/>
      <c r="W1338" s="77"/>
      <c r="X1338" s="76"/>
      <c r="Y1338" s="68"/>
      <c r="Z1338" s="68"/>
      <c r="AA1338" s="68"/>
      <c r="AB1338" s="68"/>
      <c r="AC1338" s="68"/>
      <c r="AD1338" s="68"/>
      <c r="AE1338" s="68"/>
    </row>
    <row r="1339" spans="16:31" x14ac:dyDescent="0.2">
      <c r="P1339" s="68"/>
      <c r="Q1339" s="74"/>
      <c r="R1339" s="74"/>
      <c r="S1339" s="74"/>
      <c r="T1339" s="75"/>
      <c r="U1339" s="76"/>
      <c r="V1339" s="77"/>
      <c r="W1339" s="77"/>
      <c r="X1339" s="76"/>
      <c r="Y1339" s="68"/>
      <c r="Z1339" s="68"/>
      <c r="AA1339" s="68"/>
      <c r="AB1339" s="68"/>
      <c r="AC1339" s="68"/>
      <c r="AD1339" s="68"/>
      <c r="AE1339" s="68"/>
    </row>
    <row r="1340" spans="16:31" x14ac:dyDescent="0.2">
      <c r="P1340" s="68"/>
      <c r="Q1340" s="74"/>
      <c r="R1340" s="74"/>
      <c r="S1340" s="74"/>
      <c r="T1340" s="75"/>
      <c r="U1340" s="76"/>
      <c r="V1340" s="77"/>
      <c r="W1340" s="77"/>
      <c r="X1340" s="76"/>
      <c r="Y1340" s="68"/>
      <c r="Z1340" s="68"/>
      <c r="AA1340" s="68"/>
      <c r="AB1340" s="68"/>
      <c r="AC1340" s="68"/>
      <c r="AD1340" s="68"/>
      <c r="AE1340" s="68"/>
    </row>
    <row r="1341" spans="16:31" x14ac:dyDescent="0.2">
      <c r="P1341" s="68"/>
      <c r="Q1341" s="74"/>
      <c r="R1341" s="74"/>
      <c r="S1341" s="74"/>
      <c r="T1341" s="75"/>
      <c r="U1341" s="76"/>
      <c r="V1341" s="77"/>
      <c r="W1341" s="77"/>
      <c r="X1341" s="76"/>
      <c r="Y1341" s="68"/>
      <c r="Z1341" s="68"/>
      <c r="AA1341" s="68"/>
      <c r="AB1341" s="68"/>
      <c r="AC1341" s="68"/>
      <c r="AD1341" s="68"/>
      <c r="AE1341" s="68"/>
    </row>
    <row r="1342" spans="16:31" x14ac:dyDescent="0.2">
      <c r="P1342" s="68"/>
      <c r="Q1342" s="74"/>
      <c r="R1342" s="74"/>
      <c r="S1342" s="74"/>
      <c r="T1342" s="75"/>
      <c r="U1342" s="76"/>
      <c r="V1342" s="77"/>
      <c r="W1342" s="77"/>
      <c r="X1342" s="76"/>
      <c r="Y1342" s="68"/>
      <c r="Z1342" s="68"/>
      <c r="AA1342" s="68"/>
      <c r="AB1342" s="68"/>
      <c r="AC1342" s="68"/>
      <c r="AD1342" s="68"/>
      <c r="AE1342" s="68"/>
    </row>
    <row r="1343" spans="16:31" x14ac:dyDescent="0.2">
      <c r="P1343" s="68"/>
      <c r="Q1343" s="74"/>
      <c r="R1343" s="74"/>
      <c r="S1343" s="74"/>
      <c r="T1343" s="75"/>
      <c r="U1343" s="76"/>
      <c r="V1343" s="77"/>
      <c r="W1343" s="77"/>
      <c r="X1343" s="76"/>
      <c r="Y1343" s="68"/>
      <c r="Z1343" s="68"/>
      <c r="AA1343" s="68"/>
      <c r="AB1343" s="68"/>
      <c r="AC1343" s="68"/>
      <c r="AD1343" s="68"/>
      <c r="AE1343" s="68"/>
    </row>
    <row r="1344" spans="16:31" x14ac:dyDescent="0.2">
      <c r="P1344" s="68"/>
      <c r="Q1344" s="74"/>
      <c r="R1344" s="74"/>
      <c r="S1344" s="74"/>
      <c r="T1344" s="75"/>
      <c r="U1344" s="76"/>
      <c r="V1344" s="77"/>
      <c r="W1344" s="77"/>
      <c r="X1344" s="76"/>
      <c r="Y1344" s="68"/>
      <c r="Z1344" s="68"/>
      <c r="AA1344" s="68"/>
      <c r="AB1344" s="68"/>
      <c r="AC1344" s="68"/>
      <c r="AD1344" s="68"/>
      <c r="AE1344" s="68"/>
    </row>
    <row r="1345" spans="16:31" x14ac:dyDescent="0.2">
      <c r="P1345" s="68"/>
      <c r="Q1345" s="74"/>
      <c r="R1345" s="74"/>
      <c r="S1345" s="74"/>
      <c r="T1345" s="75"/>
      <c r="U1345" s="76"/>
      <c r="V1345" s="77"/>
      <c r="W1345" s="77"/>
      <c r="X1345" s="76"/>
      <c r="Y1345" s="68"/>
      <c r="Z1345" s="68"/>
      <c r="AA1345" s="68"/>
      <c r="AB1345" s="68"/>
      <c r="AC1345" s="68"/>
      <c r="AD1345" s="68"/>
      <c r="AE1345" s="68"/>
    </row>
    <row r="1346" spans="16:31" x14ac:dyDescent="0.2">
      <c r="P1346" s="68"/>
      <c r="Q1346" s="74"/>
      <c r="R1346" s="74"/>
      <c r="S1346" s="74"/>
      <c r="T1346" s="75"/>
      <c r="U1346" s="76"/>
      <c r="V1346" s="77"/>
      <c r="W1346" s="77"/>
      <c r="X1346" s="76"/>
      <c r="Y1346" s="68"/>
      <c r="Z1346" s="68"/>
      <c r="AA1346" s="68"/>
      <c r="AB1346" s="68"/>
      <c r="AC1346" s="68"/>
      <c r="AD1346" s="68"/>
      <c r="AE1346" s="68"/>
    </row>
    <row r="1347" spans="16:31" x14ac:dyDescent="0.2">
      <c r="P1347" s="68"/>
      <c r="Q1347" s="74"/>
      <c r="R1347" s="74"/>
      <c r="S1347" s="74"/>
      <c r="T1347" s="75"/>
      <c r="U1347" s="76"/>
      <c r="V1347" s="77"/>
      <c r="W1347" s="77"/>
      <c r="X1347" s="76"/>
      <c r="Y1347" s="68"/>
      <c r="Z1347" s="68"/>
      <c r="AA1347" s="68"/>
      <c r="AB1347" s="68"/>
      <c r="AC1347" s="68"/>
      <c r="AD1347" s="68"/>
      <c r="AE1347" s="68"/>
    </row>
    <row r="1348" spans="16:31" x14ac:dyDescent="0.2">
      <c r="P1348" s="68"/>
      <c r="Q1348" s="74"/>
      <c r="R1348" s="74"/>
      <c r="S1348" s="74"/>
      <c r="T1348" s="75"/>
      <c r="U1348" s="76"/>
      <c r="V1348" s="77"/>
      <c r="W1348" s="77"/>
      <c r="X1348" s="76"/>
      <c r="Y1348" s="68"/>
      <c r="Z1348" s="68"/>
      <c r="AA1348" s="68"/>
      <c r="AB1348" s="68"/>
      <c r="AC1348" s="68"/>
      <c r="AD1348" s="68"/>
      <c r="AE1348" s="68"/>
    </row>
    <row r="1349" spans="16:31" x14ac:dyDescent="0.2">
      <c r="P1349" s="68"/>
      <c r="Q1349" s="74"/>
      <c r="R1349" s="74"/>
      <c r="S1349" s="74"/>
      <c r="T1349" s="75"/>
      <c r="U1349" s="76"/>
      <c r="V1349" s="77"/>
      <c r="W1349" s="77"/>
      <c r="X1349" s="76"/>
      <c r="Y1349" s="68"/>
      <c r="Z1349" s="68"/>
      <c r="AA1349" s="68"/>
      <c r="AB1349" s="68"/>
      <c r="AC1349" s="68"/>
      <c r="AD1349" s="68"/>
      <c r="AE1349" s="68"/>
    </row>
    <row r="1350" spans="16:31" x14ac:dyDescent="0.2">
      <c r="P1350" s="68"/>
      <c r="Q1350" s="74"/>
      <c r="R1350" s="74"/>
      <c r="S1350" s="74"/>
      <c r="T1350" s="75"/>
      <c r="U1350" s="76"/>
      <c r="V1350" s="77"/>
      <c r="W1350" s="77"/>
      <c r="X1350" s="76"/>
      <c r="Y1350" s="68"/>
      <c r="Z1350" s="68"/>
      <c r="AA1350" s="68"/>
      <c r="AB1350" s="68"/>
      <c r="AC1350" s="68"/>
      <c r="AD1350" s="68"/>
      <c r="AE1350" s="68"/>
    </row>
    <row r="1351" spans="16:31" x14ac:dyDescent="0.2">
      <c r="P1351" s="68"/>
      <c r="Q1351" s="74"/>
      <c r="R1351" s="74"/>
      <c r="S1351" s="74"/>
      <c r="T1351" s="75"/>
      <c r="U1351" s="76"/>
      <c r="V1351" s="77"/>
      <c r="W1351" s="77"/>
      <c r="X1351" s="76"/>
      <c r="Y1351" s="68"/>
      <c r="Z1351" s="68"/>
      <c r="AA1351" s="68"/>
      <c r="AB1351" s="68"/>
      <c r="AC1351" s="68"/>
      <c r="AD1351" s="68"/>
      <c r="AE1351" s="68"/>
    </row>
    <row r="1352" spans="16:31" x14ac:dyDescent="0.2">
      <c r="P1352" s="68"/>
      <c r="Q1352" s="74"/>
      <c r="R1352" s="74"/>
      <c r="S1352" s="74"/>
      <c r="T1352" s="75"/>
      <c r="U1352" s="76"/>
      <c r="V1352" s="77"/>
      <c r="W1352" s="77"/>
      <c r="X1352" s="76"/>
      <c r="Y1352" s="68"/>
      <c r="Z1352" s="68"/>
      <c r="AA1352" s="68"/>
      <c r="AB1352" s="68"/>
      <c r="AC1352" s="68"/>
      <c r="AD1352" s="68"/>
      <c r="AE1352" s="68"/>
    </row>
    <row r="1353" spans="16:31" x14ac:dyDescent="0.2">
      <c r="P1353" s="68"/>
      <c r="Q1353" s="74"/>
      <c r="R1353" s="74"/>
      <c r="S1353" s="74"/>
      <c r="T1353" s="75"/>
      <c r="U1353" s="76"/>
      <c r="V1353" s="77"/>
      <c r="W1353" s="77"/>
      <c r="X1353" s="76"/>
      <c r="Y1353" s="68"/>
      <c r="Z1353" s="68"/>
      <c r="AA1353" s="68"/>
      <c r="AB1353" s="68"/>
      <c r="AC1353" s="68"/>
      <c r="AD1353" s="68"/>
      <c r="AE1353" s="68"/>
    </row>
    <row r="1354" spans="16:31" x14ac:dyDescent="0.2">
      <c r="P1354" s="68"/>
      <c r="Q1354" s="74"/>
      <c r="R1354" s="74"/>
      <c r="S1354" s="74"/>
      <c r="T1354" s="75"/>
      <c r="U1354" s="76"/>
      <c r="V1354" s="77"/>
      <c r="W1354" s="77"/>
      <c r="X1354" s="76"/>
      <c r="Y1354" s="68"/>
      <c r="Z1354" s="68"/>
      <c r="AA1354" s="68"/>
      <c r="AB1354" s="68"/>
      <c r="AC1354" s="68"/>
      <c r="AD1354" s="68"/>
      <c r="AE1354" s="68"/>
    </row>
    <row r="1355" spans="16:31" x14ac:dyDescent="0.2">
      <c r="P1355" s="68"/>
      <c r="Q1355" s="74"/>
      <c r="R1355" s="74"/>
      <c r="S1355" s="74"/>
      <c r="T1355" s="75"/>
      <c r="U1355" s="76"/>
      <c r="V1355" s="77"/>
      <c r="W1355" s="77"/>
      <c r="X1355" s="76"/>
      <c r="Y1355" s="68"/>
      <c r="Z1355" s="68"/>
      <c r="AA1355" s="68"/>
      <c r="AB1355" s="68"/>
      <c r="AC1355" s="68"/>
      <c r="AD1355" s="68"/>
      <c r="AE1355" s="68"/>
    </row>
    <row r="1356" spans="16:31" x14ac:dyDescent="0.2">
      <c r="P1356" s="68"/>
      <c r="Q1356" s="74"/>
      <c r="R1356" s="74"/>
      <c r="S1356" s="74"/>
      <c r="T1356" s="75"/>
      <c r="U1356" s="76"/>
      <c r="V1356" s="77"/>
      <c r="W1356" s="77"/>
      <c r="X1356" s="76"/>
      <c r="Y1356" s="68"/>
      <c r="Z1356" s="68"/>
      <c r="AA1356" s="68"/>
      <c r="AB1356" s="68"/>
      <c r="AC1356" s="68"/>
      <c r="AD1356" s="68"/>
      <c r="AE1356" s="68"/>
    </row>
    <row r="1357" spans="16:31" x14ac:dyDescent="0.2">
      <c r="P1357" s="68"/>
      <c r="Q1357" s="74"/>
      <c r="R1357" s="74"/>
      <c r="S1357" s="74"/>
      <c r="T1357" s="75"/>
      <c r="U1357" s="76"/>
      <c r="V1357" s="77"/>
      <c r="W1357" s="77"/>
      <c r="X1357" s="76"/>
      <c r="Y1357" s="68"/>
      <c r="Z1357" s="68"/>
      <c r="AA1357" s="68"/>
      <c r="AB1357" s="68"/>
      <c r="AC1357" s="68"/>
      <c r="AD1357" s="68"/>
      <c r="AE1357" s="68"/>
    </row>
    <row r="1358" spans="16:31" x14ac:dyDescent="0.2">
      <c r="P1358" s="68"/>
      <c r="Q1358" s="74"/>
      <c r="R1358" s="74"/>
      <c r="S1358" s="74"/>
      <c r="T1358" s="75"/>
      <c r="U1358" s="76"/>
      <c r="V1358" s="77"/>
      <c r="W1358" s="77"/>
      <c r="X1358" s="76"/>
      <c r="Y1358" s="68"/>
      <c r="Z1358" s="68"/>
      <c r="AA1358" s="68"/>
      <c r="AB1358" s="68"/>
      <c r="AC1358" s="68"/>
      <c r="AD1358" s="68"/>
      <c r="AE1358" s="68"/>
    </row>
    <row r="1359" spans="16:31" x14ac:dyDescent="0.2">
      <c r="P1359" s="68"/>
      <c r="Q1359" s="74"/>
      <c r="R1359" s="74"/>
      <c r="S1359" s="74"/>
      <c r="T1359" s="75"/>
      <c r="U1359" s="76"/>
      <c r="V1359" s="77"/>
      <c r="W1359" s="77"/>
      <c r="X1359" s="76"/>
      <c r="Y1359" s="68"/>
      <c r="Z1359" s="68"/>
      <c r="AA1359" s="68"/>
      <c r="AB1359" s="68"/>
      <c r="AC1359" s="68"/>
      <c r="AD1359" s="68"/>
      <c r="AE1359" s="68"/>
    </row>
    <row r="1360" spans="16:31" x14ac:dyDescent="0.2">
      <c r="P1360" s="68"/>
      <c r="Q1360" s="74"/>
      <c r="R1360" s="74"/>
      <c r="S1360" s="74"/>
      <c r="T1360" s="75"/>
      <c r="U1360" s="76"/>
      <c r="V1360" s="77"/>
      <c r="W1360" s="77"/>
      <c r="X1360" s="76"/>
      <c r="Y1360" s="68"/>
      <c r="Z1360" s="68"/>
      <c r="AA1360" s="68"/>
      <c r="AB1360" s="68"/>
      <c r="AC1360" s="68"/>
      <c r="AD1360" s="68"/>
      <c r="AE1360" s="68"/>
    </row>
    <row r="1361" spans="16:31" x14ac:dyDescent="0.2">
      <c r="P1361" s="68"/>
      <c r="Q1361" s="74"/>
      <c r="R1361" s="74"/>
      <c r="S1361" s="74"/>
      <c r="T1361" s="75"/>
      <c r="U1361" s="76"/>
      <c r="V1361" s="77"/>
      <c r="W1361" s="77"/>
      <c r="X1361" s="76"/>
      <c r="Y1361" s="68"/>
      <c r="Z1361" s="68"/>
      <c r="AA1361" s="68"/>
      <c r="AB1361" s="68"/>
      <c r="AC1361" s="68"/>
      <c r="AD1361" s="68"/>
      <c r="AE1361" s="68"/>
    </row>
    <row r="1362" spans="16:31" x14ac:dyDescent="0.2">
      <c r="P1362" s="68"/>
      <c r="Q1362" s="74"/>
      <c r="R1362" s="74"/>
      <c r="S1362" s="74"/>
      <c r="T1362" s="75"/>
      <c r="U1362" s="76"/>
      <c r="V1362" s="77"/>
      <c r="W1362" s="77"/>
      <c r="X1362" s="76"/>
      <c r="Y1362" s="68"/>
      <c r="Z1362" s="68"/>
      <c r="AA1362" s="68"/>
      <c r="AB1362" s="68"/>
      <c r="AC1362" s="68"/>
      <c r="AD1362" s="68"/>
      <c r="AE1362" s="68"/>
    </row>
    <row r="1363" spans="16:31" x14ac:dyDescent="0.2">
      <c r="P1363" s="68"/>
      <c r="Q1363" s="74"/>
      <c r="R1363" s="74"/>
      <c r="S1363" s="74"/>
      <c r="T1363" s="75"/>
      <c r="U1363" s="76"/>
      <c r="V1363" s="77"/>
      <c r="W1363" s="77"/>
      <c r="X1363" s="76"/>
      <c r="Y1363" s="68"/>
      <c r="Z1363" s="68"/>
      <c r="AA1363" s="68"/>
      <c r="AB1363" s="68"/>
      <c r="AC1363" s="68"/>
      <c r="AD1363" s="68"/>
      <c r="AE1363" s="68"/>
    </row>
    <row r="1364" spans="16:31" x14ac:dyDescent="0.2">
      <c r="P1364" s="68"/>
      <c r="Q1364" s="74"/>
      <c r="R1364" s="74"/>
      <c r="S1364" s="74"/>
      <c r="T1364" s="75"/>
      <c r="U1364" s="76"/>
      <c r="V1364" s="77"/>
      <c r="W1364" s="77"/>
      <c r="X1364" s="76"/>
      <c r="Y1364" s="68"/>
      <c r="Z1364" s="68"/>
      <c r="AA1364" s="68"/>
      <c r="AB1364" s="68"/>
      <c r="AC1364" s="68"/>
      <c r="AD1364" s="68"/>
      <c r="AE1364" s="68"/>
    </row>
    <row r="1365" spans="16:31" x14ac:dyDescent="0.2">
      <c r="P1365" s="68"/>
      <c r="Q1365" s="74"/>
      <c r="R1365" s="74"/>
      <c r="S1365" s="74"/>
      <c r="T1365" s="75"/>
      <c r="U1365" s="76"/>
      <c r="V1365" s="77"/>
      <c r="W1365" s="77"/>
      <c r="X1365" s="76"/>
      <c r="Y1365" s="68"/>
      <c r="Z1365" s="68"/>
      <c r="AA1365" s="68"/>
      <c r="AB1365" s="68"/>
      <c r="AC1365" s="68"/>
      <c r="AD1365" s="68"/>
      <c r="AE1365" s="68"/>
    </row>
    <row r="1366" spans="16:31" x14ac:dyDescent="0.2">
      <c r="P1366" s="68"/>
      <c r="Q1366" s="74"/>
      <c r="R1366" s="74"/>
      <c r="S1366" s="74"/>
      <c r="T1366" s="75"/>
      <c r="U1366" s="76"/>
      <c r="V1366" s="77"/>
      <c r="W1366" s="77"/>
      <c r="X1366" s="76"/>
      <c r="Y1366" s="68"/>
      <c r="Z1366" s="68"/>
      <c r="AA1366" s="68"/>
      <c r="AB1366" s="68"/>
      <c r="AC1366" s="68"/>
      <c r="AD1366" s="68"/>
      <c r="AE1366" s="68"/>
    </row>
    <row r="1367" spans="16:31" x14ac:dyDescent="0.2">
      <c r="P1367" s="68"/>
      <c r="Q1367" s="74"/>
      <c r="R1367" s="74"/>
      <c r="S1367" s="74"/>
      <c r="T1367" s="75"/>
      <c r="U1367" s="76"/>
      <c r="V1367" s="77"/>
      <c r="W1367" s="77"/>
      <c r="X1367" s="76"/>
      <c r="Y1367" s="68"/>
      <c r="Z1367" s="68"/>
      <c r="AA1367" s="68"/>
      <c r="AB1367" s="68"/>
      <c r="AC1367" s="68"/>
      <c r="AD1367" s="68"/>
      <c r="AE1367" s="68"/>
    </row>
    <row r="1368" spans="16:31" x14ac:dyDescent="0.2">
      <c r="P1368" s="68"/>
      <c r="Q1368" s="74"/>
      <c r="R1368" s="74"/>
      <c r="S1368" s="74"/>
      <c r="T1368" s="75"/>
      <c r="U1368" s="76"/>
      <c r="V1368" s="77"/>
      <c r="W1368" s="77"/>
      <c r="X1368" s="76"/>
      <c r="Y1368" s="68"/>
      <c r="Z1368" s="68"/>
      <c r="AA1368" s="68"/>
      <c r="AB1368" s="68"/>
      <c r="AC1368" s="68"/>
      <c r="AD1368" s="68"/>
      <c r="AE1368" s="68"/>
    </row>
    <row r="1369" spans="16:31" x14ac:dyDescent="0.2">
      <c r="P1369" s="68"/>
      <c r="Q1369" s="74"/>
      <c r="R1369" s="74"/>
      <c r="S1369" s="74"/>
      <c r="T1369" s="75"/>
      <c r="U1369" s="76"/>
      <c r="V1369" s="77"/>
      <c r="W1369" s="77"/>
      <c r="X1369" s="76"/>
      <c r="Y1369" s="68"/>
      <c r="Z1369" s="68"/>
      <c r="AA1369" s="68"/>
      <c r="AB1369" s="68"/>
      <c r="AC1369" s="68"/>
      <c r="AD1369" s="68"/>
      <c r="AE1369" s="68"/>
    </row>
    <row r="1370" spans="16:31" x14ac:dyDescent="0.2">
      <c r="P1370" s="68"/>
      <c r="Q1370" s="74"/>
      <c r="R1370" s="74"/>
      <c r="S1370" s="74"/>
      <c r="T1370" s="75"/>
      <c r="U1370" s="76"/>
      <c r="V1370" s="77"/>
      <c r="W1370" s="77"/>
      <c r="X1370" s="76"/>
      <c r="Y1370" s="68"/>
      <c r="Z1370" s="68"/>
      <c r="AA1370" s="68"/>
      <c r="AB1370" s="68"/>
      <c r="AC1370" s="68"/>
      <c r="AD1370" s="68"/>
      <c r="AE1370" s="68"/>
    </row>
    <row r="1371" spans="16:31" x14ac:dyDescent="0.2">
      <c r="P1371" s="68"/>
      <c r="Q1371" s="74"/>
      <c r="R1371" s="74"/>
      <c r="S1371" s="74"/>
      <c r="T1371" s="75"/>
      <c r="U1371" s="76"/>
      <c r="V1371" s="77"/>
      <c r="W1371" s="77"/>
      <c r="X1371" s="76"/>
      <c r="Y1371" s="68"/>
      <c r="Z1371" s="68"/>
      <c r="AA1371" s="68"/>
      <c r="AB1371" s="68"/>
      <c r="AC1371" s="68"/>
      <c r="AD1371" s="68"/>
      <c r="AE1371" s="68"/>
    </row>
    <row r="1372" spans="16:31" x14ac:dyDescent="0.2">
      <c r="P1372" s="68"/>
      <c r="Q1372" s="74"/>
      <c r="R1372" s="74"/>
      <c r="S1372" s="74"/>
      <c r="T1372" s="75"/>
      <c r="U1372" s="76"/>
      <c r="V1372" s="77"/>
      <c r="W1372" s="77"/>
      <c r="X1372" s="76"/>
      <c r="Y1372" s="68"/>
      <c r="Z1372" s="68"/>
      <c r="AA1372" s="68"/>
      <c r="AB1372" s="68"/>
      <c r="AC1372" s="68"/>
      <c r="AD1372" s="68"/>
      <c r="AE1372" s="68"/>
    </row>
    <row r="1373" spans="16:31" x14ac:dyDescent="0.2">
      <c r="P1373" s="68"/>
      <c r="Q1373" s="74"/>
      <c r="R1373" s="74"/>
      <c r="S1373" s="74"/>
      <c r="T1373" s="75"/>
      <c r="U1373" s="76"/>
      <c r="V1373" s="77"/>
      <c r="W1373" s="77"/>
      <c r="X1373" s="76"/>
      <c r="Y1373" s="68"/>
      <c r="Z1373" s="68"/>
      <c r="AA1373" s="68"/>
      <c r="AB1373" s="68"/>
      <c r="AC1373" s="68"/>
      <c r="AD1373" s="68"/>
      <c r="AE1373" s="68"/>
    </row>
    <row r="1374" spans="16:31" x14ac:dyDescent="0.2">
      <c r="P1374" s="68"/>
      <c r="Q1374" s="74"/>
      <c r="R1374" s="74"/>
      <c r="S1374" s="74"/>
      <c r="T1374" s="75"/>
      <c r="U1374" s="76"/>
      <c r="V1374" s="77"/>
      <c r="W1374" s="77"/>
      <c r="X1374" s="76"/>
      <c r="Y1374" s="68"/>
      <c r="Z1374" s="68"/>
      <c r="AA1374" s="68"/>
      <c r="AB1374" s="68"/>
      <c r="AC1374" s="68"/>
      <c r="AD1374" s="68"/>
      <c r="AE1374" s="68"/>
    </row>
    <row r="1375" spans="16:31" x14ac:dyDescent="0.2"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8"/>
      <c r="AA1375" s="68"/>
      <c r="AB1375" s="68"/>
      <c r="AC1375" s="68"/>
      <c r="AD1375" s="68"/>
      <c r="AE1375" s="68"/>
    </row>
    <row r="1376" spans="16:31" x14ac:dyDescent="0.2"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8"/>
      <c r="AA1376" s="68"/>
      <c r="AB1376" s="68"/>
      <c r="AC1376" s="68"/>
      <c r="AD1376" s="68"/>
      <c r="AE1376" s="68"/>
    </row>
    <row r="1377" spans="16:31" x14ac:dyDescent="0.2"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8"/>
      <c r="AA1377" s="68"/>
      <c r="AB1377" s="68"/>
      <c r="AC1377" s="68"/>
      <c r="AD1377" s="68"/>
      <c r="AE1377" s="68"/>
    </row>
    <row r="1378" spans="16:31" x14ac:dyDescent="0.2"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8"/>
      <c r="AA1378" s="68"/>
      <c r="AB1378" s="68"/>
      <c r="AC1378" s="68"/>
      <c r="AD1378" s="68"/>
      <c r="AE1378" s="68"/>
    </row>
    <row r="1379" spans="16:31" x14ac:dyDescent="0.2"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8"/>
      <c r="AA1379" s="68"/>
      <c r="AB1379" s="68"/>
      <c r="AC1379" s="68"/>
      <c r="AD1379" s="68"/>
      <c r="AE1379" s="68"/>
    </row>
    <row r="1380" spans="16:31" x14ac:dyDescent="0.2"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8"/>
      <c r="AA1380" s="68"/>
      <c r="AB1380" s="68"/>
      <c r="AC1380" s="68"/>
      <c r="AD1380" s="68"/>
      <c r="AE1380" s="68"/>
    </row>
    <row r="1381" spans="16:31" x14ac:dyDescent="0.2"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8"/>
      <c r="AA1381" s="68"/>
      <c r="AB1381" s="68"/>
      <c r="AC1381" s="68"/>
      <c r="AD1381" s="68"/>
      <c r="AE1381" s="68"/>
    </row>
    <row r="1382" spans="16:31" x14ac:dyDescent="0.2"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8"/>
      <c r="AA1382" s="68"/>
      <c r="AB1382" s="68"/>
      <c r="AC1382" s="68"/>
      <c r="AD1382" s="68"/>
      <c r="AE1382" s="68"/>
    </row>
    <row r="1383" spans="16:31" x14ac:dyDescent="0.2"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8"/>
      <c r="AA1383" s="68"/>
      <c r="AB1383" s="68"/>
      <c r="AC1383" s="68"/>
      <c r="AD1383" s="68"/>
      <c r="AE1383" s="68"/>
    </row>
    <row r="1384" spans="16:31" x14ac:dyDescent="0.2"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8"/>
      <c r="AA1384" s="68"/>
      <c r="AB1384" s="68"/>
      <c r="AC1384" s="68"/>
      <c r="AD1384" s="68"/>
      <c r="AE1384" s="68"/>
    </row>
    <row r="1385" spans="16:31" x14ac:dyDescent="0.2"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8"/>
      <c r="AA1385" s="68"/>
      <c r="AB1385" s="68"/>
      <c r="AC1385" s="68"/>
      <c r="AD1385" s="68"/>
      <c r="AE1385" s="68"/>
    </row>
    <row r="1386" spans="16:31" x14ac:dyDescent="0.2"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8"/>
      <c r="AA1386" s="68"/>
      <c r="AB1386" s="68"/>
      <c r="AC1386" s="68"/>
      <c r="AD1386" s="68"/>
      <c r="AE1386" s="68"/>
    </row>
    <row r="1387" spans="16:31" x14ac:dyDescent="0.2"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8"/>
      <c r="AA1387" s="68"/>
      <c r="AB1387" s="68"/>
      <c r="AC1387" s="68"/>
      <c r="AD1387" s="68"/>
      <c r="AE1387" s="68"/>
    </row>
    <row r="1388" spans="16:31" x14ac:dyDescent="0.2"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8"/>
      <c r="AA1388" s="68"/>
      <c r="AB1388" s="68"/>
      <c r="AC1388" s="68"/>
      <c r="AD1388" s="68"/>
      <c r="AE1388" s="68"/>
    </row>
    <row r="1389" spans="16:31" x14ac:dyDescent="0.2"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8"/>
      <c r="AA1389" s="68"/>
      <c r="AB1389" s="68"/>
      <c r="AC1389" s="68"/>
      <c r="AD1389" s="68"/>
      <c r="AE1389" s="68"/>
    </row>
    <row r="1390" spans="16:31" x14ac:dyDescent="0.2"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8"/>
      <c r="AA1390" s="68"/>
      <c r="AB1390" s="68"/>
      <c r="AC1390" s="68"/>
      <c r="AD1390" s="68"/>
      <c r="AE1390" s="68"/>
    </row>
    <row r="1391" spans="16:31" x14ac:dyDescent="0.2"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8"/>
      <c r="AA1391" s="68"/>
      <c r="AB1391" s="68"/>
      <c r="AC1391" s="68"/>
      <c r="AD1391" s="68"/>
      <c r="AE1391" s="68"/>
    </row>
    <row r="1392" spans="16:31" x14ac:dyDescent="0.2"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8"/>
      <c r="AA1392" s="68"/>
      <c r="AB1392" s="68"/>
      <c r="AC1392" s="68"/>
      <c r="AD1392" s="68"/>
      <c r="AE1392" s="68"/>
    </row>
    <row r="1393" spans="16:31" x14ac:dyDescent="0.2"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8"/>
      <c r="AA1393" s="68"/>
      <c r="AB1393" s="68"/>
      <c r="AC1393" s="68"/>
      <c r="AD1393" s="68"/>
      <c r="AE1393" s="68"/>
    </row>
    <row r="1394" spans="16:31" x14ac:dyDescent="0.2"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8"/>
      <c r="AA1394" s="68"/>
      <c r="AB1394" s="68"/>
      <c r="AC1394" s="68"/>
      <c r="AD1394" s="68"/>
      <c r="AE1394" s="68"/>
    </row>
    <row r="1395" spans="16:31" x14ac:dyDescent="0.2"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8"/>
      <c r="AA1395" s="68"/>
      <c r="AB1395" s="68"/>
      <c r="AC1395" s="68"/>
      <c r="AD1395" s="68"/>
      <c r="AE1395" s="68"/>
    </row>
    <row r="1396" spans="16:31" x14ac:dyDescent="0.2"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8"/>
      <c r="AA1396" s="68"/>
      <c r="AB1396" s="68"/>
      <c r="AC1396" s="68"/>
      <c r="AD1396" s="68"/>
      <c r="AE1396" s="68"/>
    </row>
    <row r="1397" spans="16:31" x14ac:dyDescent="0.2"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8"/>
      <c r="AA1397" s="68"/>
      <c r="AB1397" s="68"/>
      <c r="AC1397" s="68"/>
      <c r="AD1397" s="68"/>
      <c r="AE1397" s="68"/>
    </row>
    <row r="1398" spans="16:31" x14ac:dyDescent="0.2"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8"/>
      <c r="AA1398" s="68"/>
      <c r="AB1398" s="68"/>
      <c r="AC1398" s="68"/>
      <c r="AD1398" s="68"/>
      <c r="AE1398" s="68"/>
    </row>
    <row r="1399" spans="16:31" x14ac:dyDescent="0.2"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8"/>
      <c r="AA1399" s="68"/>
      <c r="AB1399" s="68"/>
      <c r="AC1399" s="68"/>
      <c r="AD1399" s="68"/>
      <c r="AE1399" s="68"/>
    </row>
    <row r="1400" spans="16:31" x14ac:dyDescent="0.2"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8"/>
      <c r="AA1400" s="68"/>
      <c r="AB1400" s="68"/>
      <c r="AC1400" s="68"/>
      <c r="AD1400" s="68"/>
      <c r="AE1400" s="68"/>
    </row>
    <row r="1401" spans="16:31" x14ac:dyDescent="0.2"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8"/>
      <c r="AA1401" s="68"/>
      <c r="AB1401" s="68"/>
      <c r="AC1401" s="68"/>
      <c r="AD1401" s="68"/>
      <c r="AE1401" s="68"/>
    </row>
    <row r="1402" spans="16:31" x14ac:dyDescent="0.2"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8"/>
      <c r="AA1402" s="68"/>
      <c r="AB1402" s="68"/>
      <c r="AC1402" s="68"/>
      <c r="AD1402" s="68"/>
      <c r="AE1402" s="68"/>
    </row>
    <row r="1403" spans="16:31" x14ac:dyDescent="0.2"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8"/>
      <c r="AA1403" s="68"/>
      <c r="AB1403" s="68"/>
      <c r="AC1403" s="68"/>
      <c r="AD1403" s="68"/>
      <c r="AE1403" s="68"/>
    </row>
    <row r="1404" spans="16:31" x14ac:dyDescent="0.2"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8"/>
      <c r="AA1404" s="68"/>
      <c r="AB1404" s="68"/>
      <c r="AC1404" s="68"/>
      <c r="AD1404" s="68"/>
      <c r="AE1404" s="68"/>
    </row>
    <row r="1405" spans="16:31" x14ac:dyDescent="0.2"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8"/>
      <c r="AA1405" s="68"/>
      <c r="AB1405" s="68"/>
      <c r="AC1405" s="68"/>
      <c r="AD1405" s="68"/>
      <c r="AE1405" s="68"/>
    </row>
    <row r="1406" spans="16:31" x14ac:dyDescent="0.2"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8"/>
      <c r="AA1406" s="68"/>
      <c r="AB1406" s="68"/>
      <c r="AC1406" s="68"/>
      <c r="AD1406" s="68"/>
      <c r="AE1406" s="68"/>
    </row>
    <row r="1407" spans="16:31" x14ac:dyDescent="0.2"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8"/>
      <c r="AA1407" s="68"/>
      <c r="AB1407" s="68"/>
      <c r="AC1407" s="68"/>
      <c r="AD1407" s="68"/>
      <c r="AE1407" s="68"/>
    </row>
    <row r="1408" spans="16:31" x14ac:dyDescent="0.2">
      <c r="P1408" s="68"/>
      <c r="Q1408" s="68"/>
      <c r="R1408" s="68"/>
      <c r="S1408" s="68"/>
      <c r="T1408" s="68"/>
      <c r="U1408" s="68"/>
      <c r="V1408" s="68"/>
      <c r="W1408" s="68"/>
      <c r="X1408" s="68"/>
      <c r="Y1408" s="68"/>
      <c r="Z1408" s="68"/>
      <c r="AA1408" s="68"/>
      <c r="AB1408" s="68"/>
      <c r="AC1408" s="68"/>
      <c r="AD1408" s="68"/>
      <c r="AE1408" s="68"/>
    </row>
    <row r="1409" spans="16:31" x14ac:dyDescent="0.2">
      <c r="P1409" s="68"/>
      <c r="Q1409" s="68"/>
      <c r="R1409" s="68"/>
      <c r="S1409" s="68"/>
      <c r="T1409" s="68"/>
      <c r="U1409" s="68"/>
      <c r="V1409" s="68"/>
      <c r="W1409" s="68"/>
      <c r="X1409" s="68"/>
      <c r="Y1409" s="68"/>
      <c r="Z1409" s="68"/>
      <c r="AA1409" s="68"/>
      <c r="AB1409" s="68"/>
      <c r="AC1409" s="68"/>
      <c r="AD1409" s="68"/>
      <c r="AE1409" s="68"/>
    </row>
    <row r="1410" spans="16:31" x14ac:dyDescent="0.2">
      <c r="P1410" s="68"/>
      <c r="Q1410" s="68"/>
      <c r="R1410" s="68"/>
      <c r="S1410" s="68"/>
      <c r="T1410" s="68"/>
      <c r="U1410" s="68"/>
      <c r="V1410" s="68"/>
      <c r="W1410" s="68"/>
      <c r="X1410" s="68"/>
      <c r="Y1410" s="68"/>
      <c r="Z1410" s="68"/>
      <c r="AA1410" s="68"/>
      <c r="AB1410" s="68"/>
      <c r="AC1410" s="68"/>
      <c r="AD1410" s="68"/>
      <c r="AE1410" s="68"/>
    </row>
    <row r="1411" spans="16:31" x14ac:dyDescent="0.2">
      <c r="P1411" s="68"/>
      <c r="Q1411" s="68"/>
      <c r="R1411" s="68"/>
      <c r="S1411" s="68"/>
      <c r="T1411" s="68"/>
      <c r="U1411" s="68"/>
      <c r="V1411" s="68"/>
      <c r="W1411" s="68"/>
      <c r="X1411" s="68"/>
      <c r="Y1411" s="68"/>
      <c r="Z1411" s="68"/>
      <c r="AA1411" s="68"/>
      <c r="AB1411" s="68"/>
      <c r="AC1411" s="68"/>
      <c r="AD1411" s="68"/>
      <c r="AE1411" s="68"/>
    </row>
    <row r="1412" spans="16:31" x14ac:dyDescent="0.2">
      <c r="P1412" s="68"/>
      <c r="Q1412" s="68"/>
      <c r="R1412" s="68"/>
      <c r="S1412" s="68"/>
      <c r="T1412" s="68"/>
      <c r="U1412" s="68"/>
      <c r="V1412" s="68"/>
      <c r="W1412" s="68"/>
      <c r="X1412" s="68"/>
      <c r="Y1412" s="68"/>
      <c r="Z1412" s="68"/>
      <c r="AA1412" s="68"/>
      <c r="AB1412" s="68"/>
      <c r="AC1412" s="68"/>
      <c r="AD1412" s="68"/>
      <c r="AE1412" s="68"/>
    </row>
    <row r="1413" spans="16:31" x14ac:dyDescent="0.2">
      <c r="P1413" s="68"/>
      <c r="Q1413" s="68"/>
      <c r="R1413" s="68"/>
      <c r="S1413" s="68"/>
      <c r="T1413" s="68"/>
      <c r="U1413" s="68"/>
      <c r="V1413" s="68"/>
      <c r="W1413" s="68"/>
      <c r="X1413" s="68"/>
      <c r="Y1413" s="68"/>
      <c r="Z1413" s="68"/>
      <c r="AA1413" s="68"/>
      <c r="AB1413" s="68"/>
      <c r="AC1413" s="68"/>
      <c r="AD1413" s="68"/>
      <c r="AE1413" s="68"/>
    </row>
    <row r="1414" spans="16:31" x14ac:dyDescent="0.2">
      <c r="P1414" s="68"/>
      <c r="Q1414" s="68"/>
      <c r="R1414" s="68"/>
      <c r="S1414" s="68"/>
      <c r="T1414" s="68"/>
      <c r="U1414" s="68"/>
      <c r="V1414" s="68"/>
      <c r="W1414" s="68"/>
      <c r="X1414" s="68"/>
      <c r="Y1414" s="68"/>
      <c r="Z1414" s="68"/>
      <c r="AA1414" s="68"/>
      <c r="AB1414" s="68"/>
      <c r="AC1414" s="68"/>
      <c r="AD1414" s="68"/>
      <c r="AE1414" s="68"/>
    </row>
    <row r="1415" spans="16:31" x14ac:dyDescent="0.2"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8"/>
      <c r="AA1415" s="68"/>
      <c r="AB1415" s="68"/>
      <c r="AC1415" s="68"/>
      <c r="AD1415" s="68"/>
      <c r="AE1415" s="68"/>
    </row>
    <row r="1416" spans="16:31" x14ac:dyDescent="0.2"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8"/>
      <c r="AA1416" s="68"/>
      <c r="AB1416" s="68"/>
      <c r="AC1416" s="68"/>
      <c r="AD1416" s="68"/>
      <c r="AE1416" s="68"/>
    </row>
    <row r="1417" spans="16:31" x14ac:dyDescent="0.2"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8"/>
      <c r="AA1417" s="68"/>
      <c r="AB1417" s="68"/>
      <c r="AC1417" s="68"/>
      <c r="AD1417" s="68"/>
      <c r="AE1417" s="68"/>
    </row>
    <row r="1418" spans="16:31" x14ac:dyDescent="0.2"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8"/>
      <c r="AA1418" s="68"/>
      <c r="AB1418" s="68"/>
      <c r="AC1418" s="68"/>
      <c r="AD1418" s="68"/>
      <c r="AE1418" s="68"/>
    </row>
    <row r="1419" spans="16:31" x14ac:dyDescent="0.2"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8"/>
      <c r="AA1419" s="68"/>
      <c r="AB1419" s="68"/>
      <c r="AC1419" s="68"/>
      <c r="AD1419" s="68"/>
      <c r="AE1419" s="68"/>
    </row>
    <row r="1420" spans="16:31" x14ac:dyDescent="0.2"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8"/>
      <c r="AA1420" s="68"/>
      <c r="AB1420" s="68"/>
      <c r="AC1420" s="68"/>
      <c r="AD1420" s="68"/>
      <c r="AE1420" s="68"/>
    </row>
    <row r="1421" spans="16:31" x14ac:dyDescent="0.2"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8"/>
      <c r="AA1421" s="68"/>
      <c r="AB1421" s="68"/>
      <c r="AC1421" s="68"/>
      <c r="AD1421" s="68"/>
      <c r="AE1421" s="68"/>
    </row>
    <row r="1422" spans="16:31" x14ac:dyDescent="0.2"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8"/>
      <c r="AA1422" s="68"/>
      <c r="AB1422" s="68"/>
      <c r="AC1422" s="68"/>
      <c r="AD1422" s="68"/>
      <c r="AE1422" s="68"/>
    </row>
    <row r="1423" spans="16:31" x14ac:dyDescent="0.2"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8"/>
      <c r="AA1423" s="68"/>
      <c r="AB1423" s="68"/>
      <c r="AC1423" s="68"/>
      <c r="AD1423" s="68"/>
      <c r="AE1423" s="68"/>
    </row>
    <row r="1424" spans="16:31" x14ac:dyDescent="0.2"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8"/>
      <c r="AA1424" s="68"/>
      <c r="AB1424" s="68"/>
      <c r="AC1424" s="68"/>
      <c r="AD1424" s="68"/>
      <c r="AE1424" s="68"/>
    </row>
    <row r="1425" spans="16:31" x14ac:dyDescent="0.2"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8"/>
      <c r="AA1425" s="68"/>
      <c r="AB1425" s="68"/>
      <c r="AC1425" s="68"/>
      <c r="AD1425" s="68"/>
      <c r="AE1425" s="68"/>
    </row>
    <row r="1426" spans="16:31" x14ac:dyDescent="0.2"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8"/>
      <c r="AA1426" s="68"/>
      <c r="AB1426" s="68"/>
      <c r="AC1426" s="68"/>
      <c r="AD1426" s="68"/>
      <c r="AE1426" s="68"/>
    </row>
    <row r="1427" spans="16:31" x14ac:dyDescent="0.2"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8"/>
      <c r="AA1427" s="68"/>
      <c r="AB1427" s="68"/>
      <c r="AC1427" s="68"/>
      <c r="AD1427" s="68"/>
      <c r="AE1427" s="68"/>
    </row>
    <row r="1428" spans="16:31" x14ac:dyDescent="0.2"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8"/>
      <c r="AA1428" s="68"/>
      <c r="AB1428" s="68"/>
      <c r="AC1428" s="68"/>
      <c r="AD1428" s="68"/>
      <c r="AE1428" s="68"/>
    </row>
    <row r="1429" spans="16:31" x14ac:dyDescent="0.2"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8"/>
      <c r="AA1429" s="68"/>
      <c r="AB1429" s="68"/>
      <c r="AC1429" s="68"/>
      <c r="AD1429" s="68"/>
      <c r="AE1429" s="68"/>
    </row>
    <row r="1430" spans="16:31" x14ac:dyDescent="0.2"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8"/>
      <c r="AA1430" s="68"/>
      <c r="AB1430" s="68"/>
      <c r="AC1430" s="68"/>
      <c r="AD1430" s="68"/>
      <c r="AE1430" s="68"/>
    </row>
    <row r="1431" spans="16:31" x14ac:dyDescent="0.2"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8"/>
      <c r="AA1431" s="68"/>
      <c r="AB1431" s="68"/>
      <c r="AC1431" s="68"/>
      <c r="AD1431" s="68"/>
      <c r="AE1431" s="68"/>
    </row>
    <row r="1432" spans="16:31" x14ac:dyDescent="0.2"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8"/>
      <c r="AA1432" s="68"/>
      <c r="AB1432" s="68"/>
      <c r="AC1432" s="68"/>
      <c r="AD1432" s="68"/>
      <c r="AE1432" s="68"/>
    </row>
    <row r="1433" spans="16:31" x14ac:dyDescent="0.2"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8"/>
      <c r="AA1433" s="68"/>
      <c r="AB1433" s="68"/>
      <c r="AC1433" s="68"/>
      <c r="AD1433" s="68"/>
      <c r="AE1433" s="68"/>
    </row>
    <row r="1434" spans="16:31" x14ac:dyDescent="0.2">
      <c r="P1434" s="68"/>
      <c r="Q1434" s="68"/>
      <c r="R1434" s="68"/>
      <c r="S1434" s="68"/>
      <c r="T1434" s="68"/>
      <c r="U1434" s="68"/>
      <c r="V1434" s="68"/>
      <c r="W1434" s="68"/>
      <c r="X1434" s="68"/>
      <c r="Y1434" s="68"/>
      <c r="Z1434" s="68"/>
      <c r="AA1434" s="68"/>
      <c r="AB1434" s="68"/>
      <c r="AC1434" s="68"/>
      <c r="AD1434" s="68"/>
      <c r="AE1434" s="68"/>
    </row>
    <row r="1435" spans="16:31" x14ac:dyDescent="0.2">
      <c r="P1435" s="68"/>
      <c r="Q1435" s="68"/>
      <c r="R1435" s="68"/>
      <c r="S1435" s="68"/>
      <c r="T1435" s="68"/>
      <c r="U1435" s="68"/>
      <c r="V1435" s="68"/>
      <c r="W1435" s="68"/>
      <c r="X1435" s="68"/>
      <c r="Y1435" s="68"/>
      <c r="Z1435" s="68"/>
      <c r="AA1435" s="68"/>
      <c r="AB1435" s="68"/>
      <c r="AC1435" s="68"/>
      <c r="AD1435" s="68"/>
      <c r="AE1435" s="68"/>
    </row>
    <row r="1436" spans="16:31" x14ac:dyDescent="0.2">
      <c r="P1436" s="68"/>
      <c r="Q1436" s="68"/>
      <c r="R1436" s="68"/>
      <c r="S1436" s="68"/>
      <c r="T1436" s="68"/>
      <c r="U1436" s="68"/>
      <c r="V1436" s="68"/>
      <c r="W1436" s="68"/>
      <c r="X1436" s="68"/>
      <c r="Y1436" s="68"/>
      <c r="Z1436" s="68"/>
      <c r="AA1436" s="68"/>
      <c r="AB1436" s="68"/>
      <c r="AC1436" s="68"/>
      <c r="AD1436" s="68"/>
      <c r="AE1436" s="68"/>
    </row>
    <row r="1437" spans="16:31" x14ac:dyDescent="0.2">
      <c r="P1437" s="68"/>
      <c r="Q1437" s="68"/>
      <c r="R1437" s="68"/>
      <c r="S1437" s="68"/>
      <c r="T1437" s="68"/>
      <c r="U1437" s="68"/>
      <c r="V1437" s="68"/>
      <c r="W1437" s="68"/>
      <c r="X1437" s="68"/>
      <c r="Y1437" s="68"/>
      <c r="Z1437" s="68"/>
      <c r="AA1437" s="68"/>
      <c r="AB1437" s="68"/>
      <c r="AC1437" s="68"/>
      <c r="AD1437" s="68"/>
      <c r="AE1437" s="68"/>
    </row>
    <row r="1438" spans="16:31" x14ac:dyDescent="0.2">
      <c r="P1438" s="68"/>
      <c r="Q1438" s="68"/>
      <c r="R1438" s="68"/>
      <c r="S1438" s="68"/>
      <c r="T1438" s="68"/>
      <c r="U1438" s="68"/>
      <c r="V1438" s="68"/>
      <c r="W1438" s="68"/>
      <c r="X1438" s="68"/>
      <c r="Y1438" s="68"/>
      <c r="Z1438" s="68"/>
      <c r="AA1438" s="68"/>
      <c r="AB1438" s="68"/>
      <c r="AC1438" s="68"/>
      <c r="AD1438" s="68"/>
      <c r="AE1438" s="68"/>
    </row>
    <row r="1439" spans="16:31" x14ac:dyDescent="0.2"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8"/>
      <c r="AA1439" s="68"/>
      <c r="AB1439" s="68"/>
      <c r="AC1439" s="68"/>
      <c r="AD1439" s="68"/>
      <c r="AE1439" s="68"/>
    </row>
    <row r="1440" spans="16:31" x14ac:dyDescent="0.2"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8"/>
      <c r="AA1440" s="68"/>
      <c r="AB1440" s="68"/>
      <c r="AC1440" s="68"/>
      <c r="AD1440" s="68"/>
      <c r="AE1440" s="68"/>
    </row>
    <row r="1441" spans="16:31" x14ac:dyDescent="0.2"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8"/>
      <c r="AA1441" s="68"/>
      <c r="AB1441" s="68"/>
      <c r="AC1441" s="68"/>
      <c r="AD1441" s="68"/>
      <c r="AE1441" s="68"/>
    </row>
    <row r="1442" spans="16:31" x14ac:dyDescent="0.2"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8"/>
      <c r="AA1442" s="68"/>
      <c r="AB1442" s="68"/>
      <c r="AC1442" s="68"/>
      <c r="AD1442" s="68"/>
      <c r="AE1442" s="68"/>
    </row>
    <row r="1443" spans="16:31" x14ac:dyDescent="0.2"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8"/>
      <c r="AA1443" s="68"/>
      <c r="AB1443" s="68"/>
      <c r="AC1443" s="68"/>
      <c r="AD1443" s="68"/>
      <c r="AE1443" s="68"/>
    </row>
    <row r="1444" spans="16:31" x14ac:dyDescent="0.2"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8"/>
      <c r="AA1444" s="68"/>
      <c r="AB1444" s="68"/>
      <c r="AC1444" s="68"/>
      <c r="AD1444" s="68"/>
      <c r="AE1444" s="68"/>
    </row>
    <row r="1445" spans="16:31" x14ac:dyDescent="0.2"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8"/>
      <c r="AA1445" s="68"/>
      <c r="AB1445" s="68"/>
      <c r="AC1445" s="68"/>
      <c r="AD1445" s="68"/>
      <c r="AE1445" s="68"/>
    </row>
    <row r="1446" spans="16:31" x14ac:dyDescent="0.2"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8"/>
      <c r="AA1446" s="68"/>
      <c r="AB1446" s="68"/>
      <c r="AC1446" s="68"/>
      <c r="AD1446" s="68"/>
      <c r="AE1446" s="68"/>
    </row>
    <row r="1447" spans="16:31" x14ac:dyDescent="0.2"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8"/>
      <c r="AA1447" s="68"/>
      <c r="AB1447" s="68"/>
      <c r="AC1447" s="68"/>
      <c r="AD1447" s="68"/>
      <c r="AE1447" s="68"/>
    </row>
    <row r="1448" spans="16:31" x14ac:dyDescent="0.2"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8"/>
      <c r="AA1448" s="68"/>
      <c r="AB1448" s="68"/>
      <c r="AC1448" s="68"/>
      <c r="AD1448" s="68"/>
      <c r="AE1448" s="68"/>
    </row>
    <row r="1449" spans="16:31" x14ac:dyDescent="0.2"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8"/>
      <c r="AA1449" s="68"/>
      <c r="AB1449" s="68"/>
      <c r="AC1449" s="68"/>
      <c r="AD1449" s="68"/>
      <c r="AE1449" s="68"/>
    </row>
    <row r="1450" spans="16:31" x14ac:dyDescent="0.2"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8"/>
      <c r="AA1450" s="68"/>
      <c r="AB1450" s="68"/>
      <c r="AC1450" s="68"/>
      <c r="AD1450" s="68"/>
      <c r="AE1450" s="68"/>
    </row>
    <row r="1451" spans="16:31" x14ac:dyDescent="0.2"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8"/>
      <c r="AA1451" s="68"/>
      <c r="AB1451" s="68"/>
      <c r="AC1451" s="68"/>
      <c r="AD1451" s="68"/>
      <c r="AE1451" s="68"/>
    </row>
    <row r="1452" spans="16:31" x14ac:dyDescent="0.2"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8"/>
      <c r="AA1452" s="68"/>
      <c r="AB1452" s="68"/>
      <c r="AC1452" s="68"/>
      <c r="AD1452" s="68"/>
      <c r="AE1452" s="68"/>
    </row>
    <row r="1453" spans="16:31" x14ac:dyDescent="0.2"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8"/>
      <c r="AA1453" s="68"/>
      <c r="AB1453" s="68"/>
      <c r="AC1453" s="68"/>
      <c r="AD1453" s="68"/>
      <c r="AE1453" s="68"/>
    </row>
    <row r="1454" spans="16:31" x14ac:dyDescent="0.2"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8"/>
      <c r="AA1454" s="68"/>
      <c r="AB1454" s="68"/>
      <c r="AC1454" s="68"/>
      <c r="AD1454" s="68"/>
      <c r="AE1454" s="68"/>
    </row>
    <row r="1455" spans="16:31" x14ac:dyDescent="0.2"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8"/>
      <c r="AA1455" s="68"/>
      <c r="AB1455" s="68"/>
      <c r="AC1455" s="68"/>
      <c r="AD1455" s="68"/>
      <c r="AE1455" s="68"/>
    </row>
    <row r="1456" spans="16:31" x14ac:dyDescent="0.2"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8"/>
      <c r="AA1456" s="68"/>
      <c r="AB1456" s="68"/>
      <c r="AC1456" s="68"/>
      <c r="AD1456" s="68"/>
      <c r="AE1456" s="68"/>
    </row>
    <row r="1457" spans="16:31" x14ac:dyDescent="0.2"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8"/>
      <c r="AA1457" s="68"/>
      <c r="AB1457" s="68"/>
      <c r="AC1457" s="68"/>
      <c r="AD1457" s="68"/>
      <c r="AE1457" s="68"/>
    </row>
    <row r="1458" spans="16:31" x14ac:dyDescent="0.2">
      <c r="P1458" s="68"/>
      <c r="Q1458" s="68"/>
      <c r="R1458" s="68"/>
      <c r="S1458" s="68"/>
      <c r="T1458" s="68"/>
      <c r="U1458" s="68"/>
      <c r="V1458" s="68"/>
      <c r="W1458" s="68"/>
      <c r="X1458" s="68"/>
      <c r="Y1458" s="68"/>
      <c r="Z1458" s="68"/>
      <c r="AA1458" s="68"/>
      <c r="AB1458" s="68"/>
      <c r="AC1458" s="68"/>
      <c r="AD1458" s="68"/>
      <c r="AE1458" s="68"/>
    </row>
    <row r="1459" spans="16:31" x14ac:dyDescent="0.2"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8"/>
      <c r="AA1459" s="68"/>
      <c r="AB1459" s="68"/>
      <c r="AC1459" s="68"/>
      <c r="AD1459" s="68"/>
      <c r="AE1459" s="68"/>
    </row>
    <row r="1460" spans="16:31" x14ac:dyDescent="0.2">
      <c r="P1460" s="68"/>
      <c r="Q1460" s="68"/>
      <c r="R1460" s="68"/>
      <c r="S1460" s="68"/>
      <c r="T1460" s="68"/>
      <c r="U1460" s="68"/>
      <c r="V1460" s="68"/>
      <c r="W1460" s="68"/>
      <c r="X1460" s="68"/>
      <c r="Y1460" s="68"/>
      <c r="Z1460" s="68"/>
      <c r="AA1460" s="68"/>
      <c r="AB1460" s="68"/>
      <c r="AC1460" s="68"/>
      <c r="AD1460" s="68"/>
      <c r="AE1460" s="68"/>
    </row>
    <row r="1461" spans="16:31" x14ac:dyDescent="0.2">
      <c r="P1461" s="68"/>
      <c r="Q1461" s="68"/>
      <c r="R1461" s="68"/>
      <c r="S1461" s="68"/>
      <c r="T1461" s="68"/>
      <c r="U1461" s="68"/>
      <c r="V1461" s="68"/>
      <c r="W1461" s="68"/>
      <c r="X1461" s="68"/>
      <c r="Y1461" s="68"/>
      <c r="Z1461" s="68"/>
      <c r="AA1461" s="68"/>
      <c r="AB1461" s="68"/>
      <c r="AC1461" s="68"/>
      <c r="AD1461" s="68"/>
      <c r="AE1461" s="68"/>
    </row>
    <row r="1462" spans="16:31" x14ac:dyDescent="0.2"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8"/>
      <c r="AA1462" s="68"/>
      <c r="AB1462" s="68"/>
      <c r="AC1462" s="68"/>
      <c r="AD1462" s="68"/>
      <c r="AE1462" s="68"/>
    </row>
    <row r="1463" spans="16:31" x14ac:dyDescent="0.2"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8"/>
      <c r="AA1463" s="68"/>
      <c r="AB1463" s="68"/>
      <c r="AC1463" s="68"/>
      <c r="AD1463" s="68"/>
      <c r="AE1463" s="68"/>
    </row>
    <row r="1464" spans="16:31" x14ac:dyDescent="0.2"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8"/>
      <c r="AA1464" s="68"/>
      <c r="AB1464" s="68"/>
      <c r="AC1464" s="68"/>
      <c r="AD1464" s="68"/>
      <c r="AE1464" s="68"/>
    </row>
    <row r="1465" spans="16:31" x14ac:dyDescent="0.2"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8"/>
      <c r="AA1465" s="68"/>
      <c r="AB1465" s="68"/>
      <c r="AC1465" s="68"/>
      <c r="AD1465" s="68"/>
      <c r="AE1465" s="68"/>
    </row>
    <row r="1466" spans="16:31" x14ac:dyDescent="0.2"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8"/>
      <c r="AA1466" s="68"/>
      <c r="AB1466" s="68"/>
      <c r="AC1466" s="68"/>
      <c r="AD1466" s="68"/>
      <c r="AE1466" s="68"/>
    </row>
    <row r="1467" spans="16:31" x14ac:dyDescent="0.2"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8"/>
      <c r="AA1467" s="68"/>
      <c r="AB1467" s="68"/>
      <c r="AC1467" s="68"/>
      <c r="AD1467" s="68"/>
      <c r="AE1467" s="68"/>
    </row>
    <row r="1468" spans="16:31" x14ac:dyDescent="0.2"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8"/>
      <c r="AA1468" s="68"/>
      <c r="AB1468" s="68"/>
      <c r="AC1468" s="68"/>
      <c r="AD1468" s="68"/>
      <c r="AE1468" s="68"/>
    </row>
    <row r="1469" spans="16:31" x14ac:dyDescent="0.2"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8"/>
      <c r="AA1469" s="68"/>
      <c r="AB1469" s="68"/>
      <c r="AC1469" s="68"/>
      <c r="AD1469" s="68"/>
      <c r="AE1469" s="68"/>
    </row>
    <row r="1470" spans="16:31" x14ac:dyDescent="0.2"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8"/>
      <c r="AA1470" s="68"/>
      <c r="AB1470" s="68"/>
      <c r="AC1470" s="68"/>
      <c r="AD1470" s="68"/>
      <c r="AE1470" s="68"/>
    </row>
    <row r="1471" spans="16:31" x14ac:dyDescent="0.2"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8"/>
      <c r="AA1471" s="68"/>
      <c r="AB1471" s="68"/>
      <c r="AC1471" s="68"/>
      <c r="AD1471" s="68"/>
      <c r="AE1471" s="68"/>
    </row>
    <row r="1472" spans="16:31" x14ac:dyDescent="0.2"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8"/>
      <c r="AA1472" s="68"/>
      <c r="AB1472" s="68"/>
      <c r="AC1472" s="68"/>
      <c r="AD1472" s="68"/>
      <c r="AE1472" s="68"/>
    </row>
    <row r="1473" spans="16:31" x14ac:dyDescent="0.2"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8"/>
      <c r="AA1473" s="68"/>
      <c r="AB1473" s="68"/>
      <c r="AC1473" s="68"/>
      <c r="AD1473" s="68"/>
      <c r="AE1473" s="68"/>
    </row>
    <row r="1474" spans="16:31" x14ac:dyDescent="0.2"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8"/>
      <c r="AA1474" s="68"/>
      <c r="AB1474" s="68"/>
      <c r="AC1474" s="68"/>
      <c r="AD1474" s="68"/>
      <c r="AE1474" s="68"/>
    </row>
    <row r="1475" spans="16:31" x14ac:dyDescent="0.2">
      <c r="P1475" s="68"/>
      <c r="Q1475" s="68"/>
      <c r="R1475" s="68"/>
      <c r="S1475" s="68"/>
      <c r="T1475" s="68"/>
      <c r="U1475" s="68"/>
      <c r="V1475" s="68"/>
      <c r="W1475" s="68"/>
      <c r="X1475" s="68"/>
      <c r="Y1475" s="68"/>
      <c r="Z1475" s="68"/>
      <c r="AA1475" s="68"/>
      <c r="AB1475" s="68"/>
      <c r="AC1475" s="68"/>
      <c r="AD1475" s="68"/>
      <c r="AE1475" s="68"/>
    </row>
    <row r="1476" spans="16:31" x14ac:dyDescent="0.2">
      <c r="P1476" s="68"/>
      <c r="Q1476" s="68"/>
      <c r="R1476" s="68"/>
      <c r="S1476" s="68"/>
      <c r="T1476" s="68"/>
      <c r="U1476" s="68"/>
      <c r="V1476" s="68"/>
      <c r="W1476" s="68"/>
      <c r="X1476" s="68"/>
      <c r="Y1476" s="68"/>
      <c r="Z1476" s="68"/>
      <c r="AA1476" s="68"/>
      <c r="AB1476" s="68"/>
      <c r="AC1476" s="68"/>
      <c r="AD1476" s="68"/>
      <c r="AE1476" s="68"/>
    </row>
    <row r="1477" spans="16:31" x14ac:dyDescent="0.2">
      <c r="P1477" s="68"/>
      <c r="Q1477" s="68"/>
      <c r="R1477" s="68"/>
      <c r="S1477" s="68"/>
      <c r="T1477" s="68"/>
      <c r="U1477" s="68"/>
      <c r="V1477" s="68"/>
      <c r="W1477" s="68"/>
      <c r="X1477" s="68"/>
      <c r="Y1477" s="68"/>
      <c r="Z1477" s="68"/>
      <c r="AA1477" s="68"/>
      <c r="AB1477" s="68"/>
      <c r="AC1477" s="68"/>
      <c r="AD1477" s="68"/>
      <c r="AE1477" s="68"/>
    </row>
    <row r="1478" spans="16:31" x14ac:dyDescent="0.2">
      <c r="P1478" s="68"/>
      <c r="Q1478" s="68"/>
      <c r="R1478" s="68"/>
      <c r="S1478" s="68"/>
      <c r="T1478" s="68"/>
      <c r="U1478" s="68"/>
      <c r="V1478" s="68"/>
      <c r="W1478" s="68"/>
      <c r="X1478" s="68"/>
      <c r="Y1478" s="68"/>
      <c r="Z1478" s="68"/>
      <c r="AA1478" s="68"/>
      <c r="AB1478" s="68"/>
      <c r="AC1478" s="68"/>
      <c r="AD1478" s="68"/>
      <c r="AE1478" s="68"/>
    </row>
    <row r="1479" spans="16:31" x14ac:dyDescent="0.2">
      <c r="P1479" s="68"/>
      <c r="Q1479" s="68"/>
      <c r="R1479" s="68"/>
      <c r="S1479" s="68"/>
      <c r="T1479" s="68"/>
      <c r="U1479" s="68"/>
      <c r="V1479" s="68"/>
      <c r="W1479" s="68"/>
      <c r="X1479" s="68"/>
      <c r="Y1479" s="68"/>
      <c r="Z1479" s="68"/>
      <c r="AA1479" s="68"/>
      <c r="AB1479" s="68"/>
      <c r="AC1479" s="68"/>
      <c r="AD1479" s="68"/>
      <c r="AE1479" s="68"/>
    </row>
    <row r="1480" spans="16:31" x14ac:dyDescent="0.2">
      <c r="P1480" s="68"/>
      <c r="Q1480" s="68"/>
      <c r="R1480" s="68"/>
      <c r="S1480" s="68"/>
      <c r="T1480" s="68"/>
      <c r="U1480" s="68"/>
      <c r="V1480" s="68"/>
      <c r="W1480" s="68"/>
      <c r="X1480" s="68"/>
      <c r="Y1480" s="68"/>
      <c r="Z1480" s="68"/>
      <c r="AA1480" s="68"/>
      <c r="AB1480" s="68"/>
      <c r="AC1480" s="68"/>
      <c r="AD1480" s="68"/>
      <c r="AE1480" s="68"/>
    </row>
    <row r="1481" spans="16:31" x14ac:dyDescent="0.2">
      <c r="P1481" s="68"/>
      <c r="Q1481" s="68"/>
      <c r="R1481" s="68"/>
      <c r="S1481" s="68"/>
      <c r="T1481" s="68"/>
      <c r="U1481" s="68"/>
      <c r="V1481" s="68"/>
      <c r="W1481" s="68"/>
      <c r="X1481" s="68"/>
      <c r="Y1481" s="68"/>
      <c r="Z1481" s="68"/>
      <c r="AA1481" s="68"/>
      <c r="AB1481" s="68"/>
      <c r="AC1481" s="68"/>
      <c r="AD1481" s="68"/>
      <c r="AE1481" s="68"/>
    </row>
    <row r="1482" spans="16:31" x14ac:dyDescent="0.2">
      <c r="P1482" s="68"/>
      <c r="Q1482" s="68"/>
      <c r="R1482" s="68"/>
      <c r="S1482" s="68"/>
      <c r="T1482" s="68"/>
      <c r="U1482" s="68"/>
      <c r="V1482" s="68"/>
      <c r="W1482" s="68"/>
      <c r="X1482" s="68"/>
      <c r="Y1482" s="68"/>
      <c r="Z1482" s="68"/>
      <c r="AA1482" s="68"/>
      <c r="AB1482" s="68"/>
      <c r="AC1482" s="68"/>
      <c r="AD1482" s="68"/>
      <c r="AE1482" s="68"/>
    </row>
    <row r="1483" spans="16:31" x14ac:dyDescent="0.2">
      <c r="P1483" s="68"/>
      <c r="Q1483" s="68"/>
      <c r="R1483" s="68"/>
      <c r="S1483" s="68"/>
      <c r="T1483" s="68"/>
      <c r="U1483" s="68"/>
      <c r="V1483" s="68"/>
      <c r="W1483" s="68"/>
      <c r="X1483" s="68"/>
      <c r="Y1483" s="68"/>
      <c r="Z1483" s="68"/>
      <c r="AA1483" s="68"/>
      <c r="AB1483" s="68"/>
      <c r="AC1483" s="68"/>
      <c r="AD1483" s="68"/>
      <c r="AE1483" s="68"/>
    </row>
    <row r="1484" spans="16:31" x14ac:dyDescent="0.2">
      <c r="P1484" s="68"/>
      <c r="Q1484" s="68"/>
      <c r="R1484" s="68"/>
      <c r="S1484" s="68"/>
      <c r="T1484" s="68"/>
      <c r="U1484" s="68"/>
      <c r="V1484" s="68"/>
      <c r="W1484" s="68"/>
      <c r="X1484" s="68"/>
      <c r="Y1484" s="68"/>
      <c r="Z1484" s="68"/>
      <c r="AA1484" s="68"/>
      <c r="AB1484" s="68"/>
      <c r="AC1484" s="68"/>
      <c r="AD1484" s="68"/>
      <c r="AE1484" s="68"/>
    </row>
    <row r="1485" spans="16:31" x14ac:dyDescent="0.2">
      <c r="P1485" s="68"/>
      <c r="Q1485" s="68"/>
      <c r="R1485" s="68"/>
      <c r="S1485" s="68"/>
      <c r="T1485" s="68"/>
      <c r="U1485" s="68"/>
      <c r="V1485" s="68"/>
      <c r="W1485" s="68"/>
      <c r="X1485" s="68"/>
      <c r="Y1485" s="68"/>
      <c r="Z1485" s="68"/>
      <c r="AA1485" s="68"/>
      <c r="AB1485" s="68"/>
      <c r="AC1485" s="68"/>
      <c r="AD1485" s="68"/>
      <c r="AE1485" s="68"/>
    </row>
    <row r="1486" spans="16:31" x14ac:dyDescent="0.2">
      <c r="P1486" s="68"/>
      <c r="Q1486" s="68"/>
      <c r="R1486" s="68"/>
      <c r="S1486" s="68"/>
      <c r="T1486" s="68"/>
      <c r="U1486" s="68"/>
      <c r="V1486" s="68"/>
      <c r="W1486" s="68"/>
      <c r="X1486" s="68"/>
      <c r="Y1486" s="68"/>
      <c r="Z1486" s="68"/>
      <c r="AA1486" s="68"/>
      <c r="AB1486" s="68"/>
      <c r="AC1486" s="68"/>
      <c r="AD1486" s="68"/>
      <c r="AE1486" s="68"/>
    </row>
    <row r="1487" spans="16:31" x14ac:dyDescent="0.2">
      <c r="P1487" s="68"/>
      <c r="Q1487" s="68"/>
      <c r="R1487" s="68"/>
      <c r="S1487" s="68"/>
      <c r="T1487" s="68"/>
      <c r="U1487" s="68"/>
      <c r="V1487" s="68"/>
      <c r="W1487" s="68"/>
      <c r="X1487" s="68"/>
      <c r="Y1487" s="68"/>
      <c r="Z1487" s="68"/>
      <c r="AA1487" s="68"/>
      <c r="AB1487" s="68"/>
      <c r="AC1487" s="68"/>
      <c r="AD1487" s="68"/>
      <c r="AE1487" s="68"/>
    </row>
    <row r="1488" spans="16:31" x14ac:dyDescent="0.2">
      <c r="P1488" s="68"/>
      <c r="Q1488" s="68"/>
      <c r="R1488" s="68"/>
      <c r="S1488" s="68"/>
      <c r="T1488" s="68"/>
      <c r="U1488" s="68"/>
      <c r="V1488" s="68"/>
      <c r="W1488" s="68"/>
      <c r="X1488" s="68"/>
      <c r="Y1488" s="68"/>
      <c r="Z1488" s="68"/>
      <c r="AA1488" s="68"/>
      <c r="AB1488" s="68"/>
      <c r="AC1488" s="68"/>
      <c r="AD1488" s="68"/>
      <c r="AE1488" s="68"/>
    </row>
    <row r="1489" spans="16:31" x14ac:dyDescent="0.2">
      <c r="P1489" s="68"/>
      <c r="Q1489" s="68"/>
      <c r="R1489" s="68"/>
      <c r="S1489" s="68"/>
      <c r="T1489" s="68"/>
      <c r="U1489" s="68"/>
      <c r="V1489" s="68"/>
      <c r="W1489" s="68"/>
      <c r="X1489" s="68"/>
      <c r="Y1489" s="68"/>
      <c r="Z1489" s="68"/>
      <c r="AA1489" s="68"/>
      <c r="AB1489" s="68"/>
      <c r="AC1489" s="68"/>
      <c r="AD1489" s="68"/>
      <c r="AE1489" s="68"/>
    </row>
    <row r="1490" spans="16:31" x14ac:dyDescent="0.2">
      <c r="P1490" s="68"/>
      <c r="Q1490" s="68"/>
      <c r="R1490" s="68"/>
      <c r="S1490" s="68"/>
      <c r="T1490" s="68"/>
      <c r="U1490" s="68"/>
      <c r="V1490" s="68"/>
      <c r="W1490" s="68"/>
      <c r="X1490" s="68"/>
      <c r="Y1490" s="68"/>
      <c r="Z1490" s="68"/>
      <c r="AA1490" s="68"/>
      <c r="AB1490" s="68"/>
      <c r="AC1490" s="68"/>
      <c r="AD1490" s="68"/>
      <c r="AE1490" s="68"/>
    </row>
    <row r="1491" spans="16:31" x14ac:dyDescent="0.2">
      <c r="P1491" s="68"/>
      <c r="Q1491" s="68"/>
      <c r="R1491" s="68"/>
      <c r="S1491" s="68"/>
      <c r="T1491" s="68"/>
      <c r="U1491" s="68"/>
      <c r="V1491" s="68"/>
      <c r="W1491" s="68"/>
      <c r="X1491" s="68"/>
      <c r="Y1491" s="68"/>
      <c r="Z1491" s="68"/>
      <c r="AA1491" s="68"/>
      <c r="AB1491" s="68"/>
      <c r="AC1491" s="68"/>
      <c r="AD1491" s="68"/>
      <c r="AE1491" s="68"/>
    </row>
    <row r="1492" spans="16:31" x14ac:dyDescent="0.2">
      <c r="P1492" s="68"/>
      <c r="Q1492" s="68"/>
      <c r="R1492" s="68"/>
      <c r="S1492" s="68"/>
      <c r="T1492" s="68"/>
      <c r="U1492" s="68"/>
      <c r="V1492" s="68"/>
      <c r="W1492" s="68"/>
      <c r="X1492" s="68"/>
      <c r="Y1492" s="68"/>
      <c r="Z1492" s="68"/>
      <c r="AA1492" s="68"/>
      <c r="AB1492" s="68"/>
      <c r="AC1492" s="68"/>
      <c r="AD1492" s="68"/>
      <c r="AE1492" s="68"/>
    </row>
    <row r="1493" spans="16:31" x14ac:dyDescent="0.2">
      <c r="P1493" s="68"/>
      <c r="Q1493" s="68"/>
      <c r="R1493" s="68"/>
      <c r="S1493" s="68"/>
      <c r="T1493" s="68"/>
      <c r="U1493" s="68"/>
      <c r="V1493" s="68"/>
      <c r="W1493" s="68"/>
      <c r="X1493" s="68"/>
      <c r="Y1493" s="68"/>
      <c r="Z1493" s="68"/>
      <c r="AA1493" s="68"/>
      <c r="AB1493" s="68"/>
      <c r="AC1493" s="68"/>
      <c r="AD1493" s="68"/>
      <c r="AE1493" s="68"/>
    </row>
    <row r="1494" spans="16:31" x14ac:dyDescent="0.2">
      <c r="P1494" s="68"/>
      <c r="Q1494" s="68"/>
      <c r="R1494" s="68"/>
      <c r="S1494" s="68"/>
      <c r="T1494" s="68"/>
      <c r="U1494" s="68"/>
      <c r="V1494" s="68"/>
      <c r="W1494" s="68"/>
      <c r="X1494" s="68"/>
      <c r="Y1494" s="68"/>
      <c r="Z1494" s="68"/>
      <c r="AA1494" s="68"/>
      <c r="AB1494" s="68"/>
      <c r="AC1494" s="68"/>
      <c r="AD1494" s="68"/>
      <c r="AE1494" s="68"/>
    </row>
    <row r="1495" spans="16:31" x14ac:dyDescent="0.2">
      <c r="P1495" s="68"/>
      <c r="Q1495" s="68"/>
      <c r="R1495" s="68"/>
      <c r="S1495" s="68"/>
      <c r="T1495" s="68"/>
      <c r="U1495" s="68"/>
      <c r="V1495" s="68"/>
      <c r="W1495" s="68"/>
      <c r="X1495" s="68"/>
      <c r="Y1495" s="68"/>
      <c r="Z1495" s="68"/>
      <c r="AA1495" s="68"/>
      <c r="AB1495" s="68"/>
      <c r="AC1495" s="68"/>
      <c r="AD1495" s="68"/>
      <c r="AE1495" s="68"/>
    </row>
    <row r="1496" spans="16:31" x14ac:dyDescent="0.2">
      <c r="P1496" s="68"/>
      <c r="Q1496" s="68"/>
      <c r="R1496" s="68"/>
      <c r="S1496" s="68"/>
      <c r="T1496" s="68"/>
      <c r="U1496" s="68"/>
      <c r="V1496" s="68"/>
      <c r="W1496" s="68"/>
      <c r="X1496" s="68"/>
      <c r="Y1496" s="68"/>
      <c r="Z1496" s="68"/>
      <c r="AA1496" s="68"/>
      <c r="AB1496" s="68"/>
      <c r="AC1496" s="68"/>
      <c r="AD1496" s="68"/>
      <c r="AE1496" s="68"/>
    </row>
    <row r="1497" spans="16:31" x14ac:dyDescent="0.2">
      <c r="P1497" s="68"/>
      <c r="Q1497" s="68"/>
      <c r="R1497" s="68"/>
      <c r="S1497" s="68"/>
      <c r="T1497" s="68"/>
      <c r="U1497" s="68"/>
      <c r="V1497" s="68"/>
      <c r="W1497" s="68"/>
      <c r="X1497" s="68"/>
      <c r="Y1497" s="68"/>
      <c r="Z1497" s="68"/>
      <c r="AA1497" s="68"/>
      <c r="AB1497" s="68"/>
      <c r="AC1497" s="68"/>
      <c r="AD1497" s="68"/>
      <c r="AE1497" s="68"/>
    </row>
    <row r="1498" spans="16:31" x14ac:dyDescent="0.2">
      <c r="P1498" s="68"/>
      <c r="Q1498" s="68"/>
      <c r="R1498" s="68"/>
      <c r="S1498" s="68"/>
      <c r="T1498" s="68"/>
      <c r="U1498" s="68"/>
      <c r="V1498" s="68"/>
      <c r="W1498" s="68"/>
      <c r="X1498" s="68"/>
      <c r="Y1498" s="68"/>
      <c r="Z1498" s="68"/>
      <c r="AA1498" s="68"/>
      <c r="AB1498" s="68"/>
      <c r="AC1498" s="68"/>
      <c r="AD1498" s="68"/>
      <c r="AE1498" s="68"/>
    </row>
    <row r="1499" spans="16:31" x14ac:dyDescent="0.2">
      <c r="P1499" s="68"/>
      <c r="Q1499" s="68"/>
      <c r="R1499" s="68"/>
      <c r="S1499" s="68"/>
      <c r="T1499" s="68"/>
      <c r="U1499" s="68"/>
      <c r="V1499" s="68"/>
      <c r="W1499" s="68"/>
      <c r="X1499" s="68"/>
      <c r="Y1499" s="68"/>
      <c r="Z1499" s="68"/>
      <c r="AA1499" s="68"/>
      <c r="AB1499" s="68"/>
      <c r="AC1499" s="68"/>
      <c r="AD1499" s="68"/>
      <c r="AE1499" s="68"/>
    </row>
    <row r="1500" spans="16:31" x14ac:dyDescent="0.2">
      <c r="P1500" s="68"/>
      <c r="Q1500" s="68"/>
      <c r="R1500" s="68"/>
      <c r="S1500" s="68"/>
      <c r="T1500" s="68"/>
      <c r="U1500" s="68"/>
      <c r="V1500" s="68"/>
      <c r="W1500" s="68"/>
      <c r="X1500" s="68"/>
      <c r="Y1500" s="68"/>
      <c r="Z1500" s="68"/>
      <c r="AA1500" s="68"/>
      <c r="AB1500" s="68"/>
      <c r="AC1500" s="68"/>
      <c r="AD1500" s="68"/>
      <c r="AE1500" s="68"/>
    </row>
    <row r="1501" spans="16:31" x14ac:dyDescent="0.2">
      <c r="P1501" s="68"/>
      <c r="Q1501" s="68"/>
      <c r="R1501" s="68"/>
      <c r="S1501" s="68"/>
      <c r="T1501" s="68"/>
      <c r="U1501" s="68"/>
      <c r="V1501" s="68"/>
      <c r="W1501" s="68"/>
      <c r="X1501" s="68"/>
      <c r="Y1501" s="68"/>
      <c r="Z1501" s="68"/>
      <c r="AA1501" s="68"/>
      <c r="AB1501" s="68"/>
      <c r="AC1501" s="68"/>
      <c r="AD1501" s="68"/>
      <c r="AE1501" s="68"/>
    </row>
    <row r="1502" spans="16:31" x14ac:dyDescent="0.2">
      <c r="P1502" s="68"/>
      <c r="Q1502" s="68"/>
      <c r="R1502" s="68"/>
      <c r="S1502" s="68"/>
      <c r="T1502" s="68"/>
      <c r="U1502" s="68"/>
      <c r="V1502" s="68"/>
      <c r="W1502" s="68"/>
      <c r="X1502" s="68"/>
      <c r="Y1502" s="68"/>
      <c r="Z1502" s="68"/>
      <c r="AA1502" s="68"/>
      <c r="AB1502" s="68"/>
      <c r="AC1502" s="68"/>
      <c r="AD1502" s="68"/>
      <c r="AE1502" s="68"/>
    </row>
    <row r="1503" spans="16:31" x14ac:dyDescent="0.2">
      <c r="P1503" s="68"/>
      <c r="Q1503" s="68"/>
      <c r="R1503" s="68"/>
      <c r="S1503" s="68"/>
      <c r="T1503" s="68"/>
      <c r="U1503" s="68"/>
      <c r="V1503" s="68"/>
      <c r="W1503" s="68"/>
      <c r="X1503" s="68"/>
      <c r="Y1503" s="68"/>
      <c r="Z1503" s="68"/>
      <c r="AA1503" s="68"/>
      <c r="AB1503" s="68"/>
      <c r="AC1503" s="68"/>
      <c r="AD1503" s="68"/>
      <c r="AE1503" s="68"/>
    </row>
    <row r="1504" spans="16:31" x14ac:dyDescent="0.2">
      <c r="P1504" s="68"/>
      <c r="Q1504" s="68"/>
      <c r="R1504" s="68"/>
      <c r="S1504" s="68"/>
      <c r="T1504" s="68"/>
      <c r="U1504" s="68"/>
      <c r="V1504" s="68"/>
      <c r="W1504" s="68"/>
      <c r="X1504" s="68"/>
      <c r="Y1504" s="68"/>
      <c r="Z1504" s="68"/>
      <c r="AA1504" s="68"/>
      <c r="AB1504" s="68"/>
      <c r="AC1504" s="68"/>
      <c r="AD1504" s="68"/>
      <c r="AE1504" s="68"/>
    </row>
    <row r="1505" spans="16:31" x14ac:dyDescent="0.2">
      <c r="P1505" s="68"/>
      <c r="Q1505" s="68"/>
      <c r="R1505" s="68"/>
      <c r="S1505" s="68"/>
      <c r="T1505" s="68"/>
      <c r="U1505" s="68"/>
      <c r="V1505" s="68"/>
      <c r="W1505" s="68"/>
      <c r="X1505" s="68"/>
      <c r="Y1505" s="68"/>
      <c r="Z1505" s="68"/>
      <c r="AA1505" s="68"/>
      <c r="AB1505" s="68"/>
      <c r="AC1505" s="68"/>
      <c r="AD1505" s="68"/>
      <c r="AE1505" s="68"/>
    </row>
    <row r="1506" spans="16:31" x14ac:dyDescent="0.2">
      <c r="P1506" s="68"/>
      <c r="Q1506" s="68"/>
      <c r="R1506" s="68"/>
      <c r="S1506" s="68"/>
      <c r="T1506" s="68"/>
      <c r="U1506" s="68"/>
      <c r="V1506" s="68"/>
      <c r="W1506" s="68"/>
      <c r="X1506" s="68"/>
      <c r="Y1506" s="68"/>
      <c r="Z1506" s="68"/>
      <c r="AA1506" s="68"/>
      <c r="AB1506" s="68"/>
      <c r="AC1506" s="68"/>
      <c r="AD1506" s="68"/>
      <c r="AE1506" s="68"/>
    </row>
    <row r="1507" spans="16:31" x14ac:dyDescent="0.2">
      <c r="P1507" s="68"/>
      <c r="Q1507" s="68"/>
      <c r="R1507" s="68"/>
      <c r="S1507" s="68"/>
      <c r="T1507" s="68"/>
      <c r="U1507" s="68"/>
      <c r="V1507" s="68"/>
      <c r="W1507" s="68"/>
      <c r="X1507" s="68"/>
      <c r="Y1507" s="68"/>
      <c r="Z1507" s="68"/>
      <c r="AA1507" s="68"/>
      <c r="AB1507" s="68"/>
      <c r="AC1507" s="68"/>
      <c r="AD1507" s="68"/>
      <c r="AE1507" s="68"/>
    </row>
    <row r="1508" spans="16:31" x14ac:dyDescent="0.2">
      <c r="P1508" s="68"/>
      <c r="Q1508" s="68"/>
      <c r="R1508" s="68"/>
      <c r="S1508" s="68"/>
      <c r="T1508" s="68"/>
      <c r="U1508" s="68"/>
      <c r="V1508" s="68"/>
      <c r="W1508" s="68"/>
      <c r="X1508" s="68"/>
      <c r="Y1508" s="68"/>
      <c r="Z1508" s="68"/>
      <c r="AA1508" s="68"/>
      <c r="AB1508" s="68"/>
      <c r="AC1508" s="68"/>
      <c r="AD1508" s="68"/>
      <c r="AE1508" s="68"/>
    </row>
    <row r="1509" spans="16:31" x14ac:dyDescent="0.2">
      <c r="P1509" s="68"/>
      <c r="Q1509" s="68"/>
      <c r="R1509" s="68"/>
      <c r="S1509" s="68"/>
      <c r="T1509" s="68"/>
      <c r="U1509" s="68"/>
      <c r="V1509" s="68"/>
      <c r="W1509" s="68"/>
      <c r="X1509" s="68"/>
      <c r="Y1509" s="68"/>
      <c r="Z1509" s="68"/>
      <c r="AA1509" s="68"/>
      <c r="AB1509" s="68"/>
      <c r="AC1509" s="68"/>
      <c r="AD1509" s="68"/>
      <c r="AE1509" s="68"/>
    </row>
    <row r="1510" spans="16:31" x14ac:dyDescent="0.2">
      <c r="P1510" s="68"/>
      <c r="Q1510" s="68"/>
      <c r="R1510" s="68"/>
      <c r="S1510" s="68"/>
      <c r="T1510" s="68"/>
      <c r="U1510" s="68"/>
      <c r="V1510" s="68"/>
      <c r="W1510" s="68"/>
      <c r="X1510" s="68"/>
      <c r="Y1510" s="68"/>
      <c r="Z1510" s="68"/>
      <c r="AA1510" s="68"/>
      <c r="AB1510" s="68"/>
      <c r="AC1510" s="68"/>
      <c r="AD1510" s="68"/>
      <c r="AE1510" s="68"/>
    </row>
    <row r="1511" spans="16:31" x14ac:dyDescent="0.2">
      <c r="P1511" s="68"/>
      <c r="Q1511" s="68"/>
      <c r="R1511" s="68"/>
      <c r="S1511" s="68"/>
      <c r="T1511" s="68"/>
      <c r="U1511" s="68"/>
      <c r="V1511" s="68"/>
      <c r="W1511" s="68"/>
      <c r="X1511" s="68"/>
      <c r="Y1511" s="68"/>
      <c r="Z1511" s="68"/>
      <c r="AA1511" s="68"/>
      <c r="AB1511" s="68"/>
      <c r="AC1511" s="68"/>
      <c r="AD1511" s="68"/>
      <c r="AE1511" s="68"/>
    </row>
    <row r="1512" spans="16:31" x14ac:dyDescent="0.2">
      <c r="P1512" s="68"/>
      <c r="Q1512" s="68"/>
      <c r="R1512" s="68"/>
      <c r="S1512" s="68"/>
      <c r="T1512" s="68"/>
      <c r="U1512" s="68"/>
      <c r="V1512" s="68"/>
      <c r="W1512" s="68"/>
      <c r="X1512" s="68"/>
      <c r="Y1512" s="68"/>
      <c r="Z1512" s="68"/>
      <c r="AA1512" s="68"/>
      <c r="AB1512" s="68"/>
      <c r="AC1512" s="68"/>
      <c r="AD1512" s="68"/>
      <c r="AE1512" s="68"/>
    </row>
    <row r="1513" spans="16:31" x14ac:dyDescent="0.2">
      <c r="P1513" s="68"/>
      <c r="Q1513" s="68"/>
      <c r="R1513" s="68"/>
      <c r="S1513" s="68"/>
      <c r="T1513" s="68"/>
      <c r="U1513" s="68"/>
      <c r="V1513" s="68"/>
      <c r="W1513" s="68"/>
      <c r="X1513" s="68"/>
      <c r="Y1513" s="68"/>
      <c r="Z1513" s="68"/>
      <c r="AA1513" s="68"/>
      <c r="AB1513" s="68"/>
      <c r="AC1513" s="68"/>
      <c r="AD1513" s="68"/>
      <c r="AE1513" s="68"/>
    </row>
    <row r="1514" spans="16:31" x14ac:dyDescent="0.2">
      <c r="P1514" s="68"/>
      <c r="Q1514" s="68"/>
      <c r="R1514" s="68"/>
      <c r="S1514" s="68"/>
      <c r="T1514" s="68"/>
      <c r="U1514" s="68"/>
      <c r="V1514" s="68"/>
      <c r="W1514" s="68"/>
      <c r="X1514" s="68"/>
      <c r="Y1514" s="68"/>
      <c r="Z1514" s="68"/>
      <c r="AA1514" s="68"/>
      <c r="AB1514" s="68"/>
      <c r="AC1514" s="68"/>
      <c r="AD1514" s="68"/>
      <c r="AE1514" s="68"/>
    </row>
    <row r="1515" spans="16:31" x14ac:dyDescent="0.2">
      <c r="P1515" s="68"/>
      <c r="Q1515" s="68"/>
      <c r="R1515" s="68"/>
      <c r="S1515" s="68"/>
      <c r="T1515" s="68"/>
      <c r="U1515" s="68"/>
      <c r="V1515" s="68"/>
      <c r="W1515" s="68"/>
      <c r="X1515" s="68"/>
      <c r="Y1515" s="68"/>
      <c r="Z1515" s="68"/>
      <c r="AA1515" s="68"/>
      <c r="AB1515" s="68"/>
      <c r="AC1515" s="68"/>
      <c r="AD1515" s="68"/>
      <c r="AE1515" s="68"/>
    </row>
    <row r="1516" spans="16:31" x14ac:dyDescent="0.2">
      <c r="P1516" s="68"/>
      <c r="Q1516" s="68"/>
      <c r="R1516" s="68"/>
      <c r="S1516" s="68"/>
      <c r="T1516" s="68"/>
      <c r="U1516" s="68"/>
      <c r="V1516" s="68"/>
      <c r="W1516" s="68"/>
      <c r="X1516" s="68"/>
      <c r="Y1516" s="68"/>
      <c r="Z1516" s="68"/>
      <c r="AA1516" s="68"/>
      <c r="AB1516" s="68"/>
      <c r="AC1516" s="68"/>
      <c r="AD1516" s="68"/>
      <c r="AE1516" s="68"/>
    </row>
    <row r="1517" spans="16:31" x14ac:dyDescent="0.2">
      <c r="P1517" s="68"/>
      <c r="Q1517" s="68"/>
      <c r="R1517" s="68"/>
      <c r="S1517" s="68"/>
      <c r="T1517" s="68"/>
      <c r="U1517" s="68"/>
      <c r="V1517" s="68"/>
      <c r="W1517" s="68"/>
      <c r="X1517" s="68"/>
      <c r="Y1517" s="68"/>
      <c r="Z1517" s="68"/>
      <c r="AA1517" s="68"/>
      <c r="AB1517" s="68"/>
      <c r="AC1517" s="68"/>
      <c r="AD1517" s="68"/>
      <c r="AE1517" s="68"/>
    </row>
    <row r="1518" spans="16:31" x14ac:dyDescent="0.2">
      <c r="P1518" s="68"/>
      <c r="Q1518" s="68"/>
      <c r="R1518" s="68"/>
      <c r="S1518" s="68"/>
      <c r="T1518" s="68"/>
      <c r="U1518" s="68"/>
      <c r="V1518" s="68"/>
      <c r="W1518" s="68"/>
      <c r="X1518" s="68"/>
      <c r="Y1518" s="68"/>
      <c r="Z1518" s="68"/>
      <c r="AA1518" s="68"/>
      <c r="AB1518" s="68"/>
      <c r="AC1518" s="68"/>
      <c r="AD1518" s="68"/>
      <c r="AE1518" s="68"/>
    </row>
    <row r="1519" spans="16:31" x14ac:dyDescent="0.2">
      <c r="P1519" s="68"/>
      <c r="Q1519" s="68"/>
      <c r="R1519" s="68"/>
      <c r="S1519" s="68"/>
      <c r="T1519" s="68"/>
      <c r="U1519" s="68"/>
      <c r="V1519" s="68"/>
      <c r="W1519" s="68"/>
      <c r="X1519" s="68"/>
      <c r="Y1519" s="68"/>
      <c r="Z1519" s="68"/>
      <c r="AA1519" s="68"/>
      <c r="AB1519" s="68"/>
      <c r="AC1519" s="68"/>
      <c r="AD1519" s="68"/>
      <c r="AE1519" s="68"/>
    </row>
    <row r="1520" spans="16:31" x14ac:dyDescent="0.2">
      <c r="P1520" s="68"/>
      <c r="Q1520" s="68"/>
      <c r="R1520" s="68"/>
      <c r="S1520" s="68"/>
      <c r="T1520" s="68"/>
      <c r="U1520" s="68"/>
      <c r="V1520" s="68"/>
      <c r="W1520" s="68"/>
      <c r="X1520" s="68"/>
      <c r="Y1520" s="68"/>
      <c r="Z1520" s="68"/>
      <c r="AA1520" s="68"/>
      <c r="AB1520" s="68"/>
      <c r="AC1520" s="68"/>
      <c r="AD1520" s="68"/>
      <c r="AE1520" s="68"/>
    </row>
    <row r="1521" spans="16:31" x14ac:dyDescent="0.2">
      <c r="P1521" s="68"/>
      <c r="Q1521" s="68"/>
      <c r="R1521" s="68"/>
      <c r="S1521" s="68"/>
      <c r="T1521" s="68"/>
      <c r="U1521" s="68"/>
      <c r="V1521" s="68"/>
      <c r="W1521" s="68"/>
      <c r="X1521" s="68"/>
      <c r="Y1521" s="68"/>
      <c r="Z1521" s="68"/>
      <c r="AA1521" s="68"/>
      <c r="AB1521" s="68"/>
      <c r="AC1521" s="68"/>
      <c r="AD1521" s="68"/>
      <c r="AE1521" s="68"/>
    </row>
    <row r="1522" spans="16:31" x14ac:dyDescent="0.2">
      <c r="P1522" s="68"/>
      <c r="Q1522" s="68"/>
      <c r="R1522" s="68"/>
      <c r="S1522" s="68"/>
      <c r="T1522" s="68"/>
      <c r="U1522" s="68"/>
      <c r="V1522" s="68"/>
      <c r="W1522" s="68"/>
      <c r="X1522" s="68"/>
      <c r="Y1522" s="68"/>
      <c r="Z1522" s="68"/>
      <c r="AA1522" s="68"/>
      <c r="AB1522" s="68"/>
      <c r="AC1522" s="68"/>
      <c r="AD1522" s="68"/>
      <c r="AE1522" s="68"/>
    </row>
    <row r="1523" spans="16:31" x14ac:dyDescent="0.2">
      <c r="P1523" s="68"/>
      <c r="Q1523" s="68"/>
      <c r="R1523" s="68"/>
      <c r="S1523" s="68"/>
      <c r="T1523" s="68"/>
      <c r="U1523" s="68"/>
      <c r="V1523" s="68"/>
      <c r="W1523" s="68"/>
      <c r="X1523" s="68"/>
      <c r="Y1523" s="68"/>
      <c r="Z1523" s="68"/>
      <c r="AA1523" s="68"/>
      <c r="AB1523" s="68"/>
      <c r="AC1523" s="68"/>
      <c r="AD1523" s="68"/>
      <c r="AE1523" s="68"/>
    </row>
    <row r="1524" spans="16:31" x14ac:dyDescent="0.2">
      <c r="P1524" s="68"/>
      <c r="Q1524" s="68"/>
      <c r="R1524" s="68"/>
      <c r="S1524" s="68"/>
      <c r="T1524" s="68"/>
      <c r="U1524" s="68"/>
      <c r="V1524" s="68"/>
      <c r="W1524" s="68"/>
      <c r="X1524" s="68"/>
      <c r="Y1524" s="68"/>
      <c r="Z1524" s="68"/>
      <c r="AA1524" s="68"/>
      <c r="AB1524" s="68"/>
      <c r="AC1524" s="68"/>
      <c r="AD1524" s="68"/>
      <c r="AE1524" s="68"/>
    </row>
    <row r="1525" spans="16:31" x14ac:dyDescent="0.2">
      <c r="P1525" s="68"/>
      <c r="Q1525" s="68"/>
      <c r="R1525" s="68"/>
      <c r="S1525" s="68"/>
      <c r="T1525" s="68"/>
      <c r="U1525" s="68"/>
      <c r="V1525" s="68"/>
      <c r="W1525" s="68"/>
      <c r="X1525" s="68"/>
      <c r="Y1525" s="68"/>
      <c r="Z1525" s="68"/>
      <c r="AA1525" s="68"/>
      <c r="AB1525" s="68"/>
      <c r="AC1525" s="68"/>
      <c r="AD1525" s="68"/>
      <c r="AE1525" s="68"/>
    </row>
    <row r="1526" spans="16:31" x14ac:dyDescent="0.2">
      <c r="P1526" s="68"/>
      <c r="Q1526" s="68"/>
      <c r="R1526" s="68"/>
      <c r="S1526" s="68"/>
      <c r="T1526" s="68"/>
      <c r="U1526" s="68"/>
      <c r="V1526" s="68"/>
      <c r="W1526" s="68"/>
      <c r="X1526" s="68"/>
      <c r="Y1526" s="68"/>
      <c r="Z1526" s="68"/>
      <c r="AA1526" s="68"/>
      <c r="AB1526" s="68"/>
      <c r="AC1526" s="68"/>
      <c r="AD1526" s="68"/>
      <c r="AE1526" s="68"/>
    </row>
    <row r="1527" spans="16:31" x14ac:dyDescent="0.2">
      <c r="P1527" s="68"/>
      <c r="Q1527" s="68"/>
      <c r="R1527" s="68"/>
      <c r="S1527" s="68"/>
      <c r="T1527" s="68"/>
      <c r="U1527" s="68"/>
      <c r="V1527" s="68"/>
      <c r="W1527" s="68"/>
      <c r="X1527" s="68"/>
      <c r="Y1527" s="68"/>
      <c r="Z1527" s="68"/>
      <c r="AA1527" s="68"/>
      <c r="AB1527" s="68"/>
      <c r="AC1527" s="68"/>
      <c r="AD1527" s="68"/>
      <c r="AE1527" s="68"/>
    </row>
    <row r="1528" spans="16:31" x14ac:dyDescent="0.2">
      <c r="P1528" s="68"/>
      <c r="Q1528" s="68"/>
      <c r="R1528" s="68"/>
      <c r="S1528" s="68"/>
      <c r="T1528" s="68"/>
      <c r="U1528" s="68"/>
      <c r="V1528" s="68"/>
      <c r="W1528" s="68"/>
      <c r="X1528" s="68"/>
      <c r="Y1528" s="68"/>
      <c r="Z1528" s="68"/>
      <c r="AA1528" s="68"/>
      <c r="AB1528" s="68"/>
      <c r="AC1528" s="68"/>
      <c r="AD1528" s="68"/>
      <c r="AE1528" s="68"/>
    </row>
    <row r="1529" spans="16:31" x14ac:dyDescent="0.2">
      <c r="P1529" s="68"/>
      <c r="Q1529" s="68"/>
      <c r="R1529" s="68"/>
      <c r="S1529" s="68"/>
      <c r="T1529" s="68"/>
      <c r="U1529" s="68"/>
      <c r="V1529" s="68"/>
      <c r="W1529" s="68"/>
      <c r="X1529" s="68"/>
      <c r="Y1529" s="68"/>
      <c r="Z1529" s="68"/>
      <c r="AA1529" s="68"/>
      <c r="AB1529" s="68"/>
      <c r="AC1529" s="68"/>
      <c r="AD1529" s="68"/>
      <c r="AE1529" s="68"/>
    </row>
    <row r="1530" spans="16:31" x14ac:dyDescent="0.2">
      <c r="P1530" s="68"/>
      <c r="Q1530" s="68"/>
      <c r="R1530" s="68"/>
      <c r="S1530" s="68"/>
      <c r="T1530" s="68"/>
      <c r="U1530" s="68"/>
      <c r="V1530" s="68"/>
      <c r="W1530" s="68"/>
      <c r="X1530" s="68"/>
      <c r="Y1530" s="68"/>
      <c r="Z1530" s="68"/>
      <c r="AA1530" s="68"/>
      <c r="AB1530" s="68"/>
      <c r="AC1530" s="68"/>
      <c r="AD1530" s="68"/>
      <c r="AE1530" s="68"/>
    </row>
    <row r="1531" spans="16:31" x14ac:dyDescent="0.2">
      <c r="P1531" s="68"/>
      <c r="Q1531" s="68"/>
      <c r="R1531" s="68"/>
      <c r="S1531" s="68"/>
      <c r="T1531" s="68"/>
      <c r="U1531" s="68"/>
      <c r="V1531" s="68"/>
      <c r="W1531" s="68"/>
      <c r="X1531" s="68"/>
      <c r="Y1531" s="68"/>
      <c r="Z1531" s="68"/>
      <c r="AA1531" s="68"/>
      <c r="AB1531" s="68"/>
      <c r="AC1531" s="68"/>
      <c r="AD1531" s="68"/>
      <c r="AE1531" s="68"/>
    </row>
    <row r="1532" spans="16:31" x14ac:dyDescent="0.2">
      <c r="P1532" s="68"/>
      <c r="Q1532" s="68"/>
      <c r="R1532" s="68"/>
      <c r="S1532" s="68"/>
      <c r="T1532" s="68"/>
      <c r="U1532" s="68"/>
      <c r="V1532" s="68"/>
      <c r="W1532" s="68"/>
      <c r="X1532" s="68"/>
      <c r="Y1532" s="68"/>
      <c r="Z1532" s="68"/>
      <c r="AA1532" s="68"/>
      <c r="AB1532" s="68"/>
      <c r="AC1532" s="68"/>
      <c r="AD1532" s="68"/>
      <c r="AE1532" s="68"/>
    </row>
    <row r="1533" spans="16:31" x14ac:dyDescent="0.2">
      <c r="P1533" s="68"/>
      <c r="Q1533" s="68"/>
      <c r="R1533" s="68"/>
      <c r="S1533" s="68"/>
      <c r="T1533" s="68"/>
      <c r="U1533" s="68"/>
      <c r="V1533" s="68"/>
      <c r="W1533" s="68"/>
      <c r="X1533" s="68"/>
      <c r="Y1533" s="68"/>
      <c r="Z1533" s="68"/>
      <c r="AA1533" s="68"/>
      <c r="AB1533" s="68"/>
      <c r="AC1533" s="68"/>
      <c r="AD1533" s="68"/>
      <c r="AE1533" s="68"/>
    </row>
    <row r="1534" spans="16:31" x14ac:dyDescent="0.2">
      <c r="P1534" s="68"/>
      <c r="Q1534" s="68"/>
      <c r="R1534" s="68"/>
      <c r="S1534" s="68"/>
      <c r="T1534" s="68"/>
      <c r="U1534" s="68"/>
      <c r="V1534" s="68"/>
      <c r="W1534" s="68"/>
      <c r="X1534" s="68"/>
      <c r="Y1534" s="68"/>
      <c r="Z1534" s="68"/>
      <c r="AA1534" s="68"/>
      <c r="AB1534" s="68"/>
      <c r="AC1534" s="68"/>
      <c r="AD1534" s="68"/>
      <c r="AE1534" s="68"/>
    </row>
    <row r="1535" spans="16:31" x14ac:dyDescent="0.2">
      <c r="P1535" s="68"/>
      <c r="Q1535" s="68"/>
      <c r="R1535" s="68"/>
      <c r="S1535" s="68"/>
      <c r="T1535" s="68"/>
      <c r="U1535" s="68"/>
      <c r="V1535" s="68"/>
      <c r="W1535" s="68"/>
      <c r="X1535" s="68"/>
      <c r="Y1535" s="68"/>
      <c r="Z1535" s="68"/>
      <c r="AA1535" s="68"/>
      <c r="AB1535" s="68"/>
      <c r="AC1535" s="68"/>
      <c r="AD1535" s="68"/>
      <c r="AE1535" s="68"/>
    </row>
    <row r="1536" spans="16:31" x14ac:dyDescent="0.2">
      <c r="P1536" s="68"/>
      <c r="Q1536" s="68"/>
      <c r="R1536" s="68"/>
      <c r="S1536" s="68"/>
      <c r="T1536" s="68"/>
      <c r="U1536" s="68"/>
      <c r="V1536" s="68"/>
      <c r="W1536" s="68"/>
      <c r="X1536" s="68"/>
      <c r="Y1536" s="68"/>
      <c r="Z1536" s="68"/>
      <c r="AA1536" s="68"/>
      <c r="AB1536" s="68"/>
      <c r="AC1536" s="68"/>
      <c r="AD1536" s="68"/>
      <c r="AE1536" s="68"/>
    </row>
    <row r="1537" spans="16:31" x14ac:dyDescent="0.2">
      <c r="P1537" s="68"/>
      <c r="Q1537" s="68"/>
      <c r="R1537" s="68"/>
      <c r="S1537" s="68"/>
      <c r="T1537" s="68"/>
      <c r="U1537" s="68"/>
      <c r="V1537" s="68"/>
      <c r="W1537" s="68"/>
      <c r="X1537" s="68"/>
      <c r="Y1537" s="68"/>
      <c r="Z1537" s="68"/>
      <c r="AA1537" s="68"/>
      <c r="AB1537" s="68"/>
      <c r="AC1537" s="68"/>
      <c r="AD1537" s="68"/>
      <c r="AE1537" s="68"/>
    </row>
    <row r="1538" spans="16:31" x14ac:dyDescent="0.2">
      <c r="P1538" s="68"/>
      <c r="Q1538" s="68"/>
      <c r="R1538" s="68"/>
      <c r="S1538" s="68"/>
      <c r="T1538" s="68"/>
      <c r="U1538" s="68"/>
      <c r="V1538" s="68"/>
      <c r="W1538" s="68"/>
      <c r="X1538" s="68"/>
      <c r="Y1538" s="68"/>
      <c r="Z1538" s="68"/>
      <c r="AA1538" s="68"/>
      <c r="AB1538" s="68"/>
      <c r="AC1538" s="68"/>
      <c r="AD1538" s="68"/>
      <c r="AE1538" s="68"/>
    </row>
    <row r="1539" spans="16:31" x14ac:dyDescent="0.2">
      <c r="P1539" s="68"/>
      <c r="Q1539" s="68"/>
      <c r="R1539" s="68"/>
      <c r="S1539" s="68"/>
      <c r="T1539" s="68"/>
      <c r="U1539" s="68"/>
      <c r="V1539" s="68"/>
      <c r="W1539" s="68"/>
      <c r="X1539" s="68"/>
      <c r="Y1539" s="68"/>
      <c r="Z1539" s="68"/>
      <c r="AA1539" s="68"/>
      <c r="AB1539" s="68"/>
      <c r="AC1539" s="68"/>
      <c r="AD1539" s="68"/>
      <c r="AE1539" s="68"/>
    </row>
    <row r="1540" spans="16:31" x14ac:dyDescent="0.2">
      <c r="P1540" s="68"/>
      <c r="Q1540" s="68"/>
      <c r="R1540" s="68"/>
      <c r="S1540" s="68"/>
      <c r="T1540" s="68"/>
      <c r="U1540" s="68"/>
      <c r="V1540" s="68"/>
      <c r="W1540" s="68"/>
      <c r="X1540" s="68"/>
      <c r="Y1540" s="68"/>
      <c r="Z1540" s="68"/>
      <c r="AA1540" s="68"/>
      <c r="AB1540" s="68"/>
      <c r="AC1540" s="68"/>
      <c r="AD1540" s="68"/>
      <c r="AE1540" s="68"/>
    </row>
    <row r="1541" spans="16:31" x14ac:dyDescent="0.2">
      <c r="P1541" s="68"/>
      <c r="Q1541" s="68"/>
      <c r="R1541" s="68"/>
      <c r="S1541" s="68"/>
      <c r="T1541" s="68"/>
      <c r="U1541" s="68"/>
      <c r="V1541" s="68"/>
      <c r="W1541" s="68"/>
      <c r="X1541" s="68"/>
      <c r="Y1541" s="68"/>
      <c r="Z1541" s="68"/>
      <c r="AA1541" s="68"/>
      <c r="AB1541" s="68"/>
      <c r="AC1541" s="68"/>
      <c r="AD1541" s="68"/>
      <c r="AE1541" s="68"/>
    </row>
    <row r="1542" spans="16:31" x14ac:dyDescent="0.2">
      <c r="P1542" s="68"/>
      <c r="Q1542" s="68"/>
      <c r="R1542" s="68"/>
      <c r="S1542" s="68"/>
      <c r="T1542" s="68"/>
      <c r="U1542" s="68"/>
      <c r="V1542" s="68"/>
      <c r="W1542" s="68"/>
      <c r="X1542" s="68"/>
      <c r="Y1542" s="68"/>
      <c r="Z1542" s="68"/>
      <c r="AA1542" s="68"/>
      <c r="AB1542" s="68"/>
      <c r="AC1542" s="68"/>
      <c r="AD1542" s="68"/>
      <c r="AE1542" s="68"/>
    </row>
    <row r="1543" spans="16:31" x14ac:dyDescent="0.2">
      <c r="P1543" s="68"/>
      <c r="Q1543" s="68"/>
      <c r="R1543" s="68"/>
      <c r="S1543" s="68"/>
      <c r="T1543" s="68"/>
      <c r="U1543" s="68"/>
      <c r="V1543" s="68"/>
      <c r="W1543" s="68"/>
      <c r="X1543" s="68"/>
      <c r="Y1543" s="68"/>
      <c r="Z1543" s="68"/>
      <c r="AA1543" s="68"/>
      <c r="AB1543" s="68"/>
      <c r="AC1543" s="68"/>
      <c r="AD1543" s="68"/>
      <c r="AE1543" s="68"/>
    </row>
    <row r="1544" spans="16:31" x14ac:dyDescent="0.2">
      <c r="P1544" s="68"/>
      <c r="Q1544" s="68"/>
      <c r="R1544" s="68"/>
      <c r="S1544" s="68"/>
      <c r="T1544" s="68"/>
      <c r="U1544" s="68"/>
      <c r="V1544" s="68"/>
      <c r="W1544" s="68"/>
      <c r="X1544" s="68"/>
      <c r="Y1544" s="68"/>
      <c r="Z1544" s="68"/>
      <c r="AA1544" s="68"/>
      <c r="AB1544" s="68"/>
      <c r="AC1544" s="68"/>
      <c r="AD1544" s="68"/>
      <c r="AE1544" s="68"/>
    </row>
    <row r="1545" spans="16:31" x14ac:dyDescent="0.2">
      <c r="P1545" s="68"/>
      <c r="Q1545" s="68"/>
      <c r="R1545" s="68"/>
      <c r="S1545" s="68"/>
      <c r="T1545" s="68"/>
      <c r="U1545" s="68"/>
      <c r="V1545" s="68"/>
      <c r="W1545" s="68"/>
      <c r="X1545" s="68"/>
      <c r="Y1545" s="68"/>
      <c r="Z1545" s="68"/>
      <c r="AA1545" s="68"/>
      <c r="AB1545" s="68"/>
      <c r="AC1545" s="68"/>
      <c r="AD1545" s="68"/>
      <c r="AE1545" s="68"/>
    </row>
    <row r="1546" spans="16:31" x14ac:dyDescent="0.2">
      <c r="P1546" s="68"/>
      <c r="Q1546" s="68"/>
      <c r="R1546" s="68"/>
      <c r="S1546" s="68"/>
      <c r="T1546" s="68"/>
      <c r="U1546" s="68"/>
      <c r="V1546" s="68"/>
      <c r="W1546" s="68"/>
      <c r="X1546" s="68"/>
      <c r="Y1546" s="68"/>
      <c r="Z1546" s="68"/>
      <c r="AA1546" s="68"/>
      <c r="AB1546" s="68"/>
      <c r="AC1546" s="68"/>
      <c r="AD1546" s="68"/>
      <c r="AE1546" s="68"/>
    </row>
    <row r="1547" spans="16:31" x14ac:dyDescent="0.2">
      <c r="P1547" s="68"/>
      <c r="Q1547" s="68"/>
      <c r="R1547" s="68"/>
      <c r="S1547" s="68"/>
      <c r="T1547" s="68"/>
      <c r="U1547" s="68"/>
      <c r="V1547" s="68"/>
      <c r="W1547" s="68"/>
      <c r="X1547" s="68"/>
      <c r="Y1547" s="68"/>
      <c r="Z1547" s="68"/>
      <c r="AA1547" s="68"/>
      <c r="AB1547" s="68"/>
      <c r="AC1547" s="68"/>
      <c r="AD1547" s="68"/>
      <c r="AE1547" s="68"/>
    </row>
    <row r="1548" spans="16:31" x14ac:dyDescent="0.2">
      <c r="P1548" s="68"/>
      <c r="Q1548" s="68"/>
      <c r="R1548" s="68"/>
      <c r="S1548" s="68"/>
      <c r="T1548" s="68"/>
      <c r="U1548" s="68"/>
      <c r="V1548" s="68"/>
      <c r="W1548" s="68"/>
      <c r="X1548" s="68"/>
      <c r="Y1548" s="68"/>
      <c r="Z1548" s="68"/>
      <c r="AA1548" s="68"/>
      <c r="AB1548" s="68"/>
      <c r="AC1548" s="68"/>
      <c r="AD1548" s="68"/>
      <c r="AE1548" s="68"/>
    </row>
    <row r="1549" spans="16:31" x14ac:dyDescent="0.2">
      <c r="P1549" s="68"/>
      <c r="Q1549" s="68"/>
      <c r="R1549" s="68"/>
      <c r="S1549" s="68"/>
      <c r="T1549" s="68"/>
      <c r="U1549" s="68"/>
      <c r="V1549" s="68"/>
      <c r="W1549" s="68"/>
      <c r="X1549" s="68"/>
      <c r="Y1549" s="68"/>
      <c r="Z1549" s="68"/>
      <c r="AA1549" s="68"/>
      <c r="AB1549" s="68"/>
      <c r="AC1549" s="68"/>
      <c r="AD1549" s="68"/>
      <c r="AE1549" s="68"/>
    </row>
    <row r="1550" spans="16:31" x14ac:dyDescent="0.2">
      <c r="P1550" s="68"/>
      <c r="Q1550" s="68"/>
      <c r="R1550" s="68"/>
      <c r="S1550" s="68"/>
      <c r="T1550" s="68"/>
      <c r="U1550" s="68"/>
      <c r="V1550" s="68"/>
      <c r="W1550" s="68"/>
      <c r="X1550" s="68"/>
      <c r="Y1550" s="68"/>
      <c r="Z1550" s="68"/>
      <c r="AA1550" s="68"/>
      <c r="AB1550" s="68"/>
      <c r="AC1550" s="68"/>
      <c r="AD1550" s="68"/>
      <c r="AE1550" s="68"/>
    </row>
    <row r="1551" spans="16:31" x14ac:dyDescent="0.2">
      <c r="P1551" s="68"/>
      <c r="Q1551" s="68"/>
      <c r="R1551" s="68"/>
      <c r="S1551" s="68"/>
      <c r="T1551" s="68"/>
      <c r="U1551" s="68"/>
      <c r="V1551" s="68"/>
      <c r="W1551" s="68"/>
      <c r="X1551" s="68"/>
      <c r="Y1551" s="68"/>
      <c r="Z1551" s="68"/>
      <c r="AA1551" s="68"/>
      <c r="AB1551" s="68"/>
      <c r="AC1551" s="68"/>
      <c r="AD1551" s="68"/>
      <c r="AE1551" s="68"/>
    </row>
    <row r="1552" spans="16:31" x14ac:dyDescent="0.2">
      <c r="P1552" s="68"/>
      <c r="Q1552" s="68"/>
      <c r="R1552" s="68"/>
      <c r="S1552" s="68"/>
      <c r="T1552" s="68"/>
      <c r="U1552" s="68"/>
      <c r="V1552" s="68"/>
      <c r="W1552" s="68"/>
      <c r="X1552" s="68"/>
      <c r="Y1552" s="68"/>
      <c r="Z1552" s="68"/>
      <c r="AA1552" s="68"/>
      <c r="AB1552" s="68"/>
      <c r="AC1552" s="68"/>
      <c r="AD1552" s="68"/>
      <c r="AE1552" s="68"/>
    </row>
    <row r="1553" spans="16:31" x14ac:dyDescent="0.2">
      <c r="P1553" s="68"/>
      <c r="Q1553" s="68"/>
      <c r="R1553" s="68"/>
      <c r="S1553" s="68"/>
      <c r="T1553" s="68"/>
      <c r="U1553" s="68"/>
      <c r="V1553" s="68"/>
      <c r="W1553" s="68"/>
      <c r="X1553" s="68"/>
      <c r="Y1553" s="68"/>
      <c r="Z1553" s="68"/>
      <c r="AA1553" s="68"/>
      <c r="AB1553" s="68"/>
      <c r="AC1553" s="68"/>
      <c r="AD1553" s="68"/>
      <c r="AE1553" s="68"/>
    </row>
    <row r="1554" spans="16:31" x14ac:dyDescent="0.2">
      <c r="P1554" s="68"/>
      <c r="Q1554" s="68"/>
      <c r="R1554" s="68"/>
      <c r="S1554" s="68"/>
      <c r="T1554" s="68"/>
      <c r="U1554" s="68"/>
      <c r="V1554" s="68"/>
      <c r="W1554" s="68"/>
      <c r="X1554" s="68"/>
      <c r="Y1554" s="68"/>
      <c r="Z1554" s="68"/>
      <c r="AA1554" s="68"/>
      <c r="AB1554" s="68"/>
      <c r="AC1554" s="68"/>
      <c r="AD1554" s="68"/>
      <c r="AE1554" s="68"/>
    </row>
    <row r="1555" spans="16:31" x14ac:dyDescent="0.2">
      <c r="P1555" s="68"/>
      <c r="Q1555" s="68"/>
      <c r="R1555" s="68"/>
      <c r="S1555" s="68"/>
      <c r="T1555" s="68"/>
      <c r="U1555" s="68"/>
      <c r="V1555" s="68"/>
      <c r="W1555" s="68"/>
      <c r="X1555" s="68"/>
      <c r="Y1555" s="68"/>
      <c r="Z1555" s="68"/>
      <c r="AA1555" s="68"/>
      <c r="AB1555" s="68"/>
      <c r="AC1555" s="68"/>
      <c r="AD1555" s="68"/>
      <c r="AE1555" s="68"/>
    </row>
    <row r="1556" spans="16:31" x14ac:dyDescent="0.2">
      <c r="P1556" s="68"/>
      <c r="Q1556" s="68"/>
      <c r="R1556" s="68"/>
      <c r="S1556" s="68"/>
      <c r="T1556" s="68"/>
      <c r="U1556" s="68"/>
      <c r="V1556" s="68"/>
      <c r="W1556" s="68"/>
      <c r="X1556" s="68"/>
      <c r="Y1556" s="68"/>
      <c r="Z1556" s="68"/>
      <c r="AA1556" s="68"/>
      <c r="AB1556" s="68"/>
      <c r="AC1556" s="68"/>
      <c r="AD1556" s="68"/>
      <c r="AE1556" s="68"/>
    </row>
    <row r="1557" spans="16:31" x14ac:dyDescent="0.2">
      <c r="P1557" s="68"/>
      <c r="Q1557" s="68"/>
      <c r="R1557" s="68"/>
      <c r="S1557" s="68"/>
      <c r="T1557" s="68"/>
      <c r="U1557" s="68"/>
      <c r="V1557" s="68"/>
      <c r="W1557" s="68"/>
      <c r="X1557" s="68"/>
      <c r="Y1557" s="68"/>
      <c r="Z1557" s="68"/>
      <c r="AA1557" s="68"/>
      <c r="AB1557" s="68"/>
      <c r="AC1557" s="68"/>
      <c r="AD1557" s="68"/>
      <c r="AE1557" s="68"/>
    </row>
    <row r="1558" spans="16:31" x14ac:dyDescent="0.2">
      <c r="P1558" s="68"/>
      <c r="Q1558" s="68"/>
      <c r="R1558" s="68"/>
      <c r="S1558" s="68"/>
      <c r="T1558" s="68"/>
      <c r="U1558" s="68"/>
      <c r="V1558" s="68"/>
      <c r="W1558" s="68"/>
      <c r="X1558" s="68"/>
      <c r="Y1558" s="68"/>
      <c r="Z1558" s="68"/>
      <c r="AA1558" s="68"/>
      <c r="AB1558" s="68"/>
      <c r="AC1558" s="68"/>
      <c r="AD1558" s="68"/>
      <c r="AE1558" s="68"/>
    </row>
    <row r="1559" spans="16:31" x14ac:dyDescent="0.2">
      <c r="P1559" s="68"/>
      <c r="Q1559" s="68"/>
      <c r="R1559" s="68"/>
      <c r="S1559" s="68"/>
      <c r="T1559" s="68"/>
      <c r="U1559" s="68"/>
      <c r="V1559" s="68"/>
      <c r="W1559" s="68"/>
      <c r="X1559" s="68"/>
      <c r="Y1559" s="68"/>
      <c r="Z1559" s="68"/>
      <c r="AA1559" s="68"/>
      <c r="AB1559" s="68"/>
      <c r="AC1559" s="68"/>
      <c r="AD1559" s="68"/>
      <c r="AE1559" s="68"/>
    </row>
    <row r="1560" spans="16:31" x14ac:dyDescent="0.2">
      <c r="P1560" s="68"/>
      <c r="Q1560" s="68"/>
      <c r="R1560" s="68"/>
      <c r="S1560" s="68"/>
      <c r="T1560" s="68"/>
      <c r="U1560" s="68"/>
      <c r="V1560" s="68"/>
      <c r="W1560" s="68"/>
      <c r="X1560" s="68"/>
      <c r="Y1560" s="68"/>
      <c r="Z1560" s="68"/>
      <c r="AA1560" s="68"/>
      <c r="AB1560" s="68"/>
      <c r="AC1560" s="68"/>
      <c r="AD1560" s="68"/>
      <c r="AE1560" s="68"/>
    </row>
    <row r="1561" spans="16:31" x14ac:dyDescent="0.2">
      <c r="P1561" s="68"/>
      <c r="Q1561" s="68"/>
      <c r="R1561" s="68"/>
      <c r="S1561" s="68"/>
      <c r="T1561" s="68"/>
      <c r="U1561" s="68"/>
      <c r="V1561" s="68"/>
      <c r="W1561" s="68"/>
      <c r="X1561" s="68"/>
      <c r="Y1561" s="68"/>
      <c r="Z1561" s="68"/>
      <c r="AA1561" s="68"/>
      <c r="AB1561" s="68"/>
      <c r="AC1561" s="68"/>
      <c r="AD1561" s="68"/>
      <c r="AE1561" s="68"/>
    </row>
    <row r="1562" spans="16:31" x14ac:dyDescent="0.2">
      <c r="P1562" s="68"/>
      <c r="Q1562" s="68"/>
      <c r="R1562" s="68"/>
      <c r="S1562" s="68"/>
      <c r="T1562" s="68"/>
      <c r="U1562" s="68"/>
      <c r="V1562" s="68"/>
      <c r="W1562" s="68"/>
      <c r="X1562" s="68"/>
      <c r="Y1562" s="68"/>
      <c r="Z1562" s="68"/>
      <c r="AA1562" s="68"/>
      <c r="AB1562" s="68"/>
      <c r="AC1562" s="68"/>
      <c r="AD1562" s="68"/>
      <c r="AE1562" s="68"/>
    </row>
    <row r="1563" spans="16:31" x14ac:dyDescent="0.2">
      <c r="P1563" s="68"/>
      <c r="Q1563" s="68"/>
      <c r="R1563" s="68"/>
      <c r="S1563" s="68"/>
      <c r="T1563" s="68"/>
      <c r="U1563" s="68"/>
      <c r="V1563" s="68"/>
      <c r="W1563" s="68"/>
      <c r="X1563" s="68"/>
      <c r="Y1563" s="68"/>
      <c r="Z1563" s="68"/>
      <c r="AA1563" s="68"/>
      <c r="AB1563" s="68"/>
      <c r="AC1563" s="68"/>
      <c r="AD1563" s="68"/>
      <c r="AE1563" s="68"/>
    </row>
    <row r="1564" spans="16:31" x14ac:dyDescent="0.2">
      <c r="P1564" s="68"/>
      <c r="Q1564" s="68"/>
      <c r="R1564" s="68"/>
      <c r="S1564" s="68"/>
      <c r="T1564" s="68"/>
      <c r="U1564" s="68"/>
      <c r="V1564" s="68"/>
      <c r="W1564" s="68"/>
      <c r="X1564" s="68"/>
      <c r="Y1564" s="68"/>
      <c r="Z1564" s="68"/>
      <c r="AA1564" s="68"/>
      <c r="AB1564" s="68"/>
      <c r="AC1564" s="68"/>
      <c r="AD1564" s="68"/>
      <c r="AE1564" s="68"/>
    </row>
    <row r="1565" spans="16:31" x14ac:dyDescent="0.2">
      <c r="P1565" s="68"/>
      <c r="Q1565" s="68"/>
      <c r="R1565" s="68"/>
      <c r="S1565" s="68"/>
      <c r="T1565" s="68"/>
      <c r="U1565" s="68"/>
      <c r="V1565" s="68"/>
      <c r="W1565" s="68"/>
      <c r="X1565" s="68"/>
      <c r="Y1565" s="68"/>
      <c r="Z1565" s="68"/>
      <c r="AA1565" s="68"/>
      <c r="AB1565" s="68"/>
      <c r="AC1565" s="68"/>
      <c r="AD1565" s="68"/>
      <c r="AE1565" s="68"/>
    </row>
    <row r="1566" spans="16:31" x14ac:dyDescent="0.2">
      <c r="P1566" s="68"/>
      <c r="Q1566" s="68"/>
      <c r="R1566" s="68"/>
      <c r="S1566" s="68"/>
      <c r="T1566" s="68"/>
      <c r="U1566" s="68"/>
      <c r="V1566" s="68"/>
      <c r="W1566" s="68"/>
      <c r="X1566" s="68"/>
      <c r="Y1566" s="68"/>
      <c r="Z1566" s="68"/>
      <c r="AA1566" s="68"/>
      <c r="AB1566" s="68"/>
      <c r="AC1566" s="68"/>
      <c r="AD1566" s="68"/>
      <c r="AE1566" s="68"/>
    </row>
    <row r="1567" spans="16:31" x14ac:dyDescent="0.2">
      <c r="P1567" s="68"/>
      <c r="Q1567" s="68"/>
      <c r="R1567" s="68"/>
      <c r="S1567" s="68"/>
      <c r="T1567" s="68"/>
      <c r="U1567" s="68"/>
      <c r="V1567" s="68"/>
      <c r="W1567" s="68"/>
      <c r="X1567" s="68"/>
      <c r="Y1567" s="68"/>
      <c r="Z1567" s="68"/>
      <c r="AA1567" s="68"/>
      <c r="AB1567" s="68"/>
      <c r="AC1567" s="68"/>
      <c r="AD1567" s="68"/>
      <c r="AE1567" s="68"/>
    </row>
    <row r="1568" spans="16:31" x14ac:dyDescent="0.2">
      <c r="P1568" s="68"/>
      <c r="Q1568" s="68"/>
      <c r="R1568" s="68"/>
      <c r="S1568" s="68"/>
      <c r="T1568" s="68"/>
      <c r="U1568" s="68"/>
      <c r="V1568" s="68"/>
      <c r="W1568" s="68"/>
      <c r="X1568" s="68"/>
      <c r="Y1568" s="68"/>
      <c r="Z1568" s="68"/>
      <c r="AA1568" s="68"/>
      <c r="AB1568" s="68"/>
      <c r="AC1568" s="68"/>
      <c r="AD1568" s="68"/>
      <c r="AE1568" s="68"/>
    </row>
    <row r="1569" spans="16:31" x14ac:dyDescent="0.2">
      <c r="P1569" s="68"/>
      <c r="Q1569" s="68"/>
      <c r="R1569" s="68"/>
      <c r="S1569" s="68"/>
      <c r="T1569" s="68"/>
      <c r="U1569" s="68"/>
      <c r="V1569" s="68"/>
      <c r="W1569" s="68"/>
      <c r="X1569" s="68"/>
      <c r="Y1569" s="68"/>
      <c r="Z1569" s="68"/>
      <c r="AA1569" s="68"/>
      <c r="AB1569" s="68"/>
      <c r="AC1569" s="68"/>
      <c r="AD1569" s="68"/>
      <c r="AE1569" s="68"/>
    </row>
    <row r="1570" spans="16:31" x14ac:dyDescent="0.2">
      <c r="P1570" s="68"/>
      <c r="Q1570" s="68"/>
      <c r="R1570" s="68"/>
      <c r="S1570" s="68"/>
      <c r="T1570" s="68"/>
      <c r="U1570" s="68"/>
      <c r="V1570" s="68"/>
      <c r="W1570" s="68"/>
      <c r="X1570" s="68"/>
      <c r="Y1570" s="68"/>
      <c r="Z1570" s="68"/>
      <c r="AA1570" s="68"/>
      <c r="AB1570" s="68"/>
      <c r="AC1570" s="68"/>
      <c r="AD1570" s="68"/>
      <c r="AE1570" s="68"/>
    </row>
    <row r="1571" spans="16:31" x14ac:dyDescent="0.2">
      <c r="P1571" s="68"/>
      <c r="Q1571" s="68"/>
      <c r="R1571" s="68"/>
      <c r="S1571" s="68"/>
      <c r="T1571" s="68"/>
      <c r="U1571" s="68"/>
      <c r="V1571" s="68"/>
      <c r="W1571" s="68"/>
      <c r="X1571" s="68"/>
      <c r="Y1571" s="68"/>
      <c r="Z1571" s="68"/>
      <c r="AA1571" s="68"/>
      <c r="AB1571" s="68"/>
      <c r="AC1571" s="68"/>
      <c r="AD1571" s="68"/>
      <c r="AE1571" s="68"/>
    </row>
    <row r="1572" spans="16:31" x14ac:dyDescent="0.2">
      <c r="P1572" s="68"/>
      <c r="Q1572" s="68"/>
      <c r="R1572" s="68"/>
      <c r="S1572" s="68"/>
      <c r="T1572" s="68"/>
      <c r="U1572" s="68"/>
      <c r="V1572" s="68"/>
      <c r="W1572" s="68"/>
      <c r="X1572" s="68"/>
      <c r="Y1572" s="68"/>
      <c r="Z1572" s="68"/>
      <c r="AA1572" s="68"/>
      <c r="AB1572" s="68"/>
      <c r="AC1572" s="68"/>
      <c r="AD1572" s="68"/>
      <c r="AE1572" s="68"/>
    </row>
    <row r="1573" spans="16:31" x14ac:dyDescent="0.2">
      <c r="P1573" s="68"/>
      <c r="Q1573" s="68"/>
      <c r="R1573" s="68"/>
      <c r="S1573" s="68"/>
      <c r="T1573" s="68"/>
      <c r="U1573" s="68"/>
      <c r="V1573" s="68"/>
      <c r="W1573" s="68"/>
      <c r="X1573" s="68"/>
      <c r="Y1573" s="68"/>
      <c r="Z1573" s="68"/>
      <c r="AA1573" s="68"/>
      <c r="AB1573" s="68"/>
      <c r="AC1573" s="68"/>
      <c r="AD1573" s="68"/>
      <c r="AE1573" s="68"/>
    </row>
    <row r="1574" spans="16:31" x14ac:dyDescent="0.2">
      <c r="P1574" s="68"/>
      <c r="Q1574" s="68"/>
      <c r="R1574" s="68"/>
      <c r="S1574" s="68"/>
      <c r="T1574" s="68"/>
      <c r="U1574" s="68"/>
      <c r="V1574" s="68"/>
      <c r="W1574" s="68"/>
      <c r="X1574" s="68"/>
      <c r="Y1574" s="68"/>
      <c r="Z1574" s="68"/>
      <c r="AA1574" s="68"/>
      <c r="AB1574" s="68"/>
      <c r="AC1574" s="68"/>
      <c r="AD1574" s="68"/>
      <c r="AE1574" s="68"/>
    </row>
    <row r="1575" spans="16:31" x14ac:dyDescent="0.2">
      <c r="P1575" s="68"/>
      <c r="Q1575" s="68"/>
      <c r="R1575" s="68"/>
      <c r="S1575" s="68"/>
      <c r="T1575" s="68"/>
      <c r="U1575" s="68"/>
      <c r="V1575" s="68"/>
      <c r="W1575" s="68"/>
      <c r="X1575" s="68"/>
      <c r="Y1575" s="68"/>
      <c r="Z1575" s="68"/>
      <c r="AA1575" s="68"/>
      <c r="AB1575" s="68"/>
      <c r="AC1575" s="68"/>
      <c r="AD1575" s="68"/>
      <c r="AE1575" s="68"/>
    </row>
    <row r="1576" spans="16:31" x14ac:dyDescent="0.2">
      <c r="P1576" s="68"/>
      <c r="Q1576" s="68"/>
      <c r="R1576" s="68"/>
      <c r="S1576" s="68"/>
      <c r="T1576" s="68"/>
      <c r="U1576" s="68"/>
      <c r="V1576" s="68"/>
      <c r="W1576" s="68"/>
      <c r="X1576" s="68"/>
      <c r="Y1576" s="68"/>
      <c r="Z1576" s="68"/>
      <c r="AA1576" s="68"/>
      <c r="AB1576" s="68"/>
      <c r="AC1576" s="68"/>
      <c r="AD1576" s="68"/>
      <c r="AE1576" s="68"/>
    </row>
    <row r="1577" spans="16:31" x14ac:dyDescent="0.2">
      <c r="P1577" s="68"/>
      <c r="Q1577" s="68"/>
      <c r="R1577" s="68"/>
      <c r="S1577" s="68"/>
      <c r="T1577" s="68"/>
      <c r="U1577" s="68"/>
      <c r="V1577" s="68"/>
      <c r="W1577" s="68"/>
      <c r="X1577" s="68"/>
      <c r="Y1577" s="68"/>
      <c r="Z1577" s="68"/>
      <c r="AA1577" s="68"/>
      <c r="AB1577" s="68"/>
      <c r="AC1577" s="68"/>
      <c r="AD1577" s="68"/>
      <c r="AE1577" s="68"/>
    </row>
    <row r="1578" spans="16:31" x14ac:dyDescent="0.2">
      <c r="P1578" s="68"/>
      <c r="Q1578" s="68"/>
      <c r="R1578" s="68"/>
      <c r="S1578" s="68"/>
      <c r="T1578" s="68"/>
      <c r="U1578" s="68"/>
      <c r="V1578" s="68"/>
      <c r="W1578" s="68"/>
      <c r="X1578" s="68"/>
      <c r="Y1578" s="68"/>
      <c r="Z1578" s="68"/>
      <c r="AA1578" s="68"/>
      <c r="AB1578" s="68"/>
      <c r="AC1578" s="68"/>
      <c r="AD1578" s="68"/>
      <c r="AE1578" s="68"/>
    </row>
    <row r="1579" spans="16:31" x14ac:dyDescent="0.2">
      <c r="P1579" s="68"/>
      <c r="Q1579" s="68"/>
      <c r="R1579" s="68"/>
      <c r="S1579" s="68"/>
      <c r="T1579" s="68"/>
      <c r="U1579" s="68"/>
      <c r="V1579" s="68"/>
      <c r="W1579" s="68"/>
      <c r="X1579" s="68"/>
      <c r="Y1579" s="68"/>
      <c r="Z1579" s="68"/>
      <c r="AA1579" s="68"/>
      <c r="AB1579" s="68"/>
      <c r="AC1579" s="68"/>
      <c r="AD1579" s="68"/>
      <c r="AE1579" s="68"/>
    </row>
    <row r="1580" spans="16:31" x14ac:dyDescent="0.2">
      <c r="P1580" s="68"/>
      <c r="Q1580" s="68"/>
      <c r="R1580" s="68"/>
      <c r="S1580" s="68"/>
      <c r="T1580" s="68"/>
      <c r="U1580" s="68"/>
      <c r="V1580" s="68"/>
      <c r="W1580" s="68"/>
      <c r="X1580" s="68"/>
      <c r="Y1580" s="68"/>
      <c r="Z1580" s="68"/>
      <c r="AA1580" s="68"/>
      <c r="AB1580" s="68"/>
      <c r="AC1580" s="68"/>
      <c r="AD1580" s="68"/>
      <c r="AE1580" s="68"/>
    </row>
    <row r="1581" spans="16:31" x14ac:dyDescent="0.2">
      <c r="P1581" s="68"/>
      <c r="Q1581" s="68"/>
      <c r="R1581" s="68"/>
      <c r="S1581" s="68"/>
      <c r="T1581" s="68"/>
      <c r="U1581" s="68"/>
      <c r="V1581" s="68"/>
      <c r="W1581" s="68"/>
      <c r="X1581" s="68"/>
      <c r="Y1581" s="68"/>
      <c r="Z1581" s="68"/>
      <c r="AA1581" s="68"/>
      <c r="AB1581" s="68"/>
      <c r="AC1581" s="68"/>
      <c r="AD1581" s="68"/>
      <c r="AE1581" s="68"/>
    </row>
    <row r="1582" spans="16:31" x14ac:dyDescent="0.2">
      <c r="P1582" s="68"/>
      <c r="Q1582" s="68"/>
      <c r="R1582" s="68"/>
      <c r="S1582" s="68"/>
      <c r="T1582" s="68"/>
      <c r="U1582" s="68"/>
      <c r="V1582" s="68"/>
      <c r="W1582" s="68"/>
      <c r="X1582" s="68"/>
      <c r="Y1582" s="68"/>
      <c r="Z1582" s="68"/>
      <c r="AA1582" s="68"/>
      <c r="AB1582" s="68"/>
      <c r="AC1582" s="68"/>
      <c r="AD1582" s="68"/>
      <c r="AE1582" s="68"/>
    </row>
    <row r="1583" spans="16:31" x14ac:dyDescent="0.2">
      <c r="P1583" s="68"/>
      <c r="Q1583" s="68"/>
      <c r="R1583" s="68"/>
      <c r="S1583" s="68"/>
      <c r="T1583" s="68"/>
      <c r="U1583" s="68"/>
      <c r="V1583" s="68"/>
      <c r="W1583" s="68"/>
      <c r="X1583" s="68"/>
      <c r="Y1583" s="68"/>
      <c r="Z1583" s="68"/>
      <c r="AA1583" s="68"/>
      <c r="AB1583" s="68"/>
      <c r="AC1583" s="68"/>
      <c r="AD1583" s="68"/>
      <c r="AE1583" s="68"/>
    </row>
    <row r="1584" spans="16:31" x14ac:dyDescent="0.2">
      <c r="P1584" s="68"/>
      <c r="Q1584" s="68"/>
      <c r="R1584" s="68"/>
      <c r="S1584" s="68"/>
      <c r="T1584" s="68"/>
      <c r="U1584" s="68"/>
      <c r="V1584" s="68"/>
      <c r="W1584" s="68"/>
      <c r="X1584" s="68"/>
      <c r="Y1584" s="68"/>
      <c r="Z1584" s="68"/>
      <c r="AA1584" s="68"/>
      <c r="AB1584" s="68"/>
      <c r="AC1584" s="68"/>
      <c r="AD1584" s="68"/>
      <c r="AE1584" s="68"/>
    </row>
    <row r="1585" spans="16:31" x14ac:dyDescent="0.2">
      <c r="P1585" s="68"/>
      <c r="Q1585" s="68"/>
      <c r="R1585" s="68"/>
      <c r="S1585" s="68"/>
      <c r="T1585" s="68"/>
      <c r="U1585" s="68"/>
      <c r="V1585" s="68"/>
      <c r="W1585" s="68"/>
      <c r="X1585" s="68"/>
      <c r="Y1585" s="68"/>
      <c r="Z1585" s="68"/>
      <c r="AA1585" s="68"/>
      <c r="AB1585" s="68"/>
      <c r="AC1585" s="68"/>
      <c r="AD1585" s="68"/>
      <c r="AE1585" s="68"/>
    </row>
    <row r="1586" spans="16:31" x14ac:dyDescent="0.2">
      <c r="P1586" s="68"/>
      <c r="Q1586" s="68"/>
      <c r="R1586" s="68"/>
      <c r="S1586" s="68"/>
      <c r="T1586" s="68"/>
      <c r="U1586" s="68"/>
      <c r="V1586" s="68"/>
      <c r="W1586" s="68"/>
      <c r="X1586" s="68"/>
      <c r="Y1586" s="68"/>
      <c r="Z1586" s="68"/>
      <c r="AA1586" s="68"/>
      <c r="AB1586" s="68"/>
      <c r="AC1586" s="68"/>
      <c r="AD1586" s="68"/>
      <c r="AE1586" s="68"/>
    </row>
    <row r="1587" spans="16:31" x14ac:dyDescent="0.2">
      <c r="P1587" s="68"/>
      <c r="Q1587" s="68"/>
      <c r="R1587" s="68"/>
      <c r="S1587" s="68"/>
      <c r="T1587" s="68"/>
      <c r="U1587" s="68"/>
      <c r="V1587" s="68"/>
      <c r="W1587" s="68"/>
      <c r="X1587" s="68"/>
      <c r="Y1587" s="68"/>
      <c r="Z1587" s="68"/>
      <c r="AA1587" s="68"/>
      <c r="AB1587" s="68"/>
      <c r="AC1587" s="68"/>
      <c r="AD1587" s="68"/>
      <c r="AE1587" s="68"/>
    </row>
    <row r="1588" spans="16:31" x14ac:dyDescent="0.2">
      <c r="P1588" s="68"/>
      <c r="Q1588" s="68"/>
      <c r="R1588" s="68"/>
      <c r="S1588" s="68"/>
      <c r="T1588" s="68"/>
      <c r="U1588" s="68"/>
      <c r="V1588" s="68"/>
      <c r="W1588" s="68"/>
      <c r="X1588" s="68"/>
      <c r="Y1588" s="68"/>
      <c r="Z1588" s="68"/>
      <c r="AA1588" s="68"/>
      <c r="AB1588" s="68"/>
      <c r="AC1588" s="68"/>
      <c r="AD1588" s="68"/>
      <c r="AE1588" s="68"/>
    </row>
    <row r="1589" spans="16:31" x14ac:dyDescent="0.2">
      <c r="P1589" s="68"/>
      <c r="Q1589" s="68"/>
      <c r="R1589" s="68"/>
      <c r="S1589" s="68"/>
      <c r="T1589" s="68"/>
      <c r="U1589" s="68"/>
      <c r="V1589" s="68"/>
      <c r="W1589" s="68"/>
      <c r="X1589" s="68"/>
      <c r="Y1589" s="68"/>
      <c r="Z1589" s="68"/>
      <c r="AA1589" s="68"/>
      <c r="AB1589" s="68"/>
      <c r="AC1589" s="68"/>
      <c r="AD1589" s="68"/>
      <c r="AE1589" s="68"/>
    </row>
    <row r="1590" spans="16:31" x14ac:dyDescent="0.2">
      <c r="P1590" s="68"/>
      <c r="Q1590" s="68"/>
      <c r="R1590" s="68"/>
      <c r="S1590" s="68"/>
      <c r="T1590" s="68"/>
      <c r="U1590" s="68"/>
      <c r="V1590" s="68"/>
      <c r="W1590" s="68"/>
      <c r="X1590" s="68"/>
      <c r="Y1590" s="68"/>
      <c r="Z1590" s="68"/>
      <c r="AA1590" s="68"/>
      <c r="AB1590" s="68"/>
      <c r="AC1590" s="68"/>
      <c r="AD1590" s="68"/>
      <c r="AE1590" s="68"/>
    </row>
    <row r="1591" spans="16:31" x14ac:dyDescent="0.2">
      <c r="P1591" s="68"/>
      <c r="Q1591" s="68"/>
      <c r="R1591" s="68"/>
      <c r="S1591" s="68"/>
      <c r="T1591" s="68"/>
      <c r="U1591" s="68"/>
      <c r="V1591" s="68"/>
      <c r="W1591" s="68"/>
      <c r="X1591" s="68"/>
      <c r="Y1591" s="68"/>
      <c r="Z1591" s="68"/>
      <c r="AA1591" s="68"/>
      <c r="AB1591" s="68"/>
      <c r="AC1591" s="68"/>
      <c r="AD1591" s="68"/>
      <c r="AE1591" s="68"/>
    </row>
    <row r="1592" spans="16:31" x14ac:dyDescent="0.2">
      <c r="P1592" s="68"/>
      <c r="Q1592" s="68"/>
      <c r="R1592" s="68"/>
      <c r="S1592" s="68"/>
      <c r="T1592" s="68"/>
      <c r="U1592" s="68"/>
      <c r="V1592" s="68"/>
      <c r="W1592" s="68"/>
      <c r="X1592" s="68"/>
      <c r="Y1592" s="68"/>
      <c r="Z1592" s="68"/>
      <c r="AA1592" s="68"/>
      <c r="AB1592" s="68"/>
      <c r="AC1592" s="68"/>
      <c r="AD1592" s="68"/>
      <c r="AE1592" s="68"/>
    </row>
    <row r="1593" spans="16:31" x14ac:dyDescent="0.2">
      <c r="P1593" s="68"/>
      <c r="Q1593" s="68"/>
      <c r="R1593" s="68"/>
      <c r="S1593" s="68"/>
      <c r="T1593" s="68"/>
      <c r="U1593" s="68"/>
      <c r="V1593" s="68"/>
      <c r="W1593" s="68"/>
      <c r="X1593" s="68"/>
      <c r="Y1593" s="68"/>
      <c r="Z1593" s="68"/>
      <c r="AA1593" s="68"/>
      <c r="AB1593" s="68"/>
      <c r="AC1593" s="68"/>
      <c r="AD1593" s="68"/>
      <c r="AE1593" s="68"/>
    </row>
    <row r="1594" spans="16:31" x14ac:dyDescent="0.2">
      <c r="P1594" s="68"/>
      <c r="Q1594" s="68"/>
      <c r="R1594" s="68"/>
      <c r="S1594" s="68"/>
      <c r="T1594" s="68"/>
      <c r="U1594" s="68"/>
      <c r="V1594" s="68"/>
      <c r="W1594" s="68"/>
      <c r="X1594" s="68"/>
      <c r="Y1594" s="68"/>
      <c r="Z1594" s="68"/>
      <c r="AA1594" s="68"/>
      <c r="AB1594" s="68"/>
      <c r="AC1594" s="68"/>
      <c r="AD1594" s="68"/>
      <c r="AE1594" s="68"/>
    </row>
    <row r="1595" spans="16:31" x14ac:dyDescent="0.2">
      <c r="P1595" s="68"/>
      <c r="Q1595" s="68"/>
      <c r="R1595" s="68"/>
      <c r="S1595" s="68"/>
      <c r="T1595" s="68"/>
      <c r="U1595" s="68"/>
      <c r="V1595" s="68"/>
      <c r="W1595" s="68"/>
      <c r="X1595" s="68"/>
      <c r="Y1595" s="68"/>
      <c r="Z1595" s="68"/>
      <c r="AA1595" s="68"/>
      <c r="AB1595" s="68"/>
      <c r="AC1595" s="68"/>
      <c r="AD1595" s="68"/>
      <c r="AE1595" s="68"/>
    </row>
    <row r="1596" spans="16:31" x14ac:dyDescent="0.2">
      <c r="P1596" s="68"/>
      <c r="Q1596" s="68"/>
      <c r="R1596" s="68"/>
      <c r="S1596" s="68"/>
      <c r="T1596" s="68"/>
      <c r="U1596" s="68"/>
      <c r="V1596" s="68"/>
      <c r="W1596" s="68"/>
      <c r="X1596" s="68"/>
      <c r="Y1596" s="68"/>
      <c r="Z1596" s="68"/>
      <c r="AA1596" s="68"/>
      <c r="AB1596" s="68"/>
      <c r="AC1596" s="68"/>
      <c r="AD1596" s="68"/>
      <c r="AE1596" s="68"/>
    </row>
    <row r="1597" spans="16:31" x14ac:dyDescent="0.2">
      <c r="P1597" s="68"/>
      <c r="Q1597" s="68"/>
      <c r="R1597" s="68"/>
      <c r="S1597" s="68"/>
      <c r="T1597" s="68"/>
      <c r="U1597" s="68"/>
      <c r="V1597" s="68"/>
      <c r="W1597" s="68"/>
      <c r="X1597" s="68"/>
      <c r="Y1597" s="68"/>
      <c r="Z1597" s="68"/>
      <c r="AA1597" s="68"/>
      <c r="AB1597" s="68"/>
      <c r="AC1597" s="68"/>
      <c r="AD1597" s="68"/>
      <c r="AE1597" s="68"/>
    </row>
    <row r="1598" spans="16:31" x14ac:dyDescent="0.2">
      <c r="P1598" s="68"/>
      <c r="Q1598" s="68"/>
      <c r="R1598" s="68"/>
      <c r="S1598" s="68"/>
      <c r="T1598" s="68"/>
      <c r="U1598" s="68"/>
      <c r="V1598" s="68"/>
      <c r="W1598" s="68"/>
      <c r="X1598" s="68"/>
      <c r="Y1598" s="68"/>
      <c r="Z1598" s="68"/>
      <c r="AA1598" s="68"/>
      <c r="AB1598" s="68"/>
      <c r="AC1598" s="68"/>
      <c r="AD1598" s="68"/>
      <c r="AE1598" s="68"/>
    </row>
    <row r="1599" spans="16:31" x14ac:dyDescent="0.2">
      <c r="P1599" s="68"/>
      <c r="Q1599" s="68"/>
      <c r="R1599" s="68"/>
      <c r="S1599" s="68"/>
      <c r="T1599" s="68"/>
      <c r="U1599" s="68"/>
      <c r="V1599" s="68"/>
      <c r="W1599" s="68"/>
      <c r="X1599" s="68"/>
      <c r="Y1599" s="68"/>
      <c r="Z1599" s="68"/>
      <c r="AA1599" s="68"/>
      <c r="AB1599" s="68"/>
      <c r="AC1599" s="68"/>
      <c r="AD1599" s="68"/>
      <c r="AE1599" s="68"/>
    </row>
    <row r="1600" spans="16:31" x14ac:dyDescent="0.2">
      <c r="P1600" s="68"/>
      <c r="Q1600" s="68"/>
      <c r="R1600" s="68"/>
      <c r="S1600" s="68"/>
      <c r="T1600" s="68"/>
      <c r="U1600" s="68"/>
      <c r="V1600" s="68"/>
      <c r="W1600" s="68"/>
      <c r="X1600" s="68"/>
      <c r="Y1600" s="68"/>
      <c r="Z1600" s="68"/>
      <c r="AA1600" s="68"/>
      <c r="AB1600" s="68"/>
      <c r="AC1600" s="68"/>
      <c r="AD1600" s="68"/>
      <c r="AE1600" s="68"/>
    </row>
    <row r="1601" spans="16:31" x14ac:dyDescent="0.2">
      <c r="P1601" s="68"/>
      <c r="Q1601" s="68"/>
      <c r="R1601" s="68"/>
      <c r="S1601" s="68"/>
      <c r="T1601" s="68"/>
      <c r="U1601" s="68"/>
      <c r="V1601" s="68"/>
      <c r="W1601" s="68"/>
      <c r="X1601" s="68"/>
      <c r="Y1601" s="68"/>
      <c r="Z1601" s="68"/>
      <c r="AA1601" s="68"/>
      <c r="AB1601" s="68"/>
      <c r="AC1601" s="68"/>
      <c r="AD1601" s="68"/>
      <c r="AE1601" s="68"/>
    </row>
    <row r="1602" spans="16:31" x14ac:dyDescent="0.2">
      <c r="P1602" s="68"/>
      <c r="Q1602" s="68"/>
      <c r="R1602" s="68"/>
      <c r="S1602" s="68"/>
      <c r="T1602" s="68"/>
      <c r="U1602" s="68"/>
      <c r="V1602" s="68"/>
      <c r="W1602" s="68"/>
      <c r="X1602" s="68"/>
      <c r="Y1602" s="68"/>
      <c r="Z1602" s="68"/>
      <c r="AA1602" s="68"/>
      <c r="AB1602" s="68"/>
      <c r="AC1602" s="68"/>
      <c r="AD1602" s="68"/>
      <c r="AE1602" s="68"/>
    </row>
    <row r="1603" spans="16:31" x14ac:dyDescent="0.2">
      <c r="P1603" s="68"/>
      <c r="Q1603" s="68"/>
      <c r="R1603" s="68"/>
      <c r="S1603" s="68"/>
      <c r="T1603" s="68"/>
      <c r="U1603" s="68"/>
      <c r="V1603" s="68"/>
      <c r="W1603" s="68"/>
      <c r="X1603" s="68"/>
      <c r="Y1603" s="68"/>
      <c r="Z1603" s="68"/>
      <c r="AA1603" s="68"/>
      <c r="AB1603" s="68"/>
      <c r="AC1603" s="68"/>
      <c r="AD1603" s="68"/>
      <c r="AE1603" s="68"/>
    </row>
    <row r="1604" spans="16:31" x14ac:dyDescent="0.2">
      <c r="P1604" s="68"/>
      <c r="Q1604" s="68"/>
      <c r="R1604" s="68"/>
      <c r="S1604" s="68"/>
      <c r="T1604" s="68"/>
      <c r="U1604" s="68"/>
      <c r="V1604" s="68"/>
      <c r="W1604" s="68"/>
      <c r="X1604" s="68"/>
      <c r="Y1604" s="68"/>
      <c r="Z1604" s="68"/>
      <c r="AA1604" s="68"/>
      <c r="AB1604" s="68"/>
      <c r="AC1604" s="68"/>
      <c r="AD1604" s="68"/>
      <c r="AE1604" s="68"/>
    </row>
    <row r="1605" spans="16:31" x14ac:dyDescent="0.2">
      <c r="P1605" s="68"/>
      <c r="Q1605" s="68"/>
      <c r="R1605" s="68"/>
      <c r="S1605" s="68"/>
      <c r="T1605" s="68"/>
      <c r="U1605" s="68"/>
      <c r="V1605" s="68"/>
      <c r="W1605" s="68"/>
      <c r="X1605" s="68"/>
      <c r="Y1605" s="68"/>
      <c r="Z1605" s="68"/>
      <c r="AA1605" s="68"/>
      <c r="AB1605" s="68"/>
      <c r="AC1605" s="68"/>
      <c r="AD1605" s="68"/>
      <c r="AE1605" s="68"/>
    </row>
    <row r="1606" spans="16:31" x14ac:dyDescent="0.2">
      <c r="P1606" s="68"/>
      <c r="Q1606" s="68"/>
      <c r="R1606" s="68"/>
      <c r="S1606" s="68"/>
      <c r="T1606" s="68"/>
      <c r="U1606" s="68"/>
      <c r="V1606" s="68"/>
      <c r="W1606" s="68"/>
      <c r="X1606" s="68"/>
      <c r="Y1606" s="68"/>
      <c r="Z1606" s="68"/>
      <c r="AA1606" s="68"/>
      <c r="AB1606" s="68"/>
      <c r="AC1606" s="68"/>
      <c r="AD1606" s="68"/>
      <c r="AE1606" s="68"/>
    </row>
    <row r="1607" spans="16:31" x14ac:dyDescent="0.2">
      <c r="P1607" s="68"/>
      <c r="Q1607" s="68"/>
      <c r="R1607" s="68"/>
      <c r="S1607" s="68"/>
      <c r="T1607" s="68"/>
      <c r="U1607" s="68"/>
      <c r="V1607" s="68"/>
      <c r="W1607" s="68"/>
      <c r="X1607" s="68"/>
      <c r="Y1607" s="68"/>
      <c r="Z1607" s="68"/>
      <c r="AA1607" s="68"/>
      <c r="AB1607" s="68"/>
      <c r="AC1607" s="68"/>
      <c r="AD1607" s="68"/>
      <c r="AE1607" s="68"/>
    </row>
    <row r="1608" spans="16:31" x14ac:dyDescent="0.2">
      <c r="P1608" s="68"/>
      <c r="Q1608" s="68"/>
      <c r="R1608" s="68"/>
      <c r="S1608" s="68"/>
      <c r="T1608" s="68"/>
      <c r="U1608" s="68"/>
      <c r="V1608" s="68"/>
      <c r="W1608" s="68"/>
      <c r="X1608" s="68"/>
      <c r="Y1608" s="68"/>
      <c r="Z1608" s="68"/>
      <c r="AA1608" s="68"/>
      <c r="AB1608" s="68"/>
      <c r="AC1608" s="68"/>
      <c r="AD1608" s="68"/>
      <c r="AE1608" s="68"/>
    </row>
    <row r="1609" spans="16:31" x14ac:dyDescent="0.2">
      <c r="P1609" s="68"/>
      <c r="Q1609" s="68"/>
      <c r="R1609" s="68"/>
      <c r="S1609" s="68"/>
      <c r="T1609" s="68"/>
      <c r="U1609" s="68"/>
      <c r="V1609" s="68"/>
      <c r="W1609" s="68"/>
      <c r="X1609" s="68"/>
      <c r="Y1609" s="68"/>
      <c r="Z1609" s="68"/>
      <c r="AA1609" s="68"/>
      <c r="AB1609" s="68"/>
      <c r="AC1609" s="68"/>
      <c r="AD1609" s="68"/>
      <c r="AE1609" s="68"/>
    </row>
    <row r="1610" spans="16:31" x14ac:dyDescent="0.2">
      <c r="P1610" s="68"/>
      <c r="Q1610" s="68"/>
      <c r="R1610" s="68"/>
      <c r="S1610" s="68"/>
      <c r="T1610" s="68"/>
      <c r="U1610" s="68"/>
      <c r="V1610" s="68"/>
      <c r="W1610" s="68"/>
      <c r="X1610" s="68"/>
      <c r="Y1610" s="68"/>
      <c r="Z1610" s="68"/>
      <c r="AA1610" s="68"/>
      <c r="AB1610" s="68"/>
      <c r="AC1610" s="68"/>
      <c r="AD1610" s="68"/>
      <c r="AE1610" s="68"/>
    </row>
    <row r="1611" spans="16:31" x14ac:dyDescent="0.2">
      <c r="P1611" s="68"/>
      <c r="Q1611" s="68"/>
      <c r="R1611" s="68"/>
      <c r="S1611" s="68"/>
      <c r="T1611" s="68"/>
      <c r="U1611" s="68"/>
      <c r="V1611" s="68"/>
      <c r="W1611" s="68"/>
      <c r="X1611" s="68"/>
      <c r="Y1611" s="68"/>
      <c r="Z1611" s="68"/>
      <c r="AA1611" s="68"/>
      <c r="AB1611" s="68"/>
      <c r="AC1611" s="68"/>
      <c r="AD1611" s="68"/>
      <c r="AE1611" s="68"/>
    </row>
    <row r="1612" spans="16:31" x14ac:dyDescent="0.2">
      <c r="P1612" s="68"/>
      <c r="Q1612" s="68"/>
      <c r="R1612" s="68"/>
      <c r="S1612" s="68"/>
      <c r="T1612" s="68"/>
      <c r="U1612" s="68"/>
      <c r="V1612" s="68"/>
      <c r="W1612" s="68"/>
      <c r="X1612" s="68"/>
      <c r="Y1612" s="68"/>
      <c r="Z1612" s="68"/>
      <c r="AA1612" s="68"/>
      <c r="AB1612" s="68"/>
      <c r="AC1612" s="68"/>
      <c r="AD1612" s="68"/>
      <c r="AE1612" s="68"/>
    </row>
    <row r="1613" spans="16:31" x14ac:dyDescent="0.2">
      <c r="P1613" s="68"/>
      <c r="Q1613" s="68"/>
      <c r="R1613" s="68"/>
      <c r="S1613" s="68"/>
      <c r="T1613" s="68"/>
      <c r="U1613" s="68"/>
      <c r="V1613" s="68"/>
      <c r="W1613" s="68"/>
      <c r="X1613" s="68"/>
      <c r="Y1613" s="68"/>
      <c r="Z1613" s="68"/>
      <c r="AA1613" s="68"/>
      <c r="AB1613" s="68"/>
      <c r="AC1613" s="68"/>
      <c r="AD1613" s="68"/>
      <c r="AE1613" s="68"/>
    </row>
    <row r="1614" spans="16:31" x14ac:dyDescent="0.2">
      <c r="P1614" s="68"/>
      <c r="Q1614" s="68"/>
      <c r="R1614" s="68"/>
      <c r="S1614" s="68"/>
      <c r="T1614" s="68"/>
      <c r="U1614" s="68"/>
      <c r="V1614" s="68"/>
      <c r="W1614" s="68"/>
      <c r="X1614" s="68"/>
      <c r="Y1614" s="68"/>
      <c r="Z1614" s="68"/>
      <c r="AA1614" s="68"/>
      <c r="AB1614" s="68"/>
      <c r="AC1614" s="68"/>
      <c r="AD1614" s="68"/>
      <c r="AE1614" s="68"/>
    </row>
    <row r="1615" spans="16:31" x14ac:dyDescent="0.2">
      <c r="P1615" s="68"/>
      <c r="Q1615" s="68"/>
      <c r="R1615" s="68"/>
      <c r="S1615" s="68"/>
      <c r="T1615" s="68"/>
      <c r="U1615" s="68"/>
      <c r="V1615" s="68"/>
      <c r="W1615" s="68"/>
      <c r="X1615" s="68"/>
      <c r="Y1615" s="68"/>
      <c r="Z1615" s="68"/>
      <c r="AA1615" s="68"/>
      <c r="AB1615" s="68"/>
      <c r="AC1615" s="68"/>
      <c r="AD1615" s="68"/>
      <c r="AE1615" s="68"/>
    </row>
    <row r="1616" spans="16:31" x14ac:dyDescent="0.2">
      <c r="P1616" s="68"/>
      <c r="Q1616" s="68"/>
      <c r="R1616" s="68"/>
      <c r="S1616" s="68"/>
      <c r="T1616" s="68"/>
      <c r="U1616" s="68"/>
      <c r="V1616" s="68"/>
      <c r="W1616" s="68"/>
      <c r="X1616" s="68"/>
      <c r="Y1616" s="68"/>
      <c r="Z1616" s="68"/>
      <c r="AA1616" s="68"/>
      <c r="AB1616" s="68"/>
      <c r="AC1616" s="68"/>
      <c r="AD1616" s="68"/>
      <c r="AE1616" s="68"/>
    </row>
    <row r="1617" spans="16:31" x14ac:dyDescent="0.2">
      <c r="P1617" s="68"/>
      <c r="Q1617" s="68"/>
      <c r="R1617" s="68"/>
      <c r="S1617" s="68"/>
      <c r="T1617" s="68"/>
      <c r="U1617" s="68"/>
      <c r="V1617" s="68"/>
      <c r="W1617" s="68"/>
      <c r="X1617" s="68"/>
      <c r="Y1617" s="68"/>
      <c r="Z1617" s="68"/>
      <c r="AA1617" s="68"/>
      <c r="AB1617" s="68"/>
      <c r="AC1617" s="68"/>
      <c r="AD1617" s="68"/>
      <c r="AE1617" s="68"/>
    </row>
    <row r="1618" spans="16:31" x14ac:dyDescent="0.2">
      <c r="P1618" s="68"/>
      <c r="Q1618" s="68"/>
      <c r="R1618" s="68"/>
      <c r="S1618" s="68"/>
      <c r="T1618" s="68"/>
      <c r="U1618" s="68"/>
      <c r="V1618" s="68"/>
      <c r="W1618" s="68"/>
      <c r="X1618" s="68"/>
      <c r="Y1618" s="68"/>
      <c r="Z1618" s="68"/>
      <c r="AA1618" s="68"/>
      <c r="AB1618" s="68"/>
      <c r="AC1618" s="68"/>
      <c r="AD1618" s="68"/>
      <c r="AE1618" s="6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Length4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9</xdr:row>
                    <xdr:rowOff>123825</xdr:rowOff>
                  </from>
                  <to>
                    <xdr:col>33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Length1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</xdr:row>
                    <xdr:rowOff>276225</xdr:rowOff>
                  </from>
                  <to>
                    <xdr:col>33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Length7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18</xdr:row>
                    <xdr:rowOff>0</xdr:rowOff>
                  </from>
                  <to>
                    <xdr:col>33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Length2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4</xdr:row>
                    <xdr:rowOff>38100</xdr:rowOff>
                  </from>
                  <to>
                    <xdr:col>33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Length3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7</xdr:row>
                    <xdr:rowOff>0</xdr:rowOff>
                  </from>
                  <to>
                    <xdr:col>33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Length5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12</xdr:row>
                    <xdr:rowOff>66675</xdr:rowOff>
                  </from>
                  <to>
                    <xdr:col>33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Length6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15</xdr:row>
                    <xdr:rowOff>19050</xdr:rowOff>
                  </from>
                  <to>
                    <xdr:col>33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SimpleBasisCalibration">
                <anchor moveWithCells="1" sizeWithCells="1">
                  <from>
                    <xdr:col>11</xdr:col>
                    <xdr:colOff>352425</xdr:colOff>
                    <xdr:row>18</xdr:row>
                    <xdr:rowOff>85725</xdr:rowOff>
                  </from>
                  <to>
                    <xdr:col>12</xdr:col>
                    <xdr:colOff>714375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SimpleBasisCalibration">
                <anchor moveWithCells="1" sizeWithCells="1">
                  <from>
                    <xdr:col>11</xdr:col>
                    <xdr:colOff>428625</xdr:colOff>
                    <xdr:row>37</xdr:row>
                    <xdr:rowOff>104775</xdr:rowOff>
                  </from>
                  <to>
                    <xdr:col>12</xdr:col>
                    <xdr:colOff>790575</xdr:colOff>
                    <xdr:row>41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General Settings</vt:lpstr>
      <vt:lpstr>3M Delta</vt:lpstr>
      <vt:lpstr>6M Delta</vt:lpstr>
      <vt:lpstr>AllTriggers</vt:lpstr>
      <vt:lpstr>Calendar</vt:lpstr>
      <vt:lpstr>'6M Delta'!ContBasis</vt:lpstr>
      <vt:lpstr>Currency</vt:lpstr>
      <vt:lpstr>'3M Delta'!DataTable</vt:lpstr>
      <vt:lpstr>'6M Delta'!DataTable</vt:lpstr>
      <vt:lpstr>DayCounter</vt:lpstr>
      <vt:lpstr>'6M Delta'!Error_ContBasis</vt:lpstr>
      <vt:lpstr>'6M Delta'!Error_SimpleBasis</vt:lpstr>
      <vt:lpstr>EvaluationDate</vt:lpstr>
      <vt:lpstr>IborType</vt:lpstr>
      <vt:lpstr>'3M Delta'!Index</vt:lpstr>
      <vt:lpstr>'6M Delta'!Index</vt:lpstr>
      <vt:lpstr>OisCurve</vt:lpstr>
      <vt:lpstr>SettlementDate</vt:lpstr>
      <vt:lpstr>'6M Delta'!SimpleBasis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2014-12-24T10:07:57Z</dcterms:created>
  <dcterms:modified xsi:type="dcterms:W3CDTF">2015-05-06T14:41:16Z</dcterms:modified>
</cp:coreProperties>
</file>