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5240" windowHeight="7560" activeTab="2"/>
  </bookViews>
  <sheets>
    <sheet name="General Settings" sheetId="4" r:id="rId1"/>
    <sheet name="3M Delta" sheetId="1" r:id="rId2"/>
    <sheet name="6M Delta" sheetId="5" r:id="rId3"/>
    <sheet name="6M Calibration" sheetId="6" r:id="rId4"/>
  </sheets>
  <externalReferences>
    <externalReference r:id="rId5"/>
  </externalReferences>
  <definedNames>
    <definedName name="AllTriggers">'General Settings'!$I$4:$I$8</definedName>
    <definedName name="Calendar">'General Settings'!$D$5</definedName>
    <definedName name="Currency">'General Settings'!$D$4</definedName>
    <definedName name="DataTable" localSheetId="1">'3M Delta'!$A$3:$J$16</definedName>
    <definedName name="DataTable" localSheetId="2">'6M Delta'!$A$3:$J$16</definedName>
    <definedName name="DayCounter">'General Settings'!$D$9</definedName>
    <definedName name="EvaluationDate">'General Settings'!$I$5</definedName>
    <definedName name="IborType">'General Settings'!$D$6</definedName>
    <definedName name="Index" localSheetId="1">'3M Delta'!$M$4</definedName>
    <definedName name="Index" localSheetId="2">'6M Delta'!$M$4</definedName>
    <definedName name="OisCurve">'General Settings'!$D$8</definedName>
    <definedName name="SettlementDate">'General Settings'!$I$6</definedName>
    <definedName name="solver_adj" localSheetId="2" hidden="1">'6M Delta'!$M$7:$M$10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'6M Delta'!$M$9</definedName>
    <definedName name="solver_lhs2" localSheetId="2" hidden="1">'6M Delta'!$M$9</definedName>
    <definedName name="solver_lhs3" localSheetId="2" hidden="1">'6M Delta'!$M$9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'6M Delta'!$M$13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3</definedName>
    <definedName name="solver_rhs1" localSheetId="2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P3" i="5" l="1"/>
  <c r="Z4" i="5"/>
  <c r="Z12" i="5"/>
  <c r="Z20" i="5"/>
  <c r="Z28" i="5"/>
  <c r="Z36" i="5"/>
  <c r="Z44" i="5"/>
  <c r="Z52" i="5"/>
  <c r="Z60" i="5"/>
  <c r="Z68" i="5"/>
  <c r="Z76" i="5"/>
  <c r="Z84" i="5"/>
  <c r="Z92" i="5"/>
  <c r="Z100" i="5"/>
  <c r="Z108" i="5"/>
  <c r="Z116" i="5"/>
  <c r="Z124" i="5"/>
  <c r="Z132" i="5"/>
  <c r="Z5" i="5"/>
  <c r="Z13" i="5"/>
  <c r="Z21" i="5"/>
  <c r="Z29" i="5"/>
  <c r="Z37" i="5"/>
  <c r="Z45" i="5"/>
  <c r="Z53" i="5"/>
  <c r="Z61" i="5"/>
  <c r="Z69" i="5"/>
  <c r="Z77" i="5"/>
  <c r="Z85" i="5"/>
  <c r="Z93" i="5"/>
  <c r="Z101" i="5"/>
  <c r="Z109" i="5"/>
  <c r="Z117" i="5"/>
  <c r="Z125" i="5"/>
  <c r="Z133" i="5"/>
  <c r="Z6" i="5"/>
  <c r="Z14" i="5"/>
  <c r="Z22" i="5"/>
  <c r="Z30" i="5"/>
  <c r="Z38" i="5"/>
  <c r="Z46" i="5"/>
  <c r="Z54" i="5"/>
  <c r="Z62" i="5"/>
  <c r="Z70" i="5"/>
  <c r="Z78" i="5"/>
  <c r="Z86" i="5"/>
  <c r="Z94" i="5"/>
  <c r="Z102" i="5"/>
  <c r="Z110" i="5"/>
  <c r="Z118" i="5"/>
  <c r="Z126" i="5"/>
  <c r="Z134" i="5"/>
  <c r="Z7" i="5"/>
  <c r="Z15" i="5"/>
  <c r="Z23" i="5"/>
  <c r="Z31" i="5"/>
  <c r="Z39" i="5"/>
  <c r="Z47" i="5"/>
  <c r="Z55" i="5"/>
  <c r="Z63" i="5"/>
  <c r="Z71" i="5"/>
  <c r="Z79" i="5"/>
  <c r="Z87" i="5"/>
  <c r="Z95" i="5"/>
  <c r="Z103" i="5"/>
  <c r="Z111" i="5"/>
  <c r="Z119" i="5"/>
  <c r="Z127" i="5"/>
  <c r="Z135" i="5"/>
  <c r="Z8" i="5"/>
  <c r="Z16" i="5"/>
  <c r="Z24" i="5"/>
  <c r="Z32" i="5"/>
  <c r="Z40" i="5"/>
  <c r="Z48" i="5"/>
  <c r="Z56" i="5"/>
  <c r="Z64" i="5"/>
  <c r="Z72" i="5"/>
  <c r="Z80" i="5"/>
  <c r="Z88" i="5"/>
  <c r="Z96" i="5"/>
  <c r="Z104" i="5"/>
  <c r="Z112" i="5"/>
  <c r="Z120" i="5"/>
  <c r="Z128" i="5"/>
  <c r="Z9" i="5"/>
  <c r="Z17" i="5"/>
  <c r="Z25" i="5"/>
  <c r="Z33" i="5"/>
  <c r="Z41" i="5"/>
  <c r="Z49" i="5"/>
  <c r="Z57" i="5"/>
  <c r="Z65" i="5"/>
  <c r="Z73" i="5"/>
  <c r="Z81" i="5"/>
  <c r="Z89" i="5"/>
  <c r="Z97" i="5"/>
  <c r="Z105" i="5"/>
  <c r="Z113" i="5"/>
  <c r="Z121" i="5"/>
  <c r="Z129" i="5"/>
  <c r="Z10" i="5"/>
  <c r="Z18" i="5"/>
  <c r="Z26" i="5"/>
  <c r="Z34" i="5"/>
  <c r="Z42" i="5"/>
  <c r="Z50" i="5"/>
  <c r="Z58" i="5"/>
  <c r="Z66" i="5"/>
  <c r="Z74" i="5"/>
  <c r="Z82" i="5"/>
  <c r="Z90" i="5"/>
  <c r="Z98" i="5"/>
  <c r="Z106" i="5"/>
  <c r="Z114" i="5"/>
  <c r="Z122" i="5"/>
  <c r="Z130" i="5"/>
  <c r="Z11" i="5"/>
  <c r="Z19" i="5"/>
  <c r="Z27" i="5"/>
  <c r="Z35" i="5"/>
  <c r="Z43" i="5"/>
  <c r="Z51" i="5"/>
  <c r="Z59" i="5"/>
  <c r="Z67" i="5"/>
  <c r="Z75" i="5"/>
  <c r="Z83" i="5"/>
  <c r="Z91" i="5"/>
  <c r="Z99" i="5"/>
  <c r="Z107" i="5"/>
  <c r="Z115" i="5"/>
  <c r="Z123" i="5"/>
  <c r="Z131" i="5"/>
  <c r="Z3" i="5"/>
  <c r="M27" i="5"/>
  <c r="M19" i="5"/>
  <c r="P4" i="5"/>
  <c r="P5" i="5" s="1"/>
  <c r="Q5" i="5"/>
  <c r="Q4" i="5"/>
  <c r="P6" i="5" l="1"/>
  <c r="M11" i="5"/>
  <c r="Q6" i="5"/>
  <c r="P7" i="5" l="1"/>
  <c r="Q7" i="5"/>
  <c r="P8" i="5" l="1"/>
  <c r="Q8" i="5"/>
  <c r="P9" i="5" l="1"/>
  <c r="Q9" i="5"/>
  <c r="P10" i="5" l="1"/>
  <c r="Q10" i="5"/>
  <c r="P11" i="5" l="1"/>
  <c r="Q11" i="5"/>
  <c r="P12" i="5" l="1"/>
  <c r="Q12" i="5"/>
  <c r="P13" i="5" l="1"/>
  <c r="Q13" i="5"/>
  <c r="P14" i="5" l="1"/>
  <c r="Q14" i="5"/>
  <c r="P15" i="5" l="1"/>
  <c r="Q15" i="5"/>
  <c r="P16" i="5" l="1"/>
  <c r="Q16" i="5"/>
  <c r="P17" i="5" l="1"/>
  <c r="Q17" i="5"/>
  <c r="P18" i="5" l="1"/>
  <c r="Q18" i="5"/>
  <c r="P19" i="5" l="1"/>
  <c r="Q19" i="5"/>
  <c r="P20" i="5" l="1"/>
  <c r="Q20" i="5"/>
  <c r="P21" i="5" l="1"/>
  <c r="Q21" i="5"/>
  <c r="P22" i="5" l="1"/>
  <c r="Q22" i="5"/>
  <c r="P23" i="5" l="1"/>
  <c r="Q23" i="5"/>
  <c r="P24" i="5" l="1"/>
  <c r="Q24" i="5"/>
  <c r="P25" i="5" l="1"/>
  <c r="Q25" i="5"/>
  <c r="P26" i="5" l="1"/>
  <c r="Q26" i="5"/>
  <c r="P27" i="5" l="1"/>
  <c r="Q27" i="5"/>
  <c r="P28" i="5" l="1"/>
  <c r="Q28" i="5"/>
  <c r="P29" i="5" l="1"/>
  <c r="Q29" i="5"/>
  <c r="P30" i="5" l="1"/>
  <c r="Q30" i="5"/>
  <c r="E16" i="1" l="1"/>
  <c r="E15" i="1"/>
  <c r="E14" i="1"/>
  <c r="E13" i="1"/>
  <c r="E12" i="1"/>
  <c r="E11" i="1"/>
  <c r="E10" i="1"/>
  <c r="E16" i="5"/>
  <c r="E15" i="5"/>
  <c r="E14" i="5"/>
  <c r="E13" i="5"/>
  <c r="E12" i="5"/>
  <c r="E11" i="5"/>
  <c r="E10" i="5"/>
  <c r="A16" i="1"/>
  <c r="A13" i="1"/>
  <c r="A12" i="1"/>
  <c r="A15" i="1"/>
  <c r="A14" i="1"/>
  <c r="A11" i="1"/>
  <c r="A10" i="1"/>
  <c r="P31" i="5"/>
  <c r="A13" i="5"/>
  <c r="A15" i="5"/>
  <c r="A12" i="5"/>
  <c r="A16" i="5"/>
  <c r="A14" i="5"/>
  <c r="A10" i="5"/>
  <c r="A11" i="5"/>
  <c r="B12" i="1"/>
  <c r="B10" i="5"/>
  <c r="B11" i="1"/>
  <c r="B10" i="1"/>
  <c r="B12" i="5"/>
  <c r="B11" i="5"/>
  <c r="Q31" i="5"/>
  <c r="B13" i="1" l="1"/>
  <c r="B14" i="1" s="1"/>
  <c r="B15" i="1" s="1"/>
  <c r="B16" i="1" s="1"/>
  <c r="B13" i="5"/>
  <c r="B14" i="5" s="1"/>
  <c r="B15" i="5" s="1"/>
  <c r="B16" i="5" s="1"/>
  <c r="E9" i="5"/>
  <c r="E8" i="5"/>
  <c r="E7" i="5"/>
  <c r="E6" i="5"/>
  <c r="E5" i="5"/>
  <c r="M4" i="5"/>
  <c r="E4" i="5"/>
  <c r="E3" i="5"/>
  <c r="W2" i="5"/>
  <c r="E9" i="1"/>
  <c r="E8" i="1"/>
  <c r="E7" i="1"/>
  <c r="E6" i="1"/>
  <c r="E5" i="1"/>
  <c r="E4" i="1"/>
  <c r="E3" i="1"/>
  <c r="V2" i="1"/>
  <c r="D6" i="4"/>
  <c r="M4" i="1" s="1"/>
  <c r="A9" i="1"/>
  <c r="A8" i="1"/>
  <c r="A7" i="1"/>
  <c r="A6" i="1"/>
  <c r="A5" i="1"/>
  <c r="A4" i="1"/>
  <c r="A3" i="1"/>
  <c r="P32" i="5"/>
  <c r="M12" i="5"/>
  <c r="A8" i="5"/>
  <c r="A5" i="5"/>
  <c r="A3" i="5"/>
  <c r="A6" i="5"/>
  <c r="A4" i="5"/>
  <c r="A7" i="5"/>
  <c r="A9" i="5"/>
  <c r="B5" i="5"/>
  <c r="I5" i="4"/>
  <c r="B1" i="4"/>
  <c r="B4" i="1"/>
  <c r="B3" i="1"/>
  <c r="B4" i="5"/>
  <c r="B5" i="1"/>
  <c r="B3" i="5"/>
  <c r="M15" i="5"/>
  <c r="M16" i="5"/>
  <c r="M17" i="5"/>
  <c r="M18" i="5"/>
  <c r="Q32" i="5"/>
  <c r="Q3" i="5" l="1"/>
  <c r="B6" i="5"/>
  <c r="B7" i="5" s="1"/>
  <c r="B8" i="5" s="1"/>
  <c r="B9" i="5" s="1"/>
  <c r="B6" i="1"/>
  <c r="B7" i="1" s="1"/>
  <c r="B8" i="1" s="1"/>
  <c r="B9" i="1" s="1"/>
  <c r="P3" i="1"/>
  <c r="P33" i="5"/>
  <c r="I6" i="4"/>
  <c r="Q33" i="5"/>
  <c r="F2" i="6" l="1"/>
  <c r="D16" i="1"/>
  <c r="D12" i="1"/>
  <c r="D15" i="1"/>
  <c r="D11" i="1"/>
  <c r="D14" i="1"/>
  <c r="D10" i="1"/>
  <c r="D13" i="1"/>
  <c r="D15" i="5"/>
  <c r="D11" i="5"/>
  <c r="D14" i="5"/>
  <c r="D10" i="5"/>
  <c r="D13" i="5"/>
  <c r="D16" i="5"/>
  <c r="D12" i="5"/>
  <c r="D3" i="1"/>
  <c r="D4" i="1"/>
  <c r="D5" i="1"/>
  <c r="D6" i="1"/>
  <c r="D7" i="1"/>
  <c r="D8" i="1"/>
  <c r="D9" i="1"/>
  <c r="D6" i="5"/>
  <c r="D3" i="5"/>
  <c r="D8" i="5"/>
  <c r="D7" i="5"/>
  <c r="D4" i="5"/>
  <c r="D5" i="5"/>
  <c r="D9" i="5"/>
  <c r="P34" i="5"/>
  <c r="E2" i="6"/>
  <c r="F3" i="6"/>
  <c r="K2" i="6"/>
  <c r="G2" i="6"/>
  <c r="G3" i="6"/>
  <c r="K3" i="6"/>
  <c r="I3" i="6"/>
  <c r="F4" i="6"/>
  <c r="E3" i="6"/>
  <c r="I2" i="6"/>
  <c r="L2" i="6"/>
  <c r="H3" i="6"/>
  <c r="L3" i="6"/>
  <c r="K4" i="6"/>
  <c r="G4" i="6"/>
  <c r="F5" i="6"/>
  <c r="E4" i="6"/>
  <c r="I4" i="6"/>
  <c r="H4" i="6"/>
  <c r="L4" i="6"/>
  <c r="G5" i="6"/>
  <c r="E5" i="6"/>
  <c r="F6" i="6"/>
  <c r="K5" i="6"/>
  <c r="I5" i="6"/>
  <c r="H5" i="6"/>
  <c r="L5" i="6"/>
  <c r="K6" i="6"/>
  <c r="G6" i="6"/>
  <c r="I6" i="6"/>
  <c r="E6" i="6"/>
  <c r="F7" i="6"/>
  <c r="H6" i="6"/>
  <c r="L6" i="6"/>
  <c r="F8" i="6"/>
  <c r="G7" i="6"/>
  <c r="K7" i="6"/>
  <c r="I7" i="6"/>
  <c r="E7" i="6"/>
  <c r="K8" i="6"/>
  <c r="G8" i="6"/>
  <c r="E8" i="6"/>
  <c r="I8" i="6"/>
  <c r="F9" i="6"/>
  <c r="H7" i="6"/>
  <c r="L7" i="6"/>
  <c r="H8" i="6"/>
  <c r="L8" i="6"/>
  <c r="E9" i="6"/>
  <c r="F10" i="6"/>
  <c r="G9" i="6"/>
  <c r="K9" i="6"/>
  <c r="F11" i="6"/>
  <c r="E10" i="6"/>
  <c r="G10" i="6"/>
  <c r="K10" i="6"/>
  <c r="I10" i="6"/>
  <c r="I9" i="6"/>
  <c r="H9" i="6"/>
  <c r="L9" i="6"/>
  <c r="F12" i="6"/>
  <c r="K11" i="6"/>
  <c r="E11" i="6"/>
  <c r="G11" i="6"/>
  <c r="H10" i="6"/>
  <c r="L10" i="6"/>
  <c r="K12" i="6"/>
  <c r="E12" i="6"/>
  <c r="G12" i="6"/>
  <c r="F13" i="6"/>
  <c r="I11" i="6"/>
  <c r="H11" i="6"/>
  <c r="L11" i="6"/>
  <c r="I12" i="6"/>
  <c r="H12" i="6"/>
  <c r="L12" i="6"/>
  <c r="E13" i="6"/>
  <c r="F14" i="6"/>
  <c r="G13" i="6"/>
  <c r="K13" i="6"/>
  <c r="G14" i="6"/>
  <c r="F15" i="6"/>
  <c r="K14" i="6"/>
  <c r="I14" i="6"/>
  <c r="E14" i="6"/>
  <c r="I13" i="6"/>
  <c r="H13" i="6"/>
  <c r="L13" i="6"/>
  <c r="H14" i="6"/>
  <c r="L14" i="6"/>
  <c r="F16" i="6"/>
  <c r="K15" i="6"/>
  <c r="G15" i="6"/>
  <c r="E15" i="6"/>
  <c r="G16" i="6"/>
  <c r="K16" i="6"/>
  <c r="F17" i="6"/>
  <c r="I16" i="6"/>
  <c r="E16" i="6"/>
  <c r="I15" i="6"/>
  <c r="H15" i="6"/>
  <c r="L15" i="6"/>
  <c r="H16" i="6"/>
  <c r="L16" i="6"/>
  <c r="E17" i="6"/>
  <c r="G17" i="6"/>
  <c r="F18" i="6"/>
  <c r="K17" i="6"/>
  <c r="I17" i="6"/>
  <c r="H17" i="6"/>
  <c r="L17" i="6"/>
  <c r="E18" i="6"/>
  <c r="G18" i="6"/>
  <c r="K18" i="6"/>
  <c r="I18" i="6"/>
  <c r="F19" i="6"/>
  <c r="H18" i="6"/>
  <c r="L18" i="6"/>
  <c r="E19" i="6"/>
  <c r="K19" i="6"/>
  <c r="F20" i="6"/>
  <c r="G19" i="6"/>
  <c r="K20" i="6"/>
  <c r="G20" i="6"/>
  <c r="I20" i="6"/>
  <c r="F21" i="6"/>
  <c r="E20" i="6"/>
  <c r="I19" i="6"/>
  <c r="H19" i="6"/>
  <c r="L19" i="6"/>
  <c r="H20" i="6"/>
  <c r="L20" i="6"/>
  <c r="E21" i="6"/>
  <c r="F22" i="6"/>
  <c r="G21" i="6"/>
  <c r="K21" i="6"/>
  <c r="K22" i="6"/>
  <c r="F23" i="6"/>
  <c r="G22" i="6"/>
  <c r="E22" i="6"/>
  <c r="I21" i="6"/>
  <c r="H21" i="6"/>
  <c r="L21" i="6"/>
  <c r="G23" i="6"/>
  <c r="K23" i="6"/>
  <c r="I23" i="6"/>
  <c r="F24" i="6"/>
  <c r="E23" i="6"/>
  <c r="I22" i="6"/>
  <c r="H22" i="6"/>
  <c r="L22" i="6"/>
  <c r="H23" i="6"/>
  <c r="L23" i="6"/>
  <c r="G24" i="6"/>
  <c r="E24" i="6"/>
  <c r="K24" i="6"/>
  <c r="I24" i="6"/>
  <c r="F25" i="6"/>
  <c r="H24" i="6"/>
  <c r="L24" i="6"/>
  <c r="F26" i="6"/>
  <c r="G25" i="6"/>
  <c r="E25" i="6"/>
  <c r="K25" i="6"/>
  <c r="F28" i="6"/>
  <c r="G26" i="6"/>
  <c r="K26" i="6"/>
  <c r="E26" i="6"/>
  <c r="I26" i="6"/>
  <c r="F27" i="6"/>
  <c r="I25" i="6"/>
  <c r="H25" i="6"/>
  <c r="L25" i="6"/>
  <c r="E28" i="6"/>
  <c r="K28" i="6"/>
  <c r="F29" i="6"/>
  <c r="G28" i="6"/>
  <c r="H26" i="6"/>
  <c r="L26" i="6"/>
  <c r="E27" i="6"/>
  <c r="K27" i="6"/>
  <c r="G27" i="6"/>
  <c r="F30" i="6"/>
  <c r="G29" i="6"/>
  <c r="K29" i="6"/>
  <c r="I29" i="6"/>
  <c r="E29" i="6"/>
  <c r="I28" i="6"/>
  <c r="H28" i="6"/>
  <c r="L28" i="6"/>
  <c r="I27" i="6"/>
  <c r="H27" i="6"/>
  <c r="L27" i="6"/>
  <c r="K30" i="6"/>
  <c r="F31" i="6"/>
  <c r="E30" i="6"/>
  <c r="G30" i="6"/>
  <c r="H29" i="6"/>
  <c r="L29" i="6"/>
  <c r="K31" i="6"/>
  <c r="G31" i="6"/>
  <c r="F32" i="6"/>
  <c r="I31" i="6"/>
  <c r="E31" i="6"/>
  <c r="I30" i="6"/>
  <c r="H30" i="6"/>
  <c r="L30" i="6"/>
  <c r="H31" i="6"/>
  <c r="L31" i="6"/>
  <c r="E32" i="6"/>
  <c r="G32" i="6"/>
  <c r="F33" i="6"/>
  <c r="K32" i="6"/>
  <c r="I32" i="6"/>
  <c r="H32" i="6"/>
  <c r="L32" i="6"/>
  <c r="K33" i="6"/>
  <c r="E33" i="6"/>
  <c r="G33" i="6"/>
  <c r="F34" i="6"/>
  <c r="I33" i="6"/>
  <c r="H33" i="6"/>
  <c r="L33" i="6"/>
  <c r="E34" i="6"/>
  <c r="K34" i="6"/>
  <c r="G34" i="6"/>
  <c r="F35" i="6"/>
  <c r="I34" i="6"/>
  <c r="H34" i="6"/>
  <c r="L34" i="6"/>
  <c r="G35" i="6"/>
  <c r="I35" i="6"/>
  <c r="E35" i="6"/>
  <c r="F36" i="6"/>
  <c r="K35" i="6"/>
  <c r="H35" i="6"/>
  <c r="L35" i="6"/>
  <c r="K36" i="6"/>
  <c r="G36" i="6"/>
  <c r="I36" i="6"/>
  <c r="F37" i="6"/>
  <c r="E36" i="6"/>
  <c r="H36" i="6"/>
  <c r="L36" i="6"/>
  <c r="G37" i="6"/>
  <c r="F38" i="6"/>
  <c r="K37" i="6"/>
  <c r="I37" i="6"/>
  <c r="E37" i="6"/>
  <c r="H37" i="6"/>
  <c r="L37" i="6"/>
  <c r="K38" i="6"/>
  <c r="E38" i="6"/>
  <c r="F39" i="6"/>
  <c r="G38" i="6"/>
  <c r="E39" i="6"/>
  <c r="F40" i="6"/>
  <c r="K39" i="6"/>
  <c r="G39" i="6"/>
  <c r="I38" i="6"/>
  <c r="H38" i="6"/>
  <c r="L38" i="6"/>
  <c r="E40" i="6"/>
  <c r="G40" i="6"/>
  <c r="F41" i="6"/>
  <c r="K40" i="6"/>
  <c r="I40" i="6"/>
  <c r="I39" i="6"/>
  <c r="H39" i="6"/>
  <c r="L39" i="6"/>
  <c r="H40" i="6"/>
  <c r="L40" i="6"/>
  <c r="K41" i="6"/>
  <c r="E41" i="6"/>
  <c r="F42" i="6"/>
  <c r="G41" i="6"/>
  <c r="E42" i="6"/>
  <c r="K42" i="6"/>
  <c r="G42" i="6"/>
  <c r="F43" i="6"/>
  <c r="I41" i="6"/>
  <c r="H41" i="6"/>
  <c r="L41" i="6"/>
  <c r="I42" i="6"/>
  <c r="H42" i="6"/>
  <c r="L42" i="6"/>
  <c r="E43" i="6"/>
  <c r="G43" i="6"/>
  <c r="I43" i="6"/>
  <c r="F44" i="6"/>
  <c r="K43" i="6"/>
  <c r="H43" i="6"/>
  <c r="L43" i="6"/>
  <c r="G44" i="6"/>
  <c r="K44" i="6"/>
  <c r="E44" i="6"/>
  <c r="I44" i="6"/>
  <c r="H44" i="6"/>
  <c r="L44" i="6"/>
  <c r="Q34" i="5"/>
  <c r="M44" i="6" l="1"/>
  <c r="M43" i="6"/>
  <c r="M42" i="6"/>
  <c r="M41" i="6"/>
  <c r="M39" i="6"/>
  <c r="M40" i="6"/>
  <c r="M38" i="6"/>
  <c r="M37" i="6"/>
  <c r="M36" i="6"/>
  <c r="M35" i="6"/>
  <c r="M34" i="6"/>
  <c r="M33" i="6"/>
  <c r="M32" i="6"/>
  <c r="M30" i="6"/>
  <c r="M31" i="6"/>
  <c r="M27" i="6"/>
  <c r="M28" i="6"/>
  <c r="M29" i="6"/>
  <c r="M25" i="6"/>
  <c r="M26" i="6"/>
  <c r="M24" i="6"/>
  <c r="M22" i="6"/>
  <c r="M23" i="6"/>
  <c r="M21" i="6"/>
  <c r="M19" i="6"/>
  <c r="M20" i="6"/>
  <c r="M18" i="6"/>
  <c r="M17" i="6"/>
  <c r="M15" i="6"/>
  <c r="M16" i="6"/>
  <c r="M13" i="6"/>
  <c r="M14" i="6"/>
  <c r="M12" i="6"/>
  <c r="M11" i="6"/>
  <c r="M9" i="6"/>
  <c r="M10" i="6"/>
  <c r="M8" i="6"/>
  <c r="M7" i="6"/>
  <c r="M6" i="6"/>
  <c r="M5" i="6"/>
  <c r="M4" i="6"/>
  <c r="M2" i="6"/>
  <c r="M3" i="6"/>
  <c r="I8" i="4"/>
  <c r="P35" i="5"/>
  <c r="Q35" i="5"/>
  <c r="I7" i="4" l="1"/>
  <c r="P36" i="5"/>
  <c r="J36" i="6"/>
  <c r="J29" i="6"/>
  <c r="R3" i="5"/>
  <c r="AB3" i="5" s="1"/>
  <c r="J44" i="6"/>
  <c r="J32" i="6"/>
  <c r="J24" i="6"/>
  <c r="J20" i="6"/>
  <c r="J16" i="6"/>
  <c r="J8" i="6"/>
  <c r="J4" i="6"/>
  <c r="J40" i="6"/>
  <c r="J35" i="6"/>
  <c r="J27" i="6"/>
  <c r="J12" i="6"/>
  <c r="J7" i="6"/>
  <c r="J43" i="6"/>
  <c r="J39" i="6"/>
  <c r="J19" i="6"/>
  <c r="J5" i="6"/>
  <c r="R4" i="5"/>
  <c r="AB4" i="5" s="1"/>
  <c r="J38" i="6"/>
  <c r="J33" i="6"/>
  <c r="J23" i="6"/>
  <c r="J14" i="6"/>
  <c r="J10" i="6"/>
  <c r="Q3" i="1"/>
  <c r="R3" i="1" s="1"/>
  <c r="J37" i="6"/>
  <c r="J28" i="6"/>
  <c r="J18" i="6"/>
  <c r="J9" i="6"/>
  <c r="P4" i="1"/>
  <c r="P5" i="1" s="1"/>
  <c r="P6" i="1" s="1"/>
  <c r="Q5" i="1"/>
  <c r="R5" i="1" s="1"/>
  <c r="J42" i="6"/>
  <c r="J13" i="6"/>
  <c r="J3" i="6"/>
  <c r="R5" i="5"/>
  <c r="AB5" i="5" s="1"/>
  <c r="J41" i="6"/>
  <c r="J31" i="6"/>
  <c r="J22" i="6"/>
  <c r="J17" i="6"/>
  <c r="Q4" i="1"/>
  <c r="J21" i="6"/>
  <c r="J2" i="6"/>
  <c r="J6" i="6"/>
  <c r="J26" i="6"/>
  <c r="S5" i="5"/>
  <c r="J25" i="6"/>
  <c r="S4" i="5"/>
  <c r="J30" i="6"/>
  <c r="J11" i="6"/>
  <c r="P7" i="1"/>
  <c r="P8" i="1" s="1"/>
  <c r="J34" i="6"/>
  <c r="H2" i="6"/>
  <c r="J15" i="6"/>
  <c r="Q6" i="1"/>
  <c r="R6" i="1" s="1"/>
  <c r="Q7" i="1"/>
  <c r="R7" i="1" s="1"/>
  <c r="T5" i="5"/>
  <c r="S3" i="1"/>
  <c r="S3" i="5"/>
  <c r="T4" i="5"/>
  <c r="U3" i="1"/>
  <c r="W5" i="5"/>
  <c r="U3" i="5"/>
  <c r="U4" i="1"/>
  <c r="W3" i="5"/>
  <c r="U4" i="5"/>
  <c r="W4" i="5"/>
  <c r="U5" i="5"/>
  <c r="V3" i="5"/>
  <c r="U5" i="1"/>
  <c r="V7" i="1"/>
  <c r="V3" i="1"/>
  <c r="T5" i="1"/>
  <c r="V5" i="5"/>
  <c r="V4" i="5"/>
  <c r="T7" i="1"/>
  <c r="T6" i="1"/>
  <c r="T3" i="1"/>
  <c r="U7" i="1"/>
  <c r="T8" i="1"/>
  <c r="T4" i="1"/>
  <c r="U6" i="1"/>
  <c r="V6" i="1"/>
  <c r="V5" i="1"/>
  <c r="Q8" i="1"/>
  <c r="P9" i="1"/>
  <c r="U6" i="5"/>
  <c r="R6" i="5"/>
  <c r="AB6" i="5" s="1"/>
  <c r="U8" i="1"/>
  <c r="R8" i="1"/>
  <c r="T9" i="1"/>
  <c r="P10" i="1"/>
  <c r="Q9" i="1"/>
  <c r="V6" i="5"/>
  <c r="S6" i="5"/>
  <c r="U7" i="5"/>
  <c r="R7" i="5"/>
  <c r="AB7" i="5" s="1"/>
  <c r="V8" i="1"/>
  <c r="T10" i="1"/>
  <c r="P11" i="1"/>
  <c r="Q10" i="1"/>
  <c r="U9" i="1"/>
  <c r="R9" i="1"/>
  <c r="W6" i="5"/>
  <c r="V7" i="5"/>
  <c r="U8" i="5"/>
  <c r="R8" i="5"/>
  <c r="AB8" i="5" s="1"/>
  <c r="T11" i="1"/>
  <c r="Q11" i="1"/>
  <c r="P12" i="1"/>
  <c r="U10" i="1"/>
  <c r="R10" i="1"/>
  <c r="V9" i="1"/>
  <c r="U9" i="5"/>
  <c r="R9" i="5"/>
  <c r="AB9" i="5" s="1"/>
  <c r="V8" i="5"/>
  <c r="U11" i="1"/>
  <c r="R11" i="1"/>
  <c r="T12" i="1"/>
  <c r="Q12" i="1"/>
  <c r="P13" i="1"/>
  <c r="V10" i="1"/>
  <c r="U10" i="5"/>
  <c r="R10" i="5"/>
  <c r="AB10" i="5" s="1"/>
  <c r="V9" i="5"/>
  <c r="V11" i="1"/>
  <c r="U12" i="1"/>
  <c r="R12" i="1"/>
  <c r="T13" i="1"/>
  <c r="P14" i="1"/>
  <c r="Q13" i="1"/>
  <c r="U11" i="5"/>
  <c r="R11" i="5"/>
  <c r="AB11" i="5" s="1"/>
  <c r="V10" i="5"/>
  <c r="S10" i="5"/>
  <c r="V12" i="1"/>
  <c r="T14" i="1"/>
  <c r="P15" i="1"/>
  <c r="Q14" i="1"/>
  <c r="U13" i="1"/>
  <c r="R13" i="1"/>
  <c r="V11" i="5"/>
  <c r="U12" i="5"/>
  <c r="R12" i="5"/>
  <c r="AB12" i="5" s="1"/>
  <c r="W10" i="5"/>
  <c r="T15" i="1"/>
  <c r="Q15" i="1"/>
  <c r="P16" i="1"/>
  <c r="U14" i="1"/>
  <c r="R14" i="1"/>
  <c r="V13" i="1"/>
  <c r="U13" i="5"/>
  <c r="R13" i="5"/>
  <c r="AB13" i="5" s="1"/>
  <c r="V12" i="5"/>
  <c r="U15" i="1"/>
  <c r="R15" i="1"/>
  <c r="T16" i="1"/>
  <c r="P17" i="1"/>
  <c r="Q16" i="1"/>
  <c r="V14" i="1"/>
  <c r="V13" i="5"/>
  <c r="U14" i="5"/>
  <c r="R14" i="5"/>
  <c r="AB14" i="5" s="1"/>
  <c r="V15" i="1"/>
  <c r="T17" i="1"/>
  <c r="P18" i="1"/>
  <c r="Q17" i="1"/>
  <c r="U16" i="1"/>
  <c r="R16" i="1"/>
  <c r="U15" i="5"/>
  <c r="R15" i="5"/>
  <c r="AB15" i="5" s="1"/>
  <c r="V14" i="5"/>
  <c r="S14" i="5"/>
  <c r="T18" i="1"/>
  <c r="P19" i="1"/>
  <c r="Q18" i="1"/>
  <c r="U17" i="1"/>
  <c r="R17" i="1"/>
  <c r="V16" i="1"/>
  <c r="V15" i="5"/>
  <c r="U16" i="5"/>
  <c r="R16" i="5"/>
  <c r="AB16" i="5" s="1"/>
  <c r="W14" i="5"/>
  <c r="T19" i="1"/>
  <c r="Q19" i="1"/>
  <c r="P20" i="1"/>
  <c r="U18" i="1"/>
  <c r="R18" i="1"/>
  <c r="V17" i="1"/>
  <c r="V16" i="5"/>
  <c r="U17" i="5"/>
  <c r="R17" i="5"/>
  <c r="AB17" i="5" s="1"/>
  <c r="U19" i="1"/>
  <c r="R19" i="1"/>
  <c r="T20" i="1"/>
  <c r="P21" i="1"/>
  <c r="Q20" i="1"/>
  <c r="V18" i="1"/>
  <c r="V17" i="5"/>
  <c r="U18" i="5"/>
  <c r="R18" i="5"/>
  <c r="AB18" i="5" s="1"/>
  <c r="V19" i="1"/>
  <c r="T21" i="1"/>
  <c r="P22" i="1"/>
  <c r="Q21" i="1"/>
  <c r="U20" i="1"/>
  <c r="R20" i="1"/>
  <c r="U19" i="5"/>
  <c r="R19" i="5"/>
  <c r="AB19" i="5" s="1"/>
  <c r="V18" i="5"/>
  <c r="S18" i="5"/>
  <c r="T22" i="1"/>
  <c r="P23" i="1"/>
  <c r="Q22" i="1"/>
  <c r="U21" i="1"/>
  <c r="R21" i="1"/>
  <c r="V20" i="1"/>
  <c r="V19" i="5"/>
  <c r="U20" i="5"/>
  <c r="R20" i="5"/>
  <c r="AB20" i="5" s="1"/>
  <c r="W18" i="5"/>
  <c r="T23" i="1"/>
  <c r="P24" i="1"/>
  <c r="Q23" i="1"/>
  <c r="U22" i="1"/>
  <c r="R22" i="1"/>
  <c r="V21" i="1"/>
  <c r="U21" i="5"/>
  <c r="R21" i="5"/>
  <c r="AB21" i="5" s="1"/>
  <c r="V20" i="5"/>
  <c r="S20" i="5"/>
  <c r="T24" i="1"/>
  <c r="Q24" i="1"/>
  <c r="P25" i="1"/>
  <c r="U23" i="1"/>
  <c r="R23" i="1"/>
  <c r="V22" i="1"/>
  <c r="V21" i="5"/>
  <c r="U22" i="5"/>
  <c r="R22" i="5"/>
  <c r="AB22" i="5" s="1"/>
  <c r="W20" i="5"/>
  <c r="U24" i="1"/>
  <c r="R24" i="1"/>
  <c r="T25" i="1"/>
  <c r="P26" i="1"/>
  <c r="Q25" i="1"/>
  <c r="V23" i="1"/>
  <c r="U23" i="5"/>
  <c r="R23" i="5"/>
  <c r="AB23" i="5" s="1"/>
  <c r="V22" i="5"/>
  <c r="S22" i="5"/>
  <c r="V24" i="1"/>
  <c r="T26" i="1"/>
  <c r="P27" i="1"/>
  <c r="Q26" i="1"/>
  <c r="U25" i="1"/>
  <c r="R25" i="1"/>
  <c r="U24" i="5"/>
  <c r="R24" i="5"/>
  <c r="AB24" i="5" s="1"/>
  <c r="V23" i="5"/>
  <c r="W22" i="5"/>
  <c r="T27" i="1"/>
  <c r="P28" i="1"/>
  <c r="Q27" i="1"/>
  <c r="U26" i="1"/>
  <c r="R26" i="1"/>
  <c r="V25" i="1"/>
  <c r="V24" i="5"/>
  <c r="U25" i="5"/>
  <c r="R25" i="5"/>
  <c r="AB25" i="5" s="1"/>
  <c r="T28" i="1"/>
  <c r="Q28" i="1"/>
  <c r="P29" i="1"/>
  <c r="U27" i="1"/>
  <c r="R27" i="1"/>
  <c r="V26" i="1"/>
  <c r="V25" i="5"/>
  <c r="U26" i="5"/>
  <c r="R26" i="5"/>
  <c r="AB26" i="5" s="1"/>
  <c r="U28" i="1"/>
  <c r="R28" i="1"/>
  <c r="T29" i="1"/>
  <c r="P30" i="1"/>
  <c r="Q29" i="1"/>
  <c r="V27" i="1"/>
  <c r="U27" i="5"/>
  <c r="R27" i="5"/>
  <c r="AB27" i="5" s="1"/>
  <c r="V26" i="5"/>
  <c r="V28" i="1"/>
  <c r="T30" i="1"/>
  <c r="P31" i="1"/>
  <c r="Q30" i="1"/>
  <c r="U29" i="1"/>
  <c r="R29" i="1"/>
  <c r="U28" i="5"/>
  <c r="R28" i="5"/>
  <c r="AB28" i="5" s="1"/>
  <c r="V27" i="5"/>
  <c r="T31" i="1"/>
  <c r="P32" i="1"/>
  <c r="Q31" i="1"/>
  <c r="U30" i="1"/>
  <c r="R30" i="1"/>
  <c r="V29" i="1"/>
  <c r="V28" i="5"/>
  <c r="U29" i="5"/>
  <c r="R29" i="5"/>
  <c r="AB29" i="5" s="1"/>
  <c r="T32" i="1"/>
  <c r="P33" i="1"/>
  <c r="Q32" i="1"/>
  <c r="U31" i="1"/>
  <c r="R31" i="1"/>
  <c r="V30" i="1"/>
  <c r="U30" i="5"/>
  <c r="R30" i="5"/>
  <c r="AB30" i="5" s="1"/>
  <c r="V29" i="5"/>
  <c r="S29" i="5"/>
  <c r="T33" i="1"/>
  <c r="P34" i="1"/>
  <c r="Q33" i="1"/>
  <c r="U32" i="1"/>
  <c r="R32" i="1"/>
  <c r="V31" i="1"/>
  <c r="V30" i="5"/>
  <c r="S30" i="5"/>
  <c r="U31" i="5"/>
  <c r="R31" i="5"/>
  <c r="AB31" i="5" s="1"/>
  <c r="W29" i="5"/>
  <c r="T34" i="1"/>
  <c r="Q34" i="1"/>
  <c r="P35" i="1"/>
  <c r="U33" i="1"/>
  <c r="R33" i="1"/>
  <c r="V32" i="1"/>
  <c r="W30" i="5"/>
  <c r="V31" i="5"/>
  <c r="U32" i="5"/>
  <c r="R32" i="5"/>
  <c r="AB32" i="5" s="1"/>
  <c r="U34" i="1"/>
  <c r="R34" i="1"/>
  <c r="T35" i="1"/>
  <c r="P36" i="1"/>
  <c r="Q35" i="1"/>
  <c r="V33" i="1"/>
  <c r="U33" i="5"/>
  <c r="R33" i="5"/>
  <c r="AB33" i="5" s="1"/>
  <c r="V32" i="5"/>
  <c r="V34" i="1"/>
  <c r="T36" i="1"/>
  <c r="Q36" i="1"/>
  <c r="P37" i="1"/>
  <c r="U35" i="1"/>
  <c r="R35" i="1"/>
  <c r="U34" i="5"/>
  <c r="R34" i="5"/>
  <c r="AB34" i="5" s="1"/>
  <c r="V33" i="5"/>
  <c r="S33" i="5"/>
  <c r="U36" i="1"/>
  <c r="R36" i="1"/>
  <c r="T37" i="1"/>
  <c r="Q37" i="1"/>
  <c r="P38" i="1"/>
  <c r="V35" i="1"/>
  <c r="U35" i="5"/>
  <c r="R35" i="5"/>
  <c r="AB35" i="5" s="1"/>
  <c r="V34" i="5"/>
  <c r="W33" i="5"/>
  <c r="V36" i="1"/>
  <c r="U37" i="1"/>
  <c r="R37" i="1"/>
  <c r="T38" i="1"/>
  <c r="Q38" i="1"/>
  <c r="P39" i="1"/>
  <c r="V35" i="5"/>
  <c r="V37" i="1"/>
  <c r="U38" i="1"/>
  <c r="R38" i="1"/>
  <c r="T39" i="1"/>
  <c r="P40" i="1"/>
  <c r="Q39" i="1"/>
  <c r="V38" i="1"/>
  <c r="T40" i="1"/>
  <c r="P41" i="1"/>
  <c r="Q40" i="1"/>
  <c r="U39" i="1"/>
  <c r="R39" i="1"/>
  <c r="T41" i="1"/>
  <c r="Q41" i="1"/>
  <c r="P42" i="1"/>
  <c r="U40" i="1"/>
  <c r="R40" i="1"/>
  <c r="V39" i="1"/>
  <c r="U41" i="1"/>
  <c r="R41" i="1"/>
  <c r="T42" i="1"/>
  <c r="P43" i="1"/>
  <c r="Q42" i="1"/>
  <c r="V40" i="1"/>
  <c r="V41" i="1"/>
  <c r="T43" i="1"/>
  <c r="P44" i="1"/>
  <c r="Q43" i="1"/>
  <c r="U42" i="1"/>
  <c r="R42" i="1"/>
  <c r="T44" i="1"/>
  <c r="Q44" i="1"/>
  <c r="P45" i="1"/>
  <c r="U43" i="1"/>
  <c r="R43" i="1"/>
  <c r="V42" i="1"/>
  <c r="U44" i="1"/>
  <c r="R44" i="1"/>
  <c r="T45" i="1"/>
  <c r="Q45" i="1"/>
  <c r="P46" i="1"/>
  <c r="V43" i="1"/>
  <c r="V44" i="1"/>
  <c r="U45" i="1"/>
  <c r="R45" i="1"/>
  <c r="T46" i="1"/>
  <c r="Q46" i="1"/>
  <c r="P47" i="1"/>
  <c r="V45" i="1"/>
  <c r="U46" i="1"/>
  <c r="R46" i="1"/>
  <c r="T47" i="1"/>
  <c r="P48" i="1"/>
  <c r="Q47" i="1"/>
  <c r="V46" i="1"/>
  <c r="T48" i="1"/>
  <c r="P49" i="1"/>
  <c r="Q48" i="1"/>
  <c r="U47" i="1"/>
  <c r="R47" i="1"/>
  <c r="T49" i="1"/>
  <c r="P50" i="1"/>
  <c r="Q49" i="1"/>
  <c r="U48" i="1"/>
  <c r="R48" i="1"/>
  <c r="V47" i="1"/>
  <c r="T50" i="1"/>
  <c r="Q50" i="1"/>
  <c r="P51" i="1"/>
  <c r="U49" i="1"/>
  <c r="R49" i="1"/>
  <c r="V48" i="1"/>
  <c r="U50" i="1"/>
  <c r="R50" i="1"/>
  <c r="T51" i="1"/>
  <c r="P52" i="1"/>
  <c r="Q51" i="1"/>
  <c r="V49" i="1"/>
  <c r="V50" i="1"/>
  <c r="T52" i="1"/>
  <c r="Q52" i="1"/>
  <c r="P53" i="1"/>
  <c r="U51" i="1"/>
  <c r="R51" i="1"/>
  <c r="U52" i="1"/>
  <c r="R52" i="1"/>
  <c r="T53" i="1"/>
  <c r="P54" i="1"/>
  <c r="Q53" i="1"/>
  <c r="V51" i="1"/>
  <c r="V52" i="1"/>
  <c r="T54" i="1"/>
  <c r="P55" i="1"/>
  <c r="Q54" i="1"/>
  <c r="U53" i="1"/>
  <c r="R53" i="1"/>
  <c r="T55" i="1"/>
  <c r="Q55" i="1"/>
  <c r="P56" i="1"/>
  <c r="U54" i="1"/>
  <c r="R54" i="1"/>
  <c r="V53" i="1"/>
  <c r="U55" i="1"/>
  <c r="R55" i="1"/>
  <c r="T56" i="1"/>
  <c r="Q56" i="1"/>
  <c r="P57" i="1"/>
  <c r="V54" i="1"/>
  <c r="V55" i="1"/>
  <c r="U56" i="1"/>
  <c r="R56" i="1"/>
  <c r="T57" i="1"/>
  <c r="P58" i="1"/>
  <c r="Q57" i="1"/>
  <c r="V56" i="1"/>
  <c r="T58" i="1"/>
  <c r="Q58" i="1"/>
  <c r="P59" i="1"/>
  <c r="U57" i="1"/>
  <c r="R57" i="1"/>
  <c r="U58" i="1"/>
  <c r="R58" i="1"/>
  <c r="T59" i="1"/>
  <c r="P60" i="1"/>
  <c r="Q59" i="1"/>
  <c r="V57" i="1"/>
  <c r="V58" i="1"/>
  <c r="T60" i="1"/>
  <c r="P61" i="1"/>
  <c r="Q60" i="1"/>
  <c r="U59" i="1"/>
  <c r="R59" i="1"/>
  <c r="T61" i="1"/>
  <c r="Q61" i="1"/>
  <c r="P62" i="1"/>
  <c r="U60" i="1"/>
  <c r="R60" i="1"/>
  <c r="V59" i="1"/>
  <c r="U61" i="1"/>
  <c r="R61" i="1"/>
  <c r="T62" i="1"/>
  <c r="P63" i="1"/>
  <c r="Q62" i="1"/>
  <c r="V60" i="1"/>
  <c r="V61" i="1"/>
  <c r="T63" i="1"/>
  <c r="P64" i="1"/>
  <c r="Q63" i="1"/>
  <c r="U62" i="1"/>
  <c r="R62" i="1"/>
  <c r="T64" i="1"/>
  <c r="P65" i="1"/>
  <c r="Q64" i="1"/>
  <c r="U63" i="1"/>
  <c r="R63" i="1"/>
  <c r="V62" i="1"/>
  <c r="T65" i="1"/>
  <c r="P66" i="1"/>
  <c r="Q65" i="1"/>
  <c r="U64" i="1"/>
  <c r="R64" i="1"/>
  <c r="V63" i="1"/>
  <c r="T66" i="1"/>
  <c r="P67" i="1"/>
  <c r="Q66" i="1"/>
  <c r="U65" i="1"/>
  <c r="R65" i="1"/>
  <c r="V64" i="1"/>
  <c r="T67" i="1"/>
  <c r="P68" i="1"/>
  <c r="Q67" i="1"/>
  <c r="U66" i="1"/>
  <c r="R66" i="1"/>
  <c r="V65" i="1"/>
  <c r="T68" i="1"/>
  <c r="Q68" i="1"/>
  <c r="P69" i="1"/>
  <c r="U67" i="1"/>
  <c r="R67" i="1"/>
  <c r="V66" i="1"/>
  <c r="U68" i="1"/>
  <c r="R68" i="1"/>
  <c r="T69" i="1"/>
  <c r="P70" i="1"/>
  <c r="Q69" i="1"/>
  <c r="V67" i="1"/>
  <c r="V68" i="1"/>
  <c r="T70" i="1"/>
  <c r="P71" i="1"/>
  <c r="Q70" i="1"/>
  <c r="U69" i="1"/>
  <c r="R69" i="1"/>
  <c r="T71" i="1"/>
  <c r="Q71" i="1"/>
  <c r="P72" i="1"/>
  <c r="U70" i="1"/>
  <c r="R70" i="1"/>
  <c r="V69" i="1"/>
  <c r="U71" i="1"/>
  <c r="R71" i="1"/>
  <c r="T72" i="1"/>
  <c r="P73" i="1"/>
  <c r="Q72" i="1"/>
  <c r="V70" i="1"/>
  <c r="V71" i="1"/>
  <c r="T73" i="1"/>
  <c r="P74" i="1"/>
  <c r="Q73" i="1"/>
  <c r="U72" i="1"/>
  <c r="R72" i="1"/>
  <c r="T74" i="1"/>
  <c r="Q74" i="1"/>
  <c r="P75" i="1"/>
  <c r="U73" i="1"/>
  <c r="R73" i="1"/>
  <c r="V72" i="1"/>
  <c r="U74" i="1"/>
  <c r="R74" i="1"/>
  <c r="T75" i="1"/>
  <c r="P76" i="1"/>
  <c r="Q75" i="1"/>
  <c r="V73" i="1"/>
  <c r="V74" i="1"/>
  <c r="T76" i="1"/>
  <c r="P77" i="1"/>
  <c r="Q76" i="1"/>
  <c r="U75" i="1"/>
  <c r="R75" i="1"/>
  <c r="T77" i="1"/>
  <c r="P78" i="1"/>
  <c r="Q77" i="1"/>
  <c r="U76" i="1"/>
  <c r="R76" i="1"/>
  <c r="V75" i="1"/>
  <c r="T78" i="1"/>
  <c r="Q78" i="1"/>
  <c r="P79" i="1"/>
  <c r="U77" i="1"/>
  <c r="R77" i="1"/>
  <c r="V76" i="1"/>
  <c r="U78" i="1"/>
  <c r="R78" i="1"/>
  <c r="T79" i="1"/>
  <c r="P80" i="1"/>
  <c r="Q79" i="1"/>
  <c r="V77" i="1"/>
  <c r="V78" i="1"/>
  <c r="T80" i="1"/>
  <c r="P81" i="1"/>
  <c r="Q80" i="1"/>
  <c r="U79" i="1"/>
  <c r="R79" i="1"/>
  <c r="T81" i="1"/>
  <c r="Q81" i="1"/>
  <c r="P82" i="1"/>
  <c r="U80" i="1"/>
  <c r="R80" i="1"/>
  <c r="V79" i="1"/>
  <c r="U81" i="1"/>
  <c r="R81" i="1"/>
  <c r="T82" i="1"/>
  <c r="Q82" i="1"/>
  <c r="P83" i="1"/>
  <c r="V80" i="1"/>
  <c r="V81" i="1"/>
  <c r="U82" i="1"/>
  <c r="R82" i="1"/>
  <c r="T83" i="1"/>
  <c r="Q83" i="1"/>
  <c r="P84" i="1"/>
  <c r="V82" i="1"/>
  <c r="U83" i="1"/>
  <c r="R83" i="1"/>
  <c r="T84" i="1"/>
  <c r="Q84" i="1"/>
  <c r="P85" i="1"/>
  <c r="V83" i="1"/>
  <c r="U84" i="1"/>
  <c r="R84" i="1"/>
  <c r="T85" i="1"/>
  <c r="Q85" i="1"/>
  <c r="P86" i="1"/>
  <c r="V84" i="1"/>
  <c r="U85" i="1"/>
  <c r="R85" i="1"/>
  <c r="T86" i="1"/>
  <c r="Q86" i="1"/>
  <c r="P87" i="1"/>
  <c r="V85" i="1"/>
  <c r="U86" i="1"/>
  <c r="R86" i="1"/>
  <c r="T87" i="1"/>
  <c r="P88" i="1"/>
  <c r="Q87" i="1"/>
  <c r="V86" i="1"/>
  <c r="T88" i="1"/>
  <c r="P89" i="1"/>
  <c r="Q88" i="1"/>
  <c r="U87" i="1"/>
  <c r="R87" i="1"/>
  <c r="T89" i="1"/>
  <c r="Q89" i="1"/>
  <c r="P90" i="1"/>
  <c r="U88" i="1"/>
  <c r="R88" i="1"/>
  <c r="V87" i="1"/>
  <c r="U89" i="1"/>
  <c r="R89" i="1"/>
  <c r="T90" i="1"/>
  <c r="P91" i="1"/>
  <c r="Q90" i="1"/>
  <c r="V88" i="1"/>
  <c r="V89" i="1"/>
  <c r="T91" i="1"/>
  <c r="P92" i="1"/>
  <c r="Q91" i="1"/>
  <c r="U90" i="1"/>
  <c r="R90" i="1"/>
  <c r="T92" i="1"/>
  <c r="Q92" i="1"/>
  <c r="P93" i="1"/>
  <c r="U91" i="1"/>
  <c r="R91" i="1"/>
  <c r="V90" i="1"/>
  <c r="U92" i="1"/>
  <c r="R92" i="1"/>
  <c r="T93" i="1"/>
  <c r="Q93" i="1"/>
  <c r="P94" i="1"/>
  <c r="V91" i="1"/>
  <c r="V92" i="1"/>
  <c r="U93" i="1"/>
  <c r="R93" i="1"/>
  <c r="T94" i="1"/>
  <c r="Q94" i="1"/>
  <c r="P95" i="1"/>
  <c r="V93" i="1"/>
  <c r="U94" i="1"/>
  <c r="R94" i="1"/>
  <c r="T95" i="1"/>
  <c r="P96" i="1"/>
  <c r="Q95" i="1"/>
  <c r="V94" i="1"/>
  <c r="T96" i="1"/>
  <c r="Q96" i="1"/>
  <c r="P97" i="1"/>
  <c r="U95" i="1"/>
  <c r="R95" i="1"/>
  <c r="U96" i="1"/>
  <c r="R96" i="1"/>
  <c r="T97" i="1"/>
  <c r="Q97" i="1"/>
  <c r="P98" i="1"/>
  <c r="V95" i="1"/>
  <c r="V96" i="1"/>
  <c r="U97" i="1"/>
  <c r="R97" i="1"/>
  <c r="T98" i="1"/>
  <c r="Q98" i="1"/>
  <c r="P99" i="1"/>
  <c r="V97" i="1"/>
  <c r="U98" i="1"/>
  <c r="R98" i="1"/>
  <c r="T99" i="1"/>
  <c r="Q99" i="1"/>
  <c r="P100" i="1"/>
  <c r="V98" i="1"/>
  <c r="U99" i="1"/>
  <c r="R99" i="1"/>
  <c r="T100" i="1"/>
  <c r="Q100" i="1"/>
  <c r="P101" i="1"/>
  <c r="V99" i="1"/>
  <c r="U100" i="1"/>
  <c r="R100" i="1"/>
  <c r="T101" i="1"/>
  <c r="P102" i="1"/>
  <c r="Q101" i="1"/>
  <c r="V100" i="1"/>
  <c r="T102" i="1"/>
  <c r="P103" i="1"/>
  <c r="Q102" i="1"/>
  <c r="U101" i="1"/>
  <c r="R101" i="1"/>
  <c r="T103" i="1"/>
  <c r="P104" i="1"/>
  <c r="Q103" i="1"/>
  <c r="U102" i="1"/>
  <c r="R102" i="1"/>
  <c r="V101" i="1"/>
  <c r="T104" i="1"/>
  <c r="Q104" i="1"/>
  <c r="P105" i="1"/>
  <c r="U103" i="1"/>
  <c r="R103" i="1"/>
  <c r="V102" i="1"/>
  <c r="U104" i="1"/>
  <c r="R104" i="1"/>
  <c r="T105" i="1"/>
  <c r="P106" i="1"/>
  <c r="Q105" i="1"/>
  <c r="V103" i="1"/>
  <c r="V104" i="1"/>
  <c r="T106" i="1"/>
  <c r="P107" i="1"/>
  <c r="Q106" i="1"/>
  <c r="U105" i="1"/>
  <c r="R105" i="1"/>
  <c r="T107" i="1"/>
  <c r="Q107" i="1"/>
  <c r="P108" i="1"/>
  <c r="U106" i="1"/>
  <c r="R106" i="1"/>
  <c r="V105" i="1"/>
  <c r="U107" i="1"/>
  <c r="R107" i="1"/>
  <c r="T108" i="1"/>
  <c r="P109" i="1"/>
  <c r="Q108" i="1"/>
  <c r="V106" i="1"/>
  <c r="V107" i="1"/>
  <c r="T109" i="1"/>
  <c r="P110" i="1"/>
  <c r="Q109" i="1"/>
  <c r="U108" i="1"/>
  <c r="R108" i="1"/>
  <c r="T110" i="1"/>
  <c r="Q110" i="1"/>
  <c r="P111" i="1"/>
  <c r="U109" i="1"/>
  <c r="R109" i="1"/>
  <c r="V108" i="1"/>
  <c r="U110" i="1"/>
  <c r="R110" i="1"/>
  <c r="T111" i="1"/>
  <c r="P112" i="1"/>
  <c r="Q111" i="1"/>
  <c r="V109" i="1"/>
  <c r="V110" i="1"/>
  <c r="T112" i="1"/>
  <c r="Q112" i="1"/>
  <c r="P113" i="1"/>
  <c r="U111" i="1"/>
  <c r="R111" i="1"/>
  <c r="U112" i="1"/>
  <c r="R112" i="1"/>
  <c r="T113" i="1"/>
  <c r="P114" i="1"/>
  <c r="Q113" i="1"/>
  <c r="V111" i="1"/>
  <c r="V112" i="1"/>
  <c r="T114" i="1"/>
  <c r="Q114" i="1"/>
  <c r="P115" i="1"/>
  <c r="U113" i="1"/>
  <c r="R113" i="1"/>
  <c r="U114" i="1"/>
  <c r="R114" i="1"/>
  <c r="T115" i="1"/>
  <c r="Q115" i="1"/>
  <c r="P116" i="1"/>
  <c r="V113" i="1"/>
  <c r="V114" i="1"/>
  <c r="U115" i="1"/>
  <c r="R115" i="1"/>
  <c r="T116" i="1"/>
  <c r="P117" i="1"/>
  <c r="Q116" i="1"/>
  <c r="V115" i="1"/>
  <c r="T117" i="1"/>
  <c r="Q117" i="1"/>
  <c r="P118" i="1"/>
  <c r="U116" i="1"/>
  <c r="R116" i="1"/>
  <c r="U117" i="1"/>
  <c r="R117" i="1"/>
  <c r="T118" i="1"/>
  <c r="P119" i="1"/>
  <c r="Q118" i="1"/>
  <c r="V116" i="1"/>
  <c r="V117" i="1"/>
  <c r="T119" i="1"/>
  <c r="Q119" i="1"/>
  <c r="P120" i="1"/>
  <c r="U118" i="1"/>
  <c r="R118" i="1"/>
  <c r="U119" i="1"/>
  <c r="R119" i="1"/>
  <c r="T120" i="1"/>
  <c r="Q120" i="1"/>
  <c r="P121" i="1"/>
  <c r="V118" i="1"/>
  <c r="V119" i="1"/>
  <c r="U120" i="1"/>
  <c r="R120" i="1"/>
  <c r="T121" i="1"/>
  <c r="P122" i="1"/>
  <c r="Q121" i="1"/>
  <c r="V120" i="1"/>
  <c r="T122" i="1"/>
  <c r="P123" i="1"/>
  <c r="Q122" i="1"/>
  <c r="U121" i="1"/>
  <c r="R121" i="1"/>
  <c r="T123" i="1"/>
  <c r="P124" i="1"/>
  <c r="Q123" i="1"/>
  <c r="U122" i="1"/>
  <c r="R122" i="1"/>
  <c r="V121" i="1"/>
  <c r="T124" i="1"/>
  <c r="Q124" i="1"/>
  <c r="P125" i="1"/>
  <c r="U123" i="1"/>
  <c r="R123" i="1"/>
  <c r="V122" i="1"/>
  <c r="U124" i="1"/>
  <c r="R124" i="1"/>
  <c r="T125" i="1"/>
  <c r="P126" i="1"/>
  <c r="Q125" i="1"/>
  <c r="V123" i="1"/>
  <c r="V124" i="1"/>
  <c r="T126" i="1"/>
  <c r="Q126" i="1"/>
  <c r="P127" i="1"/>
  <c r="U125" i="1"/>
  <c r="R125" i="1"/>
  <c r="U126" i="1"/>
  <c r="R126" i="1"/>
  <c r="T127" i="1"/>
  <c r="Q127" i="1"/>
  <c r="P128" i="1"/>
  <c r="V125" i="1"/>
  <c r="V126" i="1"/>
  <c r="U127" i="1"/>
  <c r="R127" i="1"/>
  <c r="T128" i="1"/>
  <c r="Q128" i="1"/>
  <c r="P129" i="1"/>
  <c r="V127" i="1"/>
  <c r="U128" i="1"/>
  <c r="R128" i="1"/>
  <c r="T129" i="1"/>
  <c r="Q129" i="1"/>
  <c r="P130" i="1"/>
  <c r="V128" i="1"/>
  <c r="U129" i="1"/>
  <c r="R129" i="1"/>
  <c r="T130" i="1"/>
  <c r="P131" i="1"/>
  <c r="Q130" i="1"/>
  <c r="V129" i="1"/>
  <c r="T131" i="1"/>
  <c r="Q131" i="1"/>
  <c r="P132" i="1"/>
  <c r="U130" i="1"/>
  <c r="R130" i="1"/>
  <c r="U131" i="1"/>
  <c r="R131" i="1"/>
  <c r="T132" i="1"/>
  <c r="Q132" i="1"/>
  <c r="P133" i="1"/>
  <c r="V130" i="1"/>
  <c r="V131" i="1"/>
  <c r="U132" i="1"/>
  <c r="R132" i="1"/>
  <c r="T133" i="1"/>
  <c r="Q133" i="1"/>
  <c r="P134" i="1"/>
  <c r="V132" i="1"/>
  <c r="U133" i="1"/>
  <c r="R133" i="1"/>
  <c r="T134" i="1"/>
  <c r="Q134" i="1"/>
  <c r="P135" i="1"/>
  <c r="V133" i="1"/>
  <c r="U134" i="1"/>
  <c r="R134" i="1"/>
  <c r="T135" i="1"/>
  <c r="Q135" i="1"/>
  <c r="P136" i="1"/>
  <c r="V134" i="1"/>
  <c r="U135" i="1"/>
  <c r="R135" i="1"/>
  <c r="T136" i="1"/>
  <c r="P137" i="1"/>
  <c r="Q136" i="1"/>
  <c r="V135" i="1"/>
  <c r="T137" i="1"/>
  <c r="P138" i="1"/>
  <c r="Q137" i="1"/>
  <c r="U136" i="1"/>
  <c r="R136" i="1"/>
  <c r="T138" i="1"/>
  <c r="Q138" i="1"/>
  <c r="P139" i="1"/>
  <c r="U137" i="1"/>
  <c r="R137" i="1"/>
  <c r="V136" i="1"/>
  <c r="U138" i="1"/>
  <c r="R138" i="1"/>
  <c r="T139" i="1"/>
  <c r="Q139" i="1"/>
  <c r="P140" i="1"/>
  <c r="V137" i="1"/>
  <c r="V138" i="1"/>
  <c r="U139" i="1"/>
  <c r="R139" i="1"/>
  <c r="T140" i="1"/>
  <c r="P141" i="1"/>
  <c r="Q140" i="1"/>
  <c r="V139" i="1"/>
  <c r="T141" i="1"/>
  <c r="Q141" i="1"/>
  <c r="P142" i="1"/>
  <c r="U140" i="1"/>
  <c r="R140" i="1"/>
  <c r="U141" i="1"/>
  <c r="R141" i="1"/>
  <c r="T142" i="1"/>
  <c r="P143" i="1"/>
  <c r="Q142" i="1"/>
  <c r="V140" i="1"/>
  <c r="V141" i="1"/>
  <c r="T143" i="1"/>
  <c r="Q143" i="1"/>
  <c r="P144" i="1"/>
  <c r="U142" i="1"/>
  <c r="R142" i="1"/>
  <c r="U143" i="1"/>
  <c r="R143" i="1"/>
  <c r="T144" i="1"/>
  <c r="Q144" i="1"/>
  <c r="P145" i="1"/>
  <c r="V142" i="1"/>
  <c r="V143" i="1"/>
  <c r="U144" i="1"/>
  <c r="R144" i="1"/>
  <c r="T145" i="1"/>
  <c r="Q145" i="1"/>
  <c r="P146" i="1"/>
  <c r="V144" i="1"/>
  <c r="U145" i="1"/>
  <c r="R145" i="1"/>
  <c r="T146" i="1"/>
  <c r="Q146" i="1"/>
  <c r="P147" i="1"/>
  <c r="V145" i="1"/>
  <c r="U146" i="1"/>
  <c r="R146" i="1"/>
  <c r="T147" i="1"/>
  <c r="Q147" i="1"/>
  <c r="P148" i="1"/>
  <c r="V146" i="1"/>
  <c r="U147" i="1"/>
  <c r="R147" i="1"/>
  <c r="T148" i="1"/>
  <c r="Q148" i="1"/>
  <c r="P149" i="1"/>
  <c r="V147" i="1"/>
  <c r="U148" i="1"/>
  <c r="R148" i="1"/>
  <c r="T149" i="1"/>
  <c r="Q149" i="1"/>
  <c r="P150" i="1"/>
  <c r="V148" i="1"/>
  <c r="U149" i="1"/>
  <c r="R149" i="1"/>
  <c r="T150" i="1"/>
  <c r="Q150" i="1"/>
  <c r="P151" i="1"/>
  <c r="V149" i="1"/>
  <c r="U150" i="1"/>
  <c r="R150" i="1"/>
  <c r="T151" i="1"/>
  <c r="P152" i="1"/>
  <c r="Q151" i="1"/>
  <c r="V150" i="1"/>
  <c r="T152" i="1"/>
  <c r="Q152" i="1"/>
  <c r="P153" i="1"/>
  <c r="U151" i="1"/>
  <c r="R151" i="1"/>
  <c r="U152" i="1"/>
  <c r="R152" i="1"/>
  <c r="T153" i="1"/>
  <c r="Q153" i="1"/>
  <c r="P154" i="1"/>
  <c r="V151" i="1"/>
  <c r="V152" i="1"/>
  <c r="U153" i="1"/>
  <c r="R153" i="1"/>
  <c r="T154" i="1"/>
  <c r="Q154" i="1"/>
  <c r="P155" i="1"/>
  <c r="V153" i="1"/>
  <c r="U154" i="1"/>
  <c r="R154" i="1"/>
  <c r="T155" i="1"/>
  <c r="P156" i="1"/>
  <c r="Q155" i="1"/>
  <c r="V154" i="1"/>
  <c r="T156" i="1"/>
  <c r="P157" i="1"/>
  <c r="Q156" i="1"/>
  <c r="U155" i="1"/>
  <c r="R155" i="1"/>
  <c r="T157" i="1"/>
  <c r="Q157" i="1"/>
  <c r="P158" i="1"/>
  <c r="U156" i="1"/>
  <c r="R156" i="1"/>
  <c r="V155" i="1"/>
  <c r="U157" i="1"/>
  <c r="R157" i="1"/>
  <c r="T158" i="1"/>
  <c r="Q158" i="1"/>
  <c r="P159" i="1"/>
  <c r="V156" i="1"/>
  <c r="V157" i="1"/>
  <c r="U158" i="1"/>
  <c r="R158" i="1"/>
  <c r="T159" i="1"/>
  <c r="Q159" i="1"/>
  <c r="P160" i="1"/>
  <c r="V158" i="1"/>
  <c r="U159" i="1"/>
  <c r="R159" i="1"/>
  <c r="T160" i="1"/>
  <c r="Q160" i="1"/>
  <c r="P161" i="1"/>
  <c r="V159" i="1"/>
  <c r="U160" i="1"/>
  <c r="R160" i="1"/>
  <c r="T161" i="1"/>
  <c r="Q161" i="1"/>
  <c r="P162" i="1"/>
  <c r="V160" i="1"/>
  <c r="U161" i="1"/>
  <c r="R161" i="1"/>
  <c r="T162" i="1"/>
  <c r="P163" i="1"/>
  <c r="Q162" i="1"/>
  <c r="V161" i="1"/>
  <c r="T163" i="1"/>
  <c r="P164" i="1"/>
  <c r="Q163" i="1"/>
  <c r="U162" i="1"/>
  <c r="R162" i="1"/>
  <c r="T164" i="1"/>
  <c r="Q164" i="1"/>
  <c r="P165" i="1"/>
  <c r="U163" i="1"/>
  <c r="R163" i="1"/>
  <c r="V162" i="1"/>
  <c r="U164" i="1"/>
  <c r="R164" i="1"/>
  <c r="T165" i="1"/>
  <c r="P166" i="1"/>
  <c r="Q165" i="1"/>
  <c r="V163" i="1"/>
  <c r="V164" i="1"/>
  <c r="T166" i="1"/>
  <c r="P167" i="1"/>
  <c r="Q166" i="1"/>
  <c r="U165" i="1"/>
  <c r="R165" i="1"/>
  <c r="T167" i="1"/>
  <c r="Q167" i="1"/>
  <c r="P168" i="1"/>
  <c r="U166" i="1"/>
  <c r="R166" i="1"/>
  <c r="V165" i="1"/>
  <c r="U167" i="1"/>
  <c r="R167" i="1"/>
  <c r="T168" i="1"/>
  <c r="P169" i="1"/>
  <c r="Q168" i="1"/>
  <c r="V166" i="1"/>
  <c r="V167" i="1"/>
  <c r="T169" i="1"/>
  <c r="P170" i="1"/>
  <c r="Q169" i="1"/>
  <c r="U168" i="1"/>
  <c r="R168" i="1"/>
  <c r="T170" i="1"/>
  <c r="Q170" i="1"/>
  <c r="P171" i="1"/>
  <c r="U169" i="1"/>
  <c r="R169" i="1"/>
  <c r="V168" i="1"/>
  <c r="U170" i="1"/>
  <c r="R170" i="1"/>
  <c r="T171" i="1"/>
  <c r="P172" i="1"/>
  <c r="Q171" i="1"/>
  <c r="V169" i="1"/>
  <c r="V170" i="1"/>
  <c r="T172" i="1"/>
  <c r="Q172" i="1"/>
  <c r="P173" i="1"/>
  <c r="U171" i="1"/>
  <c r="R171" i="1"/>
  <c r="U172" i="1"/>
  <c r="R172" i="1"/>
  <c r="T173" i="1"/>
  <c r="P174" i="1"/>
  <c r="Q173" i="1"/>
  <c r="V171" i="1"/>
  <c r="V172" i="1"/>
  <c r="T174" i="1"/>
  <c r="Q174" i="1"/>
  <c r="P175" i="1"/>
  <c r="U173" i="1"/>
  <c r="R173" i="1"/>
  <c r="U174" i="1"/>
  <c r="R174" i="1"/>
  <c r="T175" i="1"/>
  <c r="P176" i="1"/>
  <c r="Q175" i="1"/>
  <c r="V173" i="1"/>
  <c r="V174" i="1"/>
  <c r="T176" i="1"/>
  <c r="Q176" i="1"/>
  <c r="P177" i="1"/>
  <c r="U175" i="1"/>
  <c r="R175" i="1"/>
  <c r="U176" i="1"/>
  <c r="R176" i="1"/>
  <c r="T177" i="1"/>
  <c r="P178" i="1"/>
  <c r="Q177" i="1"/>
  <c r="V175" i="1"/>
  <c r="V176" i="1"/>
  <c r="T178" i="1"/>
  <c r="P179" i="1"/>
  <c r="Q178" i="1"/>
  <c r="U177" i="1"/>
  <c r="R177" i="1"/>
  <c r="T179" i="1"/>
  <c r="P180" i="1"/>
  <c r="Q179" i="1"/>
  <c r="U178" i="1"/>
  <c r="R178" i="1"/>
  <c r="V177" i="1"/>
  <c r="T180" i="1"/>
  <c r="P181" i="1"/>
  <c r="Q180" i="1"/>
  <c r="U179" i="1"/>
  <c r="R179" i="1"/>
  <c r="V178" i="1"/>
  <c r="T181" i="1"/>
  <c r="Q181" i="1"/>
  <c r="P182" i="1"/>
  <c r="U180" i="1"/>
  <c r="R180" i="1"/>
  <c r="V179" i="1"/>
  <c r="U181" i="1"/>
  <c r="R181" i="1"/>
  <c r="T182" i="1"/>
  <c r="Q182" i="1"/>
  <c r="P183" i="1"/>
  <c r="V180" i="1"/>
  <c r="V181" i="1"/>
  <c r="U182" i="1"/>
  <c r="R182" i="1"/>
  <c r="T183" i="1"/>
  <c r="P184" i="1"/>
  <c r="Q183" i="1"/>
  <c r="V182" i="1"/>
  <c r="T184" i="1"/>
  <c r="Q184" i="1"/>
  <c r="P185" i="1"/>
  <c r="U183" i="1"/>
  <c r="R183" i="1"/>
  <c r="U184" i="1"/>
  <c r="R184" i="1"/>
  <c r="T185" i="1"/>
  <c r="Q185" i="1"/>
  <c r="P186" i="1"/>
  <c r="V183" i="1"/>
  <c r="V184" i="1"/>
  <c r="U185" i="1"/>
  <c r="R185" i="1"/>
  <c r="T186" i="1"/>
  <c r="Q186" i="1"/>
  <c r="P187" i="1"/>
  <c r="V185" i="1"/>
  <c r="U186" i="1"/>
  <c r="R186" i="1"/>
  <c r="T187" i="1"/>
  <c r="Q187" i="1"/>
  <c r="P188" i="1"/>
  <c r="V186" i="1"/>
  <c r="U187" i="1"/>
  <c r="R187" i="1"/>
  <c r="T188" i="1"/>
  <c r="P189" i="1"/>
  <c r="Q188" i="1"/>
  <c r="V187" i="1"/>
  <c r="T189" i="1"/>
  <c r="Q189" i="1"/>
  <c r="P190" i="1"/>
  <c r="U188" i="1"/>
  <c r="R188" i="1"/>
  <c r="U189" i="1"/>
  <c r="R189" i="1"/>
  <c r="T190" i="1"/>
  <c r="Q190" i="1"/>
  <c r="P191" i="1"/>
  <c r="V188" i="1"/>
  <c r="V189" i="1"/>
  <c r="U190" i="1"/>
  <c r="R190" i="1"/>
  <c r="T191" i="1"/>
  <c r="Q191" i="1"/>
  <c r="P192" i="1"/>
  <c r="V190" i="1"/>
  <c r="U191" i="1"/>
  <c r="R191" i="1"/>
  <c r="T192" i="1"/>
  <c r="Q192" i="1"/>
  <c r="P193" i="1"/>
  <c r="V191" i="1"/>
  <c r="U192" i="1"/>
  <c r="R192" i="1"/>
  <c r="T193" i="1"/>
  <c r="P194" i="1"/>
  <c r="Q193" i="1"/>
  <c r="V192" i="1"/>
  <c r="T194" i="1"/>
  <c r="Q194" i="1"/>
  <c r="P195" i="1"/>
  <c r="U193" i="1"/>
  <c r="R193" i="1"/>
  <c r="U194" i="1"/>
  <c r="R194" i="1"/>
  <c r="T195" i="1"/>
  <c r="Q195" i="1"/>
  <c r="P196" i="1"/>
  <c r="V193" i="1"/>
  <c r="V194" i="1"/>
  <c r="U195" i="1"/>
  <c r="R195" i="1"/>
  <c r="T196" i="1"/>
  <c r="P197" i="1"/>
  <c r="Q196" i="1"/>
  <c r="V195" i="1"/>
  <c r="T197" i="1"/>
  <c r="Q197" i="1"/>
  <c r="P198" i="1"/>
  <c r="U196" i="1"/>
  <c r="R196" i="1"/>
  <c r="U197" i="1"/>
  <c r="R197" i="1"/>
  <c r="T198" i="1"/>
  <c r="P199" i="1"/>
  <c r="Q198" i="1"/>
  <c r="V196" i="1"/>
  <c r="V197" i="1"/>
  <c r="T199" i="1"/>
  <c r="Q199" i="1"/>
  <c r="P200" i="1"/>
  <c r="U198" i="1"/>
  <c r="R198" i="1"/>
  <c r="U199" i="1"/>
  <c r="R199" i="1"/>
  <c r="T200" i="1"/>
  <c r="Q200" i="1"/>
  <c r="P201" i="1"/>
  <c r="V198" i="1"/>
  <c r="V199" i="1"/>
  <c r="U200" i="1"/>
  <c r="R200" i="1"/>
  <c r="T201" i="1"/>
  <c r="P202" i="1"/>
  <c r="Q201" i="1"/>
  <c r="V200" i="1"/>
  <c r="T202" i="1"/>
  <c r="P203" i="1"/>
  <c r="Q202" i="1"/>
  <c r="U201" i="1"/>
  <c r="R201" i="1"/>
  <c r="T203" i="1"/>
  <c r="P204" i="1"/>
  <c r="Q203" i="1"/>
  <c r="U202" i="1"/>
  <c r="R202" i="1"/>
  <c r="V201" i="1"/>
  <c r="T204" i="1"/>
  <c r="Q204" i="1"/>
  <c r="P205" i="1"/>
  <c r="U203" i="1"/>
  <c r="R203" i="1"/>
  <c r="V202" i="1"/>
  <c r="U204" i="1"/>
  <c r="R204" i="1"/>
  <c r="T205" i="1"/>
  <c r="Q205" i="1"/>
  <c r="P206" i="1"/>
  <c r="V203" i="1"/>
  <c r="V204" i="1"/>
  <c r="U205" i="1"/>
  <c r="R205" i="1"/>
  <c r="T206" i="1"/>
  <c r="P207" i="1"/>
  <c r="Q206" i="1"/>
  <c r="V205" i="1"/>
  <c r="T207" i="1"/>
  <c r="Q207" i="1"/>
  <c r="P208" i="1"/>
  <c r="U206" i="1"/>
  <c r="R206" i="1"/>
  <c r="U207" i="1"/>
  <c r="R207" i="1"/>
  <c r="T208" i="1"/>
  <c r="P209" i="1"/>
  <c r="Q208" i="1"/>
  <c r="V206" i="1"/>
  <c r="V207" i="1"/>
  <c r="T209" i="1"/>
  <c r="Q209" i="1"/>
  <c r="P210" i="1"/>
  <c r="U208" i="1"/>
  <c r="R208" i="1"/>
  <c r="U209" i="1"/>
  <c r="R209" i="1"/>
  <c r="T210" i="1"/>
  <c r="P211" i="1"/>
  <c r="Q210" i="1"/>
  <c r="V208" i="1"/>
  <c r="V209" i="1"/>
  <c r="T211" i="1"/>
  <c r="Q211" i="1"/>
  <c r="P212" i="1"/>
  <c r="U210" i="1"/>
  <c r="R210" i="1"/>
  <c r="U211" i="1"/>
  <c r="R211" i="1"/>
  <c r="T212" i="1"/>
  <c r="P213" i="1"/>
  <c r="Q212" i="1"/>
  <c r="V210" i="1"/>
  <c r="V211" i="1"/>
  <c r="T213" i="1"/>
  <c r="P214" i="1"/>
  <c r="Q213" i="1"/>
  <c r="U212" i="1"/>
  <c r="R212" i="1"/>
  <c r="T214" i="1"/>
  <c r="P215" i="1"/>
  <c r="Q214" i="1"/>
  <c r="U213" i="1"/>
  <c r="R213" i="1"/>
  <c r="V212" i="1"/>
  <c r="T215" i="1"/>
  <c r="Q215" i="1"/>
  <c r="P216" i="1"/>
  <c r="U214" i="1"/>
  <c r="R214" i="1"/>
  <c r="V213" i="1"/>
  <c r="U215" i="1"/>
  <c r="R215" i="1"/>
  <c r="T216" i="1"/>
  <c r="Q216" i="1"/>
  <c r="P217" i="1"/>
  <c r="V214" i="1"/>
  <c r="V215" i="1"/>
  <c r="U216" i="1"/>
  <c r="R216" i="1"/>
  <c r="T217" i="1"/>
  <c r="Q217" i="1"/>
  <c r="P218" i="1"/>
  <c r="V216" i="1"/>
  <c r="U217" i="1"/>
  <c r="R217" i="1"/>
  <c r="T218" i="1"/>
  <c r="Q218" i="1"/>
  <c r="P219" i="1"/>
  <c r="V217" i="1"/>
  <c r="U218" i="1"/>
  <c r="R218" i="1"/>
  <c r="T219" i="1"/>
  <c r="P220" i="1"/>
  <c r="Q219" i="1"/>
  <c r="V218" i="1"/>
  <c r="T220" i="1"/>
  <c r="Q220" i="1"/>
  <c r="P221" i="1"/>
  <c r="U219" i="1"/>
  <c r="R219" i="1"/>
  <c r="U220" i="1"/>
  <c r="R220" i="1"/>
  <c r="T221" i="1"/>
  <c r="Q221" i="1"/>
  <c r="P222" i="1"/>
  <c r="V219" i="1"/>
  <c r="V220" i="1"/>
  <c r="U221" i="1"/>
  <c r="R221" i="1"/>
  <c r="T222" i="1"/>
  <c r="Q222" i="1"/>
  <c r="P223" i="1"/>
  <c r="V221" i="1"/>
  <c r="U222" i="1"/>
  <c r="R222" i="1"/>
  <c r="T223" i="1"/>
  <c r="Q223" i="1"/>
  <c r="P224" i="1"/>
  <c r="V222" i="1"/>
  <c r="U223" i="1"/>
  <c r="R223" i="1"/>
  <c r="T224" i="1"/>
  <c r="P225" i="1"/>
  <c r="Q224" i="1"/>
  <c r="V223" i="1"/>
  <c r="T225" i="1"/>
  <c r="Q225" i="1"/>
  <c r="P226" i="1"/>
  <c r="U224" i="1"/>
  <c r="R224" i="1"/>
  <c r="U225" i="1"/>
  <c r="R225" i="1"/>
  <c r="T226" i="1"/>
  <c r="Q226" i="1"/>
  <c r="P227" i="1"/>
  <c r="V224" i="1"/>
  <c r="V225" i="1"/>
  <c r="U226" i="1"/>
  <c r="R226" i="1"/>
  <c r="T227" i="1"/>
  <c r="P228" i="1"/>
  <c r="Q227" i="1"/>
  <c r="V226" i="1"/>
  <c r="T228" i="1"/>
  <c r="P229" i="1"/>
  <c r="Q228" i="1"/>
  <c r="U227" i="1"/>
  <c r="R227" i="1"/>
  <c r="T229" i="1"/>
  <c r="Q229" i="1"/>
  <c r="P230" i="1"/>
  <c r="U228" i="1"/>
  <c r="R228" i="1"/>
  <c r="V227" i="1"/>
  <c r="U229" i="1"/>
  <c r="R229" i="1"/>
  <c r="T230" i="1"/>
  <c r="P231" i="1"/>
  <c r="Q230" i="1"/>
  <c r="V228" i="1"/>
  <c r="V229" i="1"/>
  <c r="T231" i="1"/>
  <c r="P232" i="1"/>
  <c r="Q231" i="1"/>
  <c r="U230" i="1"/>
  <c r="R230" i="1"/>
  <c r="T232" i="1"/>
  <c r="P233" i="1"/>
  <c r="Q232" i="1"/>
  <c r="U231" i="1"/>
  <c r="R231" i="1"/>
  <c r="V230" i="1"/>
  <c r="T233" i="1"/>
  <c r="P234" i="1"/>
  <c r="Q233" i="1"/>
  <c r="U232" i="1"/>
  <c r="R232" i="1"/>
  <c r="V231" i="1"/>
  <c r="T234" i="1"/>
  <c r="Q234" i="1"/>
  <c r="P235" i="1"/>
  <c r="U233" i="1"/>
  <c r="R233" i="1"/>
  <c r="V232" i="1"/>
  <c r="U234" i="1"/>
  <c r="R234" i="1"/>
  <c r="T235" i="1"/>
  <c r="P236" i="1"/>
  <c r="Q235" i="1"/>
  <c r="V233" i="1"/>
  <c r="V234" i="1"/>
  <c r="T236" i="1"/>
  <c r="P237" i="1"/>
  <c r="Q236" i="1"/>
  <c r="U235" i="1"/>
  <c r="R235" i="1"/>
  <c r="T237" i="1"/>
  <c r="Q237" i="1"/>
  <c r="P238" i="1"/>
  <c r="U236" i="1"/>
  <c r="R236" i="1"/>
  <c r="V235" i="1"/>
  <c r="U237" i="1"/>
  <c r="R237" i="1"/>
  <c r="T238" i="1"/>
  <c r="P239" i="1"/>
  <c r="Q238" i="1"/>
  <c r="V236" i="1"/>
  <c r="V237" i="1"/>
  <c r="T239" i="1"/>
  <c r="Q239" i="1"/>
  <c r="P240" i="1"/>
  <c r="U238" i="1"/>
  <c r="R238" i="1"/>
  <c r="U239" i="1"/>
  <c r="R239" i="1"/>
  <c r="T240" i="1"/>
  <c r="P241" i="1"/>
  <c r="Q240" i="1"/>
  <c r="V238" i="1"/>
  <c r="V239" i="1"/>
  <c r="T241" i="1"/>
  <c r="Q241" i="1"/>
  <c r="P242" i="1"/>
  <c r="U240" i="1"/>
  <c r="R240" i="1"/>
  <c r="U241" i="1"/>
  <c r="R241" i="1"/>
  <c r="T242" i="1"/>
  <c r="Q242" i="1"/>
  <c r="P243" i="1"/>
  <c r="V240" i="1"/>
  <c r="V241" i="1"/>
  <c r="U242" i="1"/>
  <c r="R242" i="1"/>
  <c r="T243" i="1"/>
  <c r="Q243" i="1"/>
  <c r="P244" i="1"/>
  <c r="V242" i="1"/>
  <c r="U243" i="1"/>
  <c r="R243" i="1"/>
  <c r="T244" i="1"/>
  <c r="Q244" i="1"/>
  <c r="P245" i="1"/>
  <c r="V243" i="1"/>
  <c r="U244" i="1"/>
  <c r="R244" i="1"/>
  <c r="T245" i="1"/>
  <c r="P246" i="1"/>
  <c r="Q245" i="1"/>
  <c r="V244" i="1"/>
  <c r="T246" i="1"/>
  <c r="Q246" i="1"/>
  <c r="P247" i="1"/>
  <c r="U245" i="1"/>
  <c r="R245" i="1"/>
  <c r="U246" i="1"/>
  <c r="R246" i="1"/>
  <c r="T247" i="1"/>
  <c r="Q247" i="1"/>
  <c r="P248" i="1"/>
  <c r="V245" i="1"/>
  <c r="V246" i="1"/>
  <c r="U247" i="1"/>
  <c r="R247" i="1"/>
  <c r="T248" i="1"/>
  <c r="Q248" i="1"/>
  <c r="P249" i="1"/>
  <c r="V247" i="1"/>
  <c r="U248" i="1"/>
  <c r="R248" i="1"/>
  <c r="T249" i="1"/>
  <c r="P250" i="1"/>
  <c r="Q249" i="1"/>
  <c r="V248" i="1"/>
  <c r="T250" i="1"/>
  <c r="P251" i="1"/>
  <c r="Q250" i="1"/>
  <c r="U249" i="1"/>
  <c r="R249" i="1"/>
  <c r="T251" i="1"/>
  <c r="Q251" i="1"/>
  <c r="P252" i="1"/>
  <c r="U250" i="1"/>
  <c r="R250" i="1"/>
  <c r="V249" i="1"/>
  <c r="U251" i="1"/>
  <c r="R251" i="1"/>
  <c r="T252" i="1"/>
  <c r="Q252" i="1"/>
  <c r="P253" i="1"/>
  <c r="V250" i="1"/>
  <c r="V251" i="1"/>
  <c r="U252" i="1"/>
  <c r="R252" i="1"/>
  <c r="T253" i="1"/>
  <c r="Q253" i="1"/>
  <c r="P254" i="1"/>
  <c r="V252" i="1"/>
  <c r="U253" i="1"/>
  <c r="R253" i="1"/>
  <c r="T254" i="1"/>
  <c r="Q254" i="1"/>
  <c r="P255" i="1"/>
  <c r="V253" i="1"/>
  <c r="U254" i="1"/>
  <c r="R254" i="1"/>
  <c r="T255" i="1"/>
  <c r="P256" i="1"/>
  <c r="Q255" i="1"/>
  <c r="V254" i="1"/>
  <c r="T256" i="1"/>
  <c r="P257" i="1"/>
  <c r="Q256" i="1"/>
  <c r="U255" i="1"/>
  <c r="R255" i="1"/>
  <c r="T257" i="1"/>
  <c r="Q257" i="1"/>
  <c r="P258" i="1"/>
  <c r="U256" i="1"/>
  <c r="R256" i="1"/>
  <c r="V255" i="1"/>
  <c r="U257" i="1"/>
  <c r="R257" i="1"/>
  <c r="T258" i="1"/>
  <c r="P259" i="1"/>
  <c r="Q258" i="1"/>
  <c r="V256" i="1"/>
  <c r="V257" i="1"/>
  <c r="T259" i="1"/>
  <c r="P260" i="1"/>
  <c r="Q259" i="1"/>
  <c r="U258" i="1"/>
  <c r="R258" i="1"/>
  <c r="T260" i="1"/>
  <c r="Q260" i="1"/>
  <c r="P261" i="1"/>
  <c r="U259" i="1"/>
  <c r="R259" i="1"/>
  <c r="V258" i="1"/>
  <c r="U260" i="1"/>
  <c r="R260" i="1"/>
  <c r="T261" i="1"/>
  <c r="Q261" i="1"/>
  <c r="P262" i="1"/>
  <c r="V259" i="1"/>
  <c r="V260" i="1"/>
  <c r="U261" i="1"/>
  <c r="R261" i="1"/>
  <c r="T262" i="1"/>
  <c r="P263" i="1"/>
  <c r="Q262" i="1"/>
  <c r="V261" i="1"/>
  <c r="T263" i="1"/>
  <c r="Q263" i="1"/>
  <c r="P264" i="1"/>
  <c r="U262" i="1"/>
  <c r="R262" i="1"/>
  <c r="U263" i="1"/>
  <c r="R263" i="1"/>
  <c r="T264" i="1"/>
  <c r="Q264" i="1"/>
  <c r="P265" i="1"/>
  <c r="V262" i="1"/>
  <c r="V263" i="1"/>
  <c r="U264" i="1"/>
  <c r="R264" i="1"/>
  <c r="T265" i="1"/>
  <c r="Q265" i="1"/>
  <c r="P266" i="1"/>
  <c r="V264" i="1"/>
  <c r="U265" i="1"/>
  <c r="R265" i="1"/>
  <c r="T266" i="1"/>
  <c r="P267" i="1"/>
  <c r="Q266" i="1"/>
  <c r="V265" i="1"/>
  <c r="T267" i="1"/>
  <c r="Q267" i="1"/>
  <c r="P268" i="1"/>
  <c r="U266" i="1"/>
  <c r="R266" i="1"/>
  <c r="U267" i="1"/>
  <c r="R267" i="1"/>
  <c r="T268" i="1"/>
  <c r="Q268" i="1"/>
  <c r="P269" i="1"/>
  <c r="V266" i="1"/>
  <c r="V267" i="1"/>
  <c r="U268" i="1"/>
  <c r="R268" i="1"/>
  <c r="T269" i="1"/>
  <c r="Q269" i="1"/>
  <c r="P270" i="1"/>
  <c r="V268" i="1"/>
  <c r="U269" i="1"/>
  <c r="R269" i="1"/>
  <c r="T270" i="1"/>
  <c r="Q270" i="1"/>
  <c r="P271" i="1"/>
  <c r="V269" i="1"/>
  <c r="U270" i="1"/>
  <c r="R270" i="1"/>
  <c r="T271" i="1"/>
  <c r="P272" i="1"/>
  <c r="Q271" i="1"/>
  <c r="V270" i="1"/>
  <c r="T272" i="1"/>
  <c r="Q272" i="1"/>
  <c r="P273" i="1"/>
  <c r="U271" i="1"/>
  <c r="R271" i="1"/>
  <c r="U272" i="1"/>
  <c r="R272" i="1"/>
  <c r="T273" i="1"/>
  <c r="P274" i="1"/>
  <c r="Q273" i="1"/>
  <c r="V271" i="1"/>
  <c r="V272" i="1"/>
  <c r="T274" i="1"/>
  <c r="P275" i="1"/>
  <c r="Q274" i="1"/>
  <c r="U273" i="1"/>
  <c r="R273" i="1"/>
  <c r="T275" i="1"/>
  <c r="Q275" i="1"/>
  <c r="P276" i="1"/>
  <c r="U274" i="1"/>
  <c r="R274" i="1"/>
  <c r="V273" i="1"/>
  <c r="U275" i="1"/>
  <c r="R275" i="1"/>
  <c r="T276" i="1"/>
  <c r="P277" i="1"/>
  <c r="Q276" i="1"/>
  <c r="V274" i="1"/>
  <c r="V275" i="1"/>
  <c r="T277" i="1"/>
  <c r="Q277" i="1"/>
  <c r="P278" i="1"/>
  <c r="U276" i="1"/>
  <c r="R276" i="1"/>
  <c r="U277" i="1"/>
  <c r="R277" i="1"/>
  <c r="T278" i="1"/>
  <c r="P279" i="1"/>
  <c r="Q278" i="1"/>
  <c r="V276" i="1"/>
  <c r="V277" i="1"/>
  <c r="T279" i="1"/>
  <c r="Q279" i="1"/>
  <c r="P280" i="1"/>
  <c r="U278" i="1"/>
  <c r="R278" i="1"/>
  <c r="U279" i="1"/>
  <c r="R279" i="1"/>
  <c r="T280" i="1"/>
  <c r="Q280" i="1"/>
  <c r="P281" i="1"/>
  <c r="V278" i="1"/>
  <c r="V279" i="1"/>
  <c r="U280" i="1"/>
  <c r="R280" i="1"/>
  <c r="T281" i="1"/>
  <c r="Q281" i="1"/>
  <c r="P282" i="1"/>
  <c r="V280" i="1"/>
  <c r="U281" i="1"/>
  <c r="R281" i="1"/>
  <c r="T282" i="1"/>
  <c r="Q282" i="1"/>
  <c r="P283" i="1"/>
  <c r="V281" i="1"/>
  <c r="U282" i="1"/>
  <c r="R282" i="1"/>
  <c r="T283" i="1"/>
  <c r="Q283" i="1"/>
  <c r="P284" i="1"/>
  <c r="V282" i="1"/>
  <c r="U283" i="1"/>
  <c r="R283" i="1"/>
  <c r="T284" i="1"/>
  <c r="Q284" i="1"/>
  <c r="P285" i="1"/>
  <c r="V283" i="1"/>
  <c r="U284" i="1"/>
  <c r="R284" i="1"/>
  <c r="T285" i="1"/>
  <c r="P286" i="1"/>
  <c r="Q285" i="1"/>
  <c r="V284" i="1"/>
  <c r="T286" i="1"/>
  <c r="Q286" i="1"/>
  <c r="P287" i="1"/>
  <c r="U285" i="1"/>
  <c r="R285" i="1"/>
  <c r="U286" i="1"/>
  <c r="R286" i="1"/>
  <c r="T287" i="1"/>
  <c r="P288" i="1"/>
  <c r="Q287" i="1"/>
  <c r="V285" i="1"/>
  <c r="V286" i="1"/>
  <c r="T288" i="1"/>
  <c r="Q288" i="1"/>
  <c r="P289" i="1"/>
  <c r="U287" i="1"/>
  <c r="R287" i="1"/>
  <c r="U288" i="1"/>
  <c r="R288" i="1"/>
  <c r="T289" i="1"/>
  <c r="P290" i="1"/>
  <c r="Q289" i="1"/>
  <c r="V287" i="1"/>
  <c r="V288" i="1"/>
  <c r="T290" i="1"/>
  <c r="P291" i="1"/>
  <c r="Q290" i="1"/>
  <c r="U289" i="1"/>
  <c r="R289" i="1"/>
  <c r="T291" i="1"/>
  <c r="P292" i="1"/>
  <c r="Q291" i="1"/>
  <c r="U290" i="1"/>
  <c r="R290" i="1"/>
  <c r="V289" i="1"/>
  <c r="T292" i="1"/>
  <c r="Q292" i="1"/>
  <c r="P293" i="1"/>
  <c r="U291" i="1"/>
  <c r="R291" i="1"/>
  <c r="V290" i="1"/>
  <c r="U292" i="1"/>
  <c r="R292" i="1"/>
  <c r="T293" i="1"/>
  <c r="P294" i="1"/>
  <c r="Q293" i="1"/>
  <c r="V291" i="1"/>
  <c r="V292" i="1"/>
  <c r="T294" i="1"/>
  <c r="Q294" i="1"/>
  <c r="P295" i="1"/>
  <c r="U293" i="1"/>
  <c r="R293" i="1"/>
  <c r="U294" i="1"/>
  <c r="R294" i="1"/>
  <c r="T295" i="1"/>
  <c r="Q295" i="1"/>
  <c r="P296" i="1"/>
  <c r="V293" i="1"/>
  <c r="V294" i="1"/>
  <c r="U295" i="1"/>
  <c r="R295" i="1"/>
  <c r="T296" i="1"/>
  <c r="P297" i="1"/>
  <c r="Q296" i="1"/>
  <c r="V295" i="1"/>
  <c r="T297" i="1"/>
  <c r="P298" i="1"/>
  <c r="Q297" i="1"/>
  <c r="U296" i="1"/>
  <c r="R296" i="1"/>
  <c r="T298" i="1"/>
  <c r="Q298" i="1"/>
  <c r="P299" i="1"/>
  <c r="U297" i="1"/>
  <c r="R297" i="1"/>
  <c r="V296" i="1"/>
  <c r="U298" i="1"/>
  <c r="R298" i="1"/>
  <c r="T299" i="1"/>
  <c r="Q299" i="1"/>
  <c r="P300" i="1"/>
  <c r="V297" i="1"/>
  <c r="V298" i="1"/>
  <c r="U299" i="1"/>
  <c r="R299" i="1"/>
  <c r="T300" i="1"/>
  <c r="Q300" i="1"/>
  <c r="P301" i="1"/>
  <c r="V299" i="1"/>
  <c r="U300" i="1"/>
  <c r="R300" i="1"/>
  <c r="T301" i="1"/>
  <c r="Q301" i="1"/>
  <c r="P302" i="1"/>
  <c r="V300" i="1"/>
  <c r="U301" i="1"/>
  <c r="R301" i="1"/>
  <c r="T302" i="1"/>
  <c r="Q302" i="1"/>
  <c r="P303" i="1"/>
  <c r="V301" i="1"/>
  <c r="U302" i="1"/>
  <c r="R302" i="1"/>
  <c r="T303" i="1"/>
  <c r="P304" i="1"/>
  <c r="Q303" i="1"/>
  <c r="V302" i="1"/>
  <c r="T304" i="1"/>
  <c r="Q304" i="1"/>
  <c r="P305" i="1"/>
  <c r="U303" i="1"/>
  <c r="R303" i="1"/>
  <c r="U304" i="1"/>
  <c r="R304" i="1"/>
  <c r="T305" i="1"/>
  <c r="Q305" i="1"/>
  <c r="P306" i="1"/>
  <c r="V303" i="1"/>
  <c r="V304" i="1"/>
  <c r="U305" i="1"/>
  <c r="R305" i="1"/>
  <c r="T306" i="1"/>
  <c r="Q306" i="1"/>
  <c r="P307" i="1"/>
  <c r="V305" i="1"/>
  <c r="U306" i="1"/>
  <c r="R306" i="1"/>
  <c r="T307" i="1"/>
  <c r="Q307" i="1"/>
  <c r="P308" i="1"/>
  <c r="V306" i="1"/>
  <c r="U307" i="1"/>
  <c r="R307" i="1"/>
  <c r="T308" i="1"/>
  <c r="P309" i="1"/>
  <c r="Q308" i="1"/>
  <c r="V307" i="1"/>
  <c r="T309" i="1"/>
  <c r="Q309" i="1"/>
  <c r="P310" i="1"/>
  <c r="U308" i="1"/>
  <c r="R308" i="1"/>
  <c r="U309" i="1"/>
  <c r="R309" i="1"/>
  <c r="T310" i="1"/>
  <c r="P311" i="1"/>
  <c r="Q310" i="1"/>
  <c r="V308" i="1"/>
  <c r="V309" i="1"/>
  <c r="T311" i="1"/>
  <c r="P312" i="1"/>
  <c r="Q311" i="1"/>
  <c r="U310" i="1"/>
  <c r="R310" i="1"/>
  <c r="T312" i="1"/>
  <c r="P313" i="1"/>
  <c r="Q312" i="1"/>
  <c r="U311" i="1"/>
  <c r="R311" i="1"/>
  <c r="V310" i="1"/>
  <c r="T313" i="1"/>
  <c r="Q313" i="1"/>
  <c r="P314" i="1"/>
  <c r="U312" i="1"/>
  <c r="R312" i="1"/>
  <c r="V311" i="1"/>
  <c r="U313" i="1"/>
  <c r="R313" i="1"/>
  <c r="T314" i="1"/>
  <c r="Q314" i="1"/>
  <c r="P315" i="1"/>
  <c r="V312" i="1"/>
  <c r="V313" i="1"/>
  <c r="U314" i="1"/>
  <c r="R314" i="1"/>
  <c r="T315" i="1"/>
  <c r="P316" i="1"/>
  <c r="Q315" i="1"/>
  <c r="V314" i="1"/>
  <c r="T316" i="1"/>
  <c r="Q316" i="1"/>
  <c r="P317" i="1"/>
  <c r="U315" i="1"/>
  <c r="R315" i="1"/>
  <c r="U316" i="1"/>
  <c r="R316" i="1"/>
  <c r="T317" i="1"/>
  <c r="Q317" i="1"/>
  <c r="P318" i="1"/>
  <c r="V315" i="1"/>
  <c r="V316" i="1"/>
  <c r="U317" i="1"/>
  <c r="R317" i="1"/>
  <c r="T318" i="1"/>
  <c r="P319" i="1"/>
  <c r="Q318" i="1"/>
  <c r="V317" i="1"/>
  <c r="T319" i="1"/>
  <c r="P320" i="1"/>
  <c r="Q319" i="1"/>
  <c r="U318" i="1"/>
  <c r="R318" i="1"/>
  <c r="T320" i="1"/>
  <c r="P321" i="1"/>
  <c r="Q320" i="1"/>
  <c r="U319" i="1"/>
  <c r="R319" i="1"/>
  <c r="V318" i="1"/>
  <c r="T321" i="1"/>
  <c r="P322" i="1"/>
  <c r="Q321" i="1"/>
  <c r="U320" i="1"/>
  <c r="R320" i="1"/>
  <c r="V319" i="1"/>
  <c r="T322" i="1"/>
  <c r="P323" i="1"/>
  <c r="Q322" i="1"/>
  <c r="U321" i="1"/>
  <c r="R321" i="1"/>
  <c r="V320" i="1"/>
  <c r="T323" i="1"/>
  <c r="Q323" i="1"/>
  <c r="P324" i="1"/>
  <c r="U322" i="1"/>
  <c r="R322" i="1"/>
  <c r="V321" i="1"/>
  <c r="U323" i="1"/>
  <c r="R323" i="1"/>
  <c r="T324" i="1"/>
  <c r="Q324" i="1"/>
  <c r="P325" i="1"/>
  <c r="V322" i="1"/>
  <c r="V323" i="1"/>
  <c r="U324" i="1"/>
  <c r="R324" i="1"/>
  <c r="T325" i="1"/>
  <c r="Q325" i="1"/>
  <c r="P326" i="1"/>
  <c r="V324" i="1"/>
  <c r="U325" i="1"/>
  <c r="R325" i="1"/>
  <c r="T326" i="1"/>
  <c r="Q326" i="1"/>
  <c r="P327" i="1"/>
  <c r="V325" i="1"/>
  <c r="U326" i="1"/>
  <c r="R326" i="1"/>
  <c r="T327" i="1"/>
  <c r="P328" i="1"/>
  <c r="Q327" i="1"/>
  <c r="V326" i="1"/>
  <c r="T328" i="1"/>
  <c r="Q328" i="1"/>
  <c r="P329" i="1"/>
  <c r="U327" i="1"/>
  <c r="R327" i="1"/>
  <c r="U328" i="1"/>
  <c r="R328" i="1"/>
  <c r="T329" i="1"/>
  <c r="P330" i="1"/>
  <c r="Q329" i="1"/>
  <c r="V327" i="1"/>
  <c r="V328" i="1"/>
  <c r="T330" i="1"/>
  <c r="P331" i="1"/>
  <c r="Q330" i="1"/>
  <c r="U329" i="1"/>
  <c r="R329" i="1"/>
  <c r="T331" i="1"/>
  <c r="P332" i="1"/>
  <c r="Q331" i="1"/>
  <c r="U330" i="1"/>
  <c r="R330" i="1"/>
  <c r="V329" i="1"/>
  <c r="T332" i="1"/>
  <c r="Q332" i="1"/>
  <c r="P333" i="1"/>
  <c r="U331" i="1"/>
  <c r="R331" i="1"/>
  <c r="V330" i="1"/>
  <c r="U332" i="1"/>
  <c r="R332" i="1"/>
  <c r="T333" i="1"/>
  <c r="P334" i="1"/>
  <c r="Q333" i="1"/>
  <c r="V331" i="1"/>
  <c r="V332" i="1"/>
  <c r="T334" i="1"/>
  <c r="Q334" i="1"/>
  <c r="P335" i="1"/>
  <c r="U333" i="1"/>
  <c r="R333" i="1"/>
  <c r="U334" i="1"/>
  <c r="R334" i="1"/>
  <c r="T335" i="1"/>
  <c r="P336" i="1"/>
  <c r="Q335" i="1"/>
  <c r="V333" i="1"/>
  <c r="V334" i="1"/>
  <c r="T336" i="1"/>
  <c r="Q336" i="1"/>
  <c r="P337" i="1"/>
  <c r="U335" i="1"/>
  <c r="R335" i="1"/>
  <c r="U336" i="1"/>
  <c r="R336" i="1"/>
  <c r="T337" i="1"/>
  <c r="P338" i="1"/>
  <c r="Q337" i="1"/>
  <c r="V335" i="1"/>
  <c r="V336" i="1"/>
  <c r="T338" i="1"/>
  <c r="Q338" i="1"/>
  <c r="P339" i="1"/>
  <c r="U337" i="1"/>
  <c r="R337" i="1"/>
  <c r="U338" i="1"/>
  <c r="R338" i="1"/>
  <c r="T339" i="1"/>
  <c r="P340" i="1"/>
  <c r="Q339" i="1"/>
  <c r="V337" i="1"/>
  <c r="V338" i="1"/>
  <c r="T340" i="1"/>
  <c r="P341" i="1"/>
  <c r="Q340" i="1"/>
  <c r="U339" i="1"/>
  <c r="R339" i="1"/>
  <c r="T341" i="1"/>
  <c r="P342" i="1"/>
  <c r="Q341" i="1"/>
  <c r="U340" i="1"/>
  <c r="R340" i="1"/>
  <c r="V339" i="1"/>
  <c r="T342" i="1"/>
  <c r="P343" i="1"/>
  <c r="Q342" i="1"/>
  <c r="U341" i="1"/>
  <c r="R341" i="1"/>
  <c r="V340" i="1"/>
  <c r="T343" i="1"/>
  <c r="Q343" i="1"/>
  <c r="P344" i="1"/>
  <c r="U342" i="1"/>
  <c r="R342" i="1"/>
  <c r="V341" i="1"/>
  <c r="U343" i="1"/>
  <c r="R343" i="1"/>
  <c r="T344" i="1"/>
  <c r="Q344" i="1"/>
  <c r="P345" i="1"/>
  <c r="V342" i="1"/>
  <c r="V343" i="1"/>
  <c r="U344" i="1"/>
  <c r="R344" i="1"/>
  <c r="T345" i="1"/>
  <c r="Q345" i="1"/>
  <c r="P346" i="1"/>
  <c r="V344" i="1"/>
  <c r="U345" i="1"/>
  <c r="R345" i="1"/>
  <c r="T346" i="1"/>
  <c r="P347" i="1"/>
  <c r="Q346" i="1"/>
  <c r="V345" i="1"/>
  <c r="T347" i="1"/>
  <c r="Q347" i="1"/>
  <c r="P348" i="1"/>
  <c r="U346" i="1"/>
  <c r="R346" i="1"/>
  <c r="U347" i="1"/>
  <c r="R347" i="1"/>
  <c r="T348" i="1"/>
  <c r="Q348" i="1"/>
  <c r="P349" i="1"/>
  <c r="V346" i="1"/>
  <c r="V347" i="1"/>
  <c r="U348" i="1"/>
  <c r="R348" i="1"/>
  <c r="T349" i="1"/>
  <c r="Q349" i="1"/>
  <c r="P350" i="1"/>
  <c r="V348" i="1"/>
  <c r="U349" i="1"/>
  <c r="R349" i="1"/>
  <c r="T350" i="1"/>
  <c r="Q350" i="1"/>
  <c r="P351" i="1"/>
  <c r="V349" i="1"/>
  <c r="U350" i="1"/>
  <c r="R350" i="1"/>
  <c r="T351" i="1"/>
  <c r="P352" i="1"/>
  <c r="Q351" i="1"/>
  <c r="V350" i="1"/>
  <c r="T352" i="1"/>
  <c r="Q352" i="1"/>
  <c r="P353" i="1"/>
  <c r="U351" i="1"/>
  <c r="R351" i="1"/>
  <c r="U352" i="1"/>
  <c r="R352" i="1"/>
  <c r="T353" i="1"/>
  <c r="P354" i="1"/>
  <c r="Q353" i="1"/>
  <c r="V351" i="1"/>
  <c r="V352" i="1"/>
  <c r="T354" i="1"/>
  <c r="P355" i="1"/>
  <c r="Q354" i="1"/>
  <c r="U353" i="1"/>
  <c r="R353" i="1"/>
  <c r="T355" i="1"/>
  <c r="Q355" i="1"/>
  <c r="P356" i="1"/>
  <c r="U354" i="1"/>
  <c r="R354" i="1"/>
  <c r="V353" i="1"/>
  <c r="U355" i="1"/>
  <c r="R355" i="1"/>
  <c r="T356" i="1"/>
  <c r="P357" i="1"/>
  <c r="Q356" i="1"/>
  <c r="V354" i="1"/>
  <c r="V355" i="1"/>
  <c r="T357" i="1"/>
  <c r="Q357" i="1"/>
  <c r="P358" i="1"/>
  <c r="U356" i="1"/>
  <c r="R356" i="1"/>
  <c r="U357" i="1"/>
  <c r="R357" i="1"/>
  <c r="T358" i="1"/>
  <c r="P359" i="1"/>
  <c r="Q358" i="1"/>
  <c r="V356" i="1"/>
  <c r="V357" i="1"/>
  <c r="T359" i="1"/>
  <c r="Q359" i="1"/>
  <c r="P360" i="1"/>
  <c r="U358" i="1"/>
  <c r="R358" i="1"/>
  <c r="U359" i="1"/>
  <c r="R359" i="1"/>
  <c r="T360" i="1"/>
  <c r="P361" i="1"/>
  <c r="Q360" i="1"/>
  <c r="V358" i="1"/>
  <c r="V359" i="1"/>
  <c r="T361" i="1"/>
  <c r="P362" i="1"/>
  <c r="Q361" i="1"/>
  <c r="U360" i="1"/>
  <c r="R360" i="1"/>
  <c r="T362" i="1"/>
  <c r="P363" i="1"/>
  <c r="Q362" i="1"/>
  <c r="U361" i="1"/>
  <c r="R361" i="1"/>
  <c r="V360" i="1"/>
  <c r="T363" i="1"/>
  <c r="Q363" i="1"/>
  <c r="P364" i="1"/>
  <c r="U362" i="1"/>
  <c r="R362" i="1"/>
  <c r="V361" i="1"/>
  <c r="U363" i="1"/>
  <c r="R363" i="1"/>
  <c r="T364" i="1"/>
  <c r="P365" i="1"/>
  <c r="Q364" i="1"/>
  <c r="V362" i="1"/>
  <c r="V363" i="1"/>
  <c r="T365" i="1"/>
  <c r="Q365" i="1"/>
  <c r="P366" i="1"/>
  <c r="U364" i="1"/>
  <c r="R364" i="1"/>
  <c r="U365" i="1"/>
  <c r="R365" i="1"/>
  <c r="T366" i="1"/>
  <c r="P367" i="1"/>
  <c r="Q366" i="1"/>
  <c r="V364" i="1"/>
  <c r="V365" i="1"/>
  <c r="T367" i="1"/>
  <c r="Q367" i="1"/>
  <c r="P368" i="1"/>
  <c r="U366" i="1"/>
  <c r="R366" i="1"/>
  <c r="U367" i="1"/>
  <c r="R367" i="1"/>
  <c r="T368" i="1"/>
  <c r="P369" i="1"/>
  <c r="Q368" i="1"/>
  <c r="V366" i="1"/>
  <c r="V367" i="1"/>
  <c r="T369" i="1"/>
  <c r="Q369" i="1"/>
  <c r="P370" i="1"/>
  <c r="U368" i="1"/>
  <c r="R368" i="1"/>
  <c r="U369" i="1"/>
  <c r="R369" i="1"/>
  <c r="T370" i="1"/>
  <c r="P371" i="1"/>
  <c r="Q370" i="1"/>
  <c r="V368" i="1"/>
  <c r="V369" i="1"/>
  <c r="T371" i="1"/>
  <c r="P372" i="1"/>
  <c r="Q371" i="1"/>
  <c r="U370" i="1"/>
  <c r="R370" i="1"/>
  <c r="T372" i="1"/>
  <c r="Q372" i="1"/>
  <c r="P373" i="1"/>
  <c r="U371" i="1"/>
  <c r="R371" i="1"/>
  <c r="V370" i="1"/>
  <c r="U372" i="1"/>
  <c r="R372" i="1"/>
  <c r="T373" i="1"/>
  <c r="Q373" i="1"/>
  <c r="P374" i="1"/>
  <c r="V371" i="1"/>
  <c r="V372" i="1"/>
  <c r="U373" i="1"/>
  <c r="R373" i="1"/>
  <c r="T374" i="1"/>
  <c r="Q374" i="1"/>
  <c r="P375" i="1"/>
  <c r="V373" i="1"/>
  <c r="U374" i="1"/>
  <c r="R374" i="1"/>
  <c r="T375" i="1"/>
  <c r="P376" i="1"/>
  <c r="Q375" i="1"/>
  <c r="V374" i="1"/>
  <c r="T376" i="1"/>
  <c r="Q376" i="1"/>
  <c r="P377" i="1"/>
  <c r="U375" i="1"/>
  <c r="R375" i="1"/>
  <c r="U376" i="1"/>
  <c r="R376" i="1"/>
  <c r="T377" i="1"/>
  <c r="Q377" i="1"/>
  <c r="P378" i="1"/>
  <c r="V375" i="1"/>
  <c r="V376" i="1"/>
  <c r="U377" i="1"/>
  <c r="R377" i="1"/>
  <c r="T378" i="1"/>
  <c r="Q378" i="1"/>
  <c r="P379" i="1"/>
  <c r="V377" i="1"/>
  <c r="U378" i="1"/>
  <c r="R378" i="1"/>
  <c r="T379" i="1"/>
  <c r="P380" i="1"/>
  <c r="Q379" i="1"/>
  <c r="V378" i="1"/>
  <c r="T380" i="1"/>
  <c r="P381" i="1"/>
  <c r="Q380" i="1"/>
  <c r="U379" i="1"/>
  <c r="R379" i="1"/>
  <c r="T381" i="1"/>
  <c r="Q381" i="1"/>
  <c r="P382" i="1"/>
  <c r="U380" i="1"/>
  <c r="R380" i="1"/>
  <c r="V379" i="1"/>
  <c r="U381" i="1"/>
  <c r="R381" i="1"/>
  <c r="T382" i="1"/>
  <c r="P383" i="1"/>
  <c r="Q382" i="1"/>
  <c r="V380" i="1"/>
  <c r="V381" i="1"/>
  <c r="T383" i="1"/>
  <c r="P384" i="1"/>
  <c r="Q383" i="1"/>
  <c r="U382" i="1"/>
  <c r="R382" i="1"/>
  <c r="T384" i="1"/>
  <c r="P385" i="1"/>
  <c r="Q384" i="1"/>
  <c r="U383" i="1"/>
  <c r="R383" i="1"/>
  <c r="V382" i="1"/>
  <c r="T385" i="1"/>
  <c r="P386" i="1"/>
  <c r="Q385" i="1"/>
  <c r="U384" i="1"/>
  <c r="R384" i="1"/>
  <c r="V383" i="1"/>
  <c r="T386" i="1"/>
  <c r="P387" i="1"/>
  <c r="Q386" i="1"/>
  <c r="U385" i="1"/>
  <c r="R385" i="1"/>
  <c r="V384" i="1"/>
  <c r="T387" i="1"/>
  <c r="P388" i="1"/>
  <c r="Q387" i="1"/>
  <c r="U386" i="1"/>
  <c r="R386" i="1"/>
  <c r="V385" i="1"/>
  <c r="T388" i="1"/>
  <c r="P389" i="1"/>
  <c r="Q388" i="1"/>
  <c r="U387" i="1"/>
  <c r="R387" i="1"/>
  <c r="V386" i="1"/>
  <c r="T389" i="1"/>
  <c r="P390" i="1"/>
  <c r="Q389" i="1"/>
  <c r="U388" i="1"/>
  <c r="R388" i="1"/>
  <c r="V387" i="1"/>
  <c r="T390" i="1"/>
  <c r="Q390" i="1"/>
  <c r="P391" i="1"/>
  <c r="U389" i="1"/>
  <c r="R389" i="1"/>
  <c r="V388" i="1"/>
  <c r="U390" i="1"/>
  <c r="R390" i="1"/>
  <c r="T391" i="1"/>
  <c r="Q391" i="1"/>
  <c r="P392" i="1"/>
  <c r="V389" i="1"/>
  <c r="V390" i="1"/>
  <c r="U391" i="1"/>
  <c r="R391" i="1"/>
  <c r="T392" i="1"/>
  <c r="Q392" i="1"/>
  <c r="P393" i="1"/>
  <c r="V391" i="1"/>
  <c r="U392" i="1"/>
  <c r="R392" i="1"/>
  <c r="T393" i="1"/>
  <c r="Q393" i="1"/>
  <c r="P394" i="1"/>
  <c r="V392" i="1"/>
  <c r="U393" i="1"/>
  <c r="R393" i="1"/>
  <c r="T394" i="1"/>
  <c r="P395" i="1"/>
  <c r="Q394" i="1"/>
  <c r="V393" i="1"/>
  <c r="T395" i="1"/>
  <c r="Q395" i="1"/>
  <c r="P396" i="1"/>
  <c r="U394" i="1"/>
  <c r="R394" i="1"/>
  <c r="U395" i="1"/>
  <c r="R395" i="1"/>
  <c r="T396" i="1"/>
  <c r="P397" i="1"/>
  <c r="Q396" i="1"/>
  <c r="V394" i="1"/>
  <c r="V395" i="1"/>
  <c r="T397" i="1"/>
  <c r="P398" i="1"/>
  <c r="Q397" i="1"/>
  <c r="U396" i="1"/>
  <c r="R396" i="1"/>
  <c r="T398" i="1"/>
  <c r="Q398" i="1"/>
  <c r="P399" i="1"/>
  <c r="U397" i="1"/>
  <c r="R397" i="1"/>
  <c r="V396" i="1"/>
  <c r="U398" i="1"/>
  <c r="R398" i="1"/>
  <c r="T399" i="1"/>
  <c r="P400" i="1"/>
  <c r="Q399" i="1"/>
  <c r="V397" i="1"/>
  <c r="V398" i="1"/>
  <c r="T400" i="1"/>
  <c r="Q400" i="1"/>
  <c r="P401" i="1"/>
  <c r="U399" i="1"/>
  <c r="R399" i="1"/>
  <c r="U400" i="1"/>
  <c r="R400" i="1"/>
  <c r="T401" i="1"/>
  <c r="Q401" i="1"/>
  <c r="P402" i="1"/>
  <c r="V399" i="1"/>
  <c r="V400" i="1"/>
  <c r="U401" i="1"/>
  <c r="R401" i="1"/>
  <c r="T402" i="1"/>
  <c r="P403" i="1"/>
  <c r="Q402" i="1"/>
  <c r="V401" i="1"/>
  <c r="T403" i="1"/>
  <c r="P404" i="1"/>
  <c r="Q403" i="1"/>
  <c r="U402" i="1"/>
  <c r="R402" i="1"/>
  <c r="T404" i="1"/>
  <c r="Q404" i="1"/>
  <c r="P405" i="1"/>
  <c r="U403" i="1"/>
  <c r="R403" i="1"/>
  <c r="V402" i="1"/>
  <c r="U404" i="1"/>
  <c r="R404" i="1"/>
  <c r="T405" i="1"/>
  <c r="P406" i="1"/>
  <c r="Q405" i="1"/>
  <c r="V403" i="1"/>
  <c r="V404" i="1"/>
  <c r="T406" i="1"/>
  <c r="Q406" i="1"/>
  <c r="P407" i="1"/>
  <c r="U405" i="1"/>
  <c r="R405" i="1"/>
  <c r="U406" i="1"/>
  <c r="R406" i="1"/>
  <c r="T407" i="1"/>
  <c r="Q407" i="1"/>
  <c r="P408" i="1"/>
  <c r="V405" i="1"/>
  <c r="V406" i="1"/>
  <c r="U407" i="1"/>
  <c r="R407" i="1"/>
  <c r="T408" i="1"/>
  <c r="P409" i="1"/>
  <c r="Q408" i="1"/>
  <c r="V407" i="1"/>
  <c r="T409" i="1"/>
  <c r="Q409" i="1"/>
  <c r="P410" i="1"/>
  <c r="U408" i="1"/>
  <c r="R408" i="1"/>
  <c r="U409" i="1"/>
  <c r="R409" i="1"/>
  <c r="T410" i="1"/>
  <c r="Q410" i="1"/>
  <c r="P411" i="1"/>
  <c r="V408" i="1"/>
  <c r="V409" i="1"/>
  <c r="U410" i="1"/>
  <c r="R410" i="1"/>
  <c r="T411" i="1"/>
  <c r="Q411" i="1"/>
  <c r="P412" i="1"/>
  <c r="V410" i="1"/>
  <c r="U411" i="1"/>
  <c r="R411" i="1"/>
  <c r="T412" i="1"/>
  <c r="P413" i="1"/>
  <c r="Q412" i="1"/>
  <c r="V411" i="1"/>
  <c r="T413" i="1"/>
  <c r="P414" i="1"/>
  <c r="Q413" i="1"/>
  <c r="U412" i="1"/>
  <c r="R412" i="1"/>
  <c r="T414" i="1"/>
  <c r="P415" i="1"/>
  <c r="Q414" i="1"/>
  <c r="U413" i="1"/>
  <c r="R413" i="1"/>
  <c r="V412" i="1"/>
  <c r="T415" i="1"/>
  <c r="P416" i="1"/>
  <c r="Q415" i="1"/>
  <c r="U414" i="1"/>
  <c r="R414" i="1"/>
  <c r="V413" i="1"/>
  <c r="T416" i="1"/>
  <c r="P417" i="1"/>
  <c r="Q416" i="1"/>
  <c r="U415" i="1"/>
  <c r="R415" i="1"/>
  <c r="V414" i="1"/>
  <c r="T417" i="1"/>
  <c r="P418" i="1"/>
  <c r="Q417" i="1"/>
  <c r="U416" i="1"/>
  <c r="R416" i="1"/>
  <c r="V415" i="1"/>
  <c r="T418" i="1"/>
  <c r="Q418" i="1"/>
  <c r="P419" i="1"/>
  <c r="U417" i="1"/>
  <c r="R417" i="1"/>
  <c r="V416" i="1"/>
  <c r="U418" i="1"/>
  <c r="R418" i="1"/>
  <c r="T419" i="1"/>
  <c r="P420" i="1"/>
  <c r="Q419" i="1"/>
  <c r="V417" i="1"/>
  <c r="V418" i="1"/>
  <c r="T420" i="1"/>
  <c r="Q420" i="1"/>
  <c r="P421" i="1"/>
  <c r="U419" i="1"/>
  <c r="R419" i="1"/>
  <c r="U420" i="1"/>
  <c r="R420" i="1"/>
  <c r="T421" i="1"/>
  <c r="Q421" i="1"/>
  <c r="P422" i="1"/>
  <c r="V419" i="1"/>
  <c r="V420" i="1"/>
  <c r="U421" i="1"/>
  <c r="R421" i="1"/>
  <c r="T422" i="1"/>
  <c r="Q422" i="1"/>
  <c r="P423" i="1"/>
  <c r="V421" i="1"/>
  <c r="U422" i="1"/>
  <c r="R422" i="1"/>
  <c r="T423" i="1"/>
  <c r="P424" i="1"/>
  <c r="Q423" i="1"/>
  <c r="V422" i="1"/>
  <c r="T424" i="1"/>
  <c r="Q424" i="1"/>
  <c r="P425" i="1"/>
  <c r="U423" i="1"/>
  <c r="R423" i="1"/>
  <c r="U424" i="1"/>
  <c r="R424" i="1"/>
  <c r="T425" i="1"/>
  <c r="P426" i="1"/>
  <c r="Q425" i="1"/>
  <c r="V423" i="1"/>
  <c r="V424" i="1"/>
  <c r="T426" i="1"/>
  <c r="P427" i="1"/>
  <c r="Q426" i="1"/>
  <c r="U425" i="1"/>
  <c r="R425" i="1"/>
  <c r="T427" i="1"/>
  <c r="P428" i="1"/>
  <c r="Q427" i="1"/>
  <c r="U426" i="1"/>
  <c r="R426" i="1"/>
  <c r="V425" i="1"/>
  <c r="T428" i="1"/>
  <c r="Q428" i="1"/>
  <c r="P429" i="1"/>
  <c r="U427" i="1"/>
  <c r="R427" i="1"/>
  <c r="V426" i="1"/>
  <c r="U428" i="1"/>
  <c r="R428" i="1"/>
  <c r="T429" i="1"/>
  <c r="Q429" i="1"/>
  <c r="P430" i="1"/>
  <c r="V427" i="1"/>
  <c r="V428" i="1"/>
  <c r="U429" i="1"/>
  <c r="R429" i="1"/>
  <c r="T430" i="1"/>
  <c r="P431" i="1"/>
  <c r="Q430" i="1"/>
  <c r="V429" i="1"/>
  <c r="T431" i="1"/>
  <c r="Q431" i="1"/>
  <c r="P432" i="1"/>
  <c r="U430" i="1"/>
  <c r="R430" i="1"/>
  <c r="U431" i="1"/>
  <c r="R431" i="1"/>
  <c r="T432" i="1"/>
  <c r="P433" i="1"/>
  <c r="Q432" i="1"/>
  <c r="V430" i="1"/>
  <c r="V431" i="1"/>
  <c r="T433" i="1"/>
  <c r="Q433" i="1"/>
  <c r="P434" i="1"/>
  <c r="U432" i="1"/>
  <c r="R432" i="1"/>
  <c r="U433" i="1"/>
  <c r="R433" i="1"/>
  <c r="T434" i="1"/>
  <c r="P435" i="1"/>
  <c r="Q434" i="1"/>
  <c r="V432" i="1"/>
  <c r="V433" i="1"/>
  <c r="T435" i="1"/>
  <c r="P436" i="1"/>
  <c r="Q435" i="1"/>
  <c r="U434" i="1"/>
  <c r="R434" i="1"/>
  <c r="T436" i="1"/>
  <c r="Q436" i="1"/>
  <c r="P437" i="1"/>
  <c r="U435" i="1"/>
  <c r="R435" i="1"/>
  <c r="V434" i="1"/>
  <c r="U436" i="1"/>
  <c r="R436" i="1"/>
  <c r="T437" i="1"/>
  <c r="Q437" i="1"/>
  <c r="P438" i="1"/>
  <c r="V435" i="1"/>
  <c r="V436" i="1"/>
  <c r="U437" i="1"/>
  <c r="R437" i="1"/>
  <c r="T438" i="1"/>
  <c r="Q438" i="1"/>
  <c r="P439" i="1"/>
  <c r="V437" i="1"/>
  <c r="U438" i="1"/>
  <c r="R438" i="1"/>
  <c r="T439" i="1"/>
  <c r="Q439" i="1"/>
  <c r="P440" i="1"/>
  <c r="V438" i="1"/>
  <c r="U439" i="1"/>
  <c r="R439" i="1"/>
  <c r="T440" i="1"/>
  <c r="P441" i="1"/>
  <c r="Q440" i="1"/>
  <c r="V439" i="1"/>
  <c r="T441" i="1"/>
  <c r="P442" i="1"/>
  <c r="Q441" i="1"/>
  <c r="U440" i="1"/>
  <c r="R440" i="1"/>
  <c r="T442" i="1"/>
  <c r="P443" i="1"/>
  <c r="Q442" i="1"/>
  <c r="U441" i="1"/>
  <c r="R441" i="1"/>
  <c r="V440" i="1"/>
  <c r="T443" i="1"/>
  <c r="P444" i="1"/>
  <c r="Q443" i="1"/>
  <c r="U442" i="1"/>
  <c r="R442" i="1"/>
  <c r="V441" i="1"/>
  <c r="T444" i="1"/>
  <c r="Q444" i="1"/>
  <c r="P445" i="1"/>
  <c r="U443" i="1"/>
  <c r="R443" i="1"/>
  <c r="V442" i="1"/>
  <c r="U444" i="1"/>
  <c r="R444" i="1"/>
  <c r="T445" i="1"/>
  <c r="P446" i="1"/>
  <c r="Q445" i="1"/>
  <c r="V443" i="1"/>
  <c r="V444" i="1"/>
  <c r="T446" i="1"/>
  <c r="Q446" i="1"/>
  <c r="P447" i="1"/>
  <c r="U445" i="1"/>
  <c r="R445" i="1"/>
  <c r="U446" i="1"/>
  <c r="R446" i="1"/>
  <c r="T447" i="1"/>
  <c r="P448" i="1"/>
  <c r="Q447" i="1"/>
  <c r="V445" i="1"/>
  <c r="V446" i="1"/>
  <c r="T448" i="1"/>
  <c r="Q448" i="1"/>
  <c r="P449" i="1"/>
  <c r="U447" i="1"/>
  <c r="R447" i="1"/>
  <c r="U448" i="1"/>
  <c r="R448" i="1"/>
  <c r="T449" i="1"/>
  <c r="P450" i="1"/>
  <c r="Q449" i="1"/>
  <c r="V447" i="1"/>
  <c r="V448" i="1"/>
  <c r="T450" i="1"/>
  <c r="Q450" i="1"/>
  <c r="P451" i="1"/>
  <c r="U449" i="1"/>
  <c r="R449" i="1"/>
  <c r="U450" i="1"/>
  <c r="R450" i="1"/>
  <c r="T451" i="1"/>
  <c r="P452" i="1"/>
  <c r="Q451" i="1"/>
  <c r="V449" i="1"/>
  <c r="V450" i="1"/>
  <c r="T452" i="1"/>
  <c r="P453" i="1"/>
  <c r="Q452" i="1"/>
  <c r="U451" i="1"/>
  <c r="R451" i="1"/>
  <c r="T453" i="1"/>
  <c r="Q453" i="1"/>
  <c r="P454" i="1"/>
  <c r="U452" i="1"/>
  <c r="R452" i="1"/>
  <c r="V451" i="1"/>
  <c r="U453" i="1"/>
  <c r="R453" i="1"/>
  <c r="T454" i="1"/>
  <c r="Q454" i="1"/>
  <c r="P455" i="1"/>
  <c r="V452" i="1"/>
  <c r="V453" i="1"/>
  <c r="U454" i="1"/>
  <c r="R454" i="1"/>
  <c r="T455" i="1"/>
  <c r="P456" i="1"/>
  <c r="Q455" i="1"/>
  <c r="V454" i="1"/>
  <c r="T456" i="1"/>
  <c r="Q456" i="1"/>
  <c r="P457" i="1"/>
  <c r="U455" i="1"/>
  <c r="R455" i="1"/>
  <c r="U456" i="1"/>
  <c r="R456" i="1"/>
  <c r="T457" i="1"/>
  <c r="P458" i="1"/>
  <c r="Q457" i="1"/>
  <c r="V455" i="1"/>
  <c r="V456" i="1"/>
  <c r="T458" i="1"/>
  <c r="Q458" i="1"/>
  <c r="P459" i="1"/>
  <c r="U457" i="1"/>
  <c r="R457" i="1"/>
  <c r="U458" i="1"/>
  <c r="R458" i="1"/>
  <c r="T459" i="1"/>
  <c r="P460" i="1"/>
  <c r="Q459" i="1"/>
  <c r="V457" i="1"/>
  <c r="V458" i="1"/>
  <c r="T460" i="1"/>
  <c r="Q460" i="1"/>
  <c r="P461" i="1"/>
  <c r="U459" i="1"/>
  <c r="R459" i="1"/>
  <c r="U460" i="1"/>
  <c r="R460" i="1"/>
  <c r="T461" i="1"/>
  <c r="P462" i="1"/>
  <c r="Q461" i="1"/>
  <c r="V459" i="1"/>
  <c r="V460" i="1"/>
  <c r="T462" i="1"/>
  <c r="Q462" i="1"/>
  <c r="P463" i="1"/>
  <c r="U461" i="1"/>
  <c r="R461" i="1"/>
  <c r="U462" i="1"/>
  <c r="R462" i="1"/>
  <c r="T463" i="1"/>
  <c r="Q463" i="1"/>
  <c r="P464" i="1"/>
  <c r="V461" i="1"/>
  <c r="V462" i="1"/>
  <c r="U463" i="1"/>
  <c r="R463" i="1"/>
  <c r="T464" i="1"/>
  <c r="Q464" i="1"/>
  <c r="P465" i="1"/>
  <c r="V463" i="1"/>
  <c r="U464" i="1"/>
  <c r="R464" i="1"/>
  <c r="T465" i="1"/>
  <c r="P466" i="1"/>
  <c r="Q465" i="1"/>
  <c r="V464" i="1"/>
  <c r="T466" i="1"/>
  <c r="P467" i="1"/>
  <c r="Q466" i="1"/>
  <c r="U465" i="1"/>
  <c r="R465" i="1"/>
  <c r="T467" i="1"/>
  <c r="Q467" i="1"/>
  <c r="P468" i="1"/>
  <c r="U466" i="1"/>
  <c r="R466" i="1"/>
  <c r="V465" i="1"/>
  <c r="U467" i="1"/>
  <c r="R467" i="1"/>
  <c r="T468" i="1"/>
  <c r="Q468" i="1"/>
  <c r="P469" i="1"/>
  <c r="V466" i="1"/>
  <c r="V467" i="1"/>
  <c r="U468" i="1"/>
  <c r="R468" i="1"/>
  <c r="T469" i="1"/>
  <c r="P470" i="1"/>
  <c r="Q469" i="1"/>
  <c r="V468" i="1"/>
  <c r="T470" i="1"/>
  <c r="P471" i="1"/>
  <c r="Q470" i="1"/>
  <c r="U469" i="1"/>
  <c r="R469" i="1"/>
  <c r="T471" i="1"/>
  <c r="Q471" i="1"/>
  <c r="P472" i="1"/>
  <c r="U470" i="1"/>
  <c r="R470" i="1"/>
  <c r="V469" i="1"/>
  <c r="U471" i="1"/>
  <c r="R471" i="1"/>
  <c r="T472" i="1"/>
  <c r="P473" i="1"/>
  <c r="Q472" i="1"/>
  <c r="V470" i="1"/>
  <c r="V471" i="1"/>
  <c r="T473" i="1"/>
  <c r="P474" i="1"/>
  <c r="Q473" i="1"/>
  <c r="U472" i="1"/>
  <c r="R472" i="1"/>
  <c r="T474" i="1"/>
  <c r="P475" i="1"/>
  <c r="Q474" i="1"/>
  <c r="U473" i="1"/>
  <c r="R473" i="1"/>
  <c r="V472" i="1"/>
  <c r="T475" i="1"/>
  <c r="Q475" i="1"/>
  <c r="P476" i="1"/>
  <c r="U474" i="1"/>
  <c r="R474" i="1"/>
  <c r="V473" i="1"/>
  <c r="U475" i="1"/>
  <c r="R475" i="1"/>
  <c r="T476" i="1"/>
  <c r="P477" i="1"/>
  <c r="Q476" i="1"/>
  <c r="V474" i="1"/>
  <c r="V475" i="1"/>
  <c r="T477" i="1"/>
  <c r="P478" i="1"/>
  <c r="Q477" i="1"/>
  <c r="U476" i="1"/>
  <c r="R476" i="1"/>
  <c r="T478" i="1"/>
  <c r="Q478" i="1"/>
  <c r="P479" i="1"/>
  <c r="U477" i="1"/>
  <c r="R477" i="1"/>
  <c r="V476" i="1"/>
  <c r="U478" i="1"/>
  <c r="R478" i="1"/>
  <c r="T479" i="1"/>
  <c r="Q479" i="1"/>
  <c r="P480" i="1"/>
  <c r="V477" i="1"/>
  <c r="V478" i="1"/>
  <c r="U479" i="1"/>
  <c r="R479" i="1"/>
  <c r="T480" i="1"/>
  <c r="Q480" i="1"/>
  <c r="P481" i="1"/>
  <c r="V479" i="1"/>
  <c r="U480" i="1"/>
  <c r="R480" i="1"/>
  <c r="T481" i="1"/>
  <c r="P482" i="1"/>
  <c r="Q481" i="1"/>
  <c r="V480" i="1"/>
  <c r="T482" i="1"/>
  <c r="P483" i="1"/>
  <c r="Q482" i="1"/>
  <c r="U481" i="1"/>
  <c r="R481" i="1"/>
  <c r="T483" i="1"/>
  <c r="P484" i="1"/>
  <c r="Q483" i="1"/>
  <c r="U482" i="1"/>
  <c r="R482" i="1"/>
  <c r="V481" i="1"/>
  <c r="T484" i="1"/>
  <c r="P485" i="1"/>
  <c r="Q484" i="1"/>
  <c r="U483" i="1"/>
  <c r="R483" i="1"/>
  <c r="V482" i="1"/>
  <c r="T485" i="1"/>
  <c r="P486" i="1"/>
  <c r="Q485" i="1"/>
  <c r="U484" i="1"/>
  <c r="R484" i="1"/>
  <c r="V483" i="1"/>
  <c r="T486" i="1"/>
  <c r="Q486" i="1"/>
  <c r="P487" i="1"/>
  <c r="U485" i="1"/>
  <c r="R485" i="1"/>
  <c r="V484" i="1"/>
  <c r="U486" i="1"/>
  <c r="R486" i="1"/>
  <c r="T487" i="1"/>
  <c r="Q487" i="1"/>
  <c r="P488" i="1"/>
  <c r="V485" i="1"/>
  <c r="V486" i="1"/>
  <c r="U487" i="1"/>
  <c r="R487" i="1"/>
  <c r="T488" i="1"/>
  <c r="P489" i="1"/>
  <c r="Q488" i="1"/>
  <c r="V487" i="1"/>
  <c r="T489" i="1"/>
  <c r="Q489" i="1"/>
  <c r="P490" i="1"/>
  <c r="U488" i="1"/>
  <c r="R488" i="1"/>
  <c r="U489" i="1"/>
  <c r="R489" i="1"/>
  <c r="T490" i="1"/>
  <c r="P491" i="1"/>
  <c r="Q490" i="1"/>
  <c r="V488" i="1"/>
  <c r="V489" i="1"/>
  <c r="T491" i="1"/>
  <c r="P492" i="1"/>
  <c r="Q491" i="1"/>
  <c r="U490" i="1"/>
  <c r="R490" i="1"/>
  <c r="T492" i="1"/>
  <c r="Q492" i="1"/>
  <c r="P493" i="1"/>
  <c r="U491" i="1"/>
  <c r="R491" i="1"/>
  <c r="V490" i="1"/>
  <c r="U492" i="1"/>
  <c r="R492" i="1"/>
  <c r="T493" i="1"/>
  <c r="Q493" i="1"/>
  <c r="P494" i="1"/>
  <c r="V491" i="1"/>
  <c r="V492" i="1"/>
  <c r="U493" i="1"/>
  <c r="R493" i="1"/>
  <c r="T494" i="1"/>
  <c r="Q494" i="1"/>
  <c r="P495" i="1"/>
  <c r="V493" i="1"/>
  <c r="U494" i="1"/>
  <c r="R494" i="1"/>
  <c r="T495" i="1"/>
  <c r="P496" i="1"/>
  <c r="Q495" i="1"/>
  <c r="V494" i="1"/>
  <c r="T496" i="1"/>
  <c r="P497" i="1"/>
  <c r="Q496" i="1"/>
  <c r="U495" i="1"/>
  <c r="R495" i="1"/>
  <c r="T497" i="1"/>
  <c r="Q497" i="1"/>
  <c r="P498" i="1"/>
  <c r="U496" i="1"/>
  <c r="R496" i="1"/>
  <c r="V495" i="1"/>
  <c r="U497" i="1"/>
  <c r="R497" i="1"/>
  <c r="T498" i="1"/>
  <c r="P499" i="1"/>
  <c r="Q498" i="1"/>
  <c r="V496" i="1"/>
  <c r="V497" i="1"/>
  <c r="T499" i="1"/>
  <c r="P500" i="1"/>
  <c r="Q499" i="1"/>
  <c r="U498" i="1"/>
  <c r="R498" i="1"/>
  <c r="T500" i="1"/>
  <c r="Q500" i="1"/>
  <c r="P501" i="1"/>
  <c r="U499" i="1"/>
  <c r="R499" i="1"/>
  <c r="V498" i="1"/>
  <c r="U500" i="1"/>
  <c r="R500" i="1"/>
  <c r="T501" i="1"/>
  <c r="P502" i="1"/>
  <c r="Q501" i="1"/>
  <c r="V499" i="1"/>
  <c r="V500" i="1"/>
  <c r="T502" i="1"/>
  <c r="P503" i="1"/>
  <c r="Q502" i="1"/>
  <c r="U501" i="1"/>
  <c r="R501" i="1"/>
  <c r="T503" i="1"/>
  <c r="Q503" i="1"/>
  <c r="P504" i="1"/>
  <c r="U502" i="1"/>
  <c r="R502" i="1"/>
  <c r="V501" i="1"/>
  <c r="U503" i="1"/>
  <c r="R503" i="1"/>
  <c r="T504" i="1"/>
  <c r="Q504" i="1"/>
  <c r="P505" i="1"/>
  <c r="V502" i="1"/>
  <c r="V503" i="1"/>
  <c r="U504" i="1"/>
  <c r="R504" i="1"/>
  <c r="T505" i="1"/>
  <c r="P506" i="1"/>
  <c r="Q505" i="1"/>
  <c r="V504" i="1"/>
  <c r="T506" i="1"/>
  <c r="P507" i="1"/>
  <c r="Q506" i="1"/>
  <c r="U505" i="1"/>
  <c r="R505" i="1"/>
  <c r="T507" i="1"/>
  <c r="P508" i="1"/>
  <c r="Q507" i="1"/>
  <c r="U506" i="1"/>
  <c r="R506" i="1"/>
  <c r="V505" i="1"/>
  <c r="T508" i="1"/>
  <c r="P509" i="1"/>
  <c r="Q508" i="1"/>
  <c r="U507" i="1"/>
  <c r="R507" i="1"/>
  <c r="V506" i="1"/>
  <c r="T509" i="1"/>
  <c r="Q509" i="1"/>
  <c r="P510" i="1"/>
  <c r="U508" i="1"/>
  <c r="R508" i="1"/>
  <c r="V507" i="1"/>
  <c r="U509" i="1"/>
  <c r="R509" i="1"/>
  <c r="T510" i="1"/>
  <c r="P511" i="1"/>
  <c r="Q510" i="1"/>
  <c r="V508" i="1"/>
  <c r="V509" i="1"/>
  <c r="T511" i="1"/>
  <c r="P512" i="1"/>
  <c r="Q511" i="1"/>
  <c r="U510" i="1"/>
  <c r="R510" i="1"/>
  <c r="T512" i="1"/>
  <c r="P513" i="1"/>
  <c r="Q512" i="1"/>
  <c r="U511" i="1"/>
  <c r="R511" i="1"/>
  <c r="V510" i="1"/>
  <c r="T513" i="1"/>
  <c r="Q513" i="1"/>
  <c r="P514" i="1"/>
  <c r="U512" i="1"/>
  <c r="R512" i="1"/>
  <c r="V511" i="1"/>
  <c r="U513" i="1"/>
  <c r="R513" i="1"/>
  <c r="T514" i="1"/>
  <c r="Q514" i="1"/>
  <c r="P515" i="1"/>
  <c r="V512" i="1"/>
  <c r="V513" i="1"/>
  <c r="U514" i="1"/>
  <c r="R514" i="1"/>
  <c r="T515" i="1"/>
  <c r="Q515" i="1"/>
  <c r="P516" i="1"/>
  <c r="V514" i="1"/>
  <c r="U515" i="1"/>
  <c r="R515" i="1"/>
  <c r="T516" i="1"/>
  <c r="Q516" i="1"/>
  <c r="P517" i="1"/>
  <c r="V515" i="1"/>
  <c r="U516" i="1"/>
  <c r="R516" i="1"/>
  <c r="T517" i="1"/>
  <c r="Q517" i="1"/>
  <c r="P518" i="1"/>
  <c r="V516" i="1"/>
  <c r="U517" i="1"/>
  <c r="R517" i="1"/>
  <c r="T518" i="1"/>
  <c r="Q518" i="1"/>
  <c r="P519" i="1"/>
  <c r="V517" i="1"/>
  <c r="U518" i="1"/>
  <c r="R518" i="1"/>
  <c r="T519" i="1"/>
  <c r="Q519" i="1"/>
  <c r="P520" i="1"/>
  <c r="V518" i="1"/>
  <c r="U519" i="1"/>
  <c r="R519" i="1"/>
  <c r="T520" i="1"/>
  <c r="P521" i="1"/>
  <c r="Q520" i="1"/>
  <c r="V519" i="1"/>
  <c r="T521" i="1"/>
  <c r="P522" i="1"/>
  <c r="Q521" i="1"/>
  <c r="U520" i="1"/>
  <c r="R520" i="1"/>
  <c r="T522" i="1"/>
  <c r="P523" i="1"/>
  <c r="Q522" i="1"/>
  <c r="U521" i="1"/>
  <c r="R521" i="1"/>
  <c r="V520" i="1"/>
  <c r="T523" i="1"/>
  <c r="P524" i="1"/>
  <c r="Q523" i="1"/>
  <c r="U522" i="1"/>
  <c r="R522" i="1"/>
  <c r="V521" i="1"/>
  <c r="T524" i="1"/>
  <c r="Q524" i="1"/>
  <c r="P525" i="1"/>
  <c r="U523" i="1"/>
  <c r="R523" i="1"/>
  <c r="V522" i="1"/>
  <c r="U524" i="1"/>
  <c r="R524" i="1"/>
  <c r="T525" i="1"/>
  <c r="Q525" i="1"/>
  <c r="P526" i="1"/>
  <c r="V523" i="1"/>
  <c r="V524" i="1"/>
  <c r="U525" i="1"/>
  <c r="R525" i="1"/>
  <c r="T526" i="1"/>
  <c r="Q526" i="1"/>
  <c r="P527" i="1"/>
  <c r="V525" i="1"/>
  <c r="U526" i="1"/>
  <c r="R526" i="1"/>
  <c r="T527" i="1"/>
  <c r="P528" i="1"/>
  <c r="Q527" i="1"/>
  <c r="V526" i="1"/>
  <c r="T528" i="1"/>
  <c r="P529" i="1"/>
  <c r="Q528" i="1"/>
  <c r="U527" i="1"/>
  <c r="R527" i="1"/>
  <c r="T529" i="1"/>
  <c r="P530" i="1"/>
  <c r="Q529" i="1"/>
  <c r="U528" i="1"/>
  <c r="R528" i="1"/>
  <c r="V527" i="1"/>
  <c r="T530" i="1"/>
  <c r="Q530" i="1"/>
  <c r="P531" i="1"/>
  <c r="U529" i="1"/>
  <c r="R529" i="1"/>
  <c r="V528" i="1"/>
  <c r="U530" i="1"/>
  <c r="R530" i="1"/>
  <c r="T531" i="1"/>
  <c r="Q531" i="1"/>
  <c r="P532" i="1"/>
  <c r="V529" i="1"/>
  <c r="V530" i="1"/>
  <c r="U531" i="1"/>
  <c r="R531" i="1"/>
  <c r="T532" i="1"/>
  <c r="P533" i="1"/>
  <c r="Q532" i="1"/>
  <c r="V531" i="1"/>
  <c r="T533" i="1"/>
  <c r="Q533" i="1"/>
  <c r="P534" i="1"/>
  <c r="U532" i="1"/>
  <c r="R532" i="1"/>
  <c r="U533" i="1"/>
  <c r="R533" i="1"/>
  <c r="T534" i="1"/>
  <c r="P535" i="1"/>
  <c r="Q534" i="1"/>
  <c r="V532" i="1"/>
  <c r="V533" i="1"/>
  <c r="T535" i="1"/>
  <c r="Q535" i="1"/>
  <c r="P536" i="1"/>
  <c r="U534" i="1"/>
  <c r="R534" i="1"/>
  <c r="U535" i="1"/>
  <c r="R535" i="1"/>
  <c r="T536" i="1"/>
  <c r="P537" i="1"/>
  <c r="Q536" i="1"/>
  <c r="V534" i="1"/>
  <c r="V535" i="1"/>
  <c r="T537" i="1"/>
  <c r="P538" i="1"/>
  <c r="Q537" i="1"/>
  <c r="U536" i="1"/>
  <c r="R536" i="1"/>
  <c r="T538" i="1"/>
  <c r="P539" i="1"/>
  <c r="Q538" i="1"/>
  <c r="U537" i="1"/>
  <c r="R537" i="1"/>
  <c r="V536" i="1"/>
  <c r="T539" i="1"/>
  <c r="P540" i="1"/>
  <c r="Q539" i="1"/>
  <c r="U538" i="1"/>
  <c r="R538" i="1"/>
  <c r="V537" i="1"/>
  <c r="T540" i="1"/>
  <c r="Q540" i="1"/>
  <c r="P541" i="1"/>
  <c r="U539" i="1"/>
  <c r="R539" i="1"/>
  <c r="V538" i="1"/>
  <c r="U540" i="1"/>
  <c r="R540" i="1"/>
  <c r="T541" i="1"/>
  <c r="Q541" i="1"/>
  <c r="P542" i="1"/>
  <c r="V539" i="1"/>
  <c r="V540" i="1"/>
  <c r="U541" i="1"/>
  <c r="R541" i="1"/>
  <c r="T542" i="1"/>
  <c r="Q542" i="1"/>
  <c r="P543" i="1"/>
  <c r="V541" i="1"/>
  <c r="U542" i="1"/>
  <c r="R542" i="1"/>
  <c r="T543" i="1"/>
  <c r="Q543" i="1"/>
  <c r="P544" i="1"/>
  <c r="V542" i="1"/>
  <c r="U543" i="1"/>
  <c r="R543" i="1"/>
  <c r="T544" i="1"/>
  <c r="P545" i="1"/>
  <c r="Q544" i="1"/>
  <c r="V543" i="1"/>
  <c r="T545" i="1"/>
  <c r="Q545" i="1"/>
  <c r="P546" i="1"/>
  <c r="U544" i="1"/>
  <c r="R544" i="1"/>
  <c r="U545" i="1"/>
  <c r="R545" i="1"/>
  <c r="T546" i="1"/>
  <c r="Q546" i="1"/>
  <c r="P547" i="1"/>
  <c r="V544" i="1"/>
  <c r="V545" i="1"/>
  <c r="U546" i="1"/>
  <c r="R546" i="1"/>
  <c r="T547" i="1"/>
  <c r="P548" i="1"/>
  <c r="Q547" i="1"/>
  <c r="V546" i="1"/>
  <c r="T548" i="1"/>
  <c r="Q548" i="1"/>
  <c r="P549" i="1"/>
  <c r="U547" i="1"/>
  <c r="R547" i="1"/>
  <c r="U548" i="1"/>
  <c r="R548" i="1"/>
  <c r="T549" i="1"/>
  <c r="Q549" i="1"/>
  <c r="P550" i="1"/>
  <c r="V547" i="1"/>
  <c r="V548" i="1"/>
  <c r="U549" i="1"/>
  <c r="R549" i="1"/>
  <c r="T550" i="1"/>
  <c r="Q550" i="1"/>
  <c r="P551" i="1"/>
  <c r="V549" i="1"/>
  <c r="U550" i="1"/>
  <c r="R550" i="1"/>
  <c r="T551" i="1"/>
  <c r="Q551" i="1"/>
  <c r="P552" i="1"/>
  <c r="V550" i="1"/>
  <c r="U551" i="1"/>
  <c r="R551" i="1"/>
  <c r="T552" i="1"/>
  <c r="Q552" i="1"/>
  <c r="P553" i="1"/>
  <c r="V551" i="1"/>
  <c r="U552" i="1"/>
  <c r="R552" i="1"/>
  <c r="T553" i="1"/>
  <c r="P554" i="1"/>
  <c r="Q553" i="1"/>
  <c r="V552" i="1"/>
  <c r="T554" i="1"/>
  <c r="P555" i="1"/>
  <c r="Q554" i="1"/>
  <c r="U553" i="1"/>
  <c r="R553" i="1"/>
  <c r="T555" i="1"/>
  <c r="P556" i="1"/>
  <c r="Q555" i="1"/>
  <c r="U554" i="1"/>
  <c r="R554" i="1"/>
  <c r="V553" i="1"/>
  <c r="T556" i="1"/>
  <c r="Q556" i="1"/>
  <c r="P557" i="1"/>
  <c r="U555" i="1"/>
  <c r="R555" i="1"/>
  <c r="V554" i="1"/>
  <c r="U556" i="1"/>
  <c r="R556" i="1"/>
  <c r="T557" i="1"/>
  <c r="Q557" i="1"/>
  <c r="P558" i="1"/>
  <c r="V555" i="1"/>
  <c r="V556" i="1"/>
  <c r="U557" i="1"/>
  <c r="R557" i="1"/>
  <c r="T558" i="1"/>
  <c r="P559" i="1"/>
  <c r="Q558" i="1"/>
  <c r="V557" i="1"/>
  <c r="T559" i="1"/>
  <c r="P560" i="1"/>
  <c r="Q559" i="1"/>
  <c r="U558" i="1"/>
  <c r="R558" i="1"/>
  <c r="T560" i="1"/>
  <c r="P561" i="1"/>
  <c r="Q560" i="1"/>
  <c r="U559" i="1"/>
  <c r="R559" i="1"/>
  <c r="V558" i="1"/>
  <c r="T561" i="1"/>
  <c r="Q561" i="1"/>
  <c r="P562" i="1"/>
  <c r="U560" i="1"/>
  <c r="R560" i="1"/>
  <c r="V559" i="1"/>
  <c r="U561" i="1"/>
  <c r="R561" i="1"/>
  <c r="T562" i="1"/>
  <c r="Q562" i="1"/>
  <c r="P563" i="1"/>
  <c r="V560" i="1"/>
  <c r="V561" i="1"/>
  <c r="U562" i="1"/>
  <c r="R562" i="1"/>
  <c r="T563" i="1"/>
  <c r="P564" i="1"/>
  <c r="Q563" i="1"/>
  <c r="V562" i="1"/>
  <c r="T564" i="1"/>
  <c r="P565" i="1"/>
  <c r="Q564" i="1"/>
  <c r="U563" i="1"/>
  <c r="R563" i="1"/>
  <c r="T565" i="1"/>
  <c r="P566" i="1"/>
  <c r="Q565" i="1"/>
  <c r="U564" i="1"/>
  <c r="R564" i="1"/>
  <c r="V563" i="1"/>
  <c r="T566" i="1"/>
  <c r="P567" i="1"/>
  <c r="Q566" i="1"/>
  <c r="U565" i="1"/>
  <c r="R565" i="1"/>
  <c r="V564" i="1"/>
  <c r="T567" i="1"/>
  <c r="P568" i="1"/>
  <c r="Q567" i="1"/>
  <c r="U566" i="1"/>
  <c r="R566" i="1"/>
  <c r="V565" i="1"/>
  <c r="T568" i="1"/>
  <c r="Q568" i="1"/>
  <c r="P569" i="1"/>
  <c r="U567" i="1"/>
  <c r="R567" i="1"/>
  <c r="V566" i="1"/>
  <c r="U568" i="1"/>
  <c r="R568" i="1"/>
  <c r="T569" i="1"/>
  <c r="Q569" i="1"/>
  <c r="P570" i="1"/>
  <c r="V567" i="1"/>
  <c r="V568" i="1"/>
  <c r="U569" i="1"/>
  <c r="R569" i="1"/>
  <c r="T570" i="1"/>
  <c r="Q570" i="1"/>
  <c r="P571" i="1"/>
  <c r="V569" i="1"/>
  <c r="U570" i="1"/>
  <c r="R570" i="1"/>
  <c r="T571" i="1"/>
  <c r="P572" i="1"/>
  <c r="Q571" i="1"/>
  <c r="V570" i="1"/>
  <c r="T572" i="1"/>
  <c r="Q572" i="1"/>
  <c r="P573" i="1"/>
  <c r="U571" i="1"/>
  <c r="R571" i="1"/>
  <c r="U572" i="1"/>
  <c r="R572" i="1"/>
  <c r="T573" i="1"/>
  <c r="Q573" i="1"/>
  <c r="P574" i="1"/>
  <c r="V571" i="1"/>
  <c r="V572" i="1"/>
  <c r="U573" i="1"/>
  <c r="R573" i="1"/>
  <c r="T574" i="1"/>
  <c r="P575" i="1"/>
  <c r="Q574" i="1"/>
  <c r="V573" i="1"/>
  <c r="T575" i="1"/>
  <c r="P576" i="1"/>
  <c r="Q575" i="1"/>
  <c r="U574" i="1"/>
  <c r="R574" i="1"/>
  <c r="T576" i="1"/>
  <c r="Q576" i="1"/>
  <c r="P577" i="1"/>
  <c r="U575" i="1"/>
  <c r="R575" i="1"/>
  <c r="V574" i="1"/>
  <c r="U576" i="1"/>
  <c r="R576" i="1"/>
  <c r="T577" i="1"/>
  <c r="P578" i="1"/>
  <c r="Q577" i="1"/>
  <c r="V575" i="1"/>
  <c r="V576" i="1"/>
  <c r="T578" i="1"/>
  <c r="Q578" i="1"/>
  <c r="P579" i="1"/>
  <c r="U577" i="1"/>
  <c r="R577" i="1"/>
  <c r="U578" i="1"/>
  <c r="R578" i="1"/>
  <c r="T579" i="1"/>
  <c r="Q579" i="1"/>
  <c r="P580" i="1"/>
  <c r="V577" i="1"/>
  <c r="V578" i="1"/>
  <c r="U579" i="1"/>
  <c r="R579" i="1"/>
  <c r="T580" i="1"/>
  <c r="Q580" i="1"/>
  <c r="P581" i="1"/>
  <c r="V579" i="1"/>
  <c r="U580" i="1"/>
  <c r="R580" i="1"/>
  <c r="T581" i="1"/>
  <c r="Q581" i="1"/>
  <c r="P582" i="1"/>
  <c r="V580" i="1"/>
  <c r="U581" i="1"/>
  <c r="R581" i="1"/>
  <c r="T582" i="1"/>
  <c r="P583" i="1"/>
  <c r="Q582" i="1"/>
  <c r="V581" i="1"/>
  <c r="T583" i="1"/>
  <c r="P584" i="1"/>
  <c r="Q583" i="1"/>
  <c r="U582" i="1"/>
  <c r="R582" i="1"/>
  <c r="T584" i="1"/>
  <c r="Q584" i="1"/>
  <c r="P585" i="1"/>
  <c r="U583" i="1"/>
  <c r="R583" i="1"/>
  <c r="V582" i="1"/>
  <c r="U584" i="1"/>
  <c r="R584" i="1"/>
  <c r="T585" i="1"/>
  <c r="Q585" i="1"/>
  <c r="P586" i="1"/>
  <c r="V583" i="1"/>
  <c r="V584" i="1"/>
  <c r="U585" i="1"/>
  <c r="R585" i="1"/>
  <c r="T586" i="1"/>
  <c r="Q586" i="1"/>
  <c r="P587" i="1"/>
  <c r="V585" i="1"/>
  <c r="U586" i="1"/>
  <c r="R586" i="1"/>
  <c r="T587" i="1"/>
  <c r="Q587" i="1"/>
  <c r="P588" i="1"/>
  <c r="V586" i="1"/>
  <c r="U587" i="1"/>
  <c r="R587" i="1"/>
  <c r="T588" i="1"/>
  <c r="Q588" i="1"/>
  <c r="P589" i="1"/>
  <c r="V587" i="1"/>
  <c r="U588" i="1"/>
  <c r="R588" i="1"/>
  <c r="T589" i="1"/>
  <c r="P590" i="1"/>
  <c r="Q589" i="1"/>
  <c r="V588" i="1"/>
  <c r="T590" i="1"/>
  <c r="P591" i="1"/>
  <c r="Q590" i="1"/>
  <c r="U589" i="1"/>
  <c r="R589" i="1"/>
  <c r="T591" i="1"/>
  <c r="Q591" i="1"/>
  <c r="P592" i="1"/>
  <c r="U590" i="1"/>
  <c r="R590" i="1"/>
  <c r="V589" i="1"/>
  <c r="U591" i="1"/>
  <c r="R591" i="1"/>
  <c r="T592" i="1"/>
  <c r="Q592" i="1"/>
  <c r="P593" i="1"/>
  <c r="V590" i="1"/>
  <c r="V591" i="1"/>
  <c r="U592" i="1"/>
  <c r="R592" i="1"/>
  <c r="T593" i="1"/>
  <c r="P594" i="1"/>
  <c r="Q593" i="1"/>
  <c r="V592" i="1"/>
  <c r="T594" i="1"/>
  <c r="Q594" i="1"/>
  <c r="P595" i="1"/>
  <c r="U593" i="1"/>
  <c r="R593" i="1"/>
  <c r="U594" i="1"/>
  <c r="R594" i="1"/>
  <c r="T595" i="1"/>
  <c r="Q595" i="1"/>
  <c r="P596" i="1"/>
  <c r="V593" i="1"/>
  <c r="V594" i="1"/>
  <c r="U595" i="1"/>
  <c r="R595" i="1"/>
  <c r="T596" i="1"/>
  <c r="Q596" i="1"/>
  <c r="P597" i="1"/>
  <c r="V595" i="1"/>
  <c r="U596" i="1"/>
  <c r="R596" i="1"/>
  <c r="T597" i="1"/>
  <c r="Q597" i="1"/>
  <c r="P598" i="1"/>
  <c r="V596" i="1"/>
  <c r="U597" i="1"/>
  <c r="R597" i="1"/>
  <c r="T598" i="1"/>
  <c r="P599" i="1"/>
  <c r="Q598" i="1"/>
  <c r="V597" i="1"/>
  <c r="T599" i="1"/>
  <c r="P600" i="1"/>
  <c r="Q599" i="1"/>
  <c r="U598" i="1"/>
  <c r="R598" i="1"/>
  <c r="T600" i="1"/>
  <c r="Q600" i="1"/>
  <c r="P601" i="1"/>
  <c r="U599" i="1"/>
  <c r="R599" i="1"/>
  <c r="V598" i="1"/>
  <c r="U600" i="1"/>
  <c r="R600" i="1"/>
  <c r="T601" i="1"/>
  <c r="Q601" i="1"/>
  <c r="P602" i="1"/>
  <c r="V599" i="1"/>
  <c r="V600" i="1"/>
  <c r="U601" i="1"/>
  <c r="R601" i="1"/>
  <c r="T602" i="1"/>
  <c r="Q602" i="1"/>
  <c r="P603" i="1"/>
  <c r="V601" i="1"/>
  <c r="U602" i="1"/>
  <c r="R602" i="1"/>
  <c r="T603" i="1"/>
  <c r="P604" i="1"/>
  <c r="Q603" i="1"/>
  <c r="V602" i="1"/>
  <c r="T604" i="1"/>
  <c r="Q604" i="1"/>
  <c r="P605" i="1"/>
  <c r="U603" i="1"/>
  <c r="R603" i="1"/>
  <c r="U604" i="1"/>
  <c r="R604" i="1"/>
  <c r="T605" i="1"/>
  <c r="Q605" i="1"/>
  <c r="P606" i="1"/>
  <c r="V603" i="1"/>
  <c r="V604" i="1"/>
  <c r="U605" i="1"/>
  <c r="R605" i="1"/>
  <c r="T606" i="1"/>
  <c r="P607" i="1"/>
  <c r="Q606" i="1"/>
  <c r="V605" i="1"/>
  <c r="T607" i="1"/>
  <c r="Q607" i="1"/>
  <c r="P608" i="1"/>
  <c r="U606" i="1"/>
  <c r="R606" i="1"/>
  <c r="U607" i="1"/>
  <c r="R607" i="1"/>
  <c r="T608" i="1"/>
  <c r="Q608" i="1"/>
  <c r="P609" i="1"/>
  <c r="V606" i="1"/>
  <c r="V607" i="1"/>
  <c r="U608" i="1"/>
  <c r="R608" i="1"/>
  <c r="T609" i="1"/>
  <c r="Q609" i="1"/>
  <c r="P610" i="1"/>
  <c r="V608" i="1"/>
  <c r="U609" i="1"/>
  <c r="R609" i="1"/>
  <c r="T610" i="1"/>
  <c r="P611" i="1"/>
  <c r="Q610" i="1"/>
  <c r="V609" i="1"/>
  <c r="T611" i="1"/>
  <c r="P612" i="1"/>
  <c r="Q611" i="1"/>
  <c r="U610" i="1"/>
  <c r="R610" i="1"/>
  <c r="T612" i="1"/>
  <c r="Q612" i="1"/>
  <c r="P613" i="1"/>
  <c r="U611" i="1"/>
  <c r="R611" i="1"/>
  <c r="V610" i="1"/>
  <c r="U612" i="1"/>
  <c r="R612" i="1"/>
  <c r="T613" i="1"/>
  <c r="Q613" i="1"/>
  <c r="P614" i="1"/>
  <c r="V611" i="1"/>
  <c r="V612" i="1"/>
  <c r="U613" i="1"/>
  <c r="R613" i="1"/>
  <c r="T614" i="1"/>
  <c r="P615" i="1"/>
  <c r="Q614" i="1"/>
  <c r="V613" i="1"/>
  <c r="T615" i="1"/>
  <c r="P616" i="1"/>
  <c r="Q615" i="1"/>
  <c r="U614" i="1"/>
  <c r="R614" i="1"/>
  <c r="T616" i="1"/>
  <c r="Q616" i="1"/>
  <c r="P617" i="1"/>
  <c r="U615" i="1"/>
  <c r="R615" i="1"/>
  <c r="V614" i="1"/>
  <c r="U616" i="1"/>
  <c r="R616" i="1"/>
  <c r="T617" i="1"/>
  <c r="P618" i="1"/>
  <c r="Q617" i="1"/>
  <c r="V615" i="1"/>
  <c r="V616" i="1"/>
  <c r="T618" i="1"/>
  <c r="P619" i="1"/>
  <c r="Q618" i="1"/>
  <c r="U617" i="1"/>
  <c r="R617" i="1"/>
  <c r="T619" i="1"/>
  <c r="Q619" i="1"/>
  <c r="P620" i="1"/>
  <c r="U618" i="1"/>
  <c r="R618" i="1"/>
  <c r="V617" i="1"/>
  <c r="U619" i="1"/>
  <c r="R619" i="1"/>
  <c r="T620" i="1"/>
  <c r="Q620" i="1"/>
  <c r="P621" i="1"/>
  <c r="V618" i="1"/>
  <c r="V619" i="1"/>
  <c r="U620" i="1"/>
  <c r="R620" i="1"/>
  <c r="T621" i="1"/>
  <c r="P622" i="1"/>
  <c r="Q621" i="1"/>
  <c r="V620" i="1"/>
  <c r="T622" i="1"/>
  <c r="P623" i="1"/>
  <c r="Q622" i="1"/>
  <c r="U621" i="1"/>
  <c r="R621" i="1"/>
  <c r="T623" i="1"/>
  <c r="Q623" i="1"/>
  <c r="P624" i="1"/>
  <c r="U622" i="1"/>
  <c r="R622" i="1"/>
  <c r="V621" i="1"/>
  <c r="U623" i="1"/>
  <c r="R623" i="1"/>
  <c r="T624" i="1"/>
  <c r="P625" i="1"/>
  <c r="Q624" i="1"/>
  <c r="V622" i="1"/>
  <c r="V623" i="1"/>
  <c r="T625" i="1"/>
  <c r="Q625" i="1"/>
  <c r="P626" i="1"/>
  <c r="U624" i="1"/>
  <c r="R624" i="1"/>
  <c r="U625" i="1"/>
  <c r="R625" i="1"/>
  <c r="T626" i="1"/>
  <c r="P627" i="1"/>
  <c r="Q626" i="1"/>
  <c r="V624" i="1"/>
  <c r="V625" i="1"/>
  <c r="T627" i="1"/>
  <c r="P628" i="1"/>
  <c r="Q627" i="1"/>
  <c r="U626" i="1"/>
  <c r="R626" i="1"/>
  <c r="T628" i="1"/>
  <c r="Q628" i="1"/>
  <c r="P629" i="1"/>
  <c r="U627" i="1"/>
  <c r="R627" i="1"/>
  <c r="V626" i="1"/>
  <c r="U628" i="1"/>
  <c r="R628" i="1"/>
  <c r="T629" i="1"/>
  <c r="Q629" i="1"/>
  <c r="P630" i="1"/>
  <c r="V627" i="1"/>
  <c r="V628" i="1"/>
  <c r="U629" i="1"/>
  <c r="R629" i="1"/>
  <c r="T630" i="1"/>
  <c r="Q630" i="1"/>
  <c r="P631" i="1"/>
  <c r="V629" i="1"/>
  <c r="U630" i="1"/>
  <c r="R630" i="1"/>
  <c r="T631" i="1"/>
  <c r="P632" i="1"/>
  <c r="Q631" i="1"/>
  <c r="V630" i="1"/>
  <c r="T632" i="1"/>
  <c r="P633" i="1"/>
  <c r="Q632" i="1"/>
  <c r="U631" i="1"/>
  <c r="R631" i="1"/>
  <c r="T633" i="1"/>
  <c r="Q633" i="1"/>
  <c r="P634" i="1"/>
  <c r="U632" i="1"/>
  <c r="R632" i="1"/>
  <c r="V631" i="1"/>
  <c r="U633" i="1"/>
  <c r="R633" i="1"/>
  <c r="T634" i="1"/>
  <c r="P635" i="1"/>
  <c r="Q634" i="1"/>
  <c r="V632" i="1"/>
  <c r="V633" i="1"/>
  <c r="T635" i="1"/>
  <c r="P636" i="1"/>
  <c r="Q635" i="1"/>
  <c r="U634" i="1"/>
  <c r="R634" i="1"/>
  <c r="T636" i="1"/>
  <c r="P637" i="1"/>
  <c r="Q636" i="1"/>
  <c r="U635" i="1"/>
  <c r="R635" i="1"/>
  <c r="V634" i="1"/>
  <c r="T637" i="1"/>
  <c r="P638" i="1"/>
  <c r="Q637" i="1"/>
  <c r="U636" i="1"/>
  <c r="R636" i="1"/>
  <c r="V635" i="1"/>
  <c r="T638" i="1"/>
  <c r="Q638" i="1"/>
  <c r="P639" i="1"/>
  <c r="U637" i="1"/>
  <c r="R637" i="1"/>
  <c r="V636" i="1"/>
  <c r="U638" i="1"/>
  <c r="R638" i="1"/>
  <c r="T639" i="1"/>
  <c r="P640" i="1"/>
  <c r="Q639" i="1"/>
  <c r="V637" i="1"/>
  <c r="V638" i="1"/>
  <c r="T640" i="1"/>
  <c r="P641" i="1"/>
  <c r="Q640" i="1"/>
  <c r="U639" i="1"/>
  <c r="R639" i="1"/>
  <c r="T641" i="1"/>
  <c r="P642" i="1"/>
  <c r="Q641" i="1"/>
  <c r="U640" i="1"/>
  <c r="R640" i="1"/>
  <c r="V639" i="1"/>
  <c r="T642" i="1"/>
  <c r="Q642" i="1"/>
  <c r="P643" i="1"/>
  <c r="U641" i="1"/>
  <c r="R641" i="1"/>
  <c r="V640" i="1"/>
  <c r="U642" i="1"/>
  <c r="R642" i="1"/>
  <c r="T643" i="1"/>
  <c r="Q643" i="1"/>
  <c r="P644" i="1"/>
  <c r="V641" i="1"/>
  <c r="V642" i="1"/>
  <c r="U643" i="1"/>
  <c r="R643" i="1"/>
  <c r="T644" i="1"/>
  <c r="P645" i="1"/>
  <c r="Q644" i="1"/>
  <c r="V643" i="1"/>
  <c r="T645" i="1"/>
  <c r="P646" i="1"/>
  <c r="Q645" i="1"/>
  <c r="U644" i="1"/>
  <c r="R644" i="1"/>
  <c r="T646" i="1"/>
  <c r="Q646" i="1"/>
  <c r="P647" i="1"/>
  <c r="U645" i="1"/>
  <c r="R645" i="1"/>
  <c r="V644" i="1"/>
  <c r="U646" i="1"/>
  <c r="R646" i="1"/>
  <c r="T647" i="1"/>
  <c r="P648" i="1"/>
  <c r="Q647" i="1"/>
  <c r="V645" i="1"/>
  <c r="V646" i="1"/>
  <c r="T648" i="1"/>
  <c r="P649" i="1"/>
  <c r="Q648" i="1"/>
  <c r="U647" i="1"/>
  <c r="R647" i="1"/>
  <c r="T649" i="1"/>
  <c r="P650" i="1"/>
  <c r="Q649" i="1"/>
  <c r="U648" i="1"/>
  <c r="R648" i="1"/>
  <c r="V647" i="1"/>
  <c r="T650" i="1"/>
  <c r="Q650" i="1"/>
  <c r="P651" i="1"/>
  <c r="U649" i="1"/>
  <c r="R649" i="1"/>
  <c r="V648" i="1"/>
  <c r="U650" i="1"/>
  <c r="R650" i="1"/>
  <c r="T651" i="1"/>
  <c r="Q651" i="1"/>
  <c r="P652" i="1"/>
  <c r="V649" i="1"/>
  <c r="V650" i="1"/>
  <c r="U651" i="1"/>
  <c r="R651" i="1"/>
  <c r="T652" i="1"/>
  <c r="P653" i="1"/>
  <c r="Q652" i="1"/>
  <c r="V651" i="1"/>
  <c r="T653" i="1"/>
  <c r="Q653" i="1"/>
  <c r="P654" i="1"/>
  <c r="U652" i="1"/>
  <c r="R652" i="1"/>
  <c r="U653" i="1"/>
  <c r="R653" i="1"/>
  <c r="T654" i="1"/>
  <c r="P655" i="1"/>
  <c r="Q654" i="1"/>
  <c r="V652" i="1"/>
  <c r="V653" i="1"/>
  <c r="T655" i="1"/>
  <c r="Q655" i="1"/>
  <c r="P656" i="1"/>
  <c r="U654" i="1"/>
  <c r="R654" i="1"/>
  <c r="U655" i="1"/>
  <c r="R655" i="1"/>
  <c r="T656" i="1"/>
  <c r="Q656" i="1"/>
  <c r="P657" i="1"/>
  <c r="V654" i="1"/>
  <c r="V655" i="1"/>
  <c r="U656" i="1"/>
  <c r="R656" i="1"/>
  <c r="T657" i="1"/>
  <c r="Q657" i="1"/>
  <c r="P658" i="1"/>
  <c r="V656" i="1"/>
  <c r="U657" i="1"/>
  <c r="R657" i="1"/>
  <c r="T658" i="1"/>
  <c r="P659" i="1"/>
  <c r="Q658" i="1"/>
  <c r="V657" i="1"/>
  <c r="T659" i="1"/>
  <c r="Q659" i="1"/>
  <c r="P660" i="1"/>
  <c r="U658" i="1"/>
  <c r="R658" i="1"/>
  <c r="U659" i="1"/>
  <c r="R659" i="1"/>
  <c r="T660" i="1"/>
  <c r="P661" i="1"/>
  <c r="Q660" i="1"/>
  <c r="V658" i="1"/>
  <c r="V659" i="1"/>
  <c r="T661" i="1"/>
  <c r="Q661" i="1"/>
  <c r="P662" i="1"/>
  <c r="U660" i="1"/>
  <c r="R660" i="1"/>
  <c r="U661" i="1"/>
  <c r="R661" i="1"/>
  <c r="T662" i="1"/>
  <c r="Q662" i="1"/>
  <c r="P663" i="1"/>
  <c r="V660" i="1"/>
  <c r="V661" i="1"/>
  <c r="U662" i="1"/>
  <c r="R662" i="1"/>
  <c r="T663" i="1"/>
  <c r="Q663" i="1"/>
  <c r="P664" i="1"/>
  <c r="V662" i="1"/>
  <c r="U663" i="1"/>
  <c r="R663" i="1"/>
  <c r="T664" i="1"/>
  <c r="P665" i="1"/>
  <c r="Q664" i="1"/>
  <c r="V663" i="1"/>
  <c r="T665" i="1"/>
  <c r="Q665" i="1"/>
  <c r="P666" i="1"/>
  <c r="U664" i="1"/>
  <c r="R664" i="1"/>
  <c r="U665" i="1"/>
  <c r="R665" i="1"/>
  <c r="T666" i="1"/>
  <c r="P667" i="1"/>
  <c r="Q666" i="1"/>
  <c r="V664" i="1"/>
  <c r="V665" i="1"/>
  <c r="T667" i="1"/>
  <c r="P668" i="1"/>
  <c r="Q667" i="1"/>
  <c r="U666" i="1"/>
  <c r="R666" i="1"/>
  <c r="T668" i="1"/>
  <c r="Q668" i="1"/>
  <c r="P669" i="1"/>
  <c r="U667" i="1"/>
  <c r="R667" i="1"/>
  <c r="V666" i="1"/>
  <c r="U668" i="1"/>
  <c r="R668" i="1"/>
  <c r="T669" i="1"/>
  <c r="P670" i="1"/>
  <c r="Q669" i="1"/>
  <c r="V667" i="1"/>
  <c r="V668" i="1"/>
  <c r="T670" i="1"/>
  <c r="Q670" i="1"/>
  <c r="P671" i="1"/>
  <c r="U669" i="1"/>
  <c r="R669" i="1"/>
  <c r="U670" i="1"/>
  <c r="R670" i="1"/>
  <c r="T671" i="1"/>
  <c r="Q671" i="1"/>
  <c r="P672" i="1"/>
  <c r="V669" i="1"/>
  <c r="V670" i="1"/>
  <c r="U671" i="1"/>
  <c r="R671" i="1"/>
  <c r="T672" i="1"/>
  <c r="Q672" i="1"/>
  <c r="P673" i="1"/>
  <c r="V671" i="1"/>
  <c r="U672" i="1"/>
  <c r="R672" i="1"/>
  <c r="T673" i="1"/>
  <c r="P674" i="1"/>
  <c r="Q673" i="1"/>
  <c r="V672" i="1"/>
  <c r="T674" i="1"/>
  <c r="P675" i="1"/>
  <c r="Q674" i="1"/>
  <c r="U673" i="1"/>
  <c r="R673" i="1"/>
  <c r="T675" i="1"/>
  <c r="P676" i="1"/>
  <c r="Q675" i="1"/>
  <c r="U674" i="1"/>
  <c r="R674" i="1"/>
  <c r="V673" i="1"/>
  <c r="T676" i="1"/>
  <c r="P677" i="1"/>
  <c r="Q676" i="1"/>
  <c r="U675" i="1"/>
  <c r="R675" i="1"/>
  <c r="V674" i="1"/>
  <c r="T677" i="1"/>
  <c r="Q677" i="1"/>
  <c r="P678" i="1"/>
  <c r="U676" i="1"/>
  <c r="R676" i="1"/>
  <c r="V675" i="1"/>
  <c r="U677" i="1"/>
  <c r="R677" i="1"/>
  <c r="T678" i="1"/>
  <c r="P679" i="1"/>
  <c r="Q678" i="1"/>
  <c r="V676" i="1"/>
  <c r="V677" i="1"/>
  <c r="T679" i="1"/>
  <c r="Q679" i="1"/>
  <c r="P680" i="1"/>
  <c r="U678" i="1"/>
  <c r="R678" i="1"/>
  <c r="U679" i="1"/>
  <c r="R679" i="1"/>
  <c r="T680" i="1"/>
  <c r="Q680" i="1"/>
  <c r="P681" i="1"/>
  <c r="V678" i="1"/>
  <c r="V679" i="1"/>
  <c r="U680" i="1"/>
  <c r="R680" i="1"/>
  <c r="T681" i="1"/>
  <c r="P682" i="1"/>
  <c r="Q681" i="1"/>
  <c r="V680" i="1"/>
  <c r="T682" i="1"/>
  <c r="P683" i="1"/>
  <c r="Q682" i="1"/>
  <c r="U681" i="1"/>
  <c r="R681" i="1"/>
  <c r="T683" i="1"/>
  <c r="Q683" i="1"/>
  <c r="P684" i="1"/>
  <c r="U682" i="1"/>
  <c r="R682" i="1"/>
  <c r="V681" i="1"/>
  <c r="U683" i="1"/>
  <c r="R683" i="1"/>
  <c r="T684" i="1"/>
  <c r="Q684" i="1"/>
  <c r="P685" i="1"/>
  <c r="V682" i="1"/>
  <c r="V683" i="1"/>
  <c r="U684" i="1"/>
  <c r="R684" i="1"/>
  <c r="T685" i="1"/>
  <c r="Q685" i="1"/>
  <c r="P686" i="1"/>
  <c r="V684" i="1"/>
  <c r="U685" i="1"/>
  <c r="R685" i="1"/>
  <c r="T686" i="1"/>
  <c r="P687" i="1"/>
  <c r="Q686" i="1"/>
  <c r="V685" i="1"/>
  <c r="T687" i="1"/>
  <c r="P688" i="1"/>
  <c r="Q687" i="1"/>
  <c r="U686" i="1"/>
  <c r="R686" i="1"/>
  <c r="T688" i="1"/>
  <c r="P689" i="1"/>
  <c r="Q688" i="1"/>
  <c r="U687" i="1"/>
  <c r="R687" i="1"/>
  <c r="V686" i="1"/>
  <c r="T689" i="1"/>
  <c r="P690" i="1"/>
  <c r="Q689" i="1"/>
  <c r="U688" i="1"/>
  <c r="R688" i="1"/>
  <c r="V687" i="1"/>
  <c r="T690" i="1"/>
  <c r="Q690" i="1"/>
  <c r="P691" i="1"/>
  <c r="U689" i="1"/>
  <c r="R689" i="1"/>
  <c r="V688" i="1"/>
  <c r="U690" i="1"/>
  <c r="R690" i="1"/>
  <c r="T691" i="1"/>
  <c r="P692" i="1"/>
  <c r="Q691" i="1"/>
  <c r="V689" i="1"/>
  <c r="V690" i="1"/>
  <c r="T692" i="1"/>
  <c r="Q692" i="1"/>
  <c r="P693" i="1"/>
  <c r="U691" i="1"/>
  <c r="R691" i="1"/>
  <c r="U692" i="1"/>
  <c r="R692" i="1"/>
  <c r="T693" i="1"/>
  <c r="P694" i="1"/>
  <c r="Q693" i="1"/>
  <c r="V691" i="1"/>
  <c r="V692" i="1"/>
  <c r="T694" i="1"/>
  <c r="Q694" i="1"/>
  <c r="P695" i="1"/>
  <c r="U693" i="1"/>
  <c r="R693" i="1"/>
  <c r="U694" i="1"/>
  <c r="R694" i="1"/>
  <c r="T695" i="1"/>
  <c r="Q695" i="1"/>
  <c r="P696" i="1"/>
  <c r="V693" i="1"/>
  <c r="V694" i="1"/>
  <c r="U695" i="1"/>
  <c r="R695" i="1"/>
  <c r="T696" i="1"/>
  <c r="Q696" i="1"/>
  <c r="P697" i="1"/>
  <c r="V695" i="1"/>
  <c r="U696" i="1"/>
  <c r="R696" i="1"/>
  <c r="T697" i="1"/>
  <c r="Q697" i="1"/>
  <c r="P698" i="1"/>
  <c r="V696" i="1"/>
  <c r="U697" i="1"/>
  <c r="R697" i="1"/>
  <c r="T698" i="1"/>
  <c r="Q698" i="1"/>
  <c r="P699" i="1"/>
  <c r="V697" i="1"/>
  <c r="U698" i="1"/>
  <c r="R698" i="1"/>
  <c r="T699" i="1"/>
  <c r="P700" i="1"/>
  <c r="Q699" i="1"/>
  <c r="V698" i="1"/>
  <c r="T700" i="1"/>
  <c r="P701" i="1"/>
  <c r="Q700" i="1"/>
  <c r="U699" i="1"/>
  <c r="R699" i="1"/>
  <c r="T701" i="1"/>
  <c r="P702" i="1"/>
  <c r="Q701" i="1"/>
  <c r="U700" i="1"/>
  <c r="R700" i="1"/>
  <c r="V699" i="1"/>
  <c r="T702" i="1"/>
  <c r="P703" i="1"/>
  <c r="Q702" i="1"/>
  <c r="U701" i="1"/>
  <c r="R701" i="1"/>
  <c r="V700" i="1"/>
  <c r="T703" i="1"/>
  <c r="Q703" i="1"/>
  <c r="P704" i="1"/>
  <c r="U702" i="1"/>
  <c r="R702" i="1"/>
  <c r="V701" i="1"/>
  <c r="U703" i="1"/>
  <c r="R703" i="1"/>
  <c r="T704" i="1"/>
  <c r="P705" i="1"/>
  <c r="Q704" i="1"/>
  <c r="V702" i="1"/>
  <c r="V703" i="1"/>
  <c r="T705" i="1"/>
  <c r="Q705" i="1"/>
  <c r="P706" i="1"/>
  <c r="U704" i="1"/>
  <c r="R704" i="1"/>
  <c r="U705" i="1"/>
  <c r="R705" i="1"/>
  <c r="T706" i="1"/>
  <c r="P707" i="1"/>
  <c r="Q706" i="1"/>
  <c r="V704" i="1"/>
  <c r="V705" i="1"/>
  <c r="T707" i="1"/>
  <c r="Q707" i="1"/>
  <c r="P708" i="1"/>
  <c r="U706" i="1"/>
  <c r="R706" i="1"/>
  <c r="U707" i="1"/>
  <c r="R707" i="1"/>
  <c r="T708" i="1"/>
  <c r="P709" i="1"/>
  <c r="Q708" i="1"/>
  <c r="V706" i="1"/>
  <c r="V707" i="1"/>
  <c r="T709" i="1"/>
  <c r="P710" i="1"/>
  <c r="Q709" i="1"/>
  <c r="U708" i="1"/>
  <c r="R708" i="1"/>
  <c r="T710" i="1"/>
  <c r="Q710" i="1"/>
  <c r="P711" i="1"/>
  <c r="U709" i="1"/>
  <c r="R709" i="1"/>
  <c r="V708" i="1"/>
  <c r="U710" i="1"/>
  <c r="R710" i="1"/>
  <c r="T711" i="1"/>
  <c r="P712" i="1"/>
  <c r="Q711" i="1"/>
  <c r="V709" i="1"/>
  <c r="V710" i="1"/>
  <c r="T712" i="1"/>
  <c r="Q712" i="1"/>
  <c r="P713" i="1"/>
  <c r="U711" i="1"/>
  <c r="R711" i="1"/>
  <c r="U712" i="1"/>
  <c r="R712" i="1"/>
  <c r="T713" i="1"/>
  <c r="Q713" i="1"/>
  <c r="P714" i="1"/>
  <c r="V711" i="1"/>
  <c r="V712" i="1"/>
  <c r="U713" i="1"/>
  <c r="R713" i="1"/>
  <c r="T714" i="1"/>
  <c r="Q714" i="1"/>
  <c r="P715" i="1"/>
  <c r="V713" i="1"/>
  <c r="U714" i="1"/>
  <c r="R714" i="1"/>
  <c r="T715" i="1"/>
  <c r="P716" i="1"/>
  <c r="Q715" i="1"/>
  <c r="V714" i="1"/>
  <c r="T716" i="1"/>
  <c r="Q716" i="1"/>
  <c r="P717" i="1"/>
  <c r="U715" i="1"/>
  <c r="R715" i="1"/>
  <c r="U716" i="1"/>
  <c r="R716" i="1"/>
  <c r="T717" i="1"/>
  <c r="Q717" i="1"/>
  <c r="P718" i="1"/>
  <c r="V715" i="1"/>
  <c r="V716" i="1"/>
  <c r="U717" i="1"/>
  <c r="R717" i="1"/>
  <c r="T718" i="1"/>
  <c r="Q718" i="1"/>
  <c r="P719" i="1"/>
  <c r="V717" i="1"/>
  <c r="U718" i="1"/>
  <c r="R718" i="1"/>
  <c r="T719" i="1"/>
  <c r="P720" i="1"/>
  <c r="Q719" i="1"/>
  <c r="V718" i="1"/>
  <c r="T720" i="1"/>
  <c r="Q720" i="1"/>
  <c r="P721" i="1"/>
  <c r="U719" i="1"/>
  <c r="R719" i="1"/>
  <c r="U720" i="1"/>
  <c r="R720" i="1"/>
  <c r="T721" i="1"/>
  <c r="P722" i="1"/>
  <c r="Q721" i="1"/>
  <c r="V719" i="1"/>
  <c r="V720" i="1"/>
  <c r="T722" i="1"/>
  <c r="P723" i="1"/>
  <c r="Q722" i="1"/>
  <c r="U721" i="1"/>
  <c r="R721" i="1"/>
  <c r="T723" i="1"/>
  <c r="Q723" i="1"/>
  <c r="P724" i="1"/>
  <c r="U722" i="1"/>
  <c r="R722" i="1"/>
  <c r="V721" i="1"/>
  <c r="U723" i="1"/>
  <c r="R723" i="1"/>
  <c r="T724" i="1"/>
  <c r="P725" i="1"/>
  <c r="Q724" i="1"/>
  <c r="V722" i="1"/>
  <c r="V723" i="1"/>
  <c r="T725" i="1"/>
  <c r="P726" i="1"/>
  <c r="Q725" i="1"/>
  <c r="U724" i="1"/>
  <c r="R724" i="1"/>
  <c r="T726" i="1"/>
  <c r="P727" i="1"/>
  <c r="Q726" i="1"/>
  <c r="U725" i="1"/>
  <c r="R725" i="1"/>
  <c r="V724" i="1"/>
  <c r="T727" i="1"/>
  <c r="P728" i="1"/>
  <c r="Q727" i="1"/>
  <c r="U726" i="1"/>
  <c r="R726" i="1"/>
  <c r="V725" i="1"/>
  <c r="T728" i="1"/>
  <c r="P729" i="1"/>
  <c r="Q728" i="1"/>
  <c r="U727" i="1"/>
  <c r="R727" i="1"/>
  <c r="V726" i="1"/>
  <c r="T729" i="1"/>
  <c r="Q729" i="1"/>
  <c r="P730" i="1"/>
  <c r="U728" i="1"/>
  <c r="R728" i="1"/>
  <c r="V727" i="1"/>
  <c r="U729" i="1"/>
  <c r="R729" i="1"/>
  <c r="T730" i="1"/>
  <c r="P731" i="1"/>
  <c r="Q730" i="1"/>
  <c r="V728" i="1"/>
  <c r="V729" i="1"/>
  <c r="T731" i="1"/>
  <c r="P732" i="1"/>
  <c r="Q731" i="1"/>
  <c r="U730" i="1"/>
  <c r="R730" i="1"/>
  <c r="T732" i="1"/>
  <c r="P733" i="1"/>
  <c r="Q732" i="1"/>
  <c r="U731" i="1"/>
  <c r="R731" i="1"/>
  <c r="V730" i="1"/>
  <c r="T733" i="1"/>
  <c r="P734" i="1"/>
  <c r="Q733" i="1"/>
  <c r="U732" i="1"/>
  <c r="R732" i="1"/>
  <c r="V731" i="1"/>
  <c r="T734" i="1"/>
  <c r="P735" i="1"/>
  <c r="Q734" i="1"/>
  <c r="U733" i="1"/>
  <c r="R733" i="1"/>
  <c r="V732" i="1"/>
  <c r="T735" i="1"/>
  <c r="P736" i="1"/>
  <c r="Q735" i="1"/>
  <c r="U734" i="1"/>
  <c r="R734" i="1"/>
  <c r="V733" i="1"/>
  <c r="T736" i="1"/>
  <c r="P737" i="1"/>
  <c r="Q736" i="1"/>
  <c r="U735" i="1"/>
  <c r="R735" i="1"/>
  <c r="V734" i="1"/>
  <c r="T737" i="1"/>
  <c r="Q737" i="1"/>
  <c r="P738" i="1"/>
  <c r="U736" i="1"/>
  <c r="R736" i="1"/>
  <c r="V735" i="1"/>
  <c r="U737" i="1"/>
  <c r="R737" i="1"/>
  <c r="T738" i="1"/>
  <c r="Q738" i="1"/>
  <c r="P739" i="1"/>
  <c r="V736" i="1"/>
  <c r="V737" i="1"/>
  <c r="U738" i="1"/>
  <c r="R738" i="1"/>
  <c r="T739" i="1"/>
  <c r="Q739" i="1"/>
  <c r="P740" i="1"/>
  <c r="V738" i="1"/>
  <c r="U739" i="1"/>
  <c r="R739" i="1"/>
  <c r="T740" i="1"/>
  <c r="P741" i="1"/>
  <c r="Q740" i="1"/>
  <c r="V739" i="1"/>
  <c r="T741" i="1"/>
  <c r="Q741" i="1"/>
  <c r="P742" i="1"/>
  <c r="U740" i="1"/>
  <c r="R740" i="1"/>
  <c r="U741" i="1"/>
  <c r="R741" i="1"/>
  <c r="T742" i="1"/>
  <c r="Q742" i="1"/>
  <c r="P743" i="1"/>
  <c r="V740" i="1"/>
  <c r="V741" i="1"/>
  <c r="U742" i="1"/>
  <c r="R742" i="1"/>
  <c r="T743" i="1"/>
  <c r="Q743" i="1"/>
  <c r="P744" i="1"/>
  <c r="V742" i="1"/>
  <c r="U743" i="1"/>
  <c r="R743" i="1"/>
  <c r="T744" i="1"/>
  <c r="P745" i="1"/>
  <c r="Q744" i="1"/>
  <c r="V743" i="1"/>
  <c r="T745" i="1"/>
  <c r="P746" i="1"/>
  <c r="Q745" i="1"/>
  <c r="U744" i="1"/>
  <c r="R744" i="1"/>
  <c r="T746" i="1"/>
  <c r="Q746" i="1"/>
  <c r="P747" i="1"/>
  <c r="U745" i="1"/>
  <c r="R745" i="1"/>
  <c r="V744" i="1"/>
  <c r="U746" i="1"/>
  <c r="R746" i="1"/>
  <c r="T747" i="1"/>
  <c r="Q747" i="1"/>
  <c r="P748" i="1"/>
  <c r="V745" i="1"/>
  <c r="V746" i="1"/>
  <c r="U747" i="1"/>
  <c r="R747" i="1"/>
  <c r="T748" i="1"/>
  <c r="Q748" i="1"/>
  <c r="P749" i="1"/>
  <c r="V747" i="1"/>
  <c r="U748" i="1"/>
  <c r="R748" i="1"/>
  <c r="T749" i="1"/>
  <c r="P750" i="1"/>
  <c r="Q749" i="1"/>
  <c r="V748" i="1"/>
  <c r="T750" i="1"/>
  <c r="Q750" i="1"/>
  <c r="P751" i="1"/>
  <c r="U749" i="1"/>
  <c r="R749" i="1"/>
  <c r="U750" i="1"/>
  <c r="R750" i="1"/>
  <c r="T751" i="1"/>
  <c r="Q751" i="1"/>
  <c r="P752" i="1"/>
  <c r="V749" i="1"/>
  <c r="V750" i="1"/>
  <c r="U751" i="1"/>
  <c r="R751" i="1"/>
  <c r="T752" i="1"/>
  <c r="P753" i="1"/>
  <c r="Q752" i="1"/>
  <c r="V751" i="1"/>
  <c r="T753" i="1"/>
  <c r="P754" i="1"/>
  <c r="Q753" i="1"/>
  <c r="U752" i="1"/>
  <c r="R752" i="1"/>
  <c r="T754" i="1"/>
  <c r="Q754" i="1"/>
  <c r="P755" i="1"/>
  <c r="U753" i="1"/>
  <c r="R753" i="1"/>
  <c r="V752" i="1"/>
  <c r="U754" i="1"/>
  <c r="R754" i="1"/>
  <c r="T755" i="1"/>
  <c r="P756" i="1"/>
  <c r="Q755" i="1"/>
  <c r="V753" i="1"/>
  <c r="V754" i="1"/>
  <c r="T756" i="1"/>
  <c r="Q756" i="1"/>
  <c r="P757" i="1"/>
  <c r="U755" i="1"/>
  <c r="R755" i="1"/>
  <c r="U756" i="1"/>
  <c r="R756" i="1"/>
  <c r="T757" i="1"/>
  <c r="P758" i="1"/>
  <c r="Q757" i="1"/>
  <c r="V755" i="1"/>
  <c r="V756" i="1"/>
  <c r="T758" i="1"/>
  <c r="P759" i="1"/>
  <c r="Q758" i="1"/>
  <c r="U757" i="1"/>
  <c r="R757" i="1"/>
  <c r="T759" i="1"/>
  <c r="P760" i="1"/>
  <c r="Q759" i="1"/>
  <c r="U758" i="1"/>
  <c r="R758" i="1"/>
  <c r="V757" i="1"/>
  <c r="T760" i="1"/>
  <c r="P761" i="1"/>
  <c r="Q760" i="1"/>
  <c r="U759" i="1"/>
  <c r="R759" i="1"/>
  <c r="V758" i="1"/>
  <c r="T761" i="1"/>
  <c r="P762" i="1"/>
  <c r="Q761" i="1"/>
  <c r="U760" i="1"/>
  <c r="R760" i="1"/>
  <c r="V759" i="1"/>
  <c r="T762" i="1"/>
  <c r="P763" i="1"/>
  <c r="Q762" i="1"/>
  <c r="U761" i="1"/>
  <c r="R761" i="1"/>
  <c r="V760" i="1"/>
  <c r="T763" i="1"/>
  <c r="Q763" i="1"/>
  <c r="P764" i="1"/>
  <c r="U762" i="1"/>
  <c r="R762" i="1"/>
  <c r="V761" i="1"/>
  <c r="U763" i="1"/>
  <c r="R763" i="1"/>
  <c r="T764" i="1"/>
  <c r="P765" i="1"/>
  <c r="Q764" i="1"/>
  <c r="V762" i="1"/>
  <c r="V763" i="1"/>
  <c r="T765" i="1"/>
  <c r="Q765" i="1"/>
  <c r="P766" i="1"/>
  <c r="U764" i="1"/>
  <c r="R764" i="1"/>
  <c r="U765" i="1"/>
  <c r="R765" i="1"/>
  <c r="T766" i="1"/>
  <c r="P767" i="1"/>
  <c r="Q766" i="1"/>
  <c r="V764" i="1"/>
  <c r="V765" i="1"/>
  <c r="T767" i="1"/>
  <c r="Q767" i="1"/>
  <c r="P768" i="1"/>
  <c r="U766" i="1"/>
  <c r="R766" i="1"/>
  <c r="U767" i="1"/>
  <c r="R767" i="1"/>
  <c r="T768" i="1"/>
  <c r="P769" i="1"/>
  <c r="Q768" i="1"/>
  <c r="V766" i="1"/>
  <c r="V767" i="1"/>
  <c r="T769" i="1"/>
  <c r="Q769" i="1"/>
  <c r="P770" i="1"/>
  <c r="U768" i="1"/>
  <c r="R768" i="1"/>
  <c r="U769" i="1"/>
  <c r="R769" i="1"/>
  <c r="T770" i="1"/>
  <c r="Q770" i="1"/>
  <c r="P771" i="1"/>
  <c r="V768" i="1"/>
  <c r="V769" i="1"/>
  <c r="U770" i="1"/>
  <c r="R770" i="1"/>
  <c r="T771" i="1"/>
  <c r="P772" i="1"/>
  <c r="Q771" i="1"/>
  <c r="V770" i="1"/>
  <c r="T772" i="1"/>
  <c r="P773" i="1"/>
  <c r="Q772" i="1"/>
  <c r="U771" i="1"/>
  <c r="R771" i="1"/>
  <c r="T773" i="1"/>
  <c r="Q773" i="1"/>
  <c r="P774" i="1"/>
  <c r="U772" i="1"/>
  <c r="R772" i="1"/>
  <c r="V771" i="1"/>
  <c r="U773" i="1"/>
  <c r="R773" i="1"/>
  <c r="T774" i="1"/>
  <c r="Q774" i="1"/>
  <c r="P775" i="1"/>
  <c r="V772" i="1"/>
  <c r="V773" i="1"/>
  <c r="U774" i="1"/>
  <c r="R774" i="1"/>
  <c r="T775" i="1"/>
  <c r="Q775" i="1"/>
  <c r="P776" i="1"/>
  <c r="V774" i="1"/>
  <c r="U775" i="1"/>
  <c r="R775" i="1"/>
  <c r="T776" i="1"/>
  <c r="Q776" i="1"/>
  <c r="P777" i="1"/>
  <c r="V775" i="1"/>
  <c r="U776" i="1"/>
  <c r="R776" i="1"/>
  <c r="T777" i="1"/>
  <c r="Q777" i="1"/>
  <c r="P778" i="1"/>
  <c r="V776" i="1"/>
  <c r="U777" i="1"/>
  <c r="R777" i="1"/>
  <c r="T778" i="1"/>
  <c r="Q778" i="1"/>
  <c r="P779" i="1"/>
  <c r="V777" i="1"/>
  <c r="U778" i="1"/>
  <c r="R778" i="1"/>
  <c r="T779" i="1"/>
  <c r="P780" i="1"/>
  <c r="Q779" i="1"/>
  <c r="V778" i="1"/>
  <c r="T780" i="1"/>
  <c r="P781" i="1"/>
  <c r="Q780" i="1"/>
  <c r="U779" i="1"/>
  <c r="R779" i="1"/>
  <c r="T781" i="1"/>
  <c r="Q781" i="1"/>
  <c r="P782" i="1"/>
  <c r="U780" i="1"/>
  <c r="R780" i="1"/>
  <c r="V779" i="1"/>
  <c r="U781" i="1"/>
  <c r="R781" i="1"/>
  <c r="T782" i="1"/>
  <c r="Q782" i="1"/>
  <c r="P783" i="1"/>
  <c r="V780" i="1"/>
  <c r="V781" i="1"/>
  <c r="U782" i="1"/>
  <c r="R782" i="1"/>
  <c r="T783" i="1"/>
  <c r="Q783" i="1"/>
  <c r="P784" i="1"/>
  <c r="V782" i="1"/>
  <c r="U783" i="1"/>
  <c r="R783" i="1"/>
  <c r="T784" i="1"/>
  <c r="P785" i="1"/>
  <c r="Q784" i="1"/>
  <c r="V783" i="1"/>
  <c r="T785" i="1"/>
  <c r="Q785" i="1"/>
  <c r="P786" i="1"/>
  <c r="U784" i="1"/>
  <c r="R784" i="1"/>
  <c r="U785" i="1"/>
  <c r="R785" i="1"/>
  <c r="T786" i="1"/>
  <c r="P787" i="1"/>
  <c r="Q786" i="1"/>
  <c r="V784" i="1"/>
  <c r="V785" i="1"/>
  <c r="T787" i="1"/>
  <c r="Q787" i="1"/>
  <c r="P788" i="1"/>
  <c r="U786" i="1"/>
  <c r="R786" i="1"/>
  <c r="U787" i="1"/>
  <c r="R787" i="1"/>
  <c r="T788" i="1"/>
  <c r="P789" i="1"/>
  <c r="Q788" i="1"/>
  <c r="V786" i="1"/>
  <c r="V787" i="1"/>
  <c r="T789" i="1"/>
  <c r="Q789" i="1"/>
  <c r="P790" i="1"/>
  <c r="U788" i="1"/>
  <c r="R788" i="1"/>
  <c r="U789" i="1"/>
  <c r="R789" i="1"/>
  <c r="T790" i="1"/>
  <c r="Q790" i="1"/>
  <c r="P791" i="1"/>
  <c r="V788" i="1"/>
  <c r="V789" i="1"/>
  <c r="U790" i="1"/>
  <c r="R790" i="1"/>
  <c r="T791" i="1"/>
  <c r="Q791" i="1"/>
  <c r="P792" i="1"/>
  <c r="V790" i="1"/>
  <c r="U791" i="1"/>
  <c r="R791" i="1"/>
  <c r="T792" i="1"/>
  <c r="Q792" i="1"/>
  <c r="P793" i="1"/>
  <c r="V791" i="1"/>
  <c r="U792" i="1"/>
  <c r="R792" i="1"/>
  <c r="T793" i="1"/>
  <c r="Q793" i="1"/>
  <c r="P794" i="1"/>
  <c r="V792" i="1"/>
  <c r="U793" i="1"/>
  <c r="R793" i="1"/>
  <c r="T794" i="1"/>
  <c r="P795" i="1"/>
  <c r="Q794" i="1"/>
  <c r="V793" i="1"/>
  <c r="T795" i="1"/>
  <c r="Q795" i="1"/>
  <c r="P796" i="1"/>
  <c r="U794" i="1"/>
  <c r="R794" i="1"/>
  <c r="U795" i="1"/>
  <c r="R795" i="1"/>
  <c r="T796" i="1"/>
  <c r="Q796" i="1"/>
  <c r="P797" i="1"/>
  <c r="V794" i="1"/>
  <c r="V795" i="1"/>
  <c r="U796" i="1"/>
  <c r="R796" i="1"/>
  <c r="T797" i="1"/>
  <c r="P798" i="1"/>
  <c r="Q797" i="1"/>
  <c r="V796" i="1"/>
  <c r="T798" i="1"/>
  <c r="P799" i="1"/>
  <c r="Q798" i="1"/>
  <c r="U797" i="1"/>
  <c r="R797" i="1"/>
  <c r="T799" i="1"/>
  <c r="P800" i="1"/>
  <c r="Q799" i="1"/>
  <c r="U798" i="1"/>
  <c r="R798" i="1"/>
  <c r="V797" i="1"/>
  <c r="T800" i="1"/>
  <c r="P801" i="1"/>
  <c r="Q800" i="1"/>
  <c r="U799" i="1"/>
  <c r="R799" i="1"/>
  <c r="V798" i="1"/>
  <c r="T801" i="1"/>
  <c r="P802" i="1"/>
  <c r="Q801" i="1"/>
  <c r="U800" i="1"/>
  <c r="R800" i="1"/>
  <c r="V799" i="1"/>
  <c r="T802" i="1"/>
  <c r="Q802" i="1"/>
  <c r="P803" i="1"/>
  <c r="U801" i="1"/>
  <c r="R801" i="1"/>
  <c r="V800" i="1"/>
  <c r="U802" i="1"/>
  <c r="R802" i="1"/>
  <c r="T803" i="1"/>
  <c r="P804" i="1"/>
  <c r="Q803" i="1"/>
  <c r="V801" i="1"/>
  <c r="V802" i="1"/>
  <c r="T804" i="1"/>
  <c r="Q804" i="1"/>
  <c r="P805" i="1"/>
  <c r="U803" i="1"/>
  <c r="R803" i="1"/>
  <c r="U804" i="1"/>
  <c r="R804" i="1"/>
  <c r="T805" i="1"/>
  <c r="Q805" i="1"/>
  <c r="P806" i="1"/>
  <c r="V803" i="1"/>
  <c r="V804" i="1"/>
  <c r="U805" i="1"/>
  <c r="R805" i="1"/>
  <c r="T806" i="1"/>
  <c r="Q806" i="1"/>
  <c r="P807" i="1"/>
  <c r="V805" i="1"/>
  <c r="U806" i="1"/>
  <c r="R806" i="1"/>
  <c r="T807" i="1"/>
  <c r="P808" i="1"/>
  <c r="Q807" i="1"/>
  <c r="V806" i="1"/>
  <c r="T808" i="1"/>
  <c r="P809" i="1"/>
  <c r="Q808" i="1"/>
  <c r="U807" i="1"/>
  <c r="R807" i="1"/>
  <c r="T809" i="1"/>
  <c r="Q809" i="1"/>
  <c r="P810" i="1"/>
  <c r="U808" i="1"/>
  <c r="R808" i="1"/>
  <c r="V807" i="1"/>
  <c r="U809" i="1"/>
  <c r="R809" i="1"/>
  <c r="T810" i="1"/>
  <c r="P811" i="1"/>
  <c r="Q810" i="1"/>
  <c r="V808" i="1"/>
  <c r="V809" i="1"/>
  <c r="T811" i="1"/>
  <c r="P812" i="1"/>
  <c r="Q811" i="1"/>
  <c r="U810" i="1"/>
  <c r="R810" i="1"/>
  <c r="T812" i="1"/>
  <c r="Q812" i="1"/>
  <c r="P813" i="1"/>
  <c r="U811" i="1"/>
  <c r="R811" i="1"/>
  <c r="V810" i="1"/>
  <c r="U812" i="1"/>
  <c r="R812" i="1"/>
  <c r="T813" i="1"/>
  <c r="P814" i="1"/>
  <c r="Q813" i="1"/>
  <c r="V811" i="1"/>
  <c r="V812" i="1"/>
  <c r="T814" i="1"/>
  <c r="P815" i="1"/>
  <c r="Q814" i="1"/>
  <c r="U813" i="1"/>
  <c r="R813" i="1"/>
  <c r="T815" i="1"/>
  <c r="P816" i="1"/>
  <c r="Q815" i="1"/>
  <c r="U814" i="1"/>
  <c r="R814" i="1"/>
  <c r="V813" i="1"/>
  <c r="T816" i="1"/>
  <c r="Q816" i="1"/>
  <c r="P817" i="1"/>
  <c r="U815" i="1"/>
  <c r="R815" i="1"/>
  <c r="V814" i="1"/>
  <c r="U816" i="1"/>
  <c r="R816" i="1"/>
  <c r="T817" i="1"/>
  <c r="Q817" i="1"/>
  <c r="P818" i="1"/>
  <c r="V815" i="1"/>
  <c r="V816" i="1"/>
  <c r="U817" i="1"/>
  <c r="R817" i="1"/>
  <c r="T818" i="1"/>
  <c r="Q818" i="1"/>
  <c r="P819" i="1"/>
  <c r="V817" i="1"/>
  <c r="U818" i="1"/>
  <c r="R818" i="1"/>
  <c r="T819" i="1"/>
  <c r="P820" i="1"/>
  <c r="Q819" i="1"/>
  <c r="V818" i="1"/>
  <c r="T820" i="1"/>
  <c r="Q820" i="1"/>
  <c r="P821" i="1"/>
  <c r="U819" i="1"/>
  <c r="R819" i="1"/>
  <c r="U820" i="1"/>
  <c r="R820" i="1"/>
  <c r="T821" i="1"/>
  <c r="P822" i="1"/>
  <c r="Q821" i="1"/>
  <c r="V819" i="1"/>
  <c r="V820" i="1"/>
  <c r="T822" i="1"/>
  <c r="P823" i="1"/>
  <c r="Q822" i="1"/>
  <c r="U821" i="1"/>
  <c r="R821" i="1"/>
  <c r="T823" i="1"/>
  <c r="Q823" i="1"/>
  <c r="P824" i="1"/>
  <c r="U822" i="1"/>
  <c r="R822" i="1"/>
  <c r="V821" i="1"/>
  <c r="U823" i="1"/>
  <c r="R823" i="1"/>
  <c r="T824" i="1"/>
  <c r="Q824" i="1"/>
  <c r="P825" i="1"/>
  <c r="V822" i="1"/>
  <c r="V823" i="1"/>
  <c r="U824" i="1"/>
  <c r="R824" i="1"/>
  <c r="T825" i="1"/>
  <c r="Q825" i="1"/>
  <c r="P826" i="1"/>
  <c r="V824" i="1"/>
  <c r="U825" i="1"/>
  <c r="R825" i="1"/>
  <c r="T826" i="1"/>
  <c r="P827" i="1"/>
  <c r="Q826" i="1"/>
  <c r="V825" i="1"/>
  <c r="T827" i="1"/>
  <c r="Q827" i="1"/>
  <c r="P828" i="1"/>
  <c r="U826" i="1"/>
  <c r="R826" i="1"/>
  <c r="U827" i="1"/>
  <c r="R827" i="1"/>
  <c r="T828" i="1"/>
  <c r="P829" i="1"/>
  <c r="Q828" i="1"/>
  <c r="V826" i="1"/>
  <c r="V827" i="1"/>
  <c r="T829" i="1"/>
  <c r="P830" i="1"/>
  <c r="Q829" i="1"/>
  <c r="U828" i="1"/>
  <c r="R828" i="1"/>
  <c r="T830" i="1"/>
  <c r="Q830" i="1"/>
  <c r="P831" i="1"/>
  <c r="U829" i="1"/>
  <c r="R829" i="1"/>
  <c r="V828" i="1"/>
  <c r="U830" i="1"/>
  <c r="R830" i="1"/>
  <c r="T831" i="1"/>
  <c r="P832" i="1"/>
  <c r="Q831" i="1"/>
  <c r="V829" i="1"/>
  <c r="V830" i="1"/>
  <c r="T832" i="1"/>
  <c r="P833" i="1"/>
  <c r="Q832" i="1"/>
  <c r="U831" i="1"/>
  <c r="R831" i="1"/>
  <c r="T833" i="1"/>
  <c r="Q833" i="1"/>
  <c r="P834" i="1"/>
  <c r="U832" i="1"/>
  <c r="R832" i="1"/>
  <c r="V831" i="1"/>
  <c r="U833" i="1"/>
  <c r="R833" i="1"/>
  <c r="T834" i="1"/>
  <c r="Q834" i="1"/>
  <c r="P835" i="1"/>
  <c r="V832" i="1"/>
  <c r="V833" i="1"/>
  <c r="U834" i="1"/>
  <c r="R834" i="1"/>
  <c r="T835" i="1"/>
  <c r="P836" i="1"/>
  <c r="Q835" i="1"/>
  <c r="V834" i="1"/>
  <c r="T836" i="1"/>
  <c r="Q836" i="1"/>
  <c r="P837" i="1"/>
  <c r="U835" i="1"/>
  <c r="R835" i="1"/>
  <c r="U836" i="1"/>
  <c r="R836" i="1"/>
  <c r="T837" i="1"/>
  <c r="Q837" i="1"/>
  <c r="P838" i="1"/>
  <c r="V835" i="1"/>
  <c r="V836" i="1"/>
  <c r="U837" i="1"/>
  <c r="R837" i="1"/>
  <c r="T838" i="1"/>
  <c r="P839" i="1"/>
  <c r="Q838" i="1"/>
  <c r="V837" i="1"/>
  <c r="T839" i="1"/>
  <c r="Q839" i="1"/>
  <c r="P840" i="1"/>
  <c r="U838" i="1"/>
  <c r="R838" i="1"/>
  <c r="U839" i="1"/>
  <c r="R839" i="1"/>
  <c r="T840" i="1"/>
  <c r="P841" i="1"/>
  <c r="Q840" i="1"/>
  <c r="V838" i="1"/>
  <c r="V839" i="1"/>
  <c r="T841" i="1"/>
  <c r="P842" i="1"/>
  <c r="Q841" i="1"/>
  <c r="U840" i="1"/>
  <c r="R840" i="1"/>
  <c r="T842" i="1"/>
  <c r="P843" i="1"/>
  <c r="Q842" i="1"/>
  <c r="U841" i="1"/>
  <c r="R841" i="1"/>
  <c r="V840" i="1"/>
  <c r="T843" i="1"/>
  <c r="Q843" i="1"/>
  <c r="P844" i="1"/>
  <c r="U842" i="1"/>
  <c r="R842" i="1"/>
  <c r="V841" i="1"/>
  <c r="U843" i="1"/>
  <c r="R843" i="1"/>
  <c r="T844" i="1"/>
  <c r="P845" i="1"/>
  <c r="Q844" i="1"/>
  <c r="V842" i="1"/>
  <c r="V843" i="1"/>
  <c r="T845" i="1"/>
  <c r="P846" i="1"/>
  <c r="Q845" i="1"/>
  <c r="U844" i="1"/>
  <c r="R844" i="1"/>
  <c r="T846" i="1"/>
  <c r="P847" i="1"/>
  <c r="Q846" i="1"/>
  <c r="U845" i="1"/>
  <c r="R845" i="1"/>
  <c r="V844" i="1"/>
  <c r="T847" i="1"/>
  <c r="P848" i="1"/>
  <c r="Q847" i="1"/>
  <c r="U846" i="1"/>
  <c r="R846" i="1"/>
  <c r="V845" i="1"/>
  <c r="T848" i="1"/>
  <c r="P849" i="1"/>
  <c r="Q848" i="1"/>
  <c r="U847" i="1"/>
  <c r="R847" i="1"/>
  <c r="V846" i="1"/>
  <c r="T849" i="1"/>
  <c r="P850" i="1"/>
  <c r="Q849" i="1"/>
  <c r="U848" i="1"/>
  <c r="R848" i="1"/>
  <c r="V847" i="1"/>
  <c r="T850" i="1"/>
  <c r="P851" i="1"/>
  <c r="Q850" i="1"/>
  <c r="U849" i="1"/>
  <c r="R849" i="1"/>
  <c r="V848" i="1"/>
  <c r="T851" i="1"/>
  <c r="Q851" i="1"/>
  <c r="P852" i="1"/>
  <c r="U850" i="1"/>
  <c r="R850" i="1"/>
  <c r="V849" i="1"/>
  <c r="U851" i="1"/>
  <c r="R851" i="1"/>
  <c r="T852" i="1"/>
  <c r="Q852" i="1"/>
  <c r="P853" i="1"/>
  <c r="V850" i="1"/>
  <c r="V851" i="1"/>
  <c r="U852" i="1"/>
  <c r="R852" i="1"/>
  <c r="T853" i="1"/>
  <c r="Q853" i="1"/>
  <c r="P854" i="1"/>
  <c r="V852" i="1"/>
  <c r="U853" i="1"/>
  <c r="R853" i="1"/>
  <c r="T854" i="1"/>
  <c r="P855" i="1"/>
  <c r="Q854" i="1"/>
  <c r="V853" i="1"/>
  <c r="T855" i="1"/>
  <c r="Q855" i="1"/>
  <c r="P856" i="1"/>
  <c r="U854" i="1"/>
  <c r="R854" i="1"/>
  <c r="U855" i="1"/>
  <c r="R855" i="1"/>
  <c r="T856" i="1"/>
  <c r="P857" i="1"/>
  <c r="Q856" i="1"/>
  <c r="V854" i="1"/>
  <c r="V855" i="1"/>
  <c r="T857" i="1"/>
  <c r="Q857" i="1"/>
  <c r="P858" i="1"/>
  <c r="U856" i="1"/>
  <c r="R856" i="1"/>
  <c r="U857" i="1"/>
  <c r="R857" i="1"/>
  <c r="T858" i="1"/>
  <c r="P859" i="1"/>
  <c r="Q858" i="1"/>
  <c r="V856" i="1"/>
  <c r="V857" i="1"/>
  <c r="T859" i="1"/>
  <c r="Q859" i="1"/>
  <c r="P860" i="1"/>
  <c r="U858" i="1"/>
  <c r="R858" i="1"/>
  <c r="U859" i="1"/>
  <c r="R859" i="1"/>
  <c r="T860" i="1"/>
  <c r="Q860" i="1"/>
  <c r="P861" i="1"/>
  <c r="V858" i="1"/>
  <c r="V859" i="1"/>
  <c r="U860" i="1"/>
  <c r="R860" i="1"/>
  <c r="T861" i="1"/>
  <c r="Q861" i="1"/>
  <c r="P862" i="1"/>
  <c r="V860" i="1"/>
  <c r="U861" i="1"/>
  <c r="R861" i="1"/>
  <c r="T862" i="1"/>
  <c r="Q862" i="1"/>
  <c r="P863" i="1"/>
  <c r="V861" i="1"/>
  <c r="U862" i="1"/>
  <c r="R862" i="1"/>
  <c r="T863" i="1"/>
  <c r="P864" i="1"/>
  <c r="Q863" i="1"/>
  <c r="V862" i="1"/>
  <c r="T864" i="1"/>
  <c r="P865" i="1"/>
  <c r="Q864" i="1"/>
  <c r="U863" i="1"/>
  <c r="R863" i="1"/>
  <c r="T865" i="1"/>
  <c r="Q865" i="1"/>
  <c r="P866" i="1"/>
  <c r="U864" i="1"/>
  <c r="R864" i="1"/>
  <c r="V863" i="1"/>
  <c r="U865" i="1"/>
  <c r="R865" i="1"/>
  <c r="T866" i="1"/>
  <c r="P867" i="1"/>
  <c r="Q866" i="1"/>
  <c r="V864" i="1"/>
  <c r="V865" i="1"/>
  <c r="T867" i="1"/>
  <c r="Q867" i="1"/>
  <c r="P868" i="1"/>
  <c r="U866" i="1"/>
  <c r="R866" i="1"/>
  <c r="U867" i="1"/>
  <c r="R867" i="1"/>
  <c r="T868" i="1"/>
  <c r="P869" i="1"/>
  <c r="Q868" i="1"/>
  <c r="V866" i="1"/>
  <c r="V867" i="1"/>
  <c r="T869" i="1"/>
  <c r="P870" i="1"/>
  <c r="Q869" i="1"/>
  <c r="U868" i="1"/>
  <c r="R868" i="1"/>
  <c r="T870" i="1"/>
  <c r="Q870" i="1"/>
  <c r="P871" i="1"/>
  <c r="U869" i="1"/>
  <c r="R869" i="1"/>
  <c r="V868" i="1"/>
  <c r="U870" i="1"/>
  <c r="R870" i="1"/>
  <c r="T871" i="1"/>
  <c r="Q871" i="1"/>
  <c r="P872" i="1"/>
  <c r="V869" i="1"/>
  <c r="V870" i="1"/>
  <c r="U871" i="1"/>
  <c r="R871" i="1"/>
  <c r="T872" i="1"/>
  <c r="Q872" i="1"/>
  <c r="P873" i="1"/>
  <c r="V871" i="1"/>
  <c r="U872" i="1"/>
  <c r="R872" i="1"/>
  <c r="T873" i="1"/>
  <c r="Q873" i="1"/>
  <c r="P874" i="1"/>
  <c r="V872" i="1"/>
  <c r="U873" i="1"/>
  <c r="R873" i="1"/>
  <c r="T874" i="1"/>
  <c r="Q874" i="1"/>
  <c r="P875" i="1"/>
  <c r="V873" i="1"/>
  <c r="U874" i="1"/>
  <c r="R874" i="1"/>
  <c r="T875" i="1"/>
  <c r="P876" i="1"/>
  <c r="Q875" i="1"/>
  <c r="V874" i="1"/>
  <c r="T876" i="1"/>
  <c r="Q876" i="1"/>
  <c r="P877" i="1"/>
  <c r="U875" i="1"/>
  <c r="R875" i="1"/>
  <c r="U876" i="1"/>
  <c r="R876" i="1"/>
  <c r="T877" i="1"/>
  <c r="P878" i="1"/>
  <c r="Q877" i="1"/>
  <c r="V875" i="1"/>
  <c r="V876" i="1"/>
  <c r="T878" i="1"/>
  <c r="P879" i="1"/>
  <c r="Q878" i="1"/>
  <c r="U877" i="1"/>
  <c r="R877" i="1"/>
  <c r="T879" i="1"/>
  <c r="P880" i="1"/>
  <c r="Q879" i="1"/>
  <c r="U878" i="1"/>
  <c r="R878" i="1"/>
  <c r="V877" i="1"/>
  <c r="T880" i="1"/>
  <c r="P881" i="1"/>
  <c r="Q880" i="1"/>
  <c r="U879" i="1"/>
  <c r="R879" i="1"/>
  <c r="V878" i="1"/>
  <c r="T881" i="1"/>
  <c r="Q881" i="1"/>
  <c r="P882" i="1"/>
  <c r="U880" i="1"/>
  <c r="R880" i="1"/>
  <c r="V879" i="1"/>
  <c r="U881" i="1"/>
  <c r="R881" i="1"/>
  <c r="T882" i="1"/>
  <c r="Q882" i="1"/>
  <c r="P883" i="1"/>
  <c r="V880" i="1"/>
  <c r="V881" i="1"/>
  <c r="U882" i="1"/>
  <c r="R882" i="1"/>
  <c r="T883" i="1"/>
  <c r="Q883" i="1"/>
  <c r="P884" i="1"/>
  <c r="V882" i="1"/>
  <c r="U883" i="1"/>
  <c r="R883" i="1"/>
  <c r="T884" i="1"/>
  <c r="Q884" i="1"/>
  <c r="P885" i="1"/>
  <c r="V883" i="1"/>
  <c r="U884" i="1"/>
  <c r="R884" i="1"/>
  <c r="T885" i="1"/>
  <c r="Q885" i="1"/>
  <c r="P886" i="1"/>
  <c r="V884" i="1"/>
  <c r="U885" i="1"/>
  <c r="R885" i="1"/>
  <c r="T886" i="1"/>
  <c r="P887" i="1"/>
  <c r="Q886" i="1"/>
  <c r="V885" i="1"/>
  <c r="T887" i="1"/>
  <c r="Q887" i="1"/>
  <c r="P888" i="1"/>
  <c r="U886" i="1"/>
  <c r="R886" i="1"/>
  <c r="U887" i="1"/>
  <c r="R887" i="1"/>
  <c r="T888" i="1"/>
  <c r="P889" i="1"/>
  <c r="Q888" i="1"/>
  <c r="V886" i="1"/>
  <c r="V887" i="1"/>
  <c r="T889" i="1"/>
  <c r="Q889" i="1"/>
  <c r="P890" i="1"/>
  <c r="U888" i="1"/>
  <c r="R888" i="1"/>
  <c r="U889" i="1"/>
  <c r="R889" i="1"/>
  <c r="T890" i="1"/>
  <c r="P891" i="1"/>
  <c r="Q890" i="1"/>
  <c r="V888" i="1"/>
  <c r="V889" i="1"/>
  <c r="T891" i="1"/>
  <c r="Q891" i="1"/>
  <c r="P892" i="1"/>
  <c r="U890" i="1"/>
  <c r="R890" i="1"/>
  <c r="U891" i="1"/>
  <c r="R891" i="1"/>
  <c r="T892" i="1"/>
  <c r="P893" i="1"/>
  <c r="Q892" i="1"/>
  <c r="V890" i="1"/>
  <c r="V891" i="1"/>
  <c r="T893" i="1"/>
  <c r="P894" i="1"/>
  <c r="Q893" i="1"/>
  <c r="U892" i="1"/>
  <c r="R892" i="1"/>
  <c r="T894" i="1"/>
  <c r="P895" i="1"/>
  <c r="Q894" i="1"/>
  <c r="U893" i="1"/>
  <c r="R893" i="1"/>
  <c r="V892" i="1"/>
  <c r="T895" i="1"/>
  <c r="Q895" i="1"/>
  <c r="P896" i="1"/>
  <c r="U894" i="1"/>
  <c r="R894" i="1"/>
  <c r="V893" i="1"/>
  <c r="U895" i="1"/>
  <c r="R895" i="1"/>
  <c r="T896" i="1"/>
  <c r="P897" i="1"/>
  <c r="Q896" i="1"/>
  <c r="V894" i="1"/>
  <c r="V895" i="1"/>
  <c r="T897" i="1"/>
  <c r="Q897" i="1"/>
  <c r="P898" i="1"/>
  <c r="U896" i="1"/>
  <c r="R896" i="1"/>
  <c r="U897" i="1"/>
  <c r="R897" i="1"/>
  <c r="T898" i="1"/>
  <c r="Q898" i="1"/>
  <c r="P899" i="1"/>
  <c r="V896" i="1"/>
  <c r="V897" i="1"/>
  <c r="U898" i="1"/>
  <c r="R898" i="1"/>
  <c r="T899" i="1"/>
  <c r="Q899" i="1"/>
  <c r="P900" i="1"/>
  <c r="V898" i="1"/>
  <c r="U899" i="1"/>
  <c r="R899" i="1"/>
  <c r="T900" i="1"/>
  <c r="P901" i="1"/>
  <c r="Q900" i="1"/>
  <c r="V899" i="1"/>
  <c r="T901" i="1"/>
  <c r="P902" i="1"/>
  <c r="Q901" i="1"/>
  <c r="U900" i="1"/>
  <c r="R900" i="1"/>
  <c r="T902" i="1"/>
  <c r="Q902" i="1"/>
  <c r="P903" i="1"/>
  <c r="U901" i="1"/>
  <c r="R901" i="1"/>
  <c r="V900" i="1"/>
  <c r="U902" i="1"/>
  <c r="R902" i="1"/>
  <c r="T903" i="1"/>
  <c r="P904" i="1"/>
  <c r="Q903" i="1"/>
  <c r="V901" i="1"/>
  <c r="V902" i="1"/>
  <c r="T904" i="1"/>
  <c r="Q904" i="1"/>
  <c r="P905" i="1"/>
  <c r="U903" i="1"/>
  <c r="R903" i="1"/>
  <c r="U904" i="1"/>
  <c r="R904" i="1"/>
  <c r="T905" i="1"/>
  <c r="Q905" i="1"/>
  <c r="P906" i="1"/>
  <c r="V903" i="1"/>
  <c r="V904" i="1"/>
  <c r="U905" i="1"/>
  <c r="R905" i="1"/>
  <c r="T906" i="1"/>
  <c r="P907" i="1"/>
  <c r="Q906" i="1"/>
  <c r="V905" i="1"/>
  <c r="T907" i="1"/>
  <c r="Q907" i="1"/>
  <c r="P908" i="1"/>
  <c r="U906" i="1"/>
  <c r="R906" i="1"/>
  <c r="U907" i="1"/>
  <c r="R907" i="1"/>
  <c r="T908" i="1"/>
  <c r="Q908" i="1"/>
  <c r="P909" i="1"/>
  <c r="V906" i="1"/>
  <c r="V907" i="1"/>
  <c r="U908" i="1"/>
  <c r="R908" i="1"/>
  <c r="T909" i="1"/>
  <c r="Q909" i="1"/>
  <c r="P910" i="1"/>
  <c r="V908" i="1"/>
  <c r="U909" i="1"/>
  <c r="R909" i="1"/>
  <c r="T910" i="1"/>
  <c r="Q910" i="1"/>
  <c r="P911" i="1"/>
  <c r="V909" i="1"/>
  <c r="U910" i="1"/>
  <c r="R910" i="1"/>
  <c r="T911" i="1"/>
  <c r="Q911" i="1"/>
  <c r="P912" i="1"/>
  <c r="V910" i="1"/>
  <c r="U911" i="1"/>
  <c r="R911" i="1"/>
  <c r="T912" i="1"/>
  <c r="Q912" i="1"/>
  <c r="P913" i="1"/>
  <c r="V911" i="1"/>
  <c r="U912" i="1"/>
  <c r="R912" i="1"/>
  <c r="T913" i="1"/>
  <c r="Q913" i="1"/>
  <c r="P914" i="1"/>
  <c r="V912" i="1"/>
  <c r="U913" i="1"/>
  <c r="R913" i="1"/>
  <c r="T914" i="1"/>
  <c r="Q914" i="1"/>
  <c r="P915" i="1"/>
  <c r="V913" i="1"/>
  <c r="U914" i="1"/>
  <c r="R914" i="1"/>
  <c r="T915" i="1"/>
  <c r="Q915" i="1"/>
  <c r="P916" i="1"/>
  <c r="V914" i="1"/>
  <c r="U915" i="1"/>
  <c r="R915" i="1"/>
  <c r="T916" i="1"/>
  <c r="Q916" i="1"/>
  <c r="P917" i="1"/>
  <c r="V915" i="1"/>
  <c r="U916" i="1"/>
  <c r="R916" i="1"/>
  <c r="T917" i="1"/>
  <c r="P918" i="1"/>
  <c r="Q917" i="1"/>
  <c r="V916" i="1"/>
  <c r="T918" i="1"/>
  <c r="P919" i="1"/>
  <c r="Q918" i="1"/>
  <c r="U917" i="1"/>
  <c r="R917" i="1"/>
  <c r="T919" i="1"/>
  <c r="Q919" i="1"/>
  <c r="P920" i="1"/>
  <c r="U918" i="1"/>
  <c r="R918" i="1"/>
  <c r="V917" i="1"/>
  <c r="U919" i="1"/>
  <c r="R919" i="1"/>
  <c r="T920" i="1"/>
  <c r="P921" i="1"/>
  <c r="Q920" i="1"/>
  <c r="V918" i="1"/>
  <c r="V919" i="1"/>
  <c r="T921" i="1"/>
  <c r="P922" i="1"/>
  <c r="Q921" i="1"/>
  <c r="U920" i="1"/>
  <c r="R920" i="1"/>
  <c r="T922" i="1"/>
  <c r="P923" i="1"/>
  <c r="Q922" i="1"/>
  <c r="U921" i="1"/>
  <c r="R921" i="1"/>
  <c r="V920" i="1"/>
  <c r="T923" i="1"/>
  <c r="Q923" i="1"/>
  <c r="P924" i="1"/>
  <c r="U922" i="1"/>
  <c r="R922" i="1"/>
  <c r="V921" i="1"/>
  <c r="U923" i="1"/>
  <c r="R923" i="1"/>
  <c r="T924" i="1"/>
  <c r="Q924" i="1"/>
  <c r="P925" i="1"/>
  <c r="V922" i="1"/>
  <c r="V923" i="1"/>
  <c r="U924" i="1"/>
  <c r="R924" i="1"/>
  <c r="T925" i="1"/>
  <c r="Q925" i="1"/>
  <c r="P926" i="1"/>
  <c r="V924" i="1"/>
  <c r="U925" i="1"/>
  <c r="R925" i="1"/>
  <c r="T926" i="1"/>
  <c r="P927" i="1"/>
  <c r="Q926" i="1"/>
  <c r="V925" i="1"/>
  <c r="T927" i="1"/>
  <c r="P928" i="1"/>
  <c r="Q927" i="1"/>
  <c r="U926" i="1"/>
  <c r="R926" i="1"/>
  <c r="T928" i="1"/>
  <c r="Q928" i="1"/>
  <c r="P929" i="1"/>
  <c r="U927" i="1"/>
  <c r="R927" i="1"/>
  <c r="V926" i="1"/>
  <c r="U928" i="1"/>
  <c r="R928" i="1"/>
  <c r="T929" i="1"/>
  <c r="Q929" i="1"/>
  <c r="P930" i="1"/>
  <c r="V927" i="1"/>
  <c r="V928" i="1"/>
  <c r="U929" i="1"/>
  <c r="R929" i="1"/>
  <c r="T930" i="1"/>
  <c r="P931" i="1"/>
  <c r="Q930" i="1"/>
  <c r="V929" i="1"/>
  <c r="T931" i="1"/>
  <c r="Q931" i="1"/>
  <c r="P932" i="1"/>
  <c r="U930" i="1"/>
  <c r="R930" i="1"/>
  <c r="U931" i="1"/>
  <c r="R931" i="1"/>
  <c r="T932" i="1"/>
  <c r="Q932" i="1"/>
  <c r="P933" i="1"/>
  <c r="V930" i="1"/>
  <c r="V931" i="1"/>
  <c r="U932" i="1"/>
  <c r="R932" i="1"/>
  <c r="T933" i="1"/>
  <c r="Q933" i="1"/>
  <c r="P934" i="1"/>
  <c r="V932" i="1"/>
  <c r="U933" i="1"/>
  <c r="R933" i="1"/>
  <c r="T934" i="1"/>
  <c r="Q934" i="1"/>
  <c r="P935" i="1"/>
  <c r="V933" i="1"/>
  <c r="U934" i="1"/>
  <c r="R934" i="1"/>
  <c r="T935" i="1"/>
  <c r="P936" i="1"/>
  <c r="Q935" i="1"/>
  <c r="V934" i="1"/>
  <c r="T936" i="1"/>
  <c r="Q936" i="1"/>
  <c r="P937" i="1"/>
  <c r="U935" i="1"/>
  <c r="R935" i="1"/>
  <c r="U936" i="1"/>
  <c r="R936" i="1"/>
  <c r="T937" i="1"/>
  <c r="Q937" i="1"/>
  <c r="P938" i="1"/>
  <c r="V935" i="1"/>
  <c r="V936" i="1"/>
  <c r="U937" i="1"/>
  <c r="R937" i="1"/>
  <c r="T938" i="1"/>
  <c r="Q938" i="1"/>
  <c r="P939" i="1"/>
  <c r="V937" i="1"/>
  <c r="U938" i="1"/>
  <c r="R938" i="1"/>
  <c r="T939" i="1"/>
  <c r="P940" i="1"/>
  <c r="Q939" i="1"/>
  <c r="V938" i="1"/>
  <c r="T940" i="1"/>
  <c r="Q940" i="1"/>
  <c r="P941" i="1"/>
  <c r="U939" i="1"/>
  <c r="R939" i="1"/>
  <c r="U940" i="1"/>
  <c r="R940" i="1"/>
  <c r="T941" i="1"/>
  <c r="Q941" i="1"/>
  <c r="P942" i="1"/>
  <c r="V939" i="1"/>
  <c r="V940" i="1"/>
  <c r="U941" i="1"/>
  <c r="R941" i="1"/>
  <c r="T942" i="1"/>
  <c r="Q942" i="1"/>
  <c r="P943" i="1"/>
  <c r="V941" i="1"/>
  <c r="U942" i="1"/>
  <c r="R942" i="1"/>
  <c r="T943" i="1"/>
  <c r="Q943" i="1"/>
  <c r="P944" i="1"/>
  <c r="V942" i="1"/>
  <c r="U943" i="1"/>
  <c r="R943" i="1"/>
  <c r="T944" i="1"/>
  <c r="Q944" i="1"/>
  <c r="P945" i="1"/>
  <c r="V943" i="1"/>
  <c r="U944" i="1"/>
  <c r="R944" i="1"/>
  <c r="T945" i="1"/>
  <c r="Q945" i="1"/>
  <c r="P946" i="1"/>
  <c r="V944" i="1"/>
  <c r="U945" i="1"/>
  <c r="R945" i="1"/>
  <c r="T946" i="1"/>
  <c r="Q946" i="1"/>
  <c r="P947" i="1"/>
  <c r="V945" i="1"/>
  <c r="U946" i="1"/>
  <c r="R946" i="1"/>
  <c r="T947" i="1"/>
  <c r="P948" i="1"/>
  <c r="Q947" i="1"/>
  <c r="V946" i="1"/>
  <c r="T948" i="1"/>
  <c r="Q948" i="1"/>
  <c r="P949" i="1"/>
  <c r="U947" i="1"/>
  <c r="R947" i="1"/>
  <c r="U948" i="1"/>
  <c r="R948" i="1"/>
  <c r="T949" i="1"/>
  <c r="P950" i="1"/>
  <c r="Q949" i="1"/>
  <c r="V947" i="1"/>
  <c r="V948" i="1"/>
  <c r="T950" i="1"/>
  <c r="Q950" i="1"/>
  <c r="P951" i="1"/>
  <c r="U949" i="1"/>
  <c r="R949" i="1"/>
  <c r="U950" i="1"/>
  <c r="R950" i="1"/>
  <c r="T951" i="1"/>
  <c r="Q951" i="1"/>
  <c r="P952" i="1"/>
  <c r="V949" i="1"/>
  <c r="V950" i="1"/>
  <c r="U951" i="1"/>
  <c r="R951" i="1"/>
  <c r="T952" i="1"/>
  <c r="P953" i="1"/>
  <c r="Q952" i="1"/>
  <c r="V951" i="1"/>
  <c r="T953" i="1"/>
  <c r="Q953" i="1"/>
  <c r="P954" i="1"/>
  <c r="U952" i="1"/>
  <c r="R952" i="1"/>
  <c r="U953" i="1"/>
  <c r="R953" i="1"/>
  <c r="T954" i="1"/>
  <c r="Q954" i="1"/>
  <c r="P955" i="1"/>
  <c r="V952" i="1"/>
  <c r="V953" i="1"/>
  <c r="U954" i="1"/>
  <c r="R954" i="1"/>
  <c r="T955" i="1"/>
  <c r="P956" i="1"/>
  <c r="Q955" i="1"/>
  <c r="V954" i="1"/>
  <c r="T956" i="1"/>
  <c r="Q956" i="1"/>
  <c r="P957" i="1"/>
  <c r="U955" i="1"/>
  <c r="R955" i="1"/>
  <c r="U956" i="1"/>
  <c r="R956" i="1"/>
  <c r="T957" i="1"/>
  <c r="Q957" i="1"/>
  <c r="P958" i="1"/>
  <c r="V955" i="1"/>
  <c r="V956" i="1"/>
  <c r="U957" i="1"/>
  <c r="R957" i="1"/>
  <c r="T958" i="1"/>
  <c r="P959" i="1"/>
  <c r="Q958" i="1"/>
  <c r="V957" i="1"/>
  <c r="T959" i="1"/>
  <c r="P960" i="1"/>
  <c r="Q959" i="1"/>
  <c r="U958" i="1"/>
  <c r="R958" i="1"/>
  <c r="T960" i="1"/>
  <c r="Q960" i="1"/>
  <c r="P961" i="1"/>
  <c r="U959" i="1"/>
  <c r="R959" i="1"/>
  <c r="V958" i="1"/>
  <c r="U960" i="1"/>
  <c r="R960" i="1"/>
  <c r="T961" i="1"/>
  <c r="P962" i="1"/>
  <c r="Q961" i="1"/>
  <c r="V959" i="1"/>
  <c r="V960" i="1"/>
  <c r="T962" i="1"/>
  <c r="Q962" i="1"/>
  <c r="P963" i="1"/>
  <c r="U961" i="1"/>
  <c r="R961" i="1"/>
  <c r="U962" i="1"/>
  <c r="R962" i="1"/>
  <c r="T963" i="1"/>
  <c r="P964" i="1"/>
  <c r="Q963" i="1"/>
  <c r="V961" i="1"/>
  <c r="V962" i="1"/>
  <c r="T964" i="1"/>
  <c r="Q964" i="1"/>
  <c r="P965" i="1"/>
  <c r="U963" i="1"/>
  <c r="R963" i="1"/>
  <c r="U964" i="1"/>
  <c r="R964" i="1"/>
  <c r="T965" i="1"/>
  <c r="P966" i="1"/>
  <c r="Q965" i="1"/>
  <c r="V963" i="1"/>
  <c r="V964" i="1"/>
  <c r="T966" i="1"/>
  <c r="P967" i="1"/>
  <c r="Q966" i="1"/>
  <c r="U965" i="1"/>
  <c r="R965" i="1"/>
  <c r="T967" i="1"/>
  <c r="P968" i="1"/>
  <c r="Q967" i="1"/>
  <c r="U966" i="1"/>
  <c r="R966" i="1"/>
  <c r="V965" i="1"/>
  <c r="T968" i="1"/>
  <c r="P969" i="1"/>
  <c r="Q968" i="1"/>
  <c r="U967" i="1"/>
  <c r="R967" i="1"/>
  <c r="V966" i="1"/>
  <c r="T969" i="1"/>
  <c r="Q969" i="1"/>
  <c r="P970" i="1"/>
  <c r="U968" i="1"/>
  <c r="R968" i="1"/>
  <c r="V967" i="1"/>
  <c r="U969" i="1"/>
  <c r="R969" i="1"/>
  <c r="T970" i="1"/>
  <c r="P971" i="1"/>
  <c r="Q970" i="1"/>
  <c r="V968" i="1"/>
  <c r="V969" i="1"/>
  <c r="T971" i="1"/>
  <c r="P972" i="1"/>
  <c r="Q971" i="1"/>
  <c r="U970" i="1"/>
  <c r="R970" i="1"/>
  <c r="T972" i="1"/>
  <c r="Q972" i="1"/>
  <c r="P973" i="1"/>
  <c r="U971" i="1"/>
  <c r="R971" i="1"/>
  <c r="V970" i="1"/>
  <c r="U972" i="1"/>
  <c r="R972" i="1"/>
  <c r="T973" i="1"/>
  <c r="Q973" i="1"/>
  <c r="P974" i="1"/>
  <c r="V971" i="1"/>
  <c r="V972" i="1"/>
  <c r="U973" i="1"/>
  <c r="R973" i="1"/>
  <c r="T974" i="1"/>
  <c r="Q974" i="1"/>
  <c r="P975" i="1"/>
  <c r="V973" i="1"/>
  <c r="U974" i="1"/>
  <c r="R974" i="1"/>
  <c r="T975" i="1"/>
  <c r="P976" i="1"/>
  <c r="Q975" i="1"/>
  <c r="V974" i="1"/>
  <c r="T976" i="1"/>
  <c r="P977" i="1"/>
  <c r="Q976" i="1"/>
  <c r="U975" i="1"/>
  <c r="R975" i="1"/>
  <c r="T977" i="1"/>
  <c r="P978" i="1"/>
  <c r="Q977" i="1"/>
  <c r="U976" i="1"/>
  <c r="R976" i="1"/>
  <c r="V975" i="1"/>
  <c r="T978" i="1"/>
  <c r="Q978" i="1"/>
  <c r="P979" i="1"/>
  <c r="U977" i="1"/>
  <c r="R977" i="1"/>
  <c r="V976" i="1"/>
  <c r="U978" i="1"/>
  <c r="R978" i="1"/>
  <c r="T979" i="1"/>
  <c r="Q979" i="1"/>
  <c r="P980" i="1"/>
  <c r="V977" i="1"/>
  <c r="V978" i="1"/>
  <c r="U979" i="1"/>
  <c r="R979" i="1"/>
  <c r="T980" i="1"/>
  <c r="Q980" i="1"/>
  <c r="P981" i="1"/>
  <c r="V979" i="1"/>
  <c r="U980" i="1"/>
  <c r="R980" i="1"/>
  <c r="T981" i="1"/>
  <c r="Q981" i="1"/>
  <c r="P982" i="1"/>
  <c r="V980" i="1"/>
  <c r="U981" i="1"/>
  <c r="R981" i="1"/>
  <c r="T982" i="1"/>
  <c r="P983" i="1"/>
  <c r="Q982" i="1"/>
  <c r="V981" i="1"/>
  <c r="T983" i="1"/>
  <c r="Q983" i="1"/>
  <c r="P984" i="1"/>
  <c r="U982" i="1"/>
  <c r="R982" i="1"/>
  <c r="U983" i="1"/>
  <c r="R983" i="1"/>
  <c r="T984" i="1"/>
  <c r="P985" i="1"/>
  <c r="Q984" i="1"/>
  <c r="V982" i="1"/>
  <c r="V983" i="1"/>
  <c r="T985" i="1"/>
  <c r="Q985" i="1"/>
  <c r="P986" i="1"/>
  <c r="U984" i="1"/>
  <c r="R984" i="1"/>
  <c r="U985" i="1"/>
  <c r="R985" i="1"/>
  <c r="T986" i="1"/>
  <c r="Q986" i="1"/>
  <c r="P987" i="1"/>
  <c r="V984" i="1"/>
  <c r="V985" i="1"/>
  <c r="U986" i="1"/>
  <c r="R986" i="1"/>
  <c r="T987" i="1"/>
  <c r="P988" i="1"/>
  <c r="Q987" i="1"/>
  <c r="V986" i="1"/>
  <c r="T988" i="1"/>
  <c r="Q988" i="1"/>
  <c r="P989" i="1"/>
  <c r="U987" i="1"/>
  <c r="R987" i="1"/>
  <c r="U988" i="1"/>
  <c r="R988" i="1"/>
  <c r="T989" i="1"/>
  <c r="Q989" i="1"/>
  <c r="P990" i="1"/>
  <c r="V987" i="1"/>
  <c r="V988" i="1"/>
  <c r="U989" i="1"/>
  <c r="R989" i="1"/>
  <c r="T990" i="1"/>
  <c r="P991" i="1"/>
  <c r="Q990" i="1"/>
  <c r="V989" i="1"/>
  <c r="T991" i="1"/>
  <c r="P992" i="1"/>
  <c r="Q991" i="1"/>
  <c r="U990" i="1"/>
  <c r="R990" i="1"/>
  <c r="T992" i="1"/>
  <c r="P993" i="1"/>
  <c r="Q992" i="1"/>
  <c r="U991" i="1"/>
  <c r="R991" i="1"/>
  <c r="V990" i="1"/>
  <c r="T993" i="1"/>
  <c r="P994" i="1"/>
  <c r="Q993" i="1"/>
  <c r="U992" i="1"/>
  <c r="R992" i="1"/>
  <c r="V991" i="1"/>
  <c r="T994" i="1"/>
  <c r="P995" i="1"/>
  <c r="Q994" i="1"/>
  <c r="U993" i="1"/>
  <c r="R993" i="1"/>
  <c r="V992" i="1"/>
  <c r="T995" i="1"/>
  <c r="Q995" i="1"/>
  <c r="P996" i="1"/>
  <c r="U994" i="1"/>
  <c r="R994" i="1"/>
  <c r="V993" i="1"/>
  <c r="U995" i="1"/>
  <c r="R995" i="1"/>
  <c r="T996" i="1"/>
  <c r="Q996" i="1"/>
  <c r="P997" i="1"/>
  <c r="V994" i="1"/>
  <c r="V995" i="1"/>
  <c r="U996" i="1"/>
  <c r="R996" i="1"/>
  <c r="T997" i="1"/>
  <c r="Q997" i="1"/>
  <c r="P998" i="1"/>
  <c r="V996" i="1"/>
  <c r="U997" i="1"/>
  <c r="R997" i="1"/>
  <c r="T998" i="1"/>
  <c r="Q998" i="1"/>
  <c r="P999" i="1"/>
  <c r="V997" i="1"/>
  <c r="U998" i="1"/>
  <c r="R998" i="1"/>
  <c r="T999" i="1"/>
  <c r="Q999" i="1"/>
  <c r="P1000" i="1"/>
  <c r="V998" i="1"/>
  <c r="U999" i="1"/>
  <c r="R999" i="1"/>
  <c r="T1000" i="1"/>
  <c r="P1001" i="1"/>
  <c r="Q1000" i="1"/>
  <c r="V999" i="1"/>
  <c r="T1001" i="1"/>
  <c r="Q1001" i="1"/>
  <c r="P1002" i="1"/>
  <c r="U1000" i="1"/>
  <c r="R1000" i="1"/>
  <c r="U1001" i="1"/>
  <c r="R1001" i="1"/>
  <c r="T1002" i="1"/>
  <c r="Q1002" i="1"/>
  <c r="P1003" i="1"/>
  <c r="V1000" i="1"/>
  <c r="V1001" i="1"/>
  <c r="U1002" i="1"/>
  <c r="R1002" i="1"/>
  <c r="T1003" i="1"/>
  <c r="Q1003" i="1"/>
  <c r="P1004" i="1"/>
  <c r="V1002" i="1"/>
  <c r="U1003" i="1"/>
  <c r="R1003" i="1"/>
  <c r="T1004" i="1"/>
  <c r="Q1004" i="1"/>
  <c r="P1005" i="1"/>
  <c r="V1003" i="1"/>
  <c r="U1004" i="1"/>
  <c r="R1004" i="1"/>
  <c r="T1005" i="1"/>
  <c r="P1006" i="1"/>
  <c r="Q1005" i="1"/>
  <c r="V1004" i="1"/>
  <c r="T1006" i="1"/>
  <c r="Q1006" i="1"/>
  <c r="P1007" i="1"/>
  <c r="U1005" i="1"/>
  <c r="R1005" i="1"/>
  <c r="U1006" i="1"/>
  <c r="R1006" i="1"/>
  <c r="T1007" i="1"/>
  <c r="P1008" i="1"/>
  <c r="Q1007" i="1"/>
  <c r="V1005" i="1"/>
  <c r="V1006" i="1"/>
  <c r="T1008" i="1"/>
  <c r="Q1008" i="1"/>
  <c r="P1009" i="1"/>
  <c r="U1007" i="1"/>
  <c r="R1007" i="1"/>
  <c r="U1008" i="1"/>
  <c r="R1008" i="1"/>
  <c r="T1009" i="1"/>
  <c r="P1010" i="1"/>
  <c r="Q1009" i="1"/>
  <c r="V1007" i="1"/>
  <c r="V1008" i="1"/>
  <c r="T1010" i="1"/>
  <c r="P1011" i="1"/>
  <c r="Q1010" i="1"/>
  <c r="U1009" i="1"/>
  <c r="R1009" i="1"/>
  <c r="T1011" i="1"/>
  <c r="Q1011" i="1"/>
  <c r="P1012" i="1"/>
  <c r="U1010" i="1"/>
  <c r="R1010" i="1"/>
  <c r="V1009" i="1"/>
  <c r="U1011" i="1"/>
  <c r="R1011" i="1"/>
  <c r="T1012" i="1"/>
  <c r="Q1012" i="1"/>
  <c r="P1013" i="1"/>
  <c r="V1010" i="1"/>
  <c r="V1011" i="1"/>
  <c r="U1012" i="1"/>
  <c r="R1012" i="1"/>
  <c r="T1013" i="1"/>
  <c r="Q1013" i="1"/>
  <c r="P1014" i="1"/>
  <c r="V1012" i="1"/>
  <c r="U1013" i="1"/>
  <c r="R1013" i="1"/>
  <c r="T1014" i="1"/>
  <c r="Q1014" i="1"/>
  <c r="P1015" i="1"/>
  <c r="V1013" i="1"/>
  <c r="U1014" i="1"/>
  <c r="R1014" i="1"/>
  <c r="T1015" i="1"/>
  <c r="Q1015" i="1"/>
  <c r="P1016" i="1"/>
  <c r="V1014" i="1"/>
  <c r="U1015" i="1"/>
  <c r="R1015" i="1"/>
  <c r="T1016" i="1"/>
  <c r="Q1016" i="1"/>
  <c r="P1017" i="1"/>
  <c r="V1015" i="1"/>
  <c r="U1016" i="1"/>
  <c r="R1016" i="1"/>
  <c r="T1017" i="1"/>
  <c r="Q1017" i="1"/>
  <c r="P1018" i="1"/>
  <c r="V1016" i="1"/>
  <c r="U1017" i="1"/>
  <c r="R1017" i="1"/>
  <c r="T1018" i="1"/>
  <c r="Q1018" i="1"/>
  <c r="P1019" i="1"/>
  <c r="V1017" i="1"/>
  <c r="U1018" i="1"/>
  <c r="R1018" i="1"/>
  <c r="T1019" i="1"/>
  <c r="P1020" i="1"/>
  <c r="Q1019" i="1"/>
  <c r="V1018" i="1"/>
  <c r="T1020" i="1"/>
  <c r="Q1020" i="1"/>
  <c r="P1021" i="1"/>
  <c r="U1019" i="1"/>
  <c r="R1019" i="1"/>
  <c r="U1020" i="1"/>
  <c r="R1020" i="1"/>
  <c r="T1021" i="1"/>
  <c r="P1022" i="1"/>
  <c r="Q1021" i="1"/>
  <c r="V1019" i="1"/>
  <c r="V1020" i="1"/>
  <c r="T1022" i="1"/>
  <c r="Q1022" i="1"/>
  <c r="P1023" i="1"/>
  <c r="U1021" i="1"/>
  <c r="R1021" i="1"/>
  <c r="U1022" i="1"/>
  <c r="R1022" i="1"/>
  <c r="T1023" i="1"/>
  <c r="Q1023" i="1"/>
  <c r="P1024" i="1"/>
  <c r="V1021" i="1"/>
  <c r="V1022" i="1"/>
  <c r="U1023" i="1"/>
  <c r="R1023" i="1"/>
  <c r="T1024" i="1"/>
  <c r="Q1024" i="1"/>
  <c r="P1025" i="1"/>
  <c r="V1023" i="1"/>
  <c r="U1024" i="1"/>
  <c r="R1024" i="1"/>
  <c r="T1025" i="1"/>
  <c r="P1026" i="1"/>
  <c r="Q1025" i="1"/>
  <c r="V1024" i="1"/>
  <c r="T1026" i="1"/>
  <c r="Q1026" i="1"/>
  <c r="P1027" i="1"/>
  <c r="U1025" i="1"/>
  <c r="R1025" i="1"/>
  <c r="U1026" i="1"/>
  <c r="R1026" i="1"/>
  <c r="T1027" i="1"/>
  <c r="Q1027" i="1"/>
  <c r="P1028" i="1"/>
  <c r="V1025" i="1"/>
  <c r="V1026" i="1"/>
  <c r="U1027" i="1"/>
  <c r="R1027" i="1"/>
  <c r="T1028" i="1"/>
  <c r="P1029" i="1"/>
  <c r="Q1028" i="1"/>
  <c r="V1027" i="1"/>
  <c r="T1029" i="1"/>
  <c r="P1030" i="1"/>
  <c r="Q1029" i="1"/>
  <c r="U1028" i="1"/>
  <c r="R1028" i="1"/>
  <c r="T1030" i="1"/>
  <c r="Q1030" i="1"/>
  <c r="P1031" i="1"/>
  <c r="U1029" i="1"/>
  <c r="R1029" i="1"/>
  <c r="V1028" i="1"/>
  <c r="U1030" i="1"/>
  <c r="R1030" i="1"/>
  <c r="T1031" i="1"/>
  <c r="P1032" i="1"/>
  <c r="Q1031" i="1"/>
  <c r="V1029" i="1"/>
  <c r="V1030" i="1"/>
  <c r="T1032" i="1"/>
  <c r="P1033" i="1"/>
  <c r="Q1032" i="1"/>
  <c r="U1031" i="1"/>
  <c r="R1031" i="1"/>
  <c r="T1033" i="1"/>
  <c r="P1034" i="1"/>
  <c r="Q1033" i="1"/>
  <c r="U1032" i="1"/>
  <c r="R1032" i="1"/>
  <c r="V1031" i="1"/>
  <c r="T1034" i="1"/>
  <c r="P1035" i="1"/>
  <c r="Q1034" i="1"/>
  <c r="U1033" i="1"/>
  <c r="R1033" i="1"/>
  <c r="V1032" i="1"/>
  <c r="T1035" i="1"/>
  <c r="P1036" i="1"/>
  <c r="Q1035" i="1"/>
  <c r="U1034" i="1"/>
  <c r="R1034" i="1"/>
  <c r="V1033" i="1"/>
  <c r="T1036" i="1"/>
  <c r="Q1036" i="1"/>
  <c r="P1037" i="1"/>
  <c r="U1035" i="1"/>
  <c r="R1035" i="1"/>
  <c r="V1034" i="1"/>
  <c r="U1036" i="1"/>
  <c r="R1036" i="1"/>
  <c r="T1037" i="1"/>
  <c r="Q1037" i="1"/>
  <c r="P1038" i="1"/>
  <c r="V1035" i="1"/>
  <c r="V1036" i="1"/>
  <c r="U1037" i="1"/>
  <c r="R1037" i="1"/>
  <c r="T1038" i="1"/>
  <c r="P1039" i="1"/>
  <c r="Q1038" i="1"/>
  <c r="V1037" i="1"/>
  <c r="T1039" i="1"/>
  <c r="Q1039" i="1"/>
  <c r="P1040" i="1"/>
  <c r="U1038" i="1"/>
  <c r="R1038" i="1"/>
  <c r="U1039" i="1"/>
  <c r="R1039" i="1"/>
  <c r="T1040" i="1"/>
  <c r="Q1040" i="1"/>
  <c r="P1041" i="1"/>
  <c r="V1038" i="1"/>
  <c r="V1039" i="1"/>
  <c r="U1040" i="1"/>
  <c r="R1040" i="1"/>
  <c r="T1041" i="1"/>
  <c r="P1042" i="1"/>
  <c r="Q1041" i="1"/>
  <c r="V1040" i="1"/>
  <c r="T1042" i="1"/>
  <c r="P1043" i="1"/>
  <c r="Q1042" i="1"/>
  <c r="U1041" i="1"/>
  <c r="R1041" i="1"/>
  <c r="T1043" i="1"/>
  <c r="Q1043" i="1"/>
  <c r="P1044" i="1"/>
  <c r="U1042" i="1"/>
  <c r="R1042" i="1"/>
  <c r="V1041" i="1"/>
  <c r="U1043" i="1"/>
  <c r="R1043" i="1"/>
  <c r="T1044" i="1"/>
  <c r="Q1044" i="1"/>
  <c r="P1045" i="1"/>
  <c r="V1042" i="1"/>
  <c r="V1043" i="1"/>
  <c r="U1044" i="1"/>
  <c r="R1044" i="1"/>
  <c r="T1045" i="1"/>
  <c r="Q1045" i="1"/>
  <c r="P1046" i="1"/>
  <c r="V1044" i="1"/>
  <c r="U1045" i="1"/>
  <c r="R1045" i="1"/>
  <c r="T1046" i="1"/>
  <c r="P1047" i="1"/>
  <c r="Q1046" i="1"/>
  <c r="V1045" i="1"/>
  <c r="T1047" i="1"/>
  <c r="P1048" i="1"/>
  <c r="Q1047" i="1"/>
  <c r="U1046" i="1"/>
  <c r="R1046" i="1"/>
  <c r="T1048" i="1"/>
  <c r="Q1048" i="1"/>
  <c r="P1049" i="1"/>
  <c r="U1047" i="1"/>
  <c r="R1047" i="1"/>
  <c r="V1046" i="1"/>
  <c r="U1048" i="1"/>
  <c r="R1048" i="1"/>
  <c r="T1049" i="1"/>
  <c r="Q1049" i="1"/>
  <c r="P1050" i="1"/>
  <c r="V1047" i="1"/>
  <c r="V1048" i="1"/>
  <c r="U1049" i="1"/>
  <c r="R1049" i="1"/>
  <c r="T1050" i="1"/>
  <c r="Q1050" i="1"/>
  <c r="P1051" i="1"/>
  <c r="V1049" i="1"/>
  <c r="U1050" i="1"/>
  <c r="R1050" i="1"/>
  <c r="T1051" i="1"/>
  <c r="Q1051" i="1"/>
  <c r="P1052" i="1"/>
  <c r="V1050" i="1"/>
  <c r="U1051" i="1"/>
  <c r="R1051" i="1"/>
  <c r="T1052" i="1"/>
  <c r="P1053" i="1"/>
  <c r="Q1052" i="1"/>
  <c r="V1051" i="1"/>
  <c r="T1053" i="1"/>
  <c r="P1054" i="1"/>
  <c r="Q1053" i="1"/>
  <c r="U1052" i="1"/>
  <c r="R1052" i="1"/>
  <c r="T1054" i="1"/>
  <c r="P1055" i="1"/>
  <c r="Q1054" i="1"/>
  <c r="U1053" i="1"/>
  <c r="R1053" i="1"/>
  <c r="V1052" i="1"/>
  <c r="T1055" i="1"/>
  <c r="P1056" i="1"/>
  <c r="Q1055" i="1"/>
  <c r="U1054" i="1"/>
  <c r="R1054" i="1"/>
  <c r="V1053" i="1"/>
  <c r="T1056" i="1"/>
  <c r="P1057" i="1"/>
  <c r="Q1056" i="1"/>
  <c r="U1055" i="1"/>
  <c r="R1055" i="1"/>
  <c r="V1054" i="1"/>
  <c r="T1057" i="1"/>
  <c r="Q1057" i="1"/>
  <c r="P1058" i="1"/>
  <c r="U1056" i="1"/>
  <c r="R1056" i="1"/>
  <c r="V1055" i="1"/>
  <c r="U1057" i="1"/>
  <c r="R1057" i="1"/>
  <c r="T1058" i="1"/>
  <c r="P1059" i="1"/>
  <c r="Q1058" i="1"/>
  <c r="V1056" i="1"/>
  <c r="V1057" i="1"/>
  <c r="T1059" i="1"/>
  <c r="Q1059" i="1"/>
  <c r="P1060" i="1"/>
  <c r="U1058" i="1"/>
  <c r="R1058" i="1"/>
  <c r="U1059" i="1"/>
  <c r="R1059" i="1"/>
  <c r="T1060" i="1"/>
  <c r="P1061" i="1"/>
  <c r="Q1060" i="1"/>
  <c r="V1058" i="1"/>
  <c r="V1059" i="1"/>
  <c r="T1061" i="1"/>
  <c r="Q1061" i="1"/>
  <c r="P1062" i="1"/>
  <c r="U1060" i="1"/>
  <c r="R1060" i="1"/>
  <c r="U1061" i="1"/>
  <c r="R1061" i="1"/>
  <c r="T1062" i="1"/>
  <c r="P1063" i="1"/>
  <c r="Q1062" i="1"/>
  <c r="V1060" i="1"/>
  <c r="V1061" i="1"/>
  <c r="T1063" i="1"/>
  <c r="P1064" i="1"/>
  <c r="Q1063" i="1"/>
  <c r="U1062" i="1"/>
  <c r="R1062" i="1"/>
  <c r="T1064" i="1"/>
  <c r="P1065" i="1"/>
  <c r="Q1064" i="1"/>
  <c r="U1063" i="1"/>
  <c r="R1063" i="1"/>
  <c r="V1062" i="1"/>
  <c r="T1065" i="1"/>
  <c r="P1066" i="1"/>
  <c r="Q1065" i="1"/>
  <c r="U1064" i="1"/>
  <c r="R1064" i="1"/>
  <c r="V1063" i="1"/>
  <c r="T1066" i="1"/>
  <c r="Q1066" i="1"/>
  <c r="P1067" i="1"/>
  <c r="U1065" i="1"/>
  <c r="R1065" i="1"/>
  <c r="V1064" i="1"/>
  <c r="U1066" i="1"/>
  <c r="R1066" i="1"/>
  <c r="T1067" i="1"/>
  <c r="Q1067" i="1"/>
  <c r="P1068" i="1"/>
  <c r="V1065" i="1"/>
  <c r="V1066" i="1"/>
  <c r="U1067" i="1"/>
  <c r="R1067" i="1"/>
  <c r="T1068" i="1"/>
  <c r="Q1068" i="1"/>
  <c r="P1069" i="1"/>
  <c r="V1067" i="1"/>
  <c r="U1068" i="1"/>
  <c r="R1068" i="1"/>
  <c r="T1069" i="1"/>
  <c r="P1070" i="1"/>
  <c r="Q1069" i="1"/>
  <c r="V1068" i="1"/>
  <c r="T1070" i="1"/>
  <c r="Q1070" i="1"/>
  <c r="P1071" i="1"/>
  <c r="U1069" i="1"/>
  <c r="R1069" i="1"/>
  <c r="U1070" i="1"/>
  <c r="R1070" i="1"/>
  <c r="T1071" i="1"/>
  <c r="P1072" i="1"/>
  <c r="Q1071" i="1"/>
  <c r="V1069" i="1"/>
  <c r="V1070" i="1"/>
  <c r="T1072" i="1"/>
  <c r="Q1072" i="1"/>
  <c r="P1073" i="1"/>
  <c r="U1071" i="1"/>
  <c r="R1071" i="1"/>
  <c r="U1072" i="1"/>
  <c r="R1072" i="1"/>
  <c r="T1073" i="1"/>
  <c r="Q1073" i="1"/>
  <c r="P1074" i="1"/>
  <c r="V1071" i="1"/>
  <c r="V1072" i="1"/>
  <c r="U1073" i="1"/>
  <c r="R1073" i="1"/>
  <c r="T1074" i="1"/>
  <c r="P1075" i="1"/>
  <c r="Q1074" i="1"/>
  <c r="V1073" i="1"/>
  <c r="T1075" i="1"/>
  <c r="Q1075" i="1"/>
  <c r="P1076" i="1"/>
  <c r="U1074" i="1"/>
  <c r="R1074" i="1"/>
  <c r="U1075" i="1"/>
  <c r="R1075" i="1"/>
  <c r="T1076" i="1"/>
  <c r="P1077" i="1"/>
  <c r="Q1076" i="1"/>
  <c r="V1074" i="1"/>
  <c r="V1075" i="1"/>
  <c r="T1077" i="1"/>
  <c r="P1078" i="1"/>
  <c r="Q1077" i="1"/>
  <c r="U1076" i="1"/>
  <c r="R1076" i="1"/>
  <c r="T1078" i="1"/>
  <c r="Q1078" i="1"/>
  <c r="P1079" i="1"/>
  <c r="U1077" i="1"/>
  <c r="R1077" i="1"/>
  <c r="V1076" i="1"/>
  <c r="U1078" i="1"/>
  <c r="R1078" i="1"/>
  <c r="T1079" i="1"/>
  <c r="P1080" i="1"/>
  <c r="Q1079" i="1"/>
  <c r="V1077" i="1"/>
  <c r="V1078" i="1"/>
  <c r="T1080" i="1"/>
  <c r="P1081" i="1"/>
  <c r="Q1080" i="1"/>
  <c r="U1079" i="1"/>
  <c r="R1079" i="1"/>
  <c r="T1081" i="1"/>
  <c r="Q1081" i="1"/>
  <c r="P1082" i="1"/>
  <c r="U1080" i="1"/>
  <c r="R1080" i="1"/>
  <c r="V1079" i="1"/>
  <c r="U1081" i="1"/>
  <c r="R1081" i="1"/>
  <c r="T1082" i="1"/>
  <c r="P1083" i="1"/>
  <c r="Q1082" i="1"/>
  <c r="V1080" i="1"/>
  <c r="V1081" i="1"/>
  <c r="T1083" i="1"/>
  <c r="P1084" i="1"/>
  <c r="Q1083" i="1"/>
  <c r="U1082" i="1"/>
  <c r="R1082" i="1"/>
  <c r="T1084" i="1"/>
  <c r="Q1084" i="1"/>
  <c r="P1085" i="1"/>
  <c r="U1083" i="1"/>
  <c r="R1083" i="1"/>
  <c r="V1082" i="1"/>
  <c r="U1084" i="1"/>
  <c r="R1084" i="1"/>
  <c r="T1085" i="1"/>
  <c r="P1086" i="1"/>
  <c r="Q1085" i="1"/>
  <c r="V1083" i="1"/>
  <c r="V1084" i="1"/>
  <c r="T1086" i="1"/>
  <c r="P1087" i="1"/>
  <c r="Q1086" i="1"/>
  <c r="U1085" i="1"/>
  <c r="R1085" i="1"/>
  <c r="T1087" i="1"/>
  <c r="P1088" i="1"/>
  <c r="Q1087" i="1"/>
  <c r="U1086" i="1"/>
  <c r="R1086" i="1"/>
  <c r="V1085" i="1"/>
  <c r="T1088" i="1"/>
  <c r="Q1088" i="1"/>
  <c r="P1089" i="1"/>
  <c r="U1087" i="1"/>
  <c r="R1087" i="1"/>
  <c r="V1086" i="1"/>
  <c r="U1088" i="1"/>
  <c r="R1088" i="1"/>
  <c r="T1089" i="1"/>
  <c r="Q1089" i="1"/>
  <c r="P1090" i="1"/>
  <c r="V1087" i="1"/>
  <c r="V1088" i="1"/>
  <c r="U1089" i="1"/>
  <c r="R1089" i="1"/>
  <c r="T1090" i="1"/>
  <c r="P1091" i="1"/>
  <c r="Q1090" i="1"/>
  <c r="V1089" i="1"/>
  <c r="T1091" i="1"/>
  <c r="P1092" i="1"/>
  <c r="Q1091" i="1"/>
  <c r="U1090" i="1"/>
  <c r="R1090" i="1"/>
  <c r="T1092" i="1"/>
  <c r="Q1092" i="1"/>
  <c r="P1093" i="1"/>
  <c r="U1091" i="1"/>
  <c r="R1091" i="1"/>
  <c r="V1090" i="1"/>
  <c r="U1092" i="1"/>
  <c r="R1092" i="1"/>
  <c r="T1093" i="1"/>
  <c r="P1094" i="1"/>
  <c r="Q1093" i="1"/>
  <c r="V1091" i="1"/>
  <c r="V1092" i="1"/>
  <c r="T1094" i="1"/>
  <c r="P1095" i="1"/>
  <c r="Q1094" i="1"/>
  <c r="U1093" i="1"/>
  <c r="R1093" i="1"/>
  <c r="T1095" i="1"/>
  <c r="Q1095" i="1"/>
  <c r="P1096" i="1"/>
  <c r="U1094" i="1"/>
  <c r="R1094" i="1"/>
  <c r="V1093" i="1"/>
  <c r="U1095" i="1"/>
  <c r="R1095" i="1"/>
  <c r="T1096" i="1"/>
  <c r="P1097" i="1"/>
  <c r="Q1096" i="1"/>
  <c r="V1094" i="1"/>
  <c r="V1095" i="1"/>
  <c r="T1097" i="1"/>
  <c r="Q1097" i="1"/>
  <c r="P1098" i="1"/>
  <c r="U1096" i="1"/>
  <c r="R1096" i="1"/>
  <c r="U1097" i="1"/>
  <c r="R1097" i="1"/>
  <c r="T1098" i="1"/>
  <c r="Q1098" i="1"/>
  <c r="P1099" i="1"/>
  <c r="V1096" i="1"/>
  <c r="V1097" i="1"/>
  <c r="U1098" i="1"/>
  <c r="R1098" i="1"/>
  <c r="T1099" i="1"/>
  <c r="Q1099" i="1"/>
  <c r="P1100" i="1"/>
  <c r="V1098" i="1"/>
  <c r="U1099" i="1"/>
  <c r="R1099" i="1"/>
  <c r="T1100" i="1"/>
  <c r="Q1100" i="1"/>
  <c r="P1101" i="1"/>
  <c r="V1099" i="1"/>
  <c r="U1100" i="1"/>
  <c r="R1100" i="1"/>
  <c r="T1101" i="1"/>
  <c r="P1102" i="1"/>
  <c r="Q1101" i="1"/>
  <c r="V1100" i="1"/>
  <c r="T1102" i="1"/>
  <c r="P1103" i="1"/>
  <c r="Q1102" i="1"/>
  <c r="U1101" i="1"/>
  <c r="R1101" i="1"/>
  <c r="T1103" i="1"/>
  <c r="Q1103" i="1"/>
  <c r="P1104" i="1"/>
  <c r="U1102" i="1"/>
  <c r="R1102" i="1"/>
  <c r="V1101" i="1"/>
  <c r="U1103" i="1"/>
  <c r="R1103" i="1"/>
  <c r="T1104" i="1"/>
  <c r="Q1104" i="1"/>
  <c r="P1105" i="1"/>
  <c r="V1102" i="1"/>
  <c r="V1103" i="1"/>
  <c r="U1104" i="1"/>
  <c r="R1104" i="1"/>
  <c r="T1105" i="1"/>
  <c r="P1106" i="1"/>
  <c r="Q1105" i="1"/>
  <c r="V1104" i="1"/>
  <c r="T1106" i="1"/>
  <c r="Q1106" i="1"/>
  <c r="P1107" i="1"/>
  <c r="U1105" i="1"/>
  <c r="R1105" i="1"/>
  <c r="U1106" i="1"/>
  <c r="R1106" i="1"/>
  <c r="T1107" i="1"/>
  <c r="P1108" i="1"/>
  <c r="Q1107" i="1"/>
  <c r="V1105" i="1"/>
  <c r="V1106" i="1"/>
  <c r="T1108" i="1"/>
  <c r="P1109" i="1"/>
  <c r="Q1108" i="1"/>
  <c r="U1107" i="1"/>
  <c r="R1107" i="1"/>
  <c r="T1109" i="1"/>
  <c r="Q1109" i="1"/>
  <c r="P1110" i="1"/>
  <c r="U1108" i="1"/>
  <c r="R1108" i="1"/>
  <c r="V1107" i="1"/>
  <c r="U1109" i="1"/>
  <c r="R1109" i="1"/>
  <c r="T1110" i="1"/>
  <c r="Q1110" i="1"/>
  <c r="P1111" i="1"/>
  <c r="V1108" i="1"/>
  <c r="V1109" i="1"/>
  <c r="U1110" i="1"/>
  <c r="R1110" i="1"/>
  <c r="T1111" i="1"/>
  <c r="P1112" i="1"/>
  <c r="Q1111" i="1"/>
  <c r="V1110" i="1"/>
  <c r="T1112" i="1"/>
  <c r="Q1112" i="1"/>
  <c r="P1113" i="1"/>
  <c r="U1111" i="1"/>
  <c r="R1111" i="1"/>
  <c r="U1112" i="1"/>
  <c r="R1112" i="1"/>
  <c r="T1113" i="1"/>
  <c r="P1114" i="1"/>
  <c r="Q1113" i="1"/>
  <c r="V1111" i="1"/>
  <c r="V1112" i="1"/>
  <c r="T1114" i="1"/>
  <c r="Q1114" i="1"/>
  <c r="P1115" i="1"/>
  <c r="U1113" i="1"/>
  <c r="R1113" i="1"/>
  <c r="U1114" i="1"/>
  <c r="R1114" i="1"/>
  <c r="T1115" i="1"/>
  <c r="P1116" i="1"/>
  <c r="Q1115" i="1"/>
  <c r="V1113" i="1"/>
  <c r="V1114" i="1"/>
  <c r="T1116" i="1"/>
  <c r="Q1116" i="1"/>
  <c r="P1117" i="1"/>
  <c r="U1115" i="1"/>
  <c r="R1115" i="1"/>
  <c r="U1116" i="1"/>
  <c r="R1116" i="1"/>
  <c r="T1117" i="1"/>
  <c r="P1118" i="1"/>
  <c r="Q1117" i="1"/>
  <c r="V1115" i="1"/>
  <c r="V1116" i="1"/>
  <c r="T1118" i="1"/>
  <c r="P1119" i="1"/>
  <c r="Q1118" i="1"/>
  <c r="U1117" i="1"/>
  <c r="R1117" i="1"/>
  <c r="T1119" i="1"/>
  <c r="P1120" i="1"/>
  <c r="Q1119" i="1"/>
  <c r="U1118" i="1"/>
  <c r="R1118" i="1"/>
  <c r="V1117" i="1"/>
  <c r="T1120" i="1"/>
  <c r="Q1120" i="1"/>
  <c r="P1121" i="1"/>
  <c r="U1119" i="1"/>
  <c r="R1119" i="1"/>
  <c r="V1118" i="1"/>
  <c r="U1120" i="1"/>
  <c r="R1120" i="1"/>
  <c r="T1121" i="1"/>
  <c r="Q1121" i="1"/>
  <c r="P1122" i="1"/>
  <c r="V1119" i="1"/>
  <c r="V1120" i="1"/>
  <c r="U1121" i="1"/>
  <c r="R1121" i="1"/>
  <c r="T1122" i="1"/>
  <c r="P1123" i="1"/>
  <c r="Q1122" i="1"/>
  <c r="V1121" i="1"/>
  <c r="T1123" i="1"/>
  <c r="P1124" i="1"/>
  <c r="Q1123" i="1"/>
  <c r="U1122" i="1"/>
  <c r="R1122" i="1"/>
  <c r="T1124" i="1"/>
  <c r="Q1124" i="1"/>
  <c r="P1125" i="1"/>
  <c r="U1123" i="1"/>
  <c r="R1123" i="1"/>
  <c r="V1122" i="1"/>
  <c r="U1124" i="1"/>
  <c r="R1124" i="1"/>
  <c r="T1125" i="1"/>
  <c r="Q1125" i="1"/>
  <c r="P1126" i="1"/>
  <c r="V1123" i="1"/>
  <c r="V1124" i="1"/>
  <c r="U1125" i="1"/>
  <c r="R1125" i="1"/>
  <c r="T1126" i="1"/>
  <c r="P1127" i="1"/>
  <c r="Q1126" i="1"/>
  <c r="V1125" i="1"/>
  <c r="T1127" i="1"/>
  <c r="Q1127" i="1"/>
  <c r="P1128" i="1"/>
  <c r="U1126" i="1"/>
  <c r="R1126" i="1"/>
  <c r="U1127" i="1"/>
  <c r="R1127" i="1"/>
  <c r="T1128" i="1"/>
  <c r="P1129" i="1"/>
  <c r="Q1128" i="1"/>
  <c r="V1126" i="1"/>
  <c r="V1127" i="1"/>
  <c r="T1129" i="1"/>
  <c r="Q1129" i="1"/>
  <c r="P1130" i="1"/>
  <c r="U1128" i="1"/>
  <c r="R1128" i="1"/>
  <c r="U1129" i="1"/>
  <c r="R1129" i="1"/>
  <c r="T1130" i="1"/>
  <c r="P1131" i="1"/>
  <c r="Q1130" i="1"/>
  <c r="V1128" i="1"/>
  <c r="V1129" i="1"/>
  <c r="T1131" i="1"/>
  <c r="P1132" i="1"/>
  <c r="Q1131" i="1"/>
  <c r="U1130" i="1"/>
  <c r="R1130" i="1"/>
  <c r="T1132" i="1"/>
  <c r="P1133" i="1"/>
  <c r="Q1132" i="1"/>
  <c r="U1131" i="1"/>
  <c r="R1131" i="1"/>
  <c r="V1130" i="1"/>
  <c r="T1133" i="1"/>
  <c r="P1134" i="1"/>
  <c r="Q1133" i="1"/>
  <c r="U1132" i="1"/>
  <c r="R1132" i="1"/>
  <c r="V1131" i="1"/>
  <c r="T1134" i="1"/>
  <c r="P1135" i="1"/>
  <c r="Q1134" i="1"/>
  <c r="U1133" i="1"/>
  <c r="R1133" i="1"/>
  <c r="V1132" i="1"/>
  <c r="T1135" i="1"/>
  <c r="P1136" i="1"/>
  <c r="Q1135" i="1"/>
  <c r="U1134" i="1"/>
  <c r="R1134" i="1"/>
  <c r="V1133" i="1"/>
  <c r="T1136" i="1"/>
  <c r="P1137" i="1"/>
  <c r="Q1136" i="1"/>
  <c r="U1135" i="1"/>
  <c r="R1135" i="1"/>
  <c r="V1134" i="1"/>
  <c r="T1137" i="1"/>
  <c r="P1138" i="1"/>
  <c r="Q1137" i="1"/>
  <c r="U1136" i="1"/>
  <c r="R1136" i="1"/>
  <c r="V1135" i="1"/>
  <c r="T1138" i="1"/>
  <c r="P1139" i="1"/>
  <c r="Q1138" i="1"/>
  <c r="U1137" i="1"/>
  <c r="R1137" i="1"/>
  <c r="V1136" i="1"/>
  <c r="T1139" i="1"/>
  <c r="P1140" i="1"/>
  <c r="Q1139" i="1"/>
  <c r="U1138" i="1"/>
  <c r="R1138" i="1"/>
  <c r="V1137" i="1"/>
  <c r="T1140" i="1"/>
  <c r="P1141" i="1"/>
  <c r="Q1140" i="1"/>
  <c r="U1139" i="1"/>
  <c r="R1139" i="1"/>
  <c r="V1138" i="1"/>
  <c r="T1141" i="1"/>
  <c r="P1142" i="1"/>
  <c r="Q1141" i="1"/>
  <c r="U1140" i="1"/>
  <c r="R1140" i="1"/>
  <c r="V1139" i="1"/>
  <c r="T1142" i="1"/>
  <c r="Q1142" i="1"/>
  <c r="P1143" i="1"/>
  <c r="U1141" i="1"/>
  <c r="R1141" i="1"/>
  <c r="V1140" i="1"/>
  <c r="U1142" i="1"/>
  <c r="R1142" i="1"/>
  <c r="T1143" i="1"/>
  <c r="Q1143" i="1"/>
  <c r="P1144" i="1"/>
  <c r="V1141" i="1"/>
  <c r="V1142" i="1"/>
  <c r="U1143" i="1"/>
  <c r="R1143" i="1"/>
  <c r="T1144" i="1"/>
  <c r="Q1144" i="1"/>
  <c r="P1145" i="1"/>
  <c r="V1143" i="1"/>
  <c r="U1144" i="1"/>
  <c r="R1144" i="1"/>
  <c r="T1145" i="1"/>
  <c r="P1146" i="1"/>
  <c r="Q1145" i="1"/>
  <c r="V1144" i="1"/>
  <c r="T1146" i="1"/>
  <c r="P1147" i="1"/>
  <c r="Q1146" i="1"/>
  <c r="U1145" i="1"/>
  <c r="R1145" i="1"/>
  <c r="T1147" i="1"/>
  <c r="P1148" i="1"/>
  <c r="Q1147" i="1"/>
  <c r="U1146" i="1"/>
  <c r="R1146" i="1"/>
  <c r="V1145" i="1"/>
  <c r="T1148" i="1"/>
  <c r="P1149" i="1"/>
  <c r="Q1148" i="1"/>
  <c r="U1147" i="1"/>
  <c r="R1147" i="1"/>
  <c r="V1146" i="1"/>
  <c r="T1149" i="1"/>
  <c r="Q1149" i="1"/>
  <c r="P1150" i="1"/>
  <c r="U1148" i="1"/>
  <c r="R1148" i="1"/>
  <c r="V1147" i="1"/>
  <c r="U1149" i="1"/>
  <c r="R1149" i="1"/>
  <c r="T1150" i="1"/>
  <c r="P1151" i="1"/>
  <c r="Q1150" i="1"/>
  <c r="V1148" i="1"/>
  <c r="V1149" i="1"/>
  <c r="T1151" i="1"/>
  <c r="Q1151" i="1"/>
  <c r="P1152" i="1"/>
  <c r="U1150" i="1"/>
  <c r="R1150" i="1"/>
  <c r="U1151" i="1"/>
  <c r="R1151" i="1"/>
  <c r="T1152" i="1"/>
  <c r="Q1152" i="1"/>
  <c r="P1153" i="1"/>
  <c r="V1150" i="1"/>
  <c r="V1151" i="1"/>
  <c r="U1152" i="1"/>
  <c r="R1152" i="1"/>
  <c r="T1153" i="1"/>
  <c r="P1154" i="1"/>
  <c r="Q1153" i="1"/>
  <c r="V1152" i="1"/>
  <c r="T1154" i="1"/>
  <c r="Q1154" i="1"/>
  <c r="P1155" i="1"/>
  <c r="U1153" i="1"/>
  <c r="R1153" i="1"/>
  <c r="U1154" i="1"/>
  <c r="R1154" i="1"/>
  <c r="T1155" i="1"/>
  <c r="Q1155" i="1"/>
  <c r="P1156" i="1"/>
  <c r="V1153" i="1"/>
  <c r="V1154" i="1"/>
  <c r="U1155" i="1"/>
  <c r="R1155" i="1"/>
  <c r="T1156" i="1"/>
  <c r="P1157" i="1"/>
  <c r="Q1156" i="1"/>
  <c r="V1155" i="1"/>
  <c r="T1157" i="1"/>
  <c r="Q1157" i="1"/>
  <c r="P1158" i="1"/>
  <c r="U1156" i="1"/>
  <c r="R1156" i="1"/>
  <c r="U1157" i="1"/>
  <c r="R1157" i="1"/>
  <c r="T1158" i="1"/>
  <c r="Q1158" i="1"/>
  <c r="P1159" i="1"/>
  <c r="V1156" i="1"/>
  <c r="V1157" i="1"/>
  <c r="U1158" i="1"/>
  <c r="R1158" i="1"/>
  <c r="T1159" i="1"/>
  <c r="Q1159" i="1"/>
  <c r="P1160" i="1"/>
  <c r="V1158" i="1"/>
  <c r="U1159" i="1"/>
  <c r="R1159" i="1"/>
  <c r="T1160" i="1"/>
  <c r="P1161" i="1"/>
  <c r="Q1160" i="1"/>
  <c r="V1159" i="1"/>
  <c r="T1161" i="1"/>
  <c r="P1162" i="1"/>
  <c r="Q1161" i="1"/>
  <c r="U1160" i="1"/>
  <c r="R1160" i="1"/>
  <c r="T1162" i="1"/>
  <c r="P1163" i="1"/>
  <c r="Q1162" i="1"/>
  <c r="U1161" i="1"/>
  <c r="R1161" i="1"/>
  <c r="V1160" i="1"/>
  <c r="T1163" i="1"/>
  <c r="Q1163" i="1"/>
  <c r="P1164" i="1"/>
  <c r="U1162" i="1"/>
  <c r="R1162" i="1"/>
  <c r="V1161" i="1"/>
  <c r="U1163" i="1"/>
  <c r="R1163" i="1"/>
  <c r="T1164" i="1"/>
  <c r="Q1164" i="1"/>
  <c r="P1165" i="1"/>
  <c r="V1162" i="1"/>
  <c r="V1163" i="1"/>
  <c r="U1164" i="1"/>
  <c r="R1164" i="1"/>
  <c r="T1165" i="1"/>
  <c r="P1166" i="1"/>
  <c r="Q1165" i="1"/>
  <c r="V1164" i="1"/>
  <c r="T1166" i="1"/>
  <c r="Q1166" i="1"/>
  <c r="P1167" i="1"/>
  <c r="U1165" i="1"/>
  <c r="R1165" i="1"/>
  <c r="U1166" i="1"/>
  <c r="R1166" i="1"/>
  <c r="T1167" i="1"/>
  <c r="P1168" i="1"/>
  <c r="Q1167" i="1"/>
  <c r="V1165" i="1"/>
  <c r="V1166" i="1"/>
  <c r="T1168" i="1"/>
  <c r="P1169" i="1"/>
  <c r="Q1168" i="1"/>
  <c r="U1167" i="1"/>
  <c r="R1167" i="1"/>
  <c r="T1169" i="1"/>
  <c r="Q1169" i="1"/>
  <c r="P1170" i="1"/>
  <c r="U1168" i="1"/>
  <c r="R1168" i="1"/>
  <c r="V1167" i="1"/>
  <c r="U1169" i="1"/>
  <c r="R1169" i="1"/>
  <c r="T1170" i="1"/>
  <c r="P1171" i="1"/>
  <c r="Q1170" i="1"/>
  <c r="V1168" i="1"/>
  <c r="V1169" i="1"/>
  <c r="T1171" i="1"/>
  <c r="P1172" i="1"/>
  <c r="Q1171" i="1"/>
  <c r="U1170" i="1"/>
  <c r="R1170" i="1"/>
  <c r="T1172" i="1"/>
  <c r="P1173" i="1"/>
  <c r="Q1172" i="1"/>
  <c r="U1171" i="1"/>
  <c r="R1171" i="1"/>
  <c r="V1170" i="1"/>
  <c r="T1173" i="1"/>
  <c r="P1174" i="1"/>
  <c r="Q1173" i="1"/>
  <c r="U1172" i="1"/>
  <c r="R1172" i="1"/>
  <c r="V1171" i="1"/>
  <c r="T1174" i="1"/>
  <c r="Q1174" i="1"/>
  <c r="P1175" i="1"/>
  <c r="U1173" i="1"/>
  <c r="R1173" i="1"/>
  <c r="V1172" i="1"/>
  <c r="U1174" i="1"/>
  <c r="R1174" i="1"/>
  <c r="T1175" i="1"/>
  <c r="Q1175" i="1"/>
  <c r="P1176" i="1"/>
  <c r="V1173" i="1"/>
  <c r="V1174" i="1"/>
  <c r="U1175" i="1"/>
  <c r="R1175" i="1"/>
  <c r="T1176" i="1"/>
  <c r="Q1176" i="1"/>
  <c r="P1177" i="1"/>
  <c r="V1175" i="1"/>
  <c r="U1176" i="1"/>
  <c r="R1176" i="1"/>
  <c r="T1177" i="1"/>
  <c r="Q1177" i="1"/>
  <c r="P1178" i="1"/>
  <c r="V1176" i="1"/>
  <c r="U1177" i="1"/>
  <c r="R1177" i="1"/>
  <c r="T1178" i="1"/>
  <c r="Q1178" i="1"/>
  <c r="P1179" i="1"/>
  <c r="V1177" i="1"/>
  <c r="U1178" i="1"/>
  <c r="R1178" i="1"/>
  <c r="T1179" i="1"/>
  <c r="Q1179" i="1"/>
  <c r="P1180" i="1"/>
  <c r="V1178" i="1"/>
  <c r="U1179" i="1"/>
  <c r="R1179" i="1"/>
  <c r="T1180" i="1"/>
  <c r="Q1180" i="1"/>
  <c r="P1181" i="1"/>
  <c r="V1179" i="1"/>
  <c r="U1180" i="1"/>
  <c r="R1180" i="1"/>
  <c r="T1181" i="1"/>
  <c r="Q1181" i="1"/>
  <c r="P1182" i="1"/>
  <c r="V1180" i="1"/>
  <c r="U1181" i="1"/>
  <c r="R1181" i="1"/>
  <c r="T1182" i="1"/>
  <c r="P1183" i="1"/>
  <c r="Q1182" i="1"/>
  <c r="V1181" i="1"/>
  <c r="T1183" i="1"/>
  <c r="P1184" i="1"/>
  <c r="Q1183" i="1"/>
  <c r="U1182" i="1"/>
  <c r="R1182" i="1"/>
  <c r="T1184" i="1"/>
  <c r="P1185" i="1"/>
  <c r="Q1184" i="1"/>
  <c r="U1183" i="1"/>
  <c r="R1183" i="1"/>
  <c r="V1182" i="1"/>
  <c r="T1185" i="1"/>
  <c r="Q1185" i="1"/>
  <c r="P1186" i="1"/>
  <c r="U1184" i="1"/>
  <c r="R1184" i="1"/>
  <c r="V1183" i="1"/>
  <c r="U1185" i="1"/>
  <c r="R1185" i="1"/>
  <c r="T1186" i="1"/>
  <c r="Q1186" i="1"/>
  <c r="P1187" i="1"/>
  <c r="V1184" i="1"/>
  <c r="V1185" i="1"/>
  <c r="U1186" i="1"/>
  <c r="R1186" i="1"/>
  <c r="T1187" i="1"/>
  <c r="Q1187" i="1"/>
  <c r="P1188" i="1"/>
  <c r="V1186" i="1"/>
  <c r="U1187" i="1"/>
  <c r="R1187" i="1"/>
  <c r="T1188" i="1"/>
  <c r="P1189" i="1"/>
  <c r="Q1188" i="1"/>
  <c r="V1187" i="1"/>
  <c r="T1189" i="1"/>
  <c r="Q1189" i="1"/>
  <c r="P1190" i="1"/>
  <c r="U1188" i="1"/>
  <c r="R1188" i="1"/>
  <c r="U1189" i="1"/>
  <c r="R1189" i="1"/>
  <c r="T1190" i="1"/>
  <c r="Q1190" i="1"/>
  <c r="P1191" i="1"/>
  <c r="V1188" i="1"/>
  <c r="V1189" i="1"/>
  <c r="U1190" i="1"/>
  <c r="R1190" i="1"/>
  <c r="T1191" i="1"/>
  <c r="P1192" i="1"/>
  <c r="Q1191" i="1"/>
  <c r="V1190" i="1"/>
  <c r="T1192" i="1"/>
  <c r="Q1192" i="1"/>
  <c r="P1193" i="1"/>
  <c r="U1191" i="1"/>
  <c r="R1191" i="1"/>
  <c r="U1192" i="1"/>
  <c r="R1192" i="1"/>
  <c r="T1193" i="1"/>
  <c r="Q1193" i="1"/>
  <c r="P1194" i="1"/>
  <c r="V1191" i="1"/>
  <c r="V1192" i="1"/>
  <c r="U1193" i="1"/>
  <c r="R1193" i="1"/>
  <c r="T1194" i="1"/>
  <c r="P1195" i="1"/>
  <c r="Q1194" i="1"/>
  <c r="V1193" i="1"/>
  <c r="T1195" i="1"/>
  <c r="Q1195" i="1"/>
  <c r="P1196" i="1"/>
  <c r="U1194" i="1"/>
  <c r="R1194" i="1"/>
  <c r="U1195" i="1"/>
  <c r="R1195" i="1"/>
  <c r="T1196" i="1"/>
  <c r="P1197" i="1"/>
  <c r="Q1196" i="1"/>
  <c r="V1194" i="1"/>
  <c r="V1195" i="1"/>
  <c r="T1197" i="1"/>
  <c r="Q1197" i="1"/>
  <c r="P1198" i="1"/>
  <c r="U1196" i="1"/>
  <c r="R1196" i="1"/>
  <c r="U1197" i="1"/>
  <c r="R1197" i="1"/>
  <c r="T1198" i="1"/>
  <c r="P1199" i="1"/>
  <c r="Q1198" i="1"/>
  <c r="V1196" i="1"/>
  <c r="V1197" i="1"/>
  <c r="T1199" i="1"/>
  <c r="Q1199" i="1"/>
  <c r="P1200" i="1"/>
  <c r="U1198" i="1"/>
  <c r="R1198" i="1"/>
  <c r="U1199" i="1"/>
  <c r="R1199" i="1"/>
  <c r="T1200" i="1"/>
  <c r="Q1200" i="1"/>
  <c r="P1201" i="1"/>
  <c r="V1198" i="1"/>
  <c r="V1199" i="1"/>
  <c r="U1200" i="1"/>
  <c r="R1200" i="1"/>
  <c r="T1201" i="1"/>
  <c r="Q1201" i="1"/>
  <c r="P1202" i="1"/>
  <c r="V1200" i="1"/>
  <c r="U1201" i="1"/>
  <c r="R1201" i="1"/>
  <c r="T1202" i="1"/>
  <c r="Q1202" i="1"/>
  <c r="P1203" i="1"/>
  <c r="V1201" i="1"/>
  <c r="U1202" i="1"/>
  <c r="R1202" i="1"/>
  <c r="T1203" i="1"/>
  <c r="P1204" i="1"/>
  <c r="Q1203" i="1"/>
  <c r="V1202" i="1"/>
  <c r="T1204" i="1"/>
  <c r="P1205" i="1"/>
  <c r="Q1204" i="1"/>
  <c r="U1203" i="1"/>
  <c r="R1203" i="1"/>
  <c r="T1205" i="1"/>
  <c r="P1206" i="1"/>
  <c r="Q1205" i="1"/>
  <c r="U1204" i="1"/>
  <c r="R1204" i="1"/>
  <c r="V1203" i="1"/>
  <c r="T1206" i="1"/>
  <c r="P1207" i="1"/>
  <c r="Q1206" i="1"/>
  <c r="U1205" i="1"/>
  <c r="R1205" i="1"/>
  <c r="V1204" i="1"/>
  <c r="T1207" i="1"/>
  <c r="P1208" i="1"/>
  <c r="Q1207" i="1"/>
  <c r="U1206" i="1"/>
  <c r="R1206" i="1"/>
  <c r="V1205" i="1"/>
  <c r="T1208" i="1"/>
  <c r="Q1208" i="1"/>
  <c r="P1209" i="1"/>
  <c r="U1207" i="1"/>
  <c r="R1207" i="1"/>
  <c r="V1206" i="1"/>
  <c r="U1208" i="1"/>
  <c r="R1208" i="1"/>
  <c r="T1209" i="1"/>
  <c r="Q1209" i="1"/>
  <c r="P1210" i="1"/>
  <c r="V1207" i="1"/>
  <c r="V1208" i="1"/>
  <c r="U1209" i="1"/>
  <c r="R1209" i="1"/>
  <c r="T1210" i="1"/>
  <c r="P1211" i="1"/>
  <c r="Q1210" i="1"/>
  <c r="V1209" i="1"/>
  <c r="T1211" i="1"/>
  <c r="P1212" i="1"/>
  <c r="Q1211" i="1"/>
  <c r="U1210" i="1"/>
  <c r="R1210" i="1"/>
  <c r="T1212" i="1"/>
  <c r="Q1212" i="1"/>
  <c r="P1213" i="1"/>
  <c r="U1211" i="1"/>
  <c r="R1211" i="1"/>
  <c r="V1210" i="1"/>
  <c r="U1212" i="1"/>
  <c r="R1212" i="1"/>
  <c r="T1213" i="1"/>
  <c r="P1214" i="1"/>
  <c r="Q1213" i="1"/>
  <c r="V1211" i="1"/>
  <c r="V1212" i="1"/>
  <c r="T1214" i="1"/>
  <c r="Q1214" i="1"/>
  <c r="P1215" i="1"/>
  <c r="U1213" i="1"/>
  <c r="R1213" i="1"/>
  <c r="U1214" i="1"/>
  <c r="R1214" i="1"/>
  <c r="T1215" i="1"/>
  <c r="P1216" i="1"/>
  <c r="Q1215" i="1"/>
  <c r="V1213" i="1"/>
  <c r="V1214" i="1"/>
  <c r="T1216" i="1"/>
  <c r="Q1216" i="1"/>
  <c r="P1217" i="1"/>
  <c r="U1215" i="1"/>
  <c r="R1215" i="1"/>
  <c r="U1216" i="1"/>
  <c r="R1216" i="1"/>
  <c r="T1217" i="1"/>
  <c r="Q1217" i="1"/>
  <c r="P1218" i="1"/>
  <c r="V1215" i="1"/>
  <c r="V1216" i="1"/>
  <c r="U1217" i="1"/>
  <c r="R1217" i="1"/>
  <c r="T1218" i="1"/>
  <c r="Q1218" i="1"/>
  <c r="P1219" i="1"/>
  <c r="V1217" i="1"/>
  <c r="U1218" i="1"/>
  <c r="R1218" i="1"/>
  <c r="T1219" i="1"/>
  <c r="P1220" i="1"/>
  <c r="Q1219" i="1"/>
  <c r="V1218" i="1"/>
  <c r="T1220" i="1"/>
  <c r="P1221" i="1"/>
  <c r="Q1220" i="1"/>
  <c r="U1219" i="1"/>
  <c r="R1219" i="1"/>
  <c r="T1221" i="1"/>
  <c r="Q1221" i="1"/>
  <c r="P1222" i="1"/>
  <c r="U1220" i="1"/>
  <c r="R1220" i="1"/>
  <c r="V1219" i="1"/>
  <c r="U1221" i="1"/>
  <c r="R1221" i="1"/>
  <c r="T1222" i="1"/>
  <c r="P1223" i="1"/>
  <c r="Q1222" i="1"/>
  <c r="V1220" i="1"/>
  <c r="V1221" i="1"/>
  <c r="T1223" i="1"/>
  <c r="P1224" i="1"/>
  <c r="Q1223" i="1"/>
  <c r="U1222" i="1"/>
  <c r="R1222" i="1"/>
  <c r="T1224" i="1"/>
  <c r="Q1224" i="1"/>
  <c r="P1225" i="1"/>
  <c r="U1223" i="1"/>
  <c r="R1223" i="1"/>
  <c r="V1222" i="1"/>
  <c r="U1224" i="1"/>
  <c r="R1224" i="1"/>
  <c r="T1225" i="1"/>
  <c r="P1226" i="1"/>
  <c r="Q1225" i="1"/>
  <c r="V1223" i="1"/>
  <c r="V1224" i="1"/>
  <c r="T1226" i="1"/>
  <c r="Q1226" i="1"/>
  <c r="P1227" i="1"/>
  <c r="U1225" i="1"/>
  <c r="R1225" i="1"/>
  <c r="U1226" i="1"/>
  <c r="R1226" i="1"/>
  <c r="T1227" i="1"/>
  <c r="P1228" i="1"/>
  <c r="Q1227" i="1"/>
  <c r="V1225" i="1"/>
  <c r="V1226" i="1"/>
  <c r="T1228" i="1"/>
  <c r="P1229" i="1"/>
  <c r="Q1228" i="1"/>
  <c r="U1227" i="1"/>
  <c r="R1227" i="1"/>
  <c r="T1229" i="1"/>
  <c r="Q1229" i="1"/>
  <c r="P1230" i="1"/>
  <c r="U1228" i="1"/>
  <c r="R1228" i="1"/>
  <c r="V1227" i="1"/>
  <c r="U1229" i="1"/>
  <c r="R1229" i="1"/>
  <c r="T1230" i="1"/>
  <c r="Q1230" i="1"/>
  <c r="P1231" i="1"/>
  <c r="V1228" i="1"/>
  <c r="V1229" i="1"/>
  <c r="U1230" i="1"/>
  <c r="R1230" i="1"/>
  <c r="T1231" i="1"/>
  <c r="Q1231" i="1"/>
  <c r="P1232" i="1"/>
  <c r="V1230" i="1"/>
  <c r="U1231" i="1"/>
  <c r="R1231" i="1"/>
  <c r="T1232" i="1"/>
  <c r="P1233" i="1"/>
  <c r="Q1232" i="1"/>
  <c r="V1231" i="1"/>
  <c r="T1233" i="1"/>
  <c r="Q1233" i="1"/>
  <c r="P1234" i="1"/>
  <c r="U1232" i="1"/>
  <c r="R1232" i="1"/>
  <c r="U1233" i="1"/>
  <c r="R1233" i="1"/>
  <c r="T1234" i="1"/>
  <c r="P1235" i="1"/>
  <c r="Q1234" i="1"/>
  <c r="V1232" i="1"/>
  <c r="V1233" i="1"/>
  <c r="T1235" i="1"/>
  <c r="Q1235" i="1"/>
  <c r="P1236" i="1"/>
  <c r="U1234" i="1"/>
  <c r="R1234" i="1"/>
  <c r="U1235" i="1"/>
  <c r="R1235" i="1"/>
  <c r="T1236" i="1"/>
  <c r="P1237" i="1"/>
  <c r="Q1236" i="1"/>
  <c r="V1234" i="1"/>
  <c r="V1235" i="1"/>
  <c r="T1237" i="1"/>
  <c r="P1238" i="1"/>
  <c r="Q1237" i="1"/>
  <c r="U1236" i="1"/>
  <c r="R1236" i="1"/>
  <c r="T1238" i="1"/>
  <c r="Q1238" i="1"/>
  <c r="P1239" i="1"/>
  <c r="U1237" i="1"/>
  <c r="R1237" i="1"/>
  <c r="V1236" i="1"/>
  <c r="U1238" i="1"/>
  <c r="R1238" i="1"/>
  <c r="T1239" i="1"/>
  <c r="P1240" i="1"/>
  <c r="Q1239" i="1"/>
  <c r="V1237" i="1"/>
  <c r="V1238" i="1"/>
  <c r="T1240" i="1"/>
  <c r="P1241" i="1"/>
  <c r="Q1240" i="1"/>
  <c r="U1239" i="1"/>
  <c r="R1239" i="1"/>
  <c r="T1241" i="1"/>
  <c r="Q1241" i="1"/>
  <c r="P1242" i="1"/>
  <c r="U1240" i="1"/>
  <c r="R1240" i="1"/>
  <c r="V1239" i="1"/>
  <c r="U1241" i="1"/>
  <c r="R1241" i="1"/>
  <c r="T1242" i="1"/>
  <c r="Q1242" i="1"/>
  <c r="P1243" i="1"/>
  <c r="V1240" i="1"/>
  <c r="V1241" i="1"/>
  <c r="U1242" i="1"/>
  <c r="R1242" i="1"/>
  <c r="T1243" i="1"/>
  <c r="P1244" i="1"/>
  <c r="Q1243" i="1"/>
  <c r="V1242" i="1"/>
  <c r="T1244" i="1"/>
  <c r="Q1244" i="1"/>
  <c r="P1245" i="1"/>
  <c r="U1243" i="1"/>
  <c r="R1243" i="1"/>
  <c r="U1244" i="1"/>
  <c r="R1244" i="1"/>
  <c r="T1245" i="1"/>
  <c r="Q1245" i="1"/>
  <c r="P1246" i="1"/>
  <c r="V1243" i="1"/>
  <c r="V1244" i="1"/>
  <c r="U1245" i="1"/>
  <c r="R1245" i="1"/>
  <c r="T1246" i="1"/>
  <c r="Q1246" i="1"/>
  <c r="P1247" i="1"/>
  <c r="V1245" i="1"/>
  <c r="U1246" i="1"/>
  <c r="R1246" i="1"/>
  <c r="T1247" i="1"/>
  <c r="P1248" i="1"/>
  <c r="Q1247" i="1"/>
  <c r="V1246" i="1"/>
  <c r="T1248" i="1"/>
  <c r="Q1248" i="1"/>
  <c r="P1249" i="1"/>
  <c r="U1247" i="1"/>
  <c r="R1247" i="1"/>
  <c r="U1248" i="1"/>
  <c r="R1248" i="1"/>
  <c r="T1249" i="1"/>
  <c r="Q1249" i="1"/>
  <c r="P1250" i="1"/>
  <c r="V1247" i="1"/>
  <c r="V1248" i="1"/>
  <c r="U1249" i="1"/>
  <c r="R1249" i="1"/>
  <c r="T1250" i="1"/>
  <c r="Q1250" i="1"/>
  <c r="P1251" i="1"/>
  <c r="V1249" i="1"/>
  <c r="U1250" i="1"/>
  <c r="R1250" i="1"/>
  <c r="T1251" i="1"/>
  <c r="P1252" i="1"/>
  <c r="Q1251" i="1"/>
  <c r="V1250" i="1"/>
  <c r="T1252" i="1"/>
  <c r="P1253" i="1"/>
  <c r="Q1252" i="1"/>
  <c r="U1251" i="1"/>
  <c r="R1251" i="1"/>
  <c r="T1253" i="1"/>
  <c r="P1254" i="1"/>
  <c r="Q1253" i="1"/>
  <c r="U1252" i="1"/>
  <c r="R1252" i="1"/>
  <c r="V1251" i="1"/>
  <c r="T1254" i="1"/>
  <c r="Q1254" i="1"/>
  <c r="P1255" i="1"/>
  <c r="U1253" i="1"/>
  <c r="R1253" i="1"/>
  <c r="V1252" i="1"/>
  <c r="U1254" i="1"/>
  <c r="R1254" i="1"/>
  <c r="T1255" i="1"/>
  <c r="P1256" i="1"/>
  <c r="Q1255" i="1"/>
  <c r="V1253" i="1"/>
  <c r="V1254" i="1"/>
  <c r="T1256" i="1"/>
  <c r="Q1256" i="1"/>
  <c r="P1257" i="1"/>
  <c r="U1255" i="1"/>
  <c r="R1255" i="1"/>
  <c r="U1256" i="1"/>
  <c r="R1256" i="1"/>
  <c r="T1257" i="1"/>
  <c r="P1258" i="1"/>
  <c r="Q1257" i="1"/>
  <c r="V1255" i="1"/>
  <c r="V1256" i="1"/>
  <c r="T1258" i="1"/>
  <c r="Q1258" i="1"/>
  <c r="P1259" i="1"/>
  <c r="U1257" i="1"/>
  <c r="R1257" i="1"/>
  <c r="U1258" i="1"/>
  <c r="R1258" i="1"/>
  <c r="T1259" i="1"/>
  <c r="P1260" i="1"/>
  <c r="Q1259" i="1"/>
  <c r="V1257" i="1"/>
  <c r="V1258" i="1"/>
  <c r="T1260" i="1"/>
  <c r="P1261" i="1"/>
  <c r="Q1260" i="1"/>
  <c r="U1259" i="1"/>
  <c r="R1259" i="1"/>
  <c r="T1261" i="1"/>
  <c r="P1262" i="1"/>
  <c r="Q1261" i="1"/>
  <c r="U1260" i="1"/>
  <c r="R1260" i="1"/>
  <c r="V1259" i="1"/>
  <c r="T1262" i="1"/>
  <c r="P1263" i="1"/>
  <c r="Q1262" i="1"/>
  <c r="U1261" i="1"/>
  <c r="R1261" i="1"/>
  <c r="V1260" i="1"/>
  <c r="T1263" i="1"/>
  <c r="Q1263" i="1"/>
  <c r="P1264" i="1"/>
  <c r="U1262" i="1"/>
  <c r="R1262" i="1"/>
  <c r="V1261" i="1"/>
  <c r="U1263" i="1"/>
  <c r="R1263" i="1"/>
  <c r="T1264" i="1"/>
  <c r="P1265" i="1"/>
  <c r="Q1264" i="1"/>
  <c r="V1262" i="1"/>
  <c r="V1263" i="1"/>
  <c r="T1265" i="1"/>
  <c r="P1266" i="1"/>
  <c r="Q1265" i="1"/>
  <c r="U1264" i="1"/>
  <c r="R1264" i="1"/>
  <c r="T1266" i="1"/>
  <c r="Q1266" i="1"/>
  <c r="P1267" i="1"/>
  <c r="U1265" i="1"/>
  <c r="R1265" i="1"/>
  <c r="V1264" i="1"/>
  <c r="U1266" i="1"/>
  <c r="R1266" i="1"/>
  <c r="T1267" i="1"/>
  <c r="Q1267" i="1"/>
  <c r="P1268" i="1"/>
  <c r="V1265" i="1"/>
  <c r="V1266" i="1"/>
  <c r="U1267" i="1"/>
  <c r="R1267" i="1"/>
  <c r="T1268" i="1"/>
  <c r="P1269" i="1"/>
  <c r="Q1268" i="1"/>
  <c r="V1267" i="1"/>
  <c r="T1269" i="1"/>
  <c r="Q1269" i="1"/>
  <c r="P1270" i="1"/>
  <c r="U1268" i="1"/>
  <c r="R1268" i="1"/>
  <c r="U1269" i="1"/>
  <c r="R1269" i="1"/>
  <c r="T1270" i="1"/>
  <c r="Q1270" i="1"/>
  <c r="P1271" i="1"/>
  <c r="V1268" i="1"/>
  <c r="V1269" i="1"/>
  <c r="U1270" i="1"/>
  <c r="R1270" i="1"/>
  <c r="T1271" i="1"/>
  <c r="Q1271" i="1"/>
  <c r="P1272" i="1"/>
  <c r="V1270" i="1"/>
  <c r="U1271" i="1"/>
  <c r="R1271" i="1"/>
  <c r="T1272" i="1"/>
  <c r="P1273" i="1"/>
  <c r="Q1272" i="1"/>
  <c r="V1271" i="1"/>
  <c r="T1273" i="1"/>
  <c r="Q1273" i="1"/>
  <c r="P1274" i="1"/>
  <c r="U1272" i="1"/>
  <c r="R1272" i="1"/>
  <c r="U1273" i="1"/>
  <c r="R1273" i="1"/>
  <c r="T1274" i="1"/>
  <c r="Q1274" i="1"/>
  <c r="P1275" i="1"/>
  <c r="V1272" i="1"/>
  <c r="V1273" i="1"/>
  <c r="U1274" i="1"/>
  <c r="R1274" i="1"/>
  <c r="T1275" i="1"/>
  <c r="Q1275" i="1"/>
  <c r="P1276" i="1"/>
  <c r="V1274" i="1"/>
  <c r="U1275" i="1"/>
  <c r="R1275" i="1"/>
  <c r="T1276" i="1"/>
  <c r="P1277" i="1"/>
  <c r="Q1276" i="1"/>
  <c r="V1275" i="1"/>
  <c r="T1277" i="1"/>
  <c r="P1278" i="1"/>
  <c r="Q1277" i="1"/>
  <c r="U1276" i="1"/>
  <c r="R1276" i="1"/>
  <c r="T1278" i="1"/>
  <c r="P1279" i="1"/>
  <c r="Q1278" i="1"/>
  <c r="U1277" i="1"/>
  <c r="R1277" i="1"/>
  <c r="V1276" i="1"/>
  <c r="T1279" i="1"/>
  <c r="P1280" i="1"/>
  <c r="Q1279" i="1"/>
  <c r="U1278" i="1"/>
  <c r="R1278" i="1"/>
  <c r="V1277" i="1"/>
  <c r="T1280" i="1"/>
  <c r="P1281" i="1"/>
  <c r="Q1280" i="1"/>
  <c r="U1279" i="1"/>
  <c r="R1279" i="1"/>
  <c r="V1278" i="1"/>
  <c r="T1281" i="1"/>
  <c r="Q1281" i="1"/>
  <c r="P1282" i="1"/>
  <c r="U1280" i="1"/>
  <c r="R1280" i="1"/>
  <c r="V1279" i="1"/>
  <c r="U1281" i="1"/>
  <c r="R1281" i="1"/>
  <c r="T1282" i="1"/>
  <c r="P1283" i="1"/>
  <c r="Q1282" i="1"/>
  <c r="V1280" i="1"/>
  <c r="V1281" i="1"/>
  <c r="T1283" i="1"/>
  <c r="P1284" i="1"/>
  <c r="Q1283" i="1"/>
  <c r="U1282" i="1"/>
  <c r="R1282" i="1"/>
  <c r="T1284" i="1"/>
  <c r="P1285" i="1"/>
  <c r="Q1284" i="1"/>
  <c r="U1283" i="1"/>
  <c r="R1283" i="1"/>
  <c r="V1282" i="1"/>
  <c r="T1285" i="1"/>
  <c r="Q1285" i="1"/>
  <c r="P1286" i="1"/>
  <c r="U1284" i="1"/>
  <c r="R1284" i="1"/>
  <c r="V1283" i="1"/>
  <c r="U1285" i="1"/>
  <c r="R1285" i="1"/>
  <c r="T1286" i="1"/>
  <c r="Q1286" i="1"/>
  <c r="P1287" i="1"/>
  <c r="V1284" i="1"/>
  <c r="V1285" i="1"/>
  <c r="U1286" i="1"/>
  <c r="R1286" i="1"/>
  <c r="T1287" i="1"/>
  <c r="P1288" i="1"/>
  <c r="Q1287" i="1"/>
  <c r="V1286" i="1"/>
  <c r="T1288" i="1"/>
  <c r="Q1288" i="1"/>
  <c r="P1289" i="1"/>
  <c r="U1287" i="1"/>
  <c r="R1287" i="1"/>
  <c r="U1288" i="1"/>
  <c r="R1288" i="1"/>
  <c r="T1289" i="1"/>
  <c r="Q1289" i="1"/>
  <c r="P1290" i="1"/>
  <c r="V1287" i="1"/>
  <c r="V1288" i="1"/>
  <c r="U1289" i="1"/>
  <c r="R1289" i="1"/>
  <c r="T1290" i="1"/>
  <c r="P1291" i="1"/>
  <c r="Q1290" i="1"/>
  <c r="V1289" i="1"/>
  <c r="T1291" i="1"/>
  <c r="Q1291" i="1"/>
  <c r="P1292" i="1"/>
  <c r="U1290" i="1"/>
  <c r="R1290" i="1"/>
  <c r="U1291" i="1"/>
  <c r="R1291" i="1"/>
  <c r="T1292" i="1"/>
  <c r="Q1292" i="1"/>
  <c r="P1293" i="1"/>
  <c r="V1290" i="1"/>
  <c r="V1291" i="1"/>
  <c r="U1292" i="1"/>
  <c r="R1292" i="1"/>
  <c r="T1293" i="1"/>
  <c r="Q1293" i="1"/>
  <c r="P1294" i="1"/>
  <c r="V1292" i="1"/>
  <c r="U1293" i="1"/>
  <c r="R1293" i="1"/>
  <c r="T1294" i="1"/>
  <c r="P1295" i="1"/>
  <c r="Q1294" i="1"/>
  <c r="V1293" i="1"/>
  <c r="T1295" i="1"/>
  <c r="Q1295" i="1"/>
  <c r="P1296" i="1"/>
  <c r="U1294" i="1"/>
  <c r="R1294" i="1"/>
  <c r="U1295" i="1"/>
  <c r="R1295" i="1"/>
  <c r="T1296" i="1"/>
  <c r="Q1296" i="1"/>
  <c r="P1297" i="1"/>
  <c r="V1294" i="1"/>
  <c r="V1295" i="1"/>
  <c r="U1296" i="1"/>
  <c r="R1296" i="1"/>
  <c r="T1297" i="1"/>
  <c r="P1298" i="1"/>
  <c r="Q1297" i="1"/>
  <c r="V1296" i="1"/>
  <c r="T1298" i="1"/>
  <c r="P1299" i="1"/>
  <c r="Q1298" i="1"/>
  <c r="U1297" i="1"/>
  <c r="R1297" i="1"/>
  <c r="T1299" i="1"/>
  <c r="Q1299" i="1"/>
  <c r="P1300" i="1"/>
  <c r="U1298" i="1"/>
  <c r="R1298" i="1"/>
  <c r="V1297" i="1"/>
  <c r="U1299" i="1"/>
  <c r="R1299" i="1"/>
  <c r="T1300" i="1"/>
  <c r="P1301" i="1"/>
  <c r="Q1300" i="1"/>
  <c r="V1298" i="1"/>
  <c r="V1299" i="1"/>
  <c r="T1301" i="1"/>
  <c r="P1302" i="1"/>
  <c r="Q1301" i="1"/>
  <c r="U1300" i="1"/>
  <c r="R1300" i="1"/>
  <c r="T1302" i="1"/>
  <c r="Q1302" i="1"/>
  <c r="P1303" i="1"/>
  <c r="U1301" i="1"/>
  <c r="R1301" i="1"/>
  <c r="V1300" i="1"/>
  <c r="U1302" i="1"/>
  <c r="R1302" i="1"/>
  <c r="T1303" i="1"/>
  <c r="P1304" i="1"/>
  <c r="Q1303" i="1"/>
  <c r="V1301" i="1"/>
  <c r="V1302" i="1"/>
  <c r="T1304" i="1"/>
  <c r="P1305" i="1"/>
  <c r="Q1304" i="1"/>
  <c r="U1303" i="1"/>
  <c r="R1303" i="1"/>
  <c r="T1305" i="1"/>
  <c r="Q1305" i="1"/>
  <c r="P1306" i="1"/>
  <c r="U1304" i="1"/>
  <c r="R1304" i="1"/>
  <c r="V1303" i="1"/>
  <c r="U1305" i="1"/>
  <c r="R1305" i="1"/>
  <c r="T1306" i="1"/>
  <c r="Q1306" i="1"/>
  <c r="P1307" i="1"/>
  <c r="V1304" i="1"/>
  <c r="V1305" i="1"/>
  <c r="U1306" i="1"/>
  <c r="R1306" i="1"/>
  <c r="T1307" i="1"/>
  <c r="P1308" i="1"/>
  <c r="Q1307" i="1"/>
  <c r="V1306" i="1"/>
  <c r="T1308" i="1"/>
  <c r="P1309" i="1"/>
  <c r="Q1308" i="1"/>
  <c r="U1307" i="1"/>
  <c r="R1307" i="1"/>
  <c r="T1309" i="1"/>
  <c r="P1310" i="1"/>
  <c r="Q1309" i="1"/>
  <c r="U1308" i="1"/>
  <c r="R1308" i="1"/>
  <c r="V1307" i="1"/>
  <c r="T1310" i="1"/>
  <c r="U1309" i="1"/>
  <c r="R1309" i="1"/>
  <c r="V1308" i="1"/>
  <c r="V1309" i="1"/>
  <c r="Q36" i="5"/>
  <c r="R36" i="5"/>
  <c r="AB36" i="5" s="1"/>
  <c r="U36" i="5"/>
  <c r="V36" i="5"/>
  <c r="X3" i="1" l="1"/>
  <c r="X4" i="5"/>
  <c r="Y4" i="5" s="1"/>
  <c r="AA4" i="5" s="1"/>
  <c r="X5" i="5"/>
  <c r="W3" i="1"/>
  <c r="Y3" i="1" s="1"/>
  <c r="N34" i="6"/>
  <c r="N25" i="6"/>
  <c r="N26" i="6"/>
  <c r="N22" i="6"/>
  <c r="N31" i="6"/>
  <c r="N41" i="6"/>
  <c r="N42" i="6"/>
  <c r="N37" i="6"/>
  <c r="N23" i="6"/>
  <c r="N33" i="6"/>
  <c r="N38" i="6"/>
  <c r="N39" i="6"/>
  <c r="N43" i="6"/>
  <c r="N29" i="6"/>
  <c r="N9" i="6"/>
  <c r="N27" i="6"/>
  <c r="N35" i="6"/>
  <c r="N5" i="6"/>
  <c r="N6" i="6"/>
  <c r="N3" i="6"/>
  <c r="N7" i="6"/>
  <c r="N17" i="6"/>
  <c r="N21" i="6"/>
  <c r="N14" i="6"/>
  <c r="N18" i="6"/>
  <c r="N10" i="6"/>
  <c r="N13" i="6"/>
  <c r="N28" i="6"/>
  <c r="N2" i="6"/>
  <c r="N16" i="6"/>
  <c r="N20" i="6"/>
  <c r="N30" i="6"/>
  <c r="N11" i="6"/>
  <c r="N36" i="6"/>
  <c r="N40" i="6"/>
  <c r="N4" i="6"/>
  <c r="N8" i="6"/>
  <c r="N12" i="6"/>
  <c r="N15" i="6"/>
  <c r="N19" i="6"/>
  <c r="N24" i="6"/>
  <c r="N32" i="6"/>
  <c r="N44" i="6"/>
  <c r="P37" i="5"/>
  <c r="S1306" i="1"/>
  <c r="S1292" i="1"/>
  <c r="S1284" i="1"/>
  <c r="S1283" i="1"/>
  <c r="S1273" i="1"/>
  <c r="S1257" i="1"/>
  <c r="S1256" i="1"/>
  <c r="S1247" i="1"/>
  <c r="S1244" i="1"/>
  <c r="S1207" i="1"/>
  <c r="S1193" i="1"/>
  <c r="S1174" i="1"/>
  <c r="S1162" i="1"/>
  <c r="S1161" i="1"/>
  <c r="S1160" i="1"/>
  <c r="S1159" i="1"/>
  <c r="S1151" i="1"/>
  <c r="S1136" i="1"/>
  <c r="S1119" i="1"/>
  <c r="S1102" i="1"/>
  <c r="S1083" i="1"/>
  <c r="S1079" i="1"/>
  <c r="S1075" i="1"/>
  <c r="S1062" i="1"/>
  <c r="S1047" i="1"/>
  <c r="S1046" i="1"/>
  <c r="S1043" i="1"/>
  <c r="S1035" i="1"/>
  <c r="S1034" i="1"/>
  <c r="S1032" i="1"/>
  <c r="S1021" i="1"/>
  <c r="S1020" i="1"/>
  <c r="S1019" i="1"/>
  <c r="S1010" i="1"/>
  <c r="S1008" i="1"/>
  <c r="S994" i="1"/>
  <c r="S993" i="1"/>
  <c r="S992" i="1"/>
  <c r="S980" i="1"/>
  <c r="S968" i="1"/>
  <c r="S948" i="1"/>
  <c r="S917" i="1"/>
  <c r="S916" i="1"/>
  <c r="S915" i="1"/>
  <c r="S906" i="1"/>
  <c r="S890" i="1"/>
  <c r="S889" i="1"/>
  <c r="S878" i="1"/>
  <c r="S875" i="1"/>
  <c r="S873" i="1"/>
  <c r="S872" i="1"/>
  <c r="S870" i="1"/>
  <c r="S862" i="1"/>
  <c r="S847" i="1"/>
  <c r="S846" i="1"/>
  <c r="S845" i="1"/>
  <c r="S839" i="1"/>
  <c r="S836" i="1"/>
  <c r="S829" i="1"/>
  <c r="S819" i="1"/>
  <c r="S804" i="1"/>
  <c r="S768" i="1"/>
  <c r="S765" i="1"/>
  <c r="S744" i="1"/>
  <c r="S743" i="1"/>
  <c r="S742" i="1"/>
  <c r="S734" i="1"/>
  <c r="S729" i="1"/>
  <c r="S713" i="1"/>
  <c r="S705" i="1"/>
  <c r="S681" i="1"/>
  <c r="S679" i="1"/>
  <c r="S1298" i="1"/>
  <c r="S1297" i="1"/>
  <c r="S1296" i="1"/>
  <c r="S1295" i="1"/>
  <c r="S1293" i="1"/>
  <c r="S1274" i="1"/>
  <c r="S1260" i="1"/>
  <c r="S1259" i="1"/>
  <c r="S1258" i="1"/>
  <c r="S1246" i="1"/>
  <c r="S1245" i="1"/>
  <c r="S1228" i="1"/>
  <c r="S1227" i="1"/>
  <c r="S1226" i="1"/>
  <c r="S1225" i="1"/>
  <c r="S1224" i="1"/>
  <c r="S1196" i="1"/>
  <c r="S1195" i="1"/>
  <c r="S1194" i="1"/>
  <c r="S1192" i="1"/>
  <c r="S1182" i="1"/>
  <c r="S1177" i="1"/>
  <c r="S1176" i="1"/>
  <c r="S1153" i="1"/>
  <c r="S1152" i="1"/>
  <c r="S1140" i="1"/>
  <c r="S1137" i="1"/>
  <c r="S1123" i="1"/>
  <c r="S1121" i="1"/>
  <c r="S1120" i="1"/>
  <c r="S1117" i="1"/>
  <c r="S1100" i="1"/>
  <c r="S1099" i="1"/>
  <c r="S1098" i="1"/>
  <c r="S1091" i="1"/>
  <c r="S1090" i="1"/>
  <c r="S1086" i="1"/>
  <c r="S1085" i="1"/>
  <c r="S1084" i="1"/>
  <c r="S1081" i="1"/>
  <c r="S1065" i="1"/>
  <c r="S1064" i="1"/>
  <c r="S1063" i="1"/>
  <c r="S1061" i="1"/>
  <c r="S1059" i="1"/>
  <c r="S1050" i="1"/>
  <c r="S1048" i="1"/>
  <c r="S982" i="1"/>
  <c r="S981" i="1"/>
  <c r="S970" i="1"/>
  <c r="S964" i="1"/>
  <c r="S955" i="1"/>
  <c r="S952" i="1"/>
  <c r="S950" i="1"/>
  <c r="S949" i="1"/>
  <c r="S935" i="1"/>
  <c r="S934" i="1"/>
  <c r="S933" i="1"/>
  <c r="S932" i="1"/>
  <c r="S918" i="1"/>
  <c r="S907" i="1"/>
  <c r="S905" i="1"/>
  <c r="S904" i="1"/>
  <c r="S894" i="1"/>
  <c r="S880" i="1"/>
  <c r="S879" i="1"/>
  <c r="S877" i="1"/>
  <c r="S876" i="1"/>
  <c r="S871" i="1"/>
  <c r="S850" i="1"/>
  <c r="S849" i="1"/>
  <c r="S848" i="1"/>
  <c r="S822" i="1"/>
  <c r="S816" i="1"/>
  <c r="S807" i="1"/>
  <c r="S806" i="1"/>
  <c r="S805" i="1"/>
  <c r="S781" i="1"/>
  <c r="S772" i="1"/>
  <c r="S766" i="1"/>
  <c r="S763" i="1"/>
  <c r="S749" i="1"/>
  <c r="S735" i="1"/>
  <c r="S715" i="1"/>
  <c r="S706" i="1"/>
  <c r="S690" i="1"/>
  <c r="S682" i="1"/>
  <c r="S680" i="1"/>
  <c r="S664" i="1"/>
  <c r="S1300" i="1"/>
  <c r="S1286" i="1"/>
  <c r="S1285" i="1"/>
  <c r="S1276" i="1"/>
  <c r="S1275" i="1"/>
  <c r="S1261" i="1"/>
  <c r="S1251" i="1"/>
  <c r="S1248" i="1"/>
  <c r="S1232" i="1"/>
  <c r="S1231" i="1"/>
  <c r="S1230" i="1"/>
  <c r="S1229" i="1"/>
  <c r="S1211" i="1"/>
  <c r="S1210" i="1"/>
  <c r="S1209" i="1"/>
  <c r="S1181" i="1"/>
  <c r="S1180" i="1"/>
  <c r="S1179" i="1"/>
  <c r="S1178" i="1"/>
  <c r="S1165" i="1"/>
  <c r="S1163" i="1"/>
  <c r="S1141" i="1"/>
  <c r="S1139" i="1"/>
  <c r="S1138" i="1"/>
  <c r="S1122" i="1"/>
  <c r="S1116" i="1"/>
  <c r="S1105" i="1"/>
  <c r="S1103" i="1"/>
  <c r="S1087" i="1"/>
  <c r="S1071" i="1"/>
  <c r="S1066" i="1"/>
  <c r="S1052" i="1"/>
  <c r="S1049" i="1"/>
  <c r="S1038" i="1"/>
  <c r="S1036" i="1"/>
  <c r="S1022" i="1"/>
  <c r="S996" i="1"/>
  <c r="S984" i="1"/>
  <c r="S971" i="1"/>
  <c r="S956" i="1"/>
  <c r="S953" i="1"/>
  <c r="S951" i="1"/>
  <c r="S936" i="1"/>
  <c r="S922" i="1"/>
  <c r="S919" i="1"/>
  <c r="S908" i="1"/>
  <c r="S892" i="1"/>
  <c r="S891" i="1"/>
  <c r="S874" i="1"/>
  <c r="S856" i="1"/>
  <c r="S855" i="1"/>
  <c r="S854" i="1"/>
  <c r="S852" i="1"/>
  <c r="S851" i="1"/>
  <c r="S831" i="1"/>
  <c r="S821" i="1"/>
  <c r="S820" i="1"/>
  <c r="S818" i="1"/>
  <c r="S817" i="1"/>
  <c r="S808" i="1"/>
  <c r="S771" i="1"/>
  <c r="S753" i="1"/>
  <c r="S752" i="1"/>
  <c r="S750" i="1"/>
  <c r="S748" i="1"/>
  <c r="S747" i="1"/>
  <c r="S746" i="1"/>
  <c r="S745" i="1"/>
  <c r="S724" i="1"/>
  <c r="S722" i="1"/>
  <c r="S721" i="1"/>
  <c r="S719" i="1"/>
  <c r="S717" i="1"/>
  <c r="S716" i="1"/>
  <c r="S714" i="1"/>
  <c r="S707" i="1"/>
  <c r="S691" i="1"/>
  <c r="S1287" i="1"/>
  <c r="S1277" i="1"/>
  <c r="S1250" i="1"/>
  <c r="S1237" i="1"/>
  <c r="S1213" i="1"/>
  <c r="S1208" i="1"/>
  <c r="S1198" i="1"/>
  <c r="S1184" i="1"/>
  <c r="S1183" i="1"/>
  <c r="S1168" i="1"/>
  <c r="S1166" i="1"/>
  <c r="S1164" i="1"/>
  <c r="S1154" i="1"/>
  <c r="S1126" i="1"/>
  <c r="S1124" i="1"/>
  <c r="S1108" i="1"/>
  <c r="S1104" i="1"/>
  <c r="S1092" i="1"/>
  <c r="S1089" i="1"/>
  <c r="S1301" i="1"/>
  <c r="S1299" i="1"/>
  <c r="S1290" i="1"/>
  <c r="S1289" i="1"/>
  <c r="S1288" i="1"/>
  <c r="S1279" i="1"/>
  <c r="S1278" i="1"/>
  <c r="S1265" i="1"/>
  <c r="S1264" i="1"/>
  <c r="S1263" i="1"/>
  <c r="S1262" i="1"/>
  <c r="S1252" i="1"/>
  <c r="S1249" i="1"/>
  <c r="S1238" i="1"/>
  <c r="S1236" i="1"/>
  <c r="S1234" i="1"/>
  <c r="S1233" i="1"/>
  <c r="S1219" i="1"/>
  <c r="S1212" i="1"/>
  <c r="S1203" i="1"/>
  <c r="S1202" i="1"/>
  <c r="S1201" i="1"/>
  <c r="S1200" i="1"/>
  <c r="S1199" i="1"/>
  <c r="S1197" i="1"/>
  <c r="S1185" i="1"/>
  <c r="S1170" i="1"/>
  <c r="S1167" i="1"/>
  <c r="S1156" i="1"/>
  <c r="S1142" i="1"/>
  <c r="S1127" i="1"/>
  <c r="S1125" i="1"/>
  <c r="S1309" i="1"/>
  <c r="S1308" i="1"/>
  <c r="S1304" i="1"/>
  <c r="S1280" i="1"/>
  <c r="S1268" i="1"/>
  <c r="S1267" i="1"/>
  <c r="S1266" i="1"/>
  <c r="S1253" i="1"/>
  <c r="S1240" i="1"/>
  <c r="S1239" i="1"/>
  <c r="S1220" i="1"/>
  <c r="S1218" i="1"/>
  <c r="S1215" i="1"/>
  <c r="S1214" i="1"/>
  <c r="S1204" i="1"/>
  <c r="S1189" i="1"/>
  <c r="S1188" i="1"/>
  <c r="S1187" i="1"/>
  <c r="S1186" i="1"/>
  <c r="S1172" i="1"/>
  <c r="S1171" i="1"/>
  <c r="S1155" i="1"/>
  <c r="S1145" i="1"/>
  <c r="S1144" i="1"/>
  <c r="S1143" i="1"/>
  <c r="S1133" i="1"/>
  <c r="S1132" i="1"/>
  <c r="S1131" i="1"/>
  <c r="S1128" i="1"/>
  <c r="S1111" i="1"/>
  <c r="S1109" i="1"/>
  <c r="S1107" i="1"/>
  <c r="S1307" i="1"/>
  <c r="S1303" i="1"/>
  <c r="S1302" i="1"/>
  <c r="S1272" i="1"/>
  <c r="S1269" i="1"/>
  <c r="S1255" i="1"/>
  <c r="S1254" i="1"/>
  <c r="S1243" i="1"/>
  <c r="S1242" i="1"/>
  <c r="S1241" i="1"/>
  <c r="S1235" i="1"/>
  <c r="S1217" i="1"/>
  <c r="S1216" i="1"/>
  <c r="S1191" i="1"/>
  <c r="S1169" i="1"/>
  <c r="S1157" i="1"/>
  <c r="Q1310" i="1"/>
  <c r="S1305" i="1"/>
  <c r="S1294" i="1"/>
  <c r="S1291" i="1"/>
  <c r="S1282" i="1"/>
  <c r="S1281" i="1"/>
  <c r="S1271" i="1"/>
  <c r="S1270" i="1"/>
  <c r="S1223" i="1"/>
  <c r="S1222" i="1"/>
  <c r="S1221" i="1"/>
  <c r="S1206" i="1"/>
  <c r="S1205" i="1"/>
  <c r="S1190" i="1"/>
  <c r="S1135" i="1"/>
  <c r="S1101" i="1"/>
  <c r="S1094" i="1"/>
  <c r="S1088" i="1"/>
  <c r="S1053" i="1"/>
  <c r="S1045" i="1"/>
  <c r="S1026" i="1"/>
  <c r="S1013" i="1"/>
  <c r="S999" i="1"/>
  <c r="S989" i="1"/>
  <c r="S975" i="1"/>
  <c r="S959" i="1"/>
  <c r="S954" i="1"/>
  <c r="S946" i="1"/>
  <c r="S940" i="1"/>
  <c r="S930" i="1"/>
  <c r="S927" i="1"/>
  <c r="S923" i="1"/>
  <c r="S888" i="1"/>
  <c r="S882" i="1"/>
  <c r="S858" i="1"/>
  <c r="S800" i="1"/>
  <c r="S790" i="1"/>
  <c r="S787" i="1"/>
  <c r="S782" i="1"/>
  <c r="S777" i="1"/>
  <c r="S769" i="1"/>
  <c r="S761" i="1"/>
  <c r="S711" i="1"/>
  <c r="S701" i="1"/>
  <c r="S693" i="1"/>
  <c r="S668" i="1"/>
  <c r="S653" i="1"/>
  <c r="S647" i="1"/>
  <c r="S646" i="1"/>
  <c r="S610" i="1"/>
  <c r="S608" i="1"/>
  <c r="S607" i="1"/>
  <c r="S593" i="1"/>
  <c r="S591" i="1"/>
  <c r="S582" i="1"/>
  <c r="S576" i="1"/>
  <c r="S566" i="1"/>
  <c r="S565" i="1"/>
  <c r="S562" i="1"/>
  <c r="S549" i="1"/>
  <c r="S539" i="1"/>
  <c r="S521" i="1"/>
  <c r="S506" i="1"/>
  <c r="S505" i="1"/>
  <c r="S503" i="1"/>
  <c r="S490" i="1"/>
  <c r="S487" i="1"/>
  <c r="S476" i="1"/>
  <c r="S468" i="1"/>
  <c r="S461" i="1"/>
  <c r="S459" i="1"/>
  <c r="S455" i="1"/>
  <c r="S450" i="1"/>
  <c r="S435" i="1"/>
  <c r="S423" i="1"/>
  <c r="S421" i="1"/>
  <c r="S414" i="1"/>
  <c r="S411" i="1"/>
  <c r="S391" i="1"/>
  <c r="S380" i="1"/>
  <c r="S329" i="1"/>
  <c r="S328" i="1"/>
  <c r="S323" i="1"/>
  <c r="S312" i="1"/>
  <c r="S301" i="1"/>
  <c r="S290" i="1"/>
  <c r="S288" i="1"/>
  <c r="S274" i="1"/>
  <c r="S272" i="1"/>
  <c r="S257" i="1"/>
  <c r="S250" i="1"/>
  <c r="S248" i="1"/>
  <c r="S227" i="1"/>
  <c r="S226" i="1"/>
  <c r="S1158" i="1"/>
  <c r="S1129" i="1"/>
  <c r="S1082" i="1"/>
  <c r="S1080" i="1"/>
  <c r="S1072" i="1"/>
  <c r="S1069" i="1"/>
  <c r="S1056" i="1"/>
  <c r="S1037" i="1"/>
  <c r="S1024" i="1"/>
  <c r="S1016" i="1"/>
  <c r="S1005" i="1"/>
  <c r="S1002" i="1"/>
  <c r="S986" i="1"/>
  <c r="S962" i="1"/>
  <c r="S957" i="1"/>
  <c r="S947" i="1"/>
  <c r="S921" i="1"/>
  <c r="S902" i="1"/>
  <c r="S899" i="1"/>
  <c r="S885" i="1"/>
  <c r="S853" i="1"/>
  <c r="S840" i="1"/>
  <c r="S834" i="1"/>
  <c r="S803" i="1"/>
  <c r="S788" i="1"/>
  <c r="S780" i="1"/>
  <c r="S764" i="1"/>
  <c r="S740" i="1"/>
  <c r="S739" i="1"/>
  <c r="S732" i="1"/>
  <c r="S727" i="1"/>
  <c r="S696" i="1"/>
  <c r="S684" i="1"/>
  <c r="S678" i="1"/>
  <c r="S675" i="1"/>
  <c r="S669" i="1"/>
  <c r="S665" i="1"/>
  <c r="S661" i="1"/>
  <c r="S649" i="1"/>
  <c r="S632" i="1"/>
  <c r="S612" i="1"/>
  <c r="S609" i="1"/>
  <c r="S595" i="1"/>
  <c r="S594" i="1"/>
  <c r="S592" i="1"/>
  <c r="S583" i="1"/>
  <c r="S578" i="1"/>
  <c r="S567" i="1"/>
  <c r="S550" i="1"/>
  <c r="S522" i="1"/>
  <c r="S507" i="1"/>
  <c r="S504" i="1"/>
  <c r="S491" i="1"/>
  <c r="S489" i="1"/>
  <c r="S477" i="1"/>
  <c r="S475" i="1"/>
  <c r="S458" i="1"/>
  <c r="S456" i="1"/>
  <c r="S454" i="1"/>
  <c r="S453" i="1"/>
  <c r="S451" i="1"/>
  <c r="S441" i="1"/>
  <c r="S440" i="1"/>
  <c r="S424" i="1"/>
  <c r="S415" i="1"/>
  <c r="S394" i="1"/>
  <c r="S393" i="1"/>
  <c r="S392" i="1"/>
  <c r="S384" i="1"/>
  <c r="S383" i="1"/>
  <c r="S382" i="1"/>
  <c r="S381" i="1"/>
  <c r="S364" i="1"/>
  <c r="S362" i="1"/>
  <c r="S361" i="1"/>
  <c r="S360" i="1"/>
  <c r="S359" i="1"/>
  <c r="S351" i="1"/>
  <c r="S349" i="1"/>
  <c r="S348" i="1"/>
  <c r="S347" i="1"/>
  <c r="S330" i="1"/>
  <c r="S313" i="1"/>
  <c r="S303" i="1"/>
  <c r="S293" i="1"/>
  <c r="S291" i="1"/>
  <c r="S276" i="1"/>
  <c r="S260" i="1"/>
  <c r="S1175" i="1"/>
  <c r="S1150" i="1"/>
  <c r="S1147" i="1"/>
  <c r="S1134" i="1"/>
  <c r="S1113" i="1"/>
  <c r="S1078" i="1"/>
  <c r="S1040" i="1"/>
  <c r="S1011" i="1"/>
  <c r="S1000" i="1"/>
  <c r="S987" i="1"/>
  <c r="S979" i="1"/>
  <c r="S976" i="1"/>
  <c r="S965" i="1"/>
  <c r="S938" i="1"/>
  <c r="S912" i="1"/>
  <c r="S897" i="1"/>
  <c r="S886" i="1"/>
  <c r="S883" i="1"/>
  <c r="S864" i="1"/>
  <c r="S861" i="1"/>
  <c r="S843" i="1"/>
  <c r="S837" i="1"/>
  <c r="S832" i="1"/>
  <c r="S811" i="1"/>
  <c r="S796" i="1"/>
  <c r="S793" i="1"/>
  <c r="S785" i="1"/>
  <c r="S767" i="1"/>
  <c r="S759" i="1"/>
  <c r="S737" i="1"/>
  <c r="S709" i="1"/>
  <c r="S704" i="1"/>
  <c r="S699" i="1"/>
  <c r="S688" i="1"/>
  <c r="S670" i="1"/>
  <c r="S655" i="1"/>
  <c r="S648" i="1"/>
  <c r="S631" i="1"/>
  <c r="S630" i="1"/>
  <c r="S629" i="1"/>
  <c r="S628" i="1"/>
  <c r="S614" i="1"/>
  <c r="S613" i="1"/>
  <c r="S598" i="1"/>
  <c r="S597" i="1"/>
  <c r="S596" i="1"/>
  <c r="S579" i="1"/>
  <c r="S554" i="1"/>
  <c r="S553" i="1"/>
  <c r="S552" i="1"/>
  <c r="S551" i="1"/>
  <c r="S508" i="1"/>
  <c r="S492" i="1"/>
  <c r="S462" i="1"/>
  <c r="S442" i="1"/>
  <c r="S439" i="1"/>
  <c r="S437" i="1"/>
  <c r="S436" i="1"/>
  <c r="S427" i="1"/>
  <c r="S426" i="1"/>
  <c r="S425" i="1"/>
  <c r="S422" i="1"/>
  <c r="S416" i="1"/>
  <c r="S397" i="1"/>
  <c r="S396" i="1"/>
  <c r="S385" i="1"/>
  <c r="S331" i="1"/>
  <c r="S315" i="1"/>
  <c r="S314" i="1"/>
  <c r="S302" i="1"/>
  <c r="S278" i="1"/>
  <c r="S275" i="1"/>
  <c r="S266" i="1"/>
  <c r="S261" i="1"/>
  <c r="S251" i="1"/>
  <c r="S1097" i="1"/>
  <c r="S1095" i="1"/>
  <c r="S1076" i="1"/>
  <c r="S1067" i="1"/>
  <c r="S1054" i="1"/>
  <c r="S1051" i="1"/>
  <c r="S1030" i="1"/>
  <c r="S1027" i="1"/>
  <c r="S1017" i="1"/>
  <c r="S1014" i="1"/>
  <c r="S1009" i="1"/>
  <c r="S1006" i="1"/>
  <c r="S997" i="1"/>
  <c r="S990" i="1"/>
  <c r="S973" i="1"/>
  <c r="S963" i="1"/>
  <c r="S944" i="1"/>
  <c r="S941" i="1"/>
  <c r="S931" i="1"/>
  <c r="S913" i="1"/>
  <c r="S910" i="1"/>
  <c r="S903" i="1"/>
  <c r="S867" i="1"/>
  <c r="S827" i="1"/>
  <c r="S824" i="1"/>
  <c r="S814" i="1"/>
  <c r="S801" i="1"/>
  <c r="S794" i="1"/>
  <c r="S791" i="1"/>
  <c r="S786" i="1"/>
  <c r="S775" i="1"/>
  <c r="S762" i="1"/>
  <c r="S756" i="1"/>
  <c r="S1149" i="1"/>
  <c r="S1118" i="1"/>
  <c r="S1115" i="1"/>
  <c r="S1112" i="1"/>
  <c r="S1110" i="1"/>
  <c r="S1106" i="1"/>
  <c r="S1093" i="1"/>
  <c r="S1041" i="1"/>
  <c r="S1033" i="1"/>
  <c r="S1028" i="1"/>
  <c r="S1025" i="1"/>
  <c r="S1003" i="1"/>
  <c r="S998" i="1"/>
  <c r="S995" i="1"/>
  <c r="S977" i="1"/>
  <c r="S966" i="1"/>
  <c r="S960" i="1"/>
  <c r="S958" i="1"/>
  <c r="S939" i="1"/>
  <c r="S928" i="1"/>
  <c r="S924" i="1"/>
  <c r="S900" i="1"/>
  <c r="S838" i="1"/>
  <c r="S835" i="1"/>
  <c r="S812" i="1"/>
  <c r="S797" i="1"/>
  <c r="S783" i="1"/>
  <c r="S778" i="1"/>
  <c r="S773" i="1"/>
  <c r="S770" i="1"/>
  <c r="S760" i="1"/>
  <c r="S1073" i="1"/>
  <c r="S1070" i="1"/>
  <c r="S1060" i="1"/>
  <c r="S1057" i="1"/>
  <c r="S1012" i="1"/>
  <c r="S1004" i="1"/>
  <c r="S988" i="1"/>
  <c r="S961" i="1"/>
  <c r="S942" i="1"/>
  <c r="S925" i="1"/>
  <c r="S901" i="1"/>
  <c r="S895" i="1"/>
  <c r="S881" i="1"/>
  <c r="S865" i="1"/>
  <c r="S859" i="1"/>
  <c r="S857" i="1"/>
  <c r="S844" i="1"/>
  <c r="S841" i="1"/>
  <c r="S833" i="1"/>
  <c r="S830" i="1"/>
  <c r="S825" i="1"/>
  <c r="S798" i="1"/>
  <c r="S789" i="1"/>
  <c r="S784" i="1"/>
  <c r="S757" i="1"/>
  <c r="S1173" i="1"/>
  <c r="S1146" i="1"/>
  <c r="S1130" i="1"/>
  <c r="S1096" i="1"/>
  <c r="S1077" i="1"/>
  <c r="S1074" i="1"/>
  <c r="S1068" i="1"/>
  <c r="S1044" i="1"/>
  <c r="S1031" i="1"/>
  <c r="S1029" i="1"/>
  <c r="S1023" i="1"/>
  <c r="S1018" i="1"/>
  <c r="S1007" i="1"/>
  <c r="S1001" i="1"/>
  <c r="S985" i="1"/>
  <c r="S974" i="1"/>
  <c r="S969" i="1"/>
  <c r="S945" i="1"/>
  <c r="S937" i="1"/>
  <c r="S929" i="1"/>
  <c r="S926" i="1"/>
  <c r="S914" i="1"/>
  <c r="S898" i="1"/>
  <c r="S887" i="1"/>
  <c r="S884" i="1"/>
  <c r="S868" i="1"/>
  <c r="S828" i="1"/>
  <c r="S1148" i="1"/>
  <c r="S1114" i="1"/>
  <c r="S1058" i="1"/>
  <c r="S1055" i="1"/>
  <c r="S1042" i="1"/>
  <c r="S1039" i="1"/>
  <c r="S1015" i="1"/>
  <c r="S991" i="1"/>
  <c r="S983" i="1"/>
  <c r="S978" i="1"/>
  <c r="S972" i="1"/>
  <c r="S967" i="1"/>
  <c r="S943" i="1"/>
  <c r="S920" i="1"/>
  <c r="S911" i="1"/>
  <c r="S909" i="1"/>
  <c r="S896" i="1"/>
  <c r="S893" i="1"/>
  <c r="S866" i="1"/>
  <c r="S774" i="1"/>
  <c r="S736" i="1"/>
  <c r="S718" i="1"/>
  <c r="S692" i="1"/>
  <c r="S666" i="1"/>
  <c r="S659" i="1"/>
  <c r="S657" i="1"/>
  <c r="S642" i="1"/>
  <c r="S638" i="1"/>
  <c r="S635" i="1"/>
  <c r="S627" i="1"/>
  <c r="S621" i="1"/>
  <c r="S617" i="1"/>
  <c r="S604" i="1"/>
  <c r="S575" i="1"/>
  <c r="S561" i="1"/>
  <c r="S545" i="1"/>
  <c r="S542" i="1"/>
  <c r="S524" i="1"/>
  <c r="S519" i="1"/>
  <c r="S502" i="1"/>
  <c r="S499" i="1"/>
  <c r="S485" i="1"/>
  <c r="S452" i="1"/>
  <c r="S431" i="1"/>
  <c r="S429" i="1"/>
  <c r="S419" i="1"/>
  <c r="S405" i="1"/>
  <c r="S402" i="1"/>
  <c r="S373" i="1"/>
  <c r="S346" i="1"/>
  <c r="S343" i="1"/>
  <c r="S333" i="1"/>
  <c r="S322" i="1"/>
  <c r="S319" i="1"/>
  <c r="S280" i="1"/>
  <c r="S269" i="1"/>
  <c r="S253" i="1"/>
  <c r="S246" i="1"/>
  <c r="S242" i="1"/>
  <c r="S236" i="1"/>
  <c r="S234" i="1"/>
  <c r="S232" i="1"/>
  <c r="S221" i="1"/>
  <c r="S220" i="1"/>
  <c r="S198" i="1"/>
  <c r="S197" i="1"/>
  <c r="S185" i="1"/>
  <c r="S182" i="1"/>
  <c r="S171" i="1"/>
  <c r="S168" i="1"/>
  <c r="S143" i="1"/>
  <c r="S127" i="1"/>
  <c r="S125" i="1"/>
  <c r="S120" i="1"/>
  <c r="S103" i="1"/>
  <c r="S100" i="1"/>
  <c r="S87" i="1"/>
  <c r="S85" i="1"/>
  <c r="S84" i="1"/>
  <c r="S73" i="1"/>
  <c r="S49" i="1"/>
  <c r="S45" i="1"/>
  <c r="S44" i="1"/>
  <c r="S31" i="5"/>
  <c r="T29" i="5"/>
  <c r="S28" i="5"/>
  <c r="S27" i="1"/>
  <c r="S19" i="5"/>
  <c r="S18" i="1"/>
  <c r="S11" i="5"/>
  <c r="S9" i="1"/>
  <c r="S60" i="1"/>
  <c r="S53" i="1"/>
  <c r="S36" i="5"/>
  <c r="S29" i="1"/>
  <c r="S21" i="1"/>
  <c r="S17" i="1"/>
  <c r="S8" i="1"/>
  <c r="S377" i="1"/>
  <c r="S326" i="1"/>
  <c r="S264" i="1"/>
  <c r="S240" i="1"/>
  <c r="S216" i="1"/>
  <c r="S156" i="1"/>
  <c r="S147" i="1"/>
  <c r="S107" i="1"/>
  <c r="S62" i="1"/>
  <c r="S30" i="1"/>
  <c r="S860" i="1"/>
  <c r="S815" i="1"/>
  <c r="S799" i="1"/>
  <c r="S758" i="1"/>
  <c r="S754" i="1"/>
  <c r="S738" i="1"/>
  <c r="S720" i="1"/>
  <c r="S662" i="1"/>
  <c r="S639" i="1"/>
  <c r="S615" i="1"/>
  <c r="S601" i="1"/>
  <c r="S588" i="1"/>
  <c r="S585" i="1"/>
  <c r="S580" i="1"/>
  <c r="S564" i="1"/>
  <c r="S559" i="1"/>
  <c r="S548" i="1"/>
  <c r="S540" i="1"/>
  <c r="S531" i="1"/>
  <c r="S513" i="1"/>
  <c r="S510" i="1"/>
  <c r="S493" i="1"/>
  <c r="S488" i="1"/>
  <c r="S482" i="1"/>
  <c r="S479" i="1"/>
  <c r="S474" i="1"/>
  <c r="S471" i="1"/>
  <c r="S460" i="1"/>
  <c r="S444" i="1"/>
  <c r="S412" i="1"/>
  <c r="S399" i="1"/>
  <c r="S389" i="1"/>
  <c r="S379" i="1"/>
  <c r="S376" i="1"/>
  <c r="S371" i="1"/>
  <c r="S367" i="1"/>
  <c r="S354" i="1"/>
  <c r="S337" i="1"/>
  <c r="S336" i="1"/>
  <c r="S325" i="1"/>
  <c r="S308" i="1"/>
  <c r="S299" i="1"/>
  <c r="S259" i="1"/>
  <c r="S243" i="1"/>
  <c r="S228" i="1"/>
  <c r="S222" i="1"/>
  <c r="S215" i="1"/>
  <c r="S186" i="1"/>
  <c r="S184" i="1"/>
  <c r="S170" i="1"/>
  <c r="S167" i="1"/>
  <c r="S166" i="1"/>
  <c r="S145" i="1"/>
  <c r="S144" i="1"/>
  <c r="S136" i="1"/>
  <c r="S130" i="1"/>
  <c r="S128" i="1"/>
  <c r="S126" i="1"/>
  <c r="S124" i="1"/>
  <c r="S105" i="1"/>
  <c r="S90" i="1"/>
  <c r="S76" i="1"/>
  <c r="S75" i="1"/>
  <c r="S72" i="1"/>
  <c r="S70" i="1"/>
  <c r="S46" i="1"/>
  <c r="S35" i="5"/>
  <c r="S34" i="5"/>
  <c r="T22" i="5"/>
  <c r="S15" i="5"/>
  <c r="S10" i="1"/>
  <c r="R4" i="1"/>
  <c r="S68" i="1"/>
  <c r="S57" i="1"/>
  <c r="S51" i="1"/>
  <c r="T30" i="5"/>
  <c r="S21" i="5"/>
  <c r="S19" i="1"/>
  <c r="S14" i="1"/>
  <c r="S486" i="1"/>
  <c r="S374" i="1"/>
  <c r="S365" i="1"/>
  <c r="S352" i="1"/>
  <c r="S320" i="1"/>
  <c r="S262" i="1"/>
  <c r="S244" i="1"/>
  <c r="S203" i="1"/>
  <c r="S189" i="1"/>
  <c r="S149" i="1"/>
  <c r="S131" i="1"/>
  <c r="S108" i="1"/>
  <c r="S74" i="1"/>
  <c r="S61" i="1"/>
  <c r="S842" i="1"/>
  <c r="S823" i="1"/>
  <c r="S792" i="1"/>
  <c r="S733" i="1"/>
  <c r="S731" i="1"/>
  <c r="S726" i="1"/>
  <c r="S708" i="1"/>
  <c r="S694" i="1"/>
  <c r="S689" i="1"/>
  <c r="S687" i="1"/>
  <c r="S683" i="1"/>
  <c r="S677" i="1"/>
  <c r="S673" i="1"/>
  <c r="S660" i="1"/>
  <c r="S636" i="1"/>
  <c r="S622" i="1"/>
  <c r="S618" i="1"/>
  <c r="S605" i="1"/>
  <c r="S599" i="1"/>
  <c r="S589" i="1"/>
  <c r="S572" i="1"/>
  <c r="S569" i="1"/>
  <c r="S556" i="1"/>
  <c r="S538" i="1"/>
  <c r="S535" i="1"/>
  <c r="S532" i="1"/>
  <c r="S529" i="1"/>
  <c r="S525" i="1"/>
  <c r="S520" i="1"/>
  <c r="S517" i="1"/>
  <c r="S496" i="1"/>
  <c r="S472" i="1"/>
  <c r="S466" i="1"/>
  <c r="S463" i="1"/>
  <c r="S445" i="1"/>
  <c r="S434" i="1"/>
  <c r="S432" i="1"/>
  <c r="S417" i="1"/>
  <c r="S409" i="1"/>
  <c r="S403" i="1"/>
  <c r="S387" i="1"/>
  <c r="S368" i="1"/>
  <c r="S357" i="1"/>
  <c r="S344" i="1"/>
  <c r="S340" i="1"/>
  <c r="S316" i="1"/>
  <c r="S311" i="1"/>
  <c r="S305" i="1"/>
  <c r="S297" i="1"/>
  <c r="S294" i="1"/>
  <c r="S289" i="1"/>
  <c r="S286" i="1"/>
  <c r="S283" i="1"/>
  <c r="S273" i="1"/>
  <c r="S267" i="1"/>
  <c r="S254" i="1"/>
  <c r="S247" i="1"/>
  <c r="S238" i="1"/>
  <c r="S224" i="1"/>
  <c r="S223" i="1"/>
  <c r="S202" i="1"/>
  <c r="S201" i="1"/>
  <c r="S199" i="1"/>
  <c r="S190" i="1"/>
  <c r="S188" i="1"/>
  <c r="S187" i="1"/>
  <c r="S173" i="1"/>
  <c r="S172" i="1"/>
  <c r="S155" i="1"/>
  <c r="S151" i="1"/>
  <c r="S146" i="1"/>
  <c r="S137" i="1"/>
  <c r="S135" i="1"/>
  <c r="S134" i="1"/>
  <c r="S133" i="1"/>
  <c r="S132" i="1"/>
  <c r="S129" i="1"/>
  <c r="S111" i="1"/>
  <c r="S106" i="1"/>
  <c r="S104" i="1"/>
  <c r="S91" i="1"/>
  <c r="S89" i="1"/>
  <c r="S86" i="1"/>
  <c r="S77" i="1"/>
  <c r="S71" i="1"/>
  <c r="S50" i="1"/>
  <c r="S28" i="1"/>
  <c r="S20" i="1"/>
  <c r="S300" i="1"/>
  <c r="S281" i="1"/>
  <c r="S270" i="1"/>
  <c r="S237" i="1"/>
  <c r="S200" i="1"/>
  <c r="S191" i="1"/>
  <c r="S175" i="1"/>
  <c r="S154" i="1"/>
  <c r="S113" i="1"/>
  <c r="S59" i="1"/>
  <c r="S54" i="1"/>
  <c r="S810" i="1"/>
  <c r="S728" i="1"/>
  <c r="S710" i="1"/>
  <c r="S703" i="1"/>
  <c r="S685" i="1"/>
  <c r="S671" i="1"/>
  <c r="S658" i="1"/>
  <c r="S656" i="1"/>
  <c r="S643" i="1"/>
  <c r="S640" i="1"/>
  <c r="S625" i="1"/>
  <c r="S602" i="1"/>
  <c r="S543" i="1"/>
  <c r="S536" i="1"/>
  <c r="S511" i="1"/>
  <c r="S500" i="1"/>
  <c r="S287" i="1"/>
  <c r="S869" i="1"/>
  <c r="S826" i="1"/>
  <c r="S813" i="1"/>
  <c r="S802" i="1"/>
  <c r="S795" i="1"/>
  <c r="S779" i="1"/>
  <c r="S776" i="1"/>
  <c r="S751" i="1"/>
  <c r="S712" i="1"/>
  <c r="S700" i="1"/>
  <c r="S698" i="1"/>
  <c r="S667" i="1"/>
  <c r="S663" i="1"/>
  <c r="S654" i="1"/>
  <c r="S651" i="1"/>
  <c r="S641" i="1"/>
  <c r="S637" i="1"/>
  <c r="S633" i="1"/>
  <c r="S611" i="1"/>
  <c r="S606" i="1"/>
  <c r="S603" i="1"/>
  <c r="S586" i="1"/>
  <c r="S570" i="1"/>
  <c r="S560" i="1"/>
  <c r="S557" i="1"/>
  <c r="S546" i="1"/>
  <c r="S541" i="1"/>
  <c r="S526" i="1"/>
  <c r="S523" i="1"/>
  <c r="S514" i="1"/>
  <c r="S483" i="1"/>
  <c r="S480" i="1"/>
  <c r="S469" i="1"/>
  <c r="S448" i="1"/>
  <c r="S430" i="1"/>
  <c r="S420" i="1"/>
  <c r="S406" i="1"/>
  <c r="S341" i="1"/>
  <c r="S334" i="1"/>
  <c r="S863" i="1"/>
  <c r="S809" i="1"/>
  <c r="S730" i="1"/>
  <c r="S725" i="1"/>
  <c r="S702" i="1"/>
  <c r="S676" i="1"/>
  <c r="S674" i="1"/>
  <c r="S652" i="1"/>
  <c r="S644" i="1"/>
  <c r="S623" i="1"/>
  <c r="S619" i="1"/>
  <c r="S616" i="1"/>
  <c r="S590" i="1"/>
  <c r="S584" i="1"/>
  <c r="S581" i="1"/>
  <c r="S573" i="1"/>
  <c r="S563" i="1"/>
  <c r="S544" i="1"/>
  <c r="S533" i="1"/>
  <c r="S512" i="1"/>
  <c r="S501" i="1"/>
  <c r="S497" i="1"/>
  <c r="S484" i="1"/>
  <c r="S446" i="1"/>
  <c r="S443" i="1"/>
  <c r="S428" i="1"/>
  <c r="S413" i="1"/>
  <c r="S410" i="1"/>
  <c r="S407" i="1"/>
  <c r="S404" i="1"/>
  <c r="S395" i="1"/>
  <c r="S390" i="1"/>
  <c r="S375" i="1"/>
  <c r="S372" i="1"/>
  <c r="S369" i="1"/>
  <c r="S363" i="1"/>
  <c r="S358" i="1"/>
  <c r="S355" i="1"/>
  <c r="S350" i="1"/>
  <c r="S345" i="1"/>
  <c r="S342" i="1"/>
  <c r="S338" i="1"/>
  <c r="S327" i="1"/>
  <c r="S317" i="1"/>
  <c r="S723" i="1"/>
  <c r="S695" i="1"/>
  <c r="S634" i="1"/>
  <c r="S626" i="1"/>
  <c r="S624" i="1"/>
  <c r="S600" i="1"/>
  <c r="S587" i="1"/>
  <c r="S574" i="1"/>
  <c r="S571" i="1"/>
  <c r="S568" i="1"/>
  <c r="S558" i="1"/>
  <c r="S555" i="1"/>
  <c r="S547" i="1"/>
  <c r="S537" i="1"/>
  <c r="S534" i="1"/>
  <c r="S530" i="1"/>
  <c r="S518" i="1"/>
  <c r="S498" i="1"/>
  <c r="S494" i="1"/>
  <c r="S481" i="1"/>
  <c r="S478" i="1"/>
  <c r="S473" i="1"/>
  <c r="S470" i="1"/>
  <c r="S467" i="1"/>
  <c r="S464" i="1"/>
  <c r="S449" i="1"/>
  <c r="S418" i="1"/>
  <c r="S408" i="1"/>
  <c r="S400" i="1"/>
  <c r="S755" i="1"/>
  <c r="S741" i="1"/>
  <c r="S697" i="1"/>
  <c r="S686" i="1"/>
  <c r="S672" i="1"/>
  <c r="S650" i="1"/>
  <c r="S645" i="1"/>
  <c r="S620" i="1"/>
  <c r="S577" i="1"/>
  <c r="S528" i="1"/>
  <c r="S527" i="1"/>
  <c r="S516" i="1"/>
  <c r="S515" i="1"/>
  <c r="S509" i="1"/>
  <c r="S495" i="1"/>
  <c r="S465" i="1"/>
  <c r="S332" i="1"/>
  <c r="S324" i="1"/>
  <c r="S277" i="1"/>
  <c r="S239" i="1"/>
  <c r="S196" i="1"/>
  <c r="S169" i="1"/>
  <c r="S165" i="1"/>
  <c r="S163" i="1"/>
  <c r="S158" i="1"/>
  <c r="S141" i="1"/>
  <c r="S115" i="1"/>
  <c r="S98" i="1"/>
  <c r="S52" i="1"/>
  <c r="S42" i="1"/>
  <c r="S37" i="1"/>
  <c r="S35" i="1"/>
  <c r="S32" i="5"/>
  <c r="S26" i="5"/>
  <c r="S26" i="1"/>
  <c r="T20" i="5"/>
  <c r="S13" i="1"/>
  <c r="S12" i="1"/>
  <c r="S7" i="5"/>
  <c r="S139" i="1"/>
  <c r="S83" i="1"/>
  <c r="S78" i="1"/>
  <c r="T18" i="5"/>
  <c r="S16" i="5"/>
  <c r="S16" i="1"/>
  <c r="S109" i="1"/>
  <c r="S101" i="1"/>
  <c r="S24" i="5"/>
  <c r="T6" i="5"/>
  <c r="S353" i="1"/>
  <c r="S292" i="1"/>
  <c r="S284" i="1"/>
  <c r="S252" i="1"/>
  <c r="S218" i="1"/>
  <c r="S207" i="1"/>
  <c r="S161" i="1"/>
  <c r="S150" i="1"/>
  <c r="S64" i="1"/>
  <c r="S22" i="1"/>
  <c r="S318" i="1"/>
  <c r="S159" i="1"/>
  <c r="S38" i="1"/>
  <c r="S195" i="1"/>
  <c r="S176" i="1"/>
  <c r="S153" i="1"/>
  <c r="S114" i="1"/>
  <c r="S95" i="1"/>
  <c r="S206" i="1"/>
  <c r="S119" i="1"/>
  <c r="S97" i="1"/>
  <c r="S32" i="1"/>
  <c r="S23" i="5"/>
  <c r="T14" i="5"/>
  <c r="S433" i="1"/>
  <c r="S401" i="1"/>
  <c r="S378" i="1"/>
  <c r="S370" i="1"/>
  <c r="S339" i="1"/>
  <c r="S335" i="1"/>
  <c r="S296" i="1"/>
  <c r="S282" i="1"/>
  <c r="S279" i="1"/>
  <c r="S271" i="1"/>
  <c r="S258" i="1"/>
  <c r="S255" i="1"/>
  <c r="S241" i="1"/>
  <c r="S214" i="1"/>
  <c r="S212" i="1"/>
  <c r="S209" i="1"/>
  <c r="S204" i="1"/>
  <c r="S194" i="1"/>
  <c r="S192" i="1"/>
  <c r="S180" i="1"/>
  <c r="S160" i="1"/>
  <c r="S122" i="1"/>
  <c r="S66" i="1"/>
  <c r="S40" i="1"/>
  <c r="S118" i="1"/>
  <c r="S96" i="1"/>
  <c r="S55" i="1"/>
  <c r="S33" i="1"/>
  <c r="S24" i="1"/>
  <c r="S263" i="1"/>
  <c r="S245" i="1"/>
  <c r="S142" i="1"/>
  <c r="S116" i="1"/>
  <c r="S92" i="1"/>
  <c r="S79" i="1"/>
  <c r="S31" i="1"/>
  <c r="S17" i="5"/>
  <c r="T10" i="5"/>
  <c r="S99" i="1"/>
  <c r="S47" i="1"/>
  <c r="S25" i="1"/>
  <c r="T3" i="5"/>
  <c r="S304" i="1"/>
  <c r="S183" i="1"/>
  <c r="S162" i="1"/>
  <c r="S138" i="1"/>
  <c r="S112" i="1"/>
  <c r="S65" i="1"/>
  <c r="S58" i="1"/>
  <c r="S41" i="1"/>
  <c r="S225" i="1"/>
  <c r="S179" i="1"/>
  <c r="S102" i="1"/>
  <c r="S80" i="1"/>
  <c r="T33" i="5"/>
  <c r="S15" i="1"/>
  <c r="S6" i="1"/>
  <c r="S93" i="1"/>
  <c r="S438" i="1"/>
  <c r="S386" i="1"/>
  <c r="S366" i="1"/>
  <c r="S210" i="1"/>
  <c r="S152" i="1"/>
  <c r="S94" i="1"/>
  <c r="S13" i="5"/>
  <c r="S295" i="1"/>
  <c r="S268" i="1"/>
  <c r="S230" i="1"/>
  <c r="S178" i="1"/>
  <c r="S88" i="1"/>
  <c r="S81" i="1"/>
  <c r="S8" i="5"/>
  <c r="S157" i="1"/>
  <c r="S140" i="1"/>
  <c r="S123" i="1"/>
  <c r="S36" i="1"/>
  <c r="S11" i="1"/>
  <c r="S213" i="1"/>
  <c r="S193" i="1"/>
  <c r="S174" i="1"/>
  <c r="S164" i="1"/>
  <c r="S148" i="1"/>
  <c r="S121" i="1"/>
  <c r="S82" i="1"/>
  <c r="S67" i="1"/>
  <c r="S56" i="1"/>
  <c r="S39" i="1"/>
  <c r="S25" i="5"/>
  <c r="S217" i="1"/>
  <c r="S63" i="1"/>
  <c r="S34" i="1"/>
  <c r="S27" i="5"/>
  <c r="S5" i="1"/>
  <c r="S9" i="5"/>
  <c r="S7" i="1"/>
  <c r="S219" i="1"/>
  <c r="S457" i="1"/>
  <c r="S447" i="1"/>
  <c r="S298" i="1"/>
  <c r="S265" i="1"/>
  <c r="S205" i="1"/>
  <c r="S23" i="1"/>
  <c r="S181" i="1"/>
  <c r="S398" i="1"/>
  <c r="S388" i="1"/>
  <c r="S310" i="1"/>
  <c r="S307" i="1"/>
  <c r="S249" i="1"/>
  <c r="S208" i="1"/>
  <c r="S69" i="1"/>
  <c r="S43" i="1"/>
  <c r="S110" i="1"/>
  <c r="S12" i="5"/>
  <c r="S48" i="1"/>
  <c r="S356" i="1"/>
  <c r="S321" i="1"/>
  <c r="S309" i="1"/>
  <c r="S306" i="1"/>
  <c r="S285" i="1"/>
  <c r="S256" i="1"/>
  <c r="S235" i="1"/>
  <c r="S233" i="1"/>
  <c r="S231" i="1"/>
  <c r="S229" i="1"/>
  <c r="S211" i="1"/>
  <c r="S177" i="1"/>
  <c r="S117" i="1"/>
  <c r="U1310" i="1"/>
  <c r="R1310" i="1"/>
  <c r="T31" i="5"/>
  <c r="W31" i="5"/>
  <c r="T28" i="5"/>
  <c r="W28" i="5"/>
  <c r="T19" i="5"/>
  <c r="W19" i="5"/>
  <c r="T11" i="5"/>
  <c r="W11" i="5"/>
  <c r="T36" i="5"/>
  <c r="W36" i="5"/>
  <c r="T35" i="5"/>
  <c r="W35" i="5"/>
  <c r="T34" i="5"/>
  <c r="W34" i="5"/>
  <c r="T15" i="5"/>
  <c r="W15" i="5"/>
  <c r="V4" i="1"/>
  <c r="S4" i="1"/>
  <c r="T21" i="5"/>
  <c r="W21" i="5"/>
  <c r="T32" i="5"/>
  <c r="W32" i="5"/>
  <c r="T26" i="5"/>
  <c r="W26" i="5"/>
  <c r="T7" i="5"/>
  <c r="W7" i="5"/>
  <c r="T16" i="5"/>
  <c r="W16" i="5"/>
  <c r="T24" i="5"/>
  <c r="W24" i="5"/>
  <c r="T23" i="5"/>
  <c r="W23" i="5"/>
  <c r="T17" i="5"/>
  <c r="W17" i="5"/>
  <c r="T13" i="5"/>
  <c r="W13" i="5"/>
  <c r="T8" i="5"/>
  <c r="W8" i="5"/>
  <c r="T25" i="5"/>
  <c r="W25" i="5"/>
  <c r="T27" i="5"/>
  <c r="W27" i="5"/>
  <c r="T9" i="5"/>
  <c r="W9" i="5"/>
  <c r="T12" i="5"/>
  <c r="W12" i="5"/>
  <c r="V1310" i="1"/>
  <c r="Q37" i="5"/>
  <c r="R37" i="5"/>
  <c r="AB37" i="5" s="1"/>
  <c r="U37" i="5"/>
  <c r="S37" i="5"/>
  <c r="V37" i="5"/>
  <c r="T37" i="5"/>
  <c r="W37" i="5"/>
  <c r="Y5" i="5" l="1"/>
  <c r="AA5" i="5" s="1"/>
  <c r="X12" i="5"/>
  <c r="X9" i="5"/>
  <c r="X27" i="5"/>
  <c r="X25" i="5"/>
  <c r="X8" i="5"/>
  <c r="X13" i="5"/>
  <c r="Y13" i="5" s="1"/>
  <c r="AA13" i="5" s="1"/>
  <c r="X17" i="5"/>
  <c r="Y17" i="5" s="1"/>
  <c r="AA17" i="5" s="1"/>
  <c r="X23" i="5"/>
  <c r="X24" i="5"/>
  <c r="Y24" i="5" s="1"/>
  <c r="AA24" i="5" s="1"/>
  <c r="X16" i="5"/>
  <c r="X7" i="5"/>
  <c r="Y7" i="5" s="1"/>
  <c r="AA7" i="5" s="1"/>
  <c r="X26" i="5"/>
  <c r="X32" i="5"/>
  <c r="Y32" i="5" s="1"/>
  <c r="AA32" i="5" s="1"/>
  <c r="X21" i="5"/>
  <c r="Y21" i="5" s="1"/>
  <c r="AA21" i="5" s="1"/>
  <c r="X4" i="1"/>
  <c r="W4" i="1"/>
  <c r="Y4" i="1" s="1"/>
  <c r="X15" i="5"/>
  <c r="X34" i="5"/>
  <c r="X35" i="5"/>
  <c r="X36" i="5"/>
  <c r="Y36" i="5" s="1"/>
  <c r="AA36" i="5" s="1"/>
  <c r="X37" i="5"/>
  <c r="Y37" i="5" s="1"/>
  <c r="AA37" i="5" s="1"/>
  <c r="X11" i="5"/>
  <c r="Y11" i="5" s="1"/>
  <c r="AA11" i="5" s="1"/>
  <c r="X19" i="5"/>
  <c r="X28" i="5"/>
  <c r="X31" i="5"/>
  <c r="W117" i="1"/>
  <c r="Y117" i="1" s="1"/>
  <c r="W177" i="1"/>
  <c r="W211" i="1"/>
  <c r="Y211" i="1" s="1"/>
  <c r="W229" i="1"/>
  <c r="W231" i="1"/>
  <c r="W233" i="1"/>
  <c r="W235" i="1"/>
  <c r="Y235" i="1" s="1"/>
  <c r="W256" i="1"/>
  <c r="Y256" i="1" s="1"/>
  <c r="W285" i="1"/>
  <c r="W306" i="1"/>
  <c r="W309" i="1"/>
  <c r="Y309" i="1" s="1"/>
  <c r="W321" i="1"/>
  <c r="Y321" i="1" s="1"/>
  <c r="W356" i="1"/>
  <c r="W48" i="1"/>
  <c r="Y48" i="1" s="1"/>
  <c r="W110" i="1"/>
  <c r="W43" i="1"/>
  <c r="Y43" i="1" s="1"/>
  <c r="X43" i="1"/>
  <c r="W69" i="1"/>
  <c r="Y69" i="1" s="1"/>
  <c r="W208" i="1"/>
  <c r="Y208" i="1" s="1"/>
  <c r="W249" i="1"/>
  <c r="W307" i="1"/>
  <c r="W310" i="1"/>
  <c r="Y310" i="1" s="1"/>
  <c r="X310" i="1"/>
  <c r="W388" i="1"/>
  <c r="W398" i="1"/>
  <c r="Y398" i="1" s="1"/>
  <c r="X398" i="1"/>
  <c r="W181" i="1"/>
  <c r="Y181" i="1" s="1"/>
  <c r="W23" i="1"/>
  <c r="W205" i="1"/>
  <c r="W265" i="1"/>
  <c r="Y265" i="1" s="1"/>
  <c r="W298" i="1"/>
  <c r="W447" i="1"/>
  <c r="W457" i="1"/>
  <c r="W219" i="1"/>
  <c r="Y219" i="1" s="1"/>
  <c r="W7" i="1"/>
  <c r="W5" i="1"/>
  <c r="Y5" i="1" s="1"/>
  <c r="W34" i="1"/>
  <c r="Y34" i="1" s="1"/>
  <c r="W63" i="1"/>
  <c r="W217" i="1"/>
  <c r="Y217" i="1" s="1"/>
  <c r="W39" i="1"/>
  <c r="W56" i="1"/>
  <c r="Y56" i="1" s="1"/>
  <c r="W67" i="1"/>
  <c r="Y67" i="1" s="1"/>
  <c r="W82" i="1"/>
  <c r="Y82" i="1" s="1"/>
  <c r="W121" i="1"/>
  <c r="W148" i="1"/>
  <c r="Y148" i="1" s="1"/>
  <c r="W164" i="1"/>
  <c r="W174" i="1"/>
  <c r="W193" i="1"/>
  <c r="W213" i="1"/>
  <c r="W11" i="1"/>
  <c r="Y11" i="1" s="1"/>
  <c r="W36" i="1"/>
  <c r="Y36" i="1" s="1"/>
  <c r="W123" i="1"/>
  <c r="Y123" i="1" s="1"/>
  <c r="W140" i="1"/>
  <c r="W157" i="1"/>
  <c r="W81" i="1"/>
  <c r="Y81" i="1" s="1"/>
  <c r="X81" i="1"/>
  <c r="W88" i="1"/>
  <c r="W178" i="1"/>
  <c r="W230" i="1"/>
  <c r="Y230" i="1" s="1"/>
  <c r="W268" i="1"/>
  <c r="Y268" i="1" s="1"/>
  <c r="W295" i="1"/>
  <c r="W94" i="1"/>
  <c r="Y94" i="1" s="1"/>
  <c r="W152" i="1"/>
  <c r="W210" i="1"/>
  <c r="Y210" i="1" s="1"/>
  <c r="W366" i="1"/>
  <c r="Y366" i="1" s="1"/>
  <c r="W386" i="1"/>
  <c r="W438" i="1"/>
  <c r="Y438" i="1" s="1"/>
  <c r="W93" i="1"/>
  <c r="W6" i="1"/>
  <c r="W15" i="1"/>
  <c r="Y15" i="1" s="1"/>
  <c r="X33" i="5"/>
  <c r="Y33" i="5" s="1"/>
  <c r="AA33" i="5" s="1"/>
  <c r="W80" i="1"/>
  <c r="W102" i="1"/>
  <c r="W179" i="1"/>
  <c r="W225" i="1"/>
  <c r="Y225" i="1" s="1"/>
  <c r="W41" i="1"/>
  <c r="W58" i="1"/>
  <c r="Y58" i="1" s="1"/>
  <c r="W65" i="1"/>
  <c r="W112" i="1"/>
  <c r="Y112" i="1" s="1"/>
  <c r="W138" i="1"/>
  <c r="W162" i="1"/>
  <c r="Y162" i="1" s="1"/>
  <c r="W183" i="1"/>
  <c r="Y183" i="1" s="1"/>
  <c r="W304" i="1"/>
  <c r="X3" i="5"/>
  <c r="Y3" i="5" s="1"/>
  <c r="W25" i="1"/>
  <c r="Y25" i="1" s="1"/>
  <c r="W47" i="1"/>
  <c r="Y47" i="1" s="1"/>
  <c r="W99" i="1"/>
  <c r="Y99" i="1" s="1"/>
  <c r="X99" i="1"/>
  <c r="X10" i="5"/>
  <c r="Y10" i="5" s="1"/>
  <c r="AA10" i="5" s="1"/>
  <c r="W31" i="1"/>
  <c r="Y31" i="1" s="1"/>
  <c r="W79" i="1"/>
  <c r="W92" i="1"/>
  <c r="Y92" i="1" s="1"/>
  <c r="W116" i="1"/>
  <c r="Y116" i="1" s="1"/>
  <c r="W142" i="1"/>
  <c r="W245" i="1"/>
  <c r="Y245" i="1" s="1"/>
  <c r="X245" i="1"/>
  <c r="W263" i="1"/>
  <c r="W24" i="1"/>
  <c r="W33" i="1"/>
  <c r="Y33" i="1" s="1"/>
  <c r="W55" i="1"/>
  <c r="W96" i="1"/>
  <c r="W118" i="1"/>
  <c r="Y118" i="1" s="1"/>
  <c r="X118" i="1"/>
  <c r="W40" i="1"/>
  <c r="Y40" i="1" s="1"/>
  <c r="W66" i="1"/>
  <c r="Y66" i="1" s="1"/>
  <c r="W122" i="1"/>
  <c r="W160" i="1"/>
  <c r="Y160" i="1" s="1"/>
  <c r="W180" i="1"/>
  <c r="W192" i="1"/>
  <c r="W194" i="1"/>
  <c r="W204" i="1"/>
  <c r="Y204" i="1" s="1"/>
  <c r="W209" i="1"/>
  <c r="W212" i="1"/>
  <c r="Y212" i="1" s="1"/>
  <c r="W214" i="1"/>
  <c r="W241" i="1"/>
  <c r="W255" i="1"/>
  <c r="Y255" i="1" s="1"/>
  <c r="W258" i="1"/>
  <c r="X271" i="1"/>
  <c r="W271" i="1"/>
  <c r="Y271" i="1" s="1"/>
  <c r="W279" i="1"/>
  <c r="W282" i="1"/>
  <c r="W296" i="1"/>
  <c r="W335" i="1"/>
  <c r="W339" i="1"/>
  <c r="W370" i="1"/>
  <c r="Y370" i="1" s="1"/>
  <c r="W378" i="1"/>
  <c r="W401" i="1"/>
  <c r="Y401" i="1" s="1"/>
  <c r="W433" i="1"/>
  <c r="X14" i="5"/>
  <c r="Y14" i="5" s="1"/>
  <c r="AA14" i="5" s="1"/>
  <c r="W32" i="1"/>
  <c r="Y32" i="1" s="1"/>
  <c r="W97" i="1"/>
  <c r="W119" i="1"/>
  <c r="W206" i="1"/>
  <c r="W95" i="1"/>
  <c r="W114" i="1"/>
  <c r="Y114" i="1" s="1"/>
  <c r="W153" i="1"/>
  <c r="Y153" i="1" s="1"/>
  <c r="W176" i="1"/>
  <c r="Y176" i="1" s="1"/>
  <c r="W195" i="1"/>
  <c r="Y195" i="1" s="1"/>
  <c r="W38" i="1"/>
  <c r="Y38" i="1" s="1"/>
  <c r="W159" i="1"/>
  <c r="W318" i="1"/>
  <c r="Y318" i="1" s="1"/>
  <c r="W22" i="1"/>
  <c r="W64" i="1"/>
  <c r="W150" i="1"/>
  <c r="W161" i="1"/>
  <c r="Y161" i="1" s="1"/>
  <c r="W207" i="1"/>
  <c r="Y207" i="1" s="1"/>
  <c r="W218" i="1"/>
  <c r="W252" i="1"/>
  <c r="W284" i="1"/>
  <c r="W292" i="1"/>
  <c r="Y292" i="1" s="1"/>
  <c r="W353" i="1"/>
  <c r="Y353" i="1" s="1"/>
  <c r="X6" i="5"/>
  <c r="Y6" i="5" s="1"/>
  <c r="AA6" i="5" s="1"/>
  <c r="W101" i="1"/>
  <c r="Y101" i="1" s="1"/>
  <c r="W109" i="1"/>
  <c r="Y109" i="1" s="1"/>
  <c r="W16" i="1"/>
  <c r="Y16" i="1" s="1"/>
  <c r="X18" i="5"/>
  <c r="Y18" i="5" s="1"/>
  <c r="AA18" i="5" s="1"/>
  <c r="W78" i="1"/>
  <c r="W83" i="1"/>
  <c r="W139" i="1"/>
  <c r="W12" i="1"/>
  <c r="W13" i="1"/>
  <c r="Y13" i="1" s="1"/>
  <c r="X20" i="5"/>
  <c r="W26" i="1"/>
  <c r="W35" i="1"/>
  <c r="Y35" i="1" s="1"/>
  <c r="X35" i="1"/>
  <c r="W37" i="1"/>
  <c r="W42" i="1"/>
  <c r="Y42" i="1" s="1"/>
  <c r="W52" i="1"/>
  <c r="W98" i="1"/>
  <c r="Y98" i="1" s="1"/>
  <c r="W115" i="1"/>
  <c r="Y115" i="1" s="1"/>
  <c r="W141" i="1"/>
  <c r="W158" i="1"/>
  <c r="Y158" i="1" s="1"/>
  <c r="W163" i="1"/>
  <c r="W165" i="1"/>
  <c r="W169" i="1"/>
  <c r="W196" i="1"/>
  <c r="Y196" i="1" s="1"/>
  <c r="X196" i="1"/>
  <c r="W239" i="1"/>
  <c r="Y239" i="1" s="1"/>
  <c r="W277" i="1"/>
  <c r="Y277" i="1" s="1"/>
  <c r="X277" i="1"/>
  <c r="W324" i="1"/>
  <c r="W332" i="1"/>
  <c r="W465" i="1"/>
  <c r="W495" i="1"/>
  <c r="W509" i="1"/>
  <c r="W515" i="1"/>
  <c r="W516" i="1"/>
  <c r="Y516" i="1" s="1"/>
  <c r="X516" i="1"/>
  <c r="W527" i="1"/>
  <c r="W528" i="1"/>
  <c r="W577" i="1"/>
  <c r="W620" i="1"/>
  <c r="W645" i="1"/>
  <c r="W650" i="1"/>
  <c r="W672" i="1"/>
  <c r="W686" i="1"/>
  <c r="W697" i="1"/>
  <c r="W741" i="1"/>
  <c r="Y741" i="1" s="1"/>
  <c r="W755" i="1"/>
  <c r="W400" i="1"/>
  <c r="W408" i="1"/>
  <c r="Y408" i="1" s="1"/>
  <c r="W418" i="1"/>
  <c r="W449" i="1"/>
  <c r="W464" i="1"/>
  <c r="Y464" i="1" s="1"/>
  <c r="W467" i="1"/>
  <c r="Y467" i="1" s="1"/>
  <c r="W470" i="1"/>
  <c r="Y470" i="1" s="1"/>
  <c r="W473" i="1"/>
  <c r="Y473" i="1" s="1"/>
  <c r="X473" i="1"/>
  <c r="W478" i="1"/>
  <c r="W481" i="1"/>
  <c r="Y481" i="1" s="1"/>
  <c r="W494" i="1"/>
  <c r="W498" i="1"/>
  <c r="W518" i="1"/>
  <c r="W530" i="1"/>
  <c r="Y530" i="1" s="1"/>
  <c r="W534" i="1"/>
  <c r="W537" i="1"/>
  <c r="W547" i="1"/>
  <c r="Y547" i="1" s="1"/>
  <c r="W555" i="1"/>
  <c r="W558" i="1"/>
  <c r="W568" i="1"/>
  <c r="Y568" i="1" s="1"/>
  <c r="W571" i="1"/>
  <c r="W574" i="1"/>
  <c r="W587" i="1"/>
  <c r="W600" i="1"/>
  <c r="Y600" i="1" s="1"/>
  <c r="W624" i="1"/>
  <c r="W626" i="1"/>
  <c r="W634" i="1"/>
  <c r="Y634" i="1" s="1"/>
  <c r="W695" i="1"/>
  <c r="Y695" i="1" s="1"/>
  <c r="W723" i="1"/>
  <c r="W317" i="1"/>
  <c r="W327" i="1"/>
  <c r="W338" i="1"/>
  <c r="Y338" i="1" s="1"/>
  <c r="W342" i="1"/>
  <c r="Y342" i="1" s="1"/>
  <c r="W345" i="1"/>
  <c r="W350" i="1"/>
  <c r="W355" i="1"/>
  <c r="Y355" i="1" s="1"/>
  <c r="W358" i="1"/>
  <c r="W363" i="1"/>
  <c r="W369" i="1"/>
  <c r="Y369" i="1" s="1"/>
  <c r="W372" i="1"/>
  <c r="W375" i="1"/>
  <c r="W390" i="1"/>
  <c r="Y390" i="1" s="1"/>
  <c r="W395" i="1"/>
  <c r="Y395" i="1" s="1"/>
  <c r="W404" i="1"/>
  <c r="W407" i="1"/>
  <c r="Y407" i="1" s="1"/>
  <c r="W410" i="1"/>
  <c r="Y410" i="1" s="1"/>
  <c r="X410" i="1"/>
  <c r="W413" i="1"/>
  <c r="W428" i="1"/>
  <c r="Y428" i="1" s="1"/>
  <c r="W443" i="1"/>
  <c r="Y443" i="1" s="1"/>
  <c r="W446" i="1"/>
  <c r="Y446" i="1" s="1"/>
  <c r="W484" i="1"/>
  <c r="W497" i="1"/>
  <c r="Y497" i="1" s="1"/>
  <c r="W501" i="1"/>
  <c r="W512" i="1"/>
  <c r="W533" i="1"/>
  <c r="W544" i="1"/>
  <c r="W563" i="1"/>
  <c r="Y563" i="1" s="1"/>
  <c r="W573" i="1"/>
  <c r="Y573" i="1" s="1"/>
  <c r="W581" i="1"/>
  <c r="W584" i="1"/>
  <c r="W590" i="1"/>
  <c r="Y590" i="1" s="1"/>
  <c r="W616" i="1"/>
  <c r="W619" i="1"/>
  <c r="Y619" i="1" s="1"/>
  <c r="W623" i="1"/>
  <c r="Y623" i="1" s="1"/>
  <c r="W644" i="1"/>
  <c r="W652" i="1"/>
  <c r="Y652" i="1" s="1"/>
  <c r="W674" i="1"/>
  <c r="W676" i="1"/>
  <c r="Y676" i="1" s="1"/>
  <c r="W702" i="1"/>
  <c r="X725" i="1"/>
  <c r="W725" i="1"/>
  <c r="Y725" i="1" s="1"/>
  <c r="W730" i="1"/>
  <c r="W809" i="1"/>
  <c r="W863" i="1"/>
  <c r="W334" i="1"/>
  <c r="W341" i="1"/>
  <c r="Y341" i="1" s="1"/>
  <c r="W406" i="1"/>
  <c r="Y406" i="1" s="1"/>
  <c r="W420" i="1"/>
  <c r="W430" i="1"/>
  <c r="Y430" i="1" s="1"/>
  <c r="W448" i="1"/>
  <c r="W469" i="1"/>
  <c r="W480" i="1"/>
  <c r="W483" i="1"/>
  <c r="Y483" i="1" s="1"/>
  <c r="W514" i="1"/>
  <c r="W523" i="1"/>
  <c r="Y523" i="1" s="1"/>
  <c r="W526" i="1"/>
  <c r="Y526" i="1" s="1"/>
  <c r="W541" i="1"/>
  <c r="W546" i="1"/>
  <c r="Y546" i="1" s="1"/>
  <c r="X546" i="1"/>
  <c r="W557" i="1"/>
  <c r="W560" i="1"/>
  <c r="X570" i="1"/>
  <c r="W570" i="1"/>
  <c r="Y570" i="1" s="1"/>
  <c r="W586" i="1"/>
  <c r="W603" i="1"/>
  <c r="W606" i="1"/>
  <c r="Y606" i="1" s="1"/>
  <c r="W611" i="1"/>
  <c r="W633" i="1"/>
  <c r="Y633" i="1" s="1"/>
  <c r="W637" i="1"/>
  <c r="W641" i="1"/>
  <c r="W651" i="1"/>
  <c r="W654" i="1"/>
  <c r="W663" i="1"/>
  <c r="Y663" i="1" s="1"/>
  <c r="W667" i="1"/>
  <c r="W698" i="1"/>
  <c r="W700" i="1"/>
  <c r="Y700" i="1" s="1"/>
  <c r="W712" i="1"/>
  <c r="W751" i="1"/>
  <c r="Y751" i="1" s="1"/>
  <c r="W776" i="1"/>
  <c r="Y776" i="1" s="1"/>
  <c r="X776" i="1"/>
  <c r="W779" i="1"/>
  <c r="Y779" i="1" s="1"/>
  <c r="W795" i="1"/>
  <c r="W802" i="1"/>
  <c r="Y802" i="1" s="1"/>
  <c r="X802" i="1"/>
  <c r="W813" i="1"/>
  <c r="Y813" i="1" s="1"/>
  <c r="W826" i="1"/>
  <c r="Y826" i="1" s="1"/>
  <c r="W869" i="1"/>
  <c r="W287" i="1"/>
  <c r="Y287" i="1" s="1"/>
  <c r="W500" i="1"/>
  <c r="W511" i="1"/>
  <c r="W536" i="1"/>
  <c r="Y536" i="1" s="1"/>
  <c r="W543" i="1"/>
  <c r="W602" i="1"/>
  <c r="Y602" i="1" s="1"/>
  <c r="W625" i="1"/>
  <c r="W640" i="1"/>
  <c r="Y640" i="1" s="1"/>
  <c r="X640" i="1"/>
  <c r="W643" i="1"/>
  <c r="Y643" i="1" s="1"/>
  <c r="W656" i="1"/>
  <c r="W658" i="1"/>
  <c r="Y658" i="1" s="1"/>
  <c r="X658" i="1"/>
  <c r="W671" i="1"/>
  <c r="Y671" i="1" s="1"/>
  <c r="W685" i="1"/>
  <c r="Y685" i="1" s="1"/>
  <c r="W703" i="1"/>
  <c r="W710" i="1"/>
  <c r="W728" i="1"/>
  <c r="Y728" i="1" s="1"/>
  <c r="W810" i="1"/>
  <c r="Y810" i="1" s="1"/>
  <c r="W54" i="1"/>
  <c r="W59" i="1"/>
  <c r="Y59" i="1" s="1"/>
  <c r="W113" i="1"/>
  <c r="W154" i="1"/>
  <c r="Y154" i="1" s="1"/>
  <c r="W175" i="1"/>
  <c r="Y175" i="1" s="1"/>
  <c r="W191" i="1"/>
  <c r="W200" i="1"/>
  <c r="Y200" i="1" s="1"/>
  <c r="W237" i="1"/>
  <c r="W270" i="1"/>
  <c r="Y270" i="1" s="1"/>
  <c r="X270" i="1"/>
  <c r="W281" i="1"/>
  <c r="Y281" i="1" s="1"/>
  <c r="W300" i="1"/>
  <c r="W20" i="1"/>
  <c r="W28" i="1"/>
  <c r="W50" i="1"/>
  <c r="W71" i="1"/>
  <c r="Y71" i="1" s="1"/>
  <c r="W77" i="1"/>
  <c r="Y77" i="1" s="1"/>
  <c r="X77" i="1"/>
  <c r="W86" i="1"/>
  <c r="W89" i="1"/>
  <c r="Y89" i="1" s="1"/>
  <c r="W91" i="1"/>
  <c r="W104" i="1"/>
  <c r="W106" i="1"/>
  <c r="Y106" i="1" s="1"/>
  <c r="X106" i="1"/>
  <c r="W111" i="1"/>
  <c r="Y111" i="1" s="1"/>
  <c r="W129" i="1"/>
  <c r="W132" i="1"/>
  <c r="Y132" i="1" s="1"/>
  <c r="X132" i="1"/>
  <c r="W133" i="1"/>
  <c r="W134" i="1"/>
  <c r="Y134" i="1" s="1"/>
  <c r="W135" i="1"/>
  <c r="Y135" i="1" s="1"/>
  <c r="W137" i="1"/>
  <c r="Y137" i="1" s="1"/>
  <c r="W146" i="1"/>
  <c r="Y146" i="1" s="1"/>
  <c r="W151" i="1"/>
  <c r="Y151" i="1" s="1"/>
  <c r="X151" i="1"/>
  <c r="W155" i="1"/>
  <c r="Y155" i="1" s="1"/>
  <c r="W172" i="1"/>
  <c r="W173" i="1"/>
  <c r="Y173" i="1" s="1"/>
  <c r="W187" i="1"/>
  <c r="W188" i="1"/>
  <c r="Y188" i="1" s="1"/>
  <c r="X188" i="1"/>
  <c r="W190" i="1"/>
  <c r="Y190" i="1" s="1"/>
  <c r="W199" i="1"/>
  <c r="W201" i="1"/>
  <c r="W202" i="1"/>
  <c r="X223" i="1"/>
  <c r="W223" i="1"/>
  <c r="Y223" i="1" s="1"/>
  <c r="W224" i="1"/>
  <c r="Y224" i="1" s="1"/>
  <c r="W238" i="1"/>
  <c r="W247" i="1"/>
  <c r="W254" i="1"/>
  <c r="W267" i="1"/>
  <c r="W273" i="1"/>
  <c r="W283" i="1"/>
  <c r="W286" i="1"/>
  <c r="Y286" i="1" s="1"/>
  <c r="W289" i="1"/>
  <c r="W294" i="1"/>
  <c r="Y294" i="1" s="1"/>
  <c r="X294" i="1"/>
  <c r="W297" i="1"/>
  <c r="Y297" i="1" s="1"/>
  <c r="W305" i="1"/>
  <c r="W311" i="1"/>
  <c r="Y311" i="1" s="1"/>
  <c r="W316" i="1"/>
  <c r="W340" i="1"/>
  <c r="W344" i="1"/>
  <c r="Y344" i="1" s="1"/>
  <c r="X344" i="1"/>
  <c r="W357" i="1"/>
  <c r="W368" i="1"/>
  <c r="X387" i="1"/>
  <c r="W387" i="1"/>
  <c r="Y387" i="1" s="1"/>
  <c r="W403" i="1"/>
  <c r="W409" i="1"/>
  <c r="W417" i="1"/>
  <c r="W432" i="1"/>
  <c r="W434" i="1"/>
  <c r="W445" i="1"/>
  <c r="W463" i="1"/>
  <c r="W466" i="1"/>
  <c r="W472" i="1"/>
  <c r="Y472" i="1" s="1"/>
  <c r="W496" i="1"/>
  <c r="W517" i="1"/>
  <c r="W520" i="1"/>
  <c r="Y520" i="1" s="1"/>
  <c r="W525" i="1"/>
  <c r="W529" i="1"/>
  <c r="Y529" i="1" s="1"/>
  <c r="W532" i="1"/>
  <c r="W535" i="1"/>
  <c r="W538" i="1"/>
  <c r="Y538" i="1" s="1"/>
  <c r="W556" i="1"/>
  <c r="W569" i="1"/>
  <c r="Y569" i="1" s="1"/>
  <c r="W572" i="1"/>
  <c r="Y572" i="1" s="1"/>
  <c r="W589" i="1"/>
  <c r="Y589" i="1" s="1"/>
  <c r="W599" i="1"/>
  <c r="W605" i="1"/>
  <c r="W618" i="1"/>
  <c r="W622" i="1"/>
  <c r="W636" i="1"/>
  <c r="W660" i="1"/>
  <c r="Y660" i="1" s="1"/>
  <c r="W673" i="1"/>
  <c r="Y673" i="1" s="1"/>
  <c r="W677" i="1"/>
  <c r="W683" i="1"/>
  <c r="W687" i="1"/>
  <c r="Y687" i="1" s="1"/>
  <c r="W689" i="1"/>
  <c r="W694" i="1"/>
  <c r="Y694" i="1" s="1"/>
  <c r="W708" i="1"/>
  <c r="W726" i="1"/>
  <c r="Y726" i="1" s="1"/>
  <c r="X726" i="1"/>
  <c r="W731" i="1"/>
  <c r="Y731" i="1" s="1"/>
  <c r="W733" i="1"/>
  <c r="Y733" i="1" s="1"/>
  <c r="X733" i="1"/>
  <c r="W792" i="1"/>
  <c r="W823" i="1"/>
  <c r="Y823" i="1" s="1"/>
  <c r="W842" i="1"/>
  <c r="Y842" i="1" s="1"/>
  <c r="W61" i="1"/>
  <c r="Y61" i="1" s="1"/>
  <c r="X74" i="1"/>
  <c r="W74" i="1"/>
  <c r="Y74" i="1" s="1"/>
  <c r="W108" i="1"/>
  <c r="W131" i="1"/>
  <c r="Y131" i="1" s="1"/>
  <c r="W149" i="1"/>
  <c r="Y149" i="1" s="1"/>
  <c r="W189" i="1"/>
  <c r="X203" i="1"/>
  <c r="W203" i="1"/>
  <c r="Y203" i="1" s="1"/>
  <c r="W244" i="1"/>
  <c r="W262" i="1"/>
  <c r="W320" i="1"/>
  <c r="W352" i="1"/>
  <c r="Y352" i="1" s="1"/>
  <c r="W365" i="1"/>
  <c r="Y365" i="1" s="1"/>
  <c r="W374" i="1"/>
  <c r="W486" i="1"/>
  <c r="W14" i="1"/>
  <c r="W19" i="1"/>
  <c r="Y19" i="1" s="1"/>
  <c r="X19" i="1"/>
  <c r="X30" i="5"/>
  <c r="Y30" i="5" s="1"/>
  <c r="AA30" i="5" s="1"/>
  <c r="W51" i="1"/>
  <c r="Y51" i="1" s="1"/>
  <c r="W57" i="1"/>
  <c r="W68" i="1"/>
  <c r="W10" i="1"/>
  <c r="Y10" i="1" s="1"/>
  <c r="X22" i="5"/>
  <c r="W46" i="1"/>
  <c r="Y46" i="1" s="1"/>
  <c r="W70" i="1"/>
  <c r="Y70" i="1" s="1"/>
  <c r="X70" i="1"/>
  <c r="W72" i="1"/>
  <c r="Y72" i="1" s="1"/>
  <c r="W75" i="1"/>
  <c r="W76" i="1"/>
  <c r="Y76" i="1" s="1"/>
  <c r="W90" i="1"/>
  <c r="W105" i="1"/>
  <c r="W124" i="1"/>
  <c r="W126" i="1"/>
  <c r="W128" i="1"/>
  <c r="W130" i="1"/>
  <c r="Y130" i="1" s="1"/>
  <c r="W136" i="1"/>
  <c r="Y136" i="1" s="1"/>
  <c r="W144" i="1"/>
  <c r="Y144" i="1" s="1"/>
  <c r="X144" i="1"/>
  <c r="W145" i="1"/>
  <c r="Y145" i="1" s="1"/>
  <c r="W166" i="1"/>
  <c r="W167" i="1"/>
  <c r="Y167" i="1" s="1"/>
  <c r="W170" i="1"/>
  <c r="Y170" i="1" s="1"/>
  <c r="W184" i="1"/>
  <c r="Y184" i="1" s="1"/>
  <c r="W186" i="1"/>
  <c r="W215" i="1"/>
  <c r="W222" i="1"/>
  <c r="W228" i="1"/>
  <c r="Y228" i="1" s="1"/>
  <c r="W243" i="1"/>
  <c r="Y243" i="1" s="1"/>
  <c r="X243" i="1"/>
  <c r="W259" i="1"/>
  <c r="Y259" i="1" s="1"/>
  <c r="W299" i="1"/>
  <c r="W308" i="1"/>
  <c r="Y308" i="1" s="1"/>
  <c r="W325" i="1"/>
  <c r="Y325" i="1" s="1"/>
  <c r="X325" i="1"/>
  <c r="W336" i="1"/>
  <c r="W337" i="1"/>
  <c r="W354" i="1"/>
  <c r="Y354" i="1" s="1"/>
  <c r="W367" i="1"/>
  <c r="W371" i="1"/>
  <c r="Y371" i="1" s="1"/>
  <c r="W376" i="1"/>
  <c r="Y376" i="1" s="1"/>
  <c r="X376" i="1"/>
  <c r="W379" i="1"/>
  <c r="W389" i="1"/>
  <c r="W399" i="1"/>
  <c r="W412" i="1"/>
  <c r="Y412" i="1" s="1"/>
  <c r="W444" i="1"/>
  <c r="W460" i="1"/>
  <c r="Y460" i="1" s="1"/>
  <c r="W471" i="1"/>
  <c r="W474" i="1"/>
  <c r="X479" i="1"/>
  <c r="W479" i="1"/>
  <c r="Y479" i="1" s="1"/>
  <c r="W482" i="1"/>
  <c r="W488" i="1"/>
  <c r="W493" i="1"/>
  <c r="Y493" i="1" s="1"/>
  <c r="W510" i="1"/>
  <c r="Y510" i="1" s="1"/>
  <c r="X510" i="1"/>
  <c r="W513" i="1"/>
  <c r="Y513" i="1" s="1"/>
  <c r="W531" i="1"/>
  <c r="Y531" i="1" s="1"/>
  <c r="X531" i="1"/>
  <c r="W540" i="1"/>
  <c r="W548" i="1"/>
  <c r="W559" i="1"/>
  <c r="W564" i="1"/>
  <c r="Y564" i="1" s="1"/>
  <c r="W580" i="1"/>
  <c r="W585" i="1"/>
  <c r="W588" i="1"/>
  <c r="Y588" i="1" s="1"/>
  <c r="W601" i="1"/>
  <c r="W615" i="1"/>
  <c r="W639" i="1"/>
  <c r="W662" i="1"/>
  <c r="W720" i="1"/>
  <c r="W738" i="1"/>
  <c r="Y738" i="1" s="1"/>
  <c r="W754" i="1"/>
  <c r="W758" i="1"/>
  <c r="Y758" i="1" s="1"/>
  <c r="W799" i="1"/>
  <c r="Y799" i="1" s="1"/>
  <c r="W815" i="1"/>
  <c r="W860" i="1"/>
  <c r="Y860" i="1" s="1"/>
  <c r="W30" i="1"/>
  <c r="W62" i="1"/>
  <c r="W107" i="1"/>
  <c r="Y107" i="1" s="1"/>
  <c r="W147" i="1"/>
  <c r="W156" i="1"/>
  <c r="W216" i="1"/>
  <c r="W240" i="1"/>
  <c r="W264" i="1"/>
  <c r="Y264" i="1" s="1"/>
  <c r="W326" i="1"/>
  <c r="Y326" i="1" s="1"/>
  <c r="W377" i="1"/>
  <c r="W8" i="1"/>
  <c r="W17" i="1"/>
  <c r="W21" i="1"/>
  <c r="Y21" i="1" s="1"/>
  <c r="W29" i="1"/>
  <c r="Y29" i="1" s="1"/>
  <c r="W53" i="1"/>
  <c r="Y53" i="1" s="1"/>
  <c r="X53" i="1"/>
  <c r="W60" i="1"/>
  <c r="Y60" i="1" s="1"/>
  <c r="W9" i="1"/>
  <c r="Y9" i="1" s="1"/>
  <c r="W18" i="1"/>
  <c r="Y18" i="1" s="1"/>
  <c r="X18" i="1"/>
  <c r="W27" i="1"/>
  <c r="X29" i="5"/>
  <c r="Y29" i="5" s="1"/>
  <c r="AA29" i="5" s="1"/>
  <c r="W44" i="1"/>
  <c r="Y44" i="1" s="1"/>
  <c r="W45" i="1"/>
  <c r="Y45" i="1" s="1"/>
  <c r="W49" i="1"/>
  <c r="W73" i="1"/>
  <c r="Y73" i="1" s="1"/>
  <c r="W84" i="1"/>
  <c r="W85" i="1"/>
  <c r="W87" i="1"/>
  <c r="W100" i="1"/>
  <c r="Y100" i="1" s="1"/>
  <c r="X100" i="1"/>
  <c r="W103" i="1"/>
  <c r="W120" i="1"/>
  <c r="W125" i="1"/>
  <c r="Y125" i="1" s="1"/>
  <c r="W127" i="1"/>
  <c r="Y127" i="1" s="1"/>
  <c r="W143" i="1"/>
  <c r="W168" i="1"/>
  <c r="Y168" i="1" s="1"/>
  <c r="X171" i="1"/>
  <c r="W171" i="1"/>
  <c r="Y171" i="1" s="1"/>
  <c r="W182" i="1"/>
  <c r="W185" i="1"/>
  <c r="Y185" i="1" s="1"/>
  <c r="W197" i="1"/>
  <c r="W198" i="1"/>
  <c r="W220" i="1"/>
  <c r="W221" i="1"/>
  <c r="W232" i="1"/>
  <c r="W234" i="1"/>
  <c r="Y234" i="1" s="1"/>
  <c r="X234" i="1"/>
  <c r="W236" i="1"/>
  <c r="W242" i="1"/>
  <c r="Y242" i="1" s="1"/>
  <c r="W246" i="1"/>
  <c r="W253" i="1"/>
  <c r="W269" i="1"/>
  <c r="W280" i="1"/>
  <c r="Y280" i="1" s="1"/>
  <c r="W319" i="1"/>
  <c r="Y319" i="1" s="1"/>
  <c r="W322" i="1"/>
  <c r="W333" i="1"/>
  <c r="Y333" i="1" s="1"/>
  <c r="X333" i="1"/>
  <c r="W343" i="1"/>
  <c r="Y343" i="1" s="1"/>
  <c r="W346" i="1"/>
  <c r="W373" i="1"/>
  <c r="Y373" i="1" s="1"/>
  <c r="W402" i="1"/>
  <c r="W405" i="1"/>
  <c r="Y405" i="1" s="1"/>
  <c r="X405" i="1"/>
  <c r="W419" i="1"/>
  <c r="W429" i="1"/>
  <c r="Y429" i="1" s="1"/>
  <c r="W431" i="1"/>
  <c r="Y431" i="1" s="1"/>
  <c r="W452" i="1"/>
  <c r="W485" i="1"/>
  <c r="Y485" i="1" s="1"/>
  <c r="W499" i="1"/>
  <c r="W502" i="1"/>
  <c r="Y502" i="1" s="1"/>
  <c r="W519" i="1"/>
  <c r="Y519" i="1" s="1"/>
  <c r="W524" i="1"/>
  <c r="W542" i="1"/>
  <c r="Y542" i="1" s="1"/>
  <c r="W545" i="1"/>
  <c r="Y545" i="1" s="1"/>
  <c r="W561" i="1"/>
  <c r="W575" i="1"/>
  <c r="W604" i="1"/>
  <c r="Y604" i="1" s="1"/>
  <c r="X604" i="1"/>
  <c r="W617" i="1"/>
  <c r="W621" i="1"/>
  <c r="Y621" i="1" s="1"/>
  <c r="X621" i="1"/>
  <c r="W627" i="1"/>
  <c r="W635" i="1"/>
  <c r="W638" i="1"/>
  <c r="Y638" i="1" s="1"/>
  <c r="W642" i="1"/>
  <c r="Y642" i="1" s="1"/>
  <c r="X642" i="1"/>
  <c r="W657" i="1"/>
  <c r="Y657" i="1" s="1"/>
  <c r="W659" i="1"/>
  <c r="W666" i="1"/>
  <c r="W692" i="1"/>
  <c r="Y692" i="1" s="1"/>
  <c r="W718" i="1"/>
  <c r="Y718" i="1" s="1"/>
  <c r="W736" i="1"/>
  <c r="W774" i="1"/>
  <c r="W866" i="1"/>
  <c r="Y866" i="1" s="1"/>
  <c r="W893" i="1"/>
  <c r="W896" i="1"/>
  <c r="W909" i="1"/>
  <c r="Y909" i="1" s="1"/>
  <c r="W911" i="1"/>
  <c r="W920" i="1"/>
  <c r="W943" i="1"/>
  <c r="Y943" i="1" s="1"/>
  <c r="W967" i="1"/>
  <c r="Y967" i="1" s="1"/>
  <c r="X967" i="1"/>
  <c r="W972" i="1"/>
  <c r="Y972" i="1" s="1"/>
  <c r="X972" i="1"/>
  <c r="W978" i="1"/>
  <c r="Y978" i="1" s="1"/>
  <c r="W983" i="1"/>
  <c r="W991" i="1"/>
  <c r="Y991" i="1" s="1"/>
  <c r="X991" i="1"/>
  <c r="W1015" i="1"/>
  <c r="Y1015" i="1" s="1"/>
  <c r="W1039" i="1"/>
  <c r="W1042" i="1"/>
  <c r="Y1042" i="1" s="1"/>
  <c r="W1055" i="1"/>
  <c r="W1058" i="1"/>
  <c r="W1114" i="1"/>
  <c r="W1148" i="1"/>
  <c r="W828" i="1"/>
  <c r="W868" i="1"/>
  <c r="W884" i="1"/>
  <c r="W887" i="1"/>
  <c r="W898" i="1"/>
  <c r="W914" i="1"/>
  <c r="Y914" i="1" s="1"/>
  <c r="W926" i="1"/>
  <c r="Y926" i="1" s="1"/>
  <c r="W929" i="1"/>
  <c r="W937" i="1"/>
  <c r="Y937" i="1" s="1"/>
  <c r="W945" i="1"/>
  <c r="Y945" i="1" s="1"/>
  <c r="W969" i="1"/>
  <c r="Y969" i="1" s="1"/>
  <c r="W974" i="1"/>
  <c r="W985" i="1"/>
  <c r="W1001" i="1"/>
  <c r="Y1001" i="1" s="1"/>
  <c r="W1007" i="1"/>
  <c r="W1018" i="1"/>
  <c r="W1023" i="1"/>
  <c r="Y1023" i="1" s="1"/>
  <c r="W1029" i="1"/>
  <c r="Y1029" i="1" s="1"/>
  <c r="W1031" i="1"/>
  <c r="W1044" i="1"/>
  <c r="Y1044" i="1" s="1"/>
  <c r="W1068" i="1"/>
  <c r="W1074" i="1"/>
  <c r="W1077" i="1"/>
  <c r="Y1077" i="1" s="1"/>
  <c r="W1096" i="1"/>
  <c r="Y1096" i="1" s="1"/>
  <c r="W1130" i="1"/>
  <c r="W1146" i="1"/>
  <c r="W1173" i="1"/>
  <c r="Y1173" i="1" s="1"/>
  <c r="W757" i="1"/>
  <c r="Y757" i="1" s="1"/>
  <c r="W784" i="1"/>
  <c r="Y784" i="1" s="1"/>
  <c r="W789" i="1"/>
  <c r="W798" i="1"/>
  <c r="Y798" i="1" s="1"/>
  <c r="W825" i="1"/>
  <c r="W830" i="1"/>
  <c r="Y830" i="1" s="1"/>
  <c r="W833" i="1"/>
  <c r="Y833" i="1" s="1"/>
  <c r="W841" i="1"/>
  <c r="Y841" i="1" s="1"/>
  <c r="W844" i="1"/>
  <c r="W857" i="1"/>
  <c r="W859" i="1"/>
  <c r="W865" i="1"/>
  <c r="Y865" i="1" s="1"/>
  <c r="W881" i="1"/>
  <c r="Y881" i="1" s="1"/>
  <c r="W895" i="1"/>
  <c r="Y895" i="1" s="1"/>
  <c r="W901" i="1"/>
  <c r="Y901" i="1" s="1"/>
  <c r="X901" i="1"/>
  <c r="W925" i="1"/>
  <c r="Y925" i="1" s="1"/>
  <c r="W942" i="1"/>
  <c r="W961" i="1"/>
  <c r="Y961" i="1" s="1"/>
  <c r="W988" i="1"/>
  <c r="Y988" i="1" s="1"/>
  <c r="W1004" i="1"/>
  <c r="Y1004" i="1" s="1"/>
  <c r="W1012" i="1"/>
  <c r="Y1012" i="1" s="1"/>
  <c r="W1057" i="1"/>
  <c r="W1060" i="1"/>
  <c r="Y1060" i="1" s="1"/>
  <c r="W1070" i="1"/>
  <c r="W1073" i="1"/>
  <c r="W760" i="1"/>
  <c r="Y760" i="1" s="1"/>
  <c r="W770" i="1"/>
  <c r="W773" i="1"/>
  <c r="Y773" i="1" s="1"/>
  <c r="W778" i="1"/>
  <c r="W783" i="1"/>
  <c r="Y783" i="1" s="1"/>
  <c r="W797" i="1"/>
  <c r="Y797" i="1" s="1"/>
  <c r="W812" i="1"/>
  <c r="Y812" i="1" s="1"/>
  <c r="W835" i="1"/>
  <c r="W838" i="1"/>
  <c r="W900" i="1"/>
  <c r="W924" i="1"/>
  <c r="W928" i="1"/>
  <c r="W939" i="1"/>
  <c r="W958" i="1"/>
  <c r="W960" i="1"/>
  <c r="Y960" i="1" s="1"/>
  <c r="W966" i="1"/>
  <c r="W977" i="1"/>
  <c r="Y977" i="1" s="1"/>
  <c r="W995" i="1"/>
  <c r="Y995" i="1" s="1"/>
  <c r="W998" i="1"/>
  <c r="Y998" i="1" s="1"/>
  <c r="W1003" i="1"/>
  <c r="Y1003" i="1" s="1"/>
  <c r="W1025" i="1"/>
  <c r="Y1025" i="1" s="1"/>
  <c r="W1028" i="1"/>
  <c r="Y1028" i="1" s="1"/>
  <c r="W1033" i="1"/>
  <c r="W1041" i="1"/>
  <c r="W1093" i="1"/>
  <c r="W1106" i="1"/>
  <c r="W1110" i="1"/>
  <c r="Y1110" i="1" s="1"/>
  <c r="X1110" i="1"/>
  <c r="X1112" i="1"/>
  <c r="W1112" i="1"/>
  <c r="Y1112" i="1" s="1"/>
  <c r="W1115" i="1"/>
  <c r="W1118" i="1"/>
  <c r="Y1118" i="1" s="1"/>
  <c r="X1118" i="1"/>
  <c r="X1149" i="1"/>
  <c r="W1149" i="1"/>
  <c r="Y1149" i="1" s="1"/>
  <c r="W756" i="1"/>
  <c r="W762" i="1"/>
  <c r="Y762" i="1" s="1"/>
  <c r="X762" i="1"/>
  <c r="W775" i="1"/>
  <c r="Y775" i="1" s="1"/>
  <c r="W786" i="1"/>
  <c r="Y786" i="1" s="1"/>
  <c r="W791" i="1"/>
  <c r="W794" i="1"/>
  <c r="W801" i="1"/>
  <c r="Y801" i="1" s="1"/>
  <c r="W814" i="1"/>
  <c r="Y814" i="1" s="1"/>
  <c r="X814" i="1"/>
  <c r="W824" i="1"/>
  <c r="W827" i="1"/>
  <c r="W867" i="1"/>
  <c r="W903" i="1"/>
  <c r="W910" i="1"/>
  <c r="W913" i="1"/>
  <c r="Y913" i="1" s="1"/>
  <c r="W931" i="1"/>
  <c r="Y931" i="1" s="1"/>
  <c r="W941" i="1"/>
  <c r="Y941" i="1" s="1"/>
  <c r="X941" i="1"/>
  <c r="W944" i="1"/>
  <c r="Y944" i="1" s="1"/>
  <c r="W963" i="1"/>
  <c r="Y963" i="1" s="1"/>
  <c r="W973" i="1"/>
  <c r="W990" i="1"/>
  <c r="W997" i="1"/>
  <c r="W1006" i="1"/>
  <c r="Y1006" i="1" s="1"/>
  <c r="X1006" i="1"/>
  <c r="W1009" i="1"/>
  <c r="W1014" i="1"/>
  <c r="Y1014" i="1" s="1"/>
  <c r="W1017" i="1"/>
  <c r="Y1017" i="1" s="1"/>
  <c r="W1027" i="1"/>
  <c r="W1030" i="1"/>
  <c r="Y1030" i="1" s="1"/>
  <c r="X1030" i="1"/>
  <c r="W1051" i="1"/>
  <c r="Y1051" i="1" s="1"/>
  <c r="W1054" i="1"/>
  <c r="W1067" i="1"/>
  <c r="W1076" i="1"/>
  <c r="Y1076" i="1" s="1"/>
  <c r="W1095" i="1"/>
  <c r="W1097" i="1"/>
  <c r="Y1097" i="1" s="1"/>
  <c r="W251" i="1"/>
  <c r="Y251" i="1" s="1"/>
  <c r="W261" i="1"/>
  <c r="Y261" i="1" s="1"/>
  <c r="W266" i="1"/>
  <c r="Y266" i="1" s="1"/>
  <c r="W275" i="1"/>
  <c r="X278" i="1"/>
  <c r="W278" i="1"/>
  <c r="Y278" i="1" s="1"/>
  <c r="W302" i="1"/>
  <c r="W314" i="1"/>
  <c r="W315" i="1"/>
  <c r="W331" i="1"/>
  <c r="Y331" i="1" s="1"/>
  <c r="W385" i="1"/>
  <c r="W396" i="1"/>
  <c r="W397" i="1"/>
  <c r="Y397" i="1" s="1"/>
  <c r="W416" i="1"/>
  <c r="Y416" i="1" s="1"/>
  <c r="W422" i="1"/>
  <c r="W425" i="1"/>
  <c r="W426" i="1"/>
  <c r="W427" i="1"/>
  <c r="W436" i="1"/>
  <c r="W437" i="1"/>
  <c r="W439" i="1"/>
  <c r="W442" i="1"/>
  <c r="W462" i="1"/>
  <c r="Y462" i="1" s="1"/>
  <c r="W492" i="1"/>
  <c r="Y492" i="1" s="1"/>
  <c r="W508" i="1"/>
  <c r="W551" i="1"/>
  <c r="W552" i="1"/>
  <c r="W553" i="1"/>
  <c r="W554" i="1"/>
  <c r="W579" i="1"/>
  <c r="W596" i="1"/>
  <c r="W597" i="1"/>
  <c r="Y597" i="1" s="1"/>
  <c r="W598" i="1"/>
  <c r="W613" i="1"/>
  <c r="W614" i="1"/>
  <c r="Y614" i="1" s="1"/>
  <c r="W628" i="1"/>
  <c r="W629" i="1"/>
  <c r="W630" i="1"/>
  <c r="W631" i="1"/>
  <c r="Y631" i="1" s="1"/>
  <c r="W648" i="1"/>
  <c r="Y648" i="1" s="1"/>
  <c r="W655" i="1"/>
  <c r="Y655" i="1" s="1"/>
  <c r="W670" i="1"/>
  <c r="W688" i="1"/>
  <c r="W699" i="1"/>
  <c r="W704" i="1"/>
  <c r="W709" i="1"/>
  <c r="W737" i="1"/>
  <c r="X759" i="1"/>
  <c r="W759" i="1"/>
  <c r="Y759" i="1" s="1"/>
  <c r="W767" i="1"/>
  <c r="Y767" i="1" s="1"/>
  <c r="X767" i="1"/>
  <c r="W785" i="1"/>
  <c r="W793" i="1"/>
  <c r="Y793" i="1" s="1"/>
  <c r="X793" i="1"/>
  <c r="W796" i="1"/>
  <c r="W811" i="1"/>
  <c r="W832" i="1"/>
  <c r="Y832" i="1" s="1"/>
  <c r="W837" i="1"/>
  <c r="W843" i="1"/>
  <c r="Y843" i="1" s="1"/>
  <c r="X843" i="1"/>
  <c r="W861" i="1"/>
  <c r="Y861" i="1" s="1"/>
  <c r="W864" i="1"/>
  <c r="Y864" i="1" s="1"/>
  <c r="W883" i="1"/>
  <c r="W886" i="1"/>
  <c r="X897" i="1"/>
  <c r="W897" i="1"/>
  <c r="Y897" i="1" s="1"/>
  <c r="W912" i="1"/>
  <c r="Y912" i="1" s="1"/>
  <c r="X912" i="1"/>
  <c r="W938" i="1"/>
  <c r="Y938" i="1" s="1"/>
  <c r="W965" i="1"/>
  <c r="W976" i="1"/>
  <c r="W979" i="1"/>
  <c r="W987" i="1"/>
  <c r="Y987" i="1" s="1"/>
  <c r="W1000" i="1"/>
  <c r="Y1000" i="1" s="1"/>
  <c r="X1000" i="1"/>
  <c r="W1011" i="1"/>
  <c r="W1040" i="1"/>
  <c r="Y1040" i="1" s="1"/>
  <c r="W1078" i="1"/>
  <c r="Y1078" i="1" s="1"/>
  <c r="X1078" i="1"/>
  <c r="W1113" i="1"/>
  <c r="W1134" i="1"/>
  <c r="W1147" i="1"/>
  <c r="Y1147" i="1" s="1"/>
  <c r="W1150" i="1"/>
  <c r="W1175" i="1"/>
  <c r="Y1175" i="1" s="1"/>
  <c r="X1175" i="1"/>
  <c r="W260" i="1"/>
  <c r="Y260" i="1" s="1"/>
  <c r="W276" i="1"/>
  <c r="W291" i="1"/>
  <c r="W293" i="1"/>
  <c r="W303" i="1"/>
  <c r="W313" i="1"/>
  <c r="W330" i="1"/>
  <c r="W347" i="1"/>
  <c r="W348" i="1"/>
  <c r="Y348" i="1" s="1"/>
  <c r="W349" i="1"/>
  <c r="W351" i="1"/>
  <c r="W359" i="1"/>
  <c r="W360" i="1"/>
  <c r="W361" i="1"/>
  <c r="W362" i="1"/>
  <c r="Y362" i="1" s="1"/>
  <c r="W364" i="1"/>
  <c r="Y364" i="1" s="1"/>
  <c r="X364" i="1"/>
  <c r="W381" i="1"/>
  <c r="Y381" i="1" s="1"/>
  <c r="X381" i="1"/>
  <c r="W382" i="1"/>
  <c r="W383" i="1"/>
  <c r="Y383" i="1" s="1"/>
  <c r="W384" i="1"/>
  <c r="Y384" i="1" s="1"/>
  <c r="W392" i="1"/>
  <c r="W393" i="1"/>
  <c r="Y393" i="1" s="1"/>
  <c r="W394" i="1"/>
  <c r="W415" i="1"/>
  <c r="W424" i="1"/>
  <c r="W440" i="1"/>
  <c r="W441" i="1"/>
  <c r="Y441" i="1" s="1"/>
  <c r="X441" i="1"/>
  <c r="W451" i="1"/>
  <c r="W453" i="1"/>
  <c r="Y453" i="1" s="1"/>
  <c r="X453" i="1"/>
  <c r="W454" i="1"/>
  <c r="Y454" i="1" s="1"/>
  <c r="W456" i="1"/>
  <c r="Y456" i="1" s="1"/>
  <c r="W458" i="1"/>
  <c r="Y458" i="1" s="1"/>
  <c r="X458" i="1"/>
  <c r="W475" i="1"/>
  <c r="W477" i="1"/>
  <c r="W489" i="1"/>
  <c r="W491" i="1"/>
  <c r="W504" i="1"/>
  <c r="W507" i="1"/>
  <c r="Y507" i="1" s="1"/>
  <c r="X507" i="1"/>
  <c r="W522" i="1"/>
  <c r="W550" i="1"/>
  <c r="W567" i="1"/>
  <c r="W578" i="1"/>
  <c r="Y578" i="1" s="1"/>
  <c r="W583" i="1"/>
  <c r="Y583" i="1" s="1"/>
  <c r="X583" i="1"/>
  <c r="W592" i="1"/>
  <c r="W594" i="1"/>
  <c r="Y594" i="1" s="1"/>
  <c r="W595" i="1"/>
  <c r="W609" i="1"/>
  <c r="W612" i="1"/>
  <c r="W632" i="1"/>
  <c r="Y632" i="1" s="1"/>
  <c r="W649" i="1"/>
  <c r="W661" i="1"/>
  <c r="W665" i="1"/>
  <c r="W669" i="1"/>
  <c r="Y669" i="1" s="1"/>
  <c r="W675" i="1"/>
  <c r="W678" i="1"/>
  <c r="W684" i="1"/>
  <c r="Y684" i="1" s="1"/>
  <c r="W696" i="1"/>
  <c r="W727" i="1"/>
  <c r="Y727" i="1" s="1"/>
  <c r="W732" i="1"/>
  <c r="Y732" i="1" s="1"/>
  <c r="W739" i="1"/>
  <c r="W740" i="1"/>
  <c r="W764" i="1"/>
  <c r="W780" i="1"/>
  <c r="W788" i="1"/>
  <c r="Y788" i="1" s="1"/>
  <c r="W803" i="1"/>
  <c r="W834" i="1"/>
  <c r="Y834" i="1" s="1"/>
  <c r="W840" i="1"/>
  <c r="W853" i="1"/>
  <c r="W885" i="1"/>
  <c r="W899" i="1"/>
  <c r="X902" i="1"/>
  <c r="W902" i="1"/>
  <c r="Y902" i="1" s="1"/>
  <c r="W921" i="1"/>
  <c r="W947" i="1"/>
  <c r="Y947" i="1" s="1"/>
  <c r="W957" i="1"/>
  <c r="Y957" i="1" s="1"/>
  <c r="W962" i="1"/>
  <c r="Y962" i="1" s="1"/>
  <c r="W986" i="1"/>
  <c r="Y986" i="1" s="1"/>
  <c r="X986" i="1"/>
  <c r="W1002" i="1"/>
  <c r="W1005" i="1"/>
  <c r="W1016" i="1"/>
  <c r="W1024" i="1"/>
  <c r="W1037" i="1"/>
  <c r="Y1037" i="1" s="1"/>
  <c r="W1056" i="1"/>
  <c r="Y1056" i="1" s="1"/>
  <c r="W1069" i="1"/>
  <c r="W1072" i="1"/>
  <c r="Y1072" i="1" s="1"/>
  <c r="X1072" i="1"/>
  <c r="W1080" i="1"/>
  <c r="Y1080" i="1" s="1"/>
  <c r="X1080" i="1"/>
  <c r="W1082" i="1"/>
  <c r="W1129" i="1"/>
  <c r="W1158" i="1"/>
  <c r="W226" i="1"/>
  <c r="W227" i="1"/>
  <c r="W248" i="1"/>
  <c r="Y248" i="1" s="1"/>
  <c r="W250" i="1"/>
  <c r="W257" i="1"/>
  <c r="W272" i="1"/>
  <c r="W274" i="1"/>
  <c r="Y274" i="1" s="1"/>
  <c r="X274" i="1"/>
  <c r="W288" i="1"/>
  <c r="W290" i="1"/>
  <c r="W301" i="1"/>
  <c r="W312" i="1"/>
  <c r="Y312" i="1" s="1"/>
  <c r="W323" i="1"/>
  <c r="Y323" i="1" s="1"/>
  <c r="W328" i="1"/>
  <c r="Y328" i="1" s="1"/>
  <c r="W329" i="1"/>
  <c r="Y329" i="1" s="1"/>
  <c r="X329" i="1"/>
  <c r="W380" i="1"/>
  <c r="W391" i="1"/>
  <c r="W411" i="1"/>
  <c r="W414" i="1"/>
  <c r="Y414" i="1" s="1"/>
  <c r="W421" i="1"/>
  <c r="W423" i="1"/>
  <c r="W435" i="1"/>
  <c r="Y435" i="1" s="1"/>
  <c r="X435" i="1"/>
  <c r="W450" i="1"/>
  <c r="Y450" i="1" s="1"/>
  <c r="W455" i="1"/>
  <c r="W459" i="1"/>
  <c r="W461" i="1"/>
  <c r="Y461" i="1" s="1"/>
  <c r="X461" i="1"/>
  <c r="W468" i="1"/>
  <c r="W476" i="1"/>
  <c r="Y476" i="1" s="1"/>
  <c r="W487" i="1"/>
  <c r="W490" i="1"/>
  <c r="Y490" i="1" s="1"/>
  <c r="W503" i="1"/>
  <c r="Y503" i="1" s="1"/>
  <c r="W505" i="1"/>
  <c r="Y505" i="1" s="1"/>
  <c r="W506" i="1"/>
  <c r="Y506" i="1" s="1"/>
  <c r="W521" i="1"/>
  <c r="W539" i="1"/>
  <c r="W549" i="1"/>
  <c r="Y549" i="1" s="1"/>
  <c r="W562" i="1"/>
  <c r="W565" i="1"/>
  <c r="Y565" i="1" s="1"/>
  <c r="X565" i="1"/>
  <c r="W566" i="1"/>
  <c r="W576" i="1"/>
  <c r="Y576" i="1" s="1"/>
  <c r="W582" i="1"/>
  <c r="Y582" i="1" s="1"/>
  <c r="W591" i="1"/>
  <c r="W593" i="1"/>
  <c r="W607" i="1"/>
  <c r="W608" i="1"/>
  <c r="W610" i="1"/>
  <c r="Y610" i="1" s="1"/>
  <c r="W646" i="1"/>
  <c r="W647" i="1"/>
  <c r="W653" i="1"/>
  <c r="W668" i="1"/>
  <c r="Y668" i="1" s="1"/>
  <c r="X668" i="1"/>
  <c r="W693" i="1"/>
  <c r="W701" i="1"/>
  <c r="W711" i="1"/>
  <c r="W761" i="1"/>
  <c r="W769" i="1"/>
  <c r="Y769" i="1" s="1"/>
  <c r="W777" i="1"/>
  <c r="W782" i="1"/>
  <c r="W787" i="1"/>
  <c r="Y787" i="1" s="1"/>
  <c r="W790" i="1"/>
  <c r="W800" i="1"/>
  <c r="Y800" i="1" s="1"/>
  <c r="W858" i="1"/>
  <c r="Y858" i="1" s="1"/>
  <c r="W882" i="1"/>
  <c r="W888" i="1"/>
  <c r="Y888" i="1" s="1"/>
  <c r="W923" i="1"/>
  <c r="Y923" i="1" s="1"/>
  <c r="W927" i="1"/>
  <c r="Y927" i="1" s="1"/>
  <c r="X927" i="1"/>
  <c r="W930" i="1"/>
  <c r="W940" i="1"/>
  <c r="W946" i="1"/>
  <c r="Y946" i="1" s="1"/>
  <c r="W954" i="1"/>
  <c r="Y954" i="1" s="1"/>
  <c r="W959" i="1"/>
  <c r="W975" i="1"/>
  <c r="W989" i="1"/>
  <c r="W999" i="1"/>
  <c r="W1013" i="1"/>
  <c r="Y1013" i="1" s="1"/>
  <c r="W1026" i="1"/>
  <c r="Y1026" i="1" s="1"/>
  <c r="X1026" i="1"/>
  <c r="W1045" i="1"/>
  <c r="Y1045" i="1" s="1"/>
  <c r="X1045" i="1"/>
  <c r="W1053" i="1"/>
  <c r="Y1053" i="1" s="1"/>
  <c r="W1088" i="1"/>
  <c r="W1094" i="1"/>
  <c r="W1101" i="1"/>
  <c r="W1135" i="1"/>
  <c r="W1190" i="1"/>
  <c r="W1205" i="1"/>
  <c r="W1206" i="1"/>
  <c r="W1221" i="1"/>
  <c r="W1222" i="1"/>
  <c r="Y1222" i="1" s="1"/>
  <c r="W1223" i="1"/>
  <c r="Y1223" i="1" s="1"/>
  <c r="W1270" i="1"/>
  <c r="W1271" i="1"/>
  <c r="W1281" i="1"/>
  <c r="W1282" i="1"/>
  <c r="W1291" i="1"/>
  <c r="Y1291" i="1" s="1"/>
  <c r="W1294" i="1"/>
  <c r="W1305" i="1"/>
  <c r="Y1305" i="1" s="1"/>
  <c r="W1157" i="1"/>
  <c r="Y1157" i="1" s="1"/>
  <c r="W1169" i="1"/>
  <c r="W1191" i="1"/>
  <c r="W1216" i="1"/>
  <c r="W1217" i="1"/>
  <c r="Y1217" i="1" s="1"/>
  <c r="W1235" i="1"/>
  <c r="W1241" i="1"/>
  <c r="W1242" i="1"/>
  <c r="Y1242" i="1" s="1"/>
  <c r="W1243" i="1"/>
  <c r="W1254" i="1"/>
  <c r="W1255" i="1"/>
  <c r="W1269" i="1"/>
  <c r="W1272" i="1"/>
  <c r="Y1272" i="1" s="1"/>
  <c r="W1302" i="1"/>
  <c r="W1303" i="1"/>
  <c r="W1307" i="1"/>
  <c r="W1107" i="1"/>
  <c r="Y1107" i="1" s="1"/>
  <c r="X1107" i="1"/>
  <c r="W1109" i="1"/>
  <c r="Y1109" i="1" s="1"/>
  <c r="W1111" i="1"/>
  <c r="W1128" i="1"/>
  <c r="W1131" i="1"/>
  <c r="W1132" i="1"/>
  <c r="W1133" i="1"/>
  <c r="Y1133" i="1" s="1"/>
  <c r="W1143" i="1"/>
  <c r="W1144" i="1"/>
  <c r="Y1144" i="1" s="1"/>
  <c r="W1145" i="1"/>
  <c r="W1155" i="1"/>
  <c r="W1171" i="1"/>
  <c r="Y1171" i="1" s="1"/>
  <c r="X1171" i="1"/>
  <c r="W1172" i="1"/>
  <c r="W1186" i="1"/>
  <c r="Y1186" i="1" s="1"/>
  <c r="W1187" i="1"/>
  <c r="W1188" i="1"/>
  <c r="W1189" i="1"/>
  <c r="Y1189" i="1" s="1"/>
  <c r="X1189" i="1"/>
  <c r="W1204" i="1"/>
  <c r="Y1204" i="1" s="1"/>
  <c r="W1214" i="1"/>
  <c r="W1215" i="1"/>
  <c r="W1218" i="1"/>
  <c r="Y1218" i="1" s="1"/>
  <c r="W1220" i="1"/>
  <c r="W1239" i="1"/>
  <c r="W1240" i="1"/>
  <c r="W1253" i="1"/>
  <c r="Y1253" i="1" s="1"/>
  <c r="W1266" i="1"/>
  <c r="Y1266" i="1" s="1"/>
  <c r="W1267" i="1"/>
  <c r="W1268" i="1"/>
  <c r="W1280" i="1"/>
  <c r="Y1280" i="1" s="1"/>
  <c r="W1304" i="1"/>
  <c r="W1308" i="1"/>
  <c r="X1309" i="1"/>
  <c r="W1309" i="1"/>
  <c r="Y1309" i="1" s="1"/>
  <c r="W1125" i="1"/>
  <c r="Y1125" i="1" s="1"/>
  <c r="W1127" i="1"/>
  <c r="W1142" i="1"/>
  <c r="Y1142" i="1" s="1"/>
  <c r="W1156" i="1"/>
  <c r="W1167" i="1"/>
  <c r="W1170" i="1"/>
  <c r="W1185" i="1"/>
  <c r="W1197" i="1"/>
  <c r="Y1197" i="1" s="1"/>
  <c r="W1199" i="1"/>
  <c r="W1200" i="1"/>
  <c r="W1201" i="1"/>
  <c r="W1202" i="1"/>
  <c r="Y1202" i="1" s="1"/>
  <c r="W1203" i="1"/>
  <c r="W1212" i="1"/>
  <c r="W1219" i="1"/>
  <c r="Y1219" i="1" s="1"/>
  <c r="W1233" i="1"/>
  <c r="W1234" i="1"/>
  <c r="Y1234" i="1" s="1"/>
  <c r="W1236" i="1"/>
  <c r="Y1236" i="1" s="1"/>
  <c r="X1236" i="1"/>
  <c r="W1238" i="1"/>
  <c r="W1249" i="1"/>
  <c r="W1252" i="1"/>
  <c r="W1262" i="1"/>
  <c r="W1263" i="1"/>
  <c r="Y1263" i="1" s="1"/>
  <c r="X1263" i="1"/>
  <c r="W1264" i="1"/>
  <c r="W1265" i="1"/>
  <c r="W1278" i="1"/>
  <c r="W1279" i="1"/>
  <c r="W1288" i="1"/>
  <c r="Y1288" i="1" s="1"/>
  <c r="X1288" i="1"/>
  <c r="W1289" i="1"/>
  <c r="W1290" i="1"/>
  <c r="W1299" i="1"/>
  <c r="W1301" i="1"/>
  <c r="W1089" i="1"/>
  <c r="Y1089" i="1" s="1"/>
  <c r="W1092" i="1"/>
  <c r="W1104" i="1"/>
  <c r="W1108" i="1"/>
  <c r="W1124" i="1"/>
  <c r="W1126" i="1"/>
  <c r="Y1126" i="1" s="1"/>
  <c r="W1154" i="1"/>
  <c r="W1164" i="1"/>
  <c r="Y1164" i="1" s="1"/>
  <c r="W1166" i="1"/>
  <c r="W1168" i="1"/>
  <c r="Y1168" i="1" s="1"/>
  <c r="X1168" i="1"/>
  <c r="W1183" i="1"/>
  <c r="W1184" i="1"/>
  <c r="W1198" i="1"/>
  <c r="W1208" i="1"/>
  <c r="W1213" i="1"/>
  <c r="Y1213" i="1" s="1"/>
  <c r="W1237" i="1"/>
  <c r="Y1237" i="1" s="1"/>
  <c r="W1250" i="1"/>
  <c r="Y1250" i="1" s="1"/>
  <c r="W1277" i="1"/>
  <c r="Y1277" i="1" s="1"/>
  <c r="X1277" i="1"/>
  <c r="W1287" i="1"/>
  <c r="W691" i="1"/>
  <c r="Y691" i="1" s="1"/>
  <c r="W707" i="1"/>
  <c r="W714" i="1"/>
  <c r="W716" i="1"/>
  <c r="W717" i="1"/>
  <c r="Y717" i="1" s="1"/>
  <c r="W719" i="1"/>
  <c r="W721" i="1"/>
  <c r="Y721" i="1" s="1"/>
  <c r="X721" i="1"/>
  <c r="W722" i="1"/>
  <c r="W724" i="1"/>
  <c r="W745" i="1"/>
  <c r="W746" i="1"/>
  <c r="W747" i="1"/>
  <c r="Y747" i="1" s="1"/>
  <c r="W748" i="1"/>
  <c r="Y748" i="1" s="1"/>
  <c r="W750" i="1"/>
  <c r="W752" i="1"/>
  <c r="Y752" i="1" s="1"/>
  <c r="W753" i="1"/>
  <c r="W771" i="1"/>
  <c r="Y771" i="1" s="1"/>
  <c r="W808" i="1"/>
  <c r="Y808" i="1" s="1"/>
  <c r="W817" i="1"/>
  <c r="Y817" i="1" s="1"/>
  <c r="W818" i="1"/>
  <c r="W820" i="1"/>
  <c r="Y820" i="1" s="1"/>
  <c r="W821" i="1"/>
  <c r="W831" i="1"/>
  <c r="W851" i="1"/>
  <c r="Y851" i="1" s="1"/>
  <c r="W852" i="1"/>
  <c r="Y852" i="1" s="1"/>
  <c r="W854" i="1"/>
  <c r="Y854" i="1" s="1"/>
  <c r="W855" i="1"/>
  <c r="W856" i="1"/>
  <c r="Y856" i="1" s="1"/>
  <c r="W874" i="1"/>
  <c r="Y874" i="1" s="1"/>
  <c r="X874" i="1"/>
  <c r="W891" i="1"/>
  <c r="Y891" i="1" s="1"/>
  <c r="W892" i="1"/>
  <c r="Y892" i="1" s="1"/>
  <c r="W908" i="1"/>
  <c r="W919" i="1"/>
  <c r="W922" i="1"/>
  <c r="W936" i="1"/>
  <c r="W951" i="1"/>
  <c r="Y951" i="1" s="1"/>
  <c r="W953" i="1"/>
  <c r="Y953" i="1" s="1"/>
  <c r="W956" i="1"/>
  <c r="Y956" i="1" s="1"/>
  <c r="W971" i="1"/>
  <c r="W984" i="1"/>
  <c r="W996" i="1"/>
  <c r="W1022" i="1"/>
  <c r="W1036" i="1"/>
  <c r="W1038" i="1"/>
  <c r="W1049" i="1"/>
  <c r="Y1049" i="1" s="1"/>
  <c r="W1052" i="1"/>
  <c r="Y1052" i="1" s="1"/>
  <c r="W1066" i="1"/>
  <c r="W1071" i="1"/>
  <c r="W1087" i="1"/>
  <c r="W1103" i="1"/>
  <c r="W1105" i="1"/>
  <c r="Y1105" i="1" s="1"/>
  <c r="W1116" i="1"/>
  <c r="W1122" i="1"/>
  <c r="W1138" i="1"/>
  <c r="W1139" i="1"/>
  <c r="W1141" i="1"/>
  <c r="Y1141" i="1" s="1"/>
  <c r="W1163" i="1"/>
  <c r="Y1163" i="1" s="1"/>
  <c r="X1163" i="1"/>
  <c r="W1165" i="1"/>
  <c r="Y1165" i="1" s="1"/>
  <c r="W1178" i="1"/>
  <c r="W1179" i="1"/>
  <c r="W1180" i="1"/>
  <c r="Y1180" i="1" s="1"/>
  <c r="W1181" i="1"/>
  <c r="W1209" i="1"/>
  <c r="W1210" i="1"/>
  <c r="W1211" i="1"/>
  <c r="W1229" i="1"/>
  <c r="W1230" i="1"/>
  <c r="Y1230" i="1" s="1"/>
  <c r="W1231" i="1"/>
  <c r="W1232" i="1"/>
  <c r="W1248" i="1"/>
  <c r="W1251" i="1"/>
  <c r="W1261" i="1"/>
  <c r="W1275" i="1"/>
  <c r="W1276" i="1"/>
  <c r="W1285" i="1"/>
  <c r="W1286" i="1"/>
  <c r="Y1286" i="1" s="1"/>
  <c r="W1300" i="1"/>
  <c r="W664" i="1"/>
  <c r="W680" i="1"/>
  <c r="Y680" i="1" s="1"/>
  <c r="W682" i="1"/>
  <c r="Y682" i="1" s="1"/>
  <c r="W690" i="1"/>
  <c r="W706" i="1"/>
  <c r="Y706" i="1" s="1"/>
  <c r="W715" i="1"/>
  <c r="Y715" i="1" s="1"/>
  <c r="W735" i="1"/>
  <c r="W749" i="1"/>
  <c r="Y749" i="1" s="1"/>
  <c r="W763" i="1"/>
  <c r="W766" i="1"/>
  <c r="Y766" i="1" s="1"/>
  <c r="X766" i="1"/>
  <c r="W772" i="1"/>
  <c r="Y772" i="1" s="1"/>
  <c r="W781" i="1"/>
  <c r="W805" i="1"/>
  <c r="W806" i="1"/>
  <c r="Y806" i="1" s="1"/>
  <c r="W807" i="1"/>
  <c r="W816" i="1"/>
  <c r="Y816" i="1" s="1"/>
  <c r="W822" i="1"/>
  <c r="Y822" i="1" s="1"/>
  <c r="W848" i="1"/>
  <c r="W849" i="1"/>
  <c r="Y849" i="1" s="1"/>
  <c r="W850" i="1"/>
  <c r="Y850" i="1" s="1"/>
  <c r="W871" i="1"/>
  <c r="W876" i="1"/>
  <c r="W877" i="1"/>
  <c r="W879" i="1"/>
  <c r="W880" i="1"/>
  <c r="Y880" i="1" s="1"/>
  <c r="X880" i="1"/>
  <c r="W894" i="1"/>
  <c r="Y894" i="1" s="1"/>
  <c r="X894" i="1"/>
  <c r="W904" i="1"/>
  <c r="W905" i="1"/>
  <c r="W907" i="1"/>
  <c r="Y907" i="1" s="1"/>
  <c r="W918" i="1"/>
  <c r="W932" i="1"/>
  <c r="Y932" i="1" s="1"/>
  <c r="X932" i="1"/>
  <c r="W933" i="1"/>
  <c r="W934" i="1"/>
  <c r="W935" i="1"/>
  <c r="W949" i="1"/>
  <c r="Y949" i="1" s="1"/>
  <c r="W950" i="1"/>
  <c r="W952" i="1"/>
  <c r="Y952" i="1" s="1"/>
  <c r="W955" i="1"/>
  <c r="Y955" i="1" s="1"/>
  <c r="W964" i="1"/>
  <c r="Y964" i="1" s="1"/>
  <c r="W970" i="1"/>
  <c r="Y970" i="1" s="1"/>
  <c r="X970" i="1"/>
  <c r="W981" i="1"/>
  <c r="W982" i="1"/>
  <c r="W1048" i="1"/>
  <c r="Y1048" i="1" s="1"/>
  <c r="X1048" i="1"/>
  <c r="W1050" i="1"/>
  <c r="Y1050" i="1" s="1"/>
  <c r="W1059" i="1"/>
  <c r="W1061" i="1"/>
  <c r="Y1061" i="1" s="1"/>
  <c r="W1063" i="1"/>
  <c r="Y1063" i="1" s="1"/>
  <c r="X1063" i="1"/>
  <c r="W1064" i="1"/>
  <c r="W1065" i="1"/>
  <c r="W1081" i="1"/>
  <c r="W1084" i="1"/>
  <c r="W1085" i="1"/>
  <c r="W1086" i="1"/>
  <c r="W1090" i="1"/>
  <c r="W1091" i="1"/>
  <c r="Y1091" i="1" s="1"/>
  <c r="W1098" i="1"/>
  <c r="Y1098" i="1" s="1"/>
  <c r="X1098" i="1"/>
  <c r="W1099" i="1"/>
  <c r="Y1099" i="1" s="1"/>
  <c r="W1100" i="1"/>
  <c r="W1117" i="1"/>
  <c r="Y1117" i="1" s="1"/>
  <c r="W1120" i="1"/>
  <c r="Y1120" i="1" s="1"/>
  <c r="X1120" i="1"/>
  <c r="W1121" i="1"/>
  <c r="Y1121" i="1" s="1"/>
  <c r="W1123" i="1"/>
  <c r="Y1123" i="1" s="1"/>
  <c r="X1123" i="1"/>
  <c r="W1137" i="1"/>
  <c r="W1140" i="1"/>
  <c r="W1152" i="1"/>
  <c r="W1153" i="1"/>
  <c r="Y1153" i="1" s="1"/>
  <c r="W1176" i="1"/>
  <c r="Y1176" i="1" s="1"/>
  <c r="X1176" i="1"/>
  <c r="W1177" i="1"/>
  <c r="Y1177" i="1" s="1"/>
  <c r="W1182" i="1"/>
  <c r="W1192" i="1"/>
  <c r="W1194" i="1"/>
  <c r="W1195" i="1"/>
  <c r="W1196" i="1"/>
  <c r="W1224" i="1"/>
  <c r="Y1224" i="1" s="1"/>
  <c r="W1225" i="1"/>
  <c r="W1226" i="1"/>
  <c r="W1227" i="1"/>
  <c r="W1228" i="1"/>
  <c r="W1245" i="1"/>
  <c r="W1246" i="1"/>
  <c r="W1258" i="1"/>
  <c r="W1259" i="1"/>
  <c r="Y1259" i="1" s="1"/>
  <c r="W1260" i="1"/>
  <c r="Y1260" i="1" s="1"/>
  <c r="W1274" i="1"/>
  <c r="W1293" i="1"/>
  <c r="Y1293" i="1" s="1"/>
  <c r="X1293" i="1"/>
  <c r="W1295" i="1"/>
  <c r="W1296" i="1"/>
  <c r="W1297" i="1"/>
  <c r="W1298" i="1"/>
  <c r="Y1298" i="1" s="1"/>
  <c r="W679" i="1"/>
  <c r="W681" i="1"/>
  <c r="Y681" i="1" s="1"/>
  <c r="W705" i="1"/>
  <c r="Y705" i="1" s="1"/>
  <c r="X705" i="1"/>
  <c r="W713" i="1"/>
  <c r="W729" i="1"/>
  <c r="W734" i="1"/>
  <c r="W742" i="1"/>
  <c r="Y742" i="1" s="1"/>
  <c r="X742" i="1"/>
  <c r="W743" i="1"/>
  <c r="W744" i="1"/>
  <c r="W765" i="1"/>
  <c r="W768" i="1"/>
  <c r="Y768" i="1" s="1"/>
  <c r="W804" i="1"/>
  <c r="Y804" i="1" s="1"/>
  <c r="W819" i="1"/>
  <c r="Y819" i="1" s="1"/>
  <c r="X819" i="1"/>
  <c r="W829" i="1"/>
  <c r="Y829" i="1" s="1"/>
  <c r="X829" i="1"/>
  <c r="W836" i="1"/>
  <c r="Y836" i="1" s="1"/>
  <c r="X836" i="1"/>
  <c r="W839" i="1"/>
  <c r="W845" i="1"/>
  <c r="W846" i="1"/>
  <c r="W847" i="1"/>
  <c r="Y847" i="1" s="1"/>
  <c r="W862" i="1"/>
  <c r="W870" i="1"/>
  <c r="Y870" i="1" s="1"/>
  <c r="W872" i="1"/>
  <c r="Y872" i="1" s="1"/>
  <c r="W873" i="1"/>
  <c r="Y873" i="1" s="1"/>
  <c r="X873" i="1"/>
  <c r="W875" i="1"/>
  <c r="W878" i="1"/>
  <c r="W889" i="1"/>
  <c r="Y889" i="1" s="1"/>
  <c r="W890" i="1"/>
  <c r="W906" i="1"/>
  <c r="Y906" i="1" s="1"/>
  <c r="W915" i="1"/>
  <c r="W916" i="1"/>
  <c r="W917" i="1"/>
  <c r="W948" i="1"/>
  <c r="W968" i="1"/>
  <c r="Y968" i="1" s="1"/>
  <c r="X968" i="1"/>
  <c r="W980" i="1"/>
  <c r="W992" i="1"/>
  <c r="Y992" i="1" s="1"/>
  <c r="W993" i="1"/>
  <c r="Y993" i="1" s="1"/>
  <c r="X993" i="1"/>
  <c r="W994" i="1"/>
  <c r="W1008" i="1"/>
  <c r="W1010" i="1"/>
  <c r="W1019" i="1"/>
  <c r="W1020" i="1"/>
  <c r="Y1020" i="1" s="1"/>
  <c r="W1021" i="1"/>
  <c r="W1032" i="1"/>
  <c r="Y1032" i="1" s="1"/>
  <c r="W1034" i="1"/>
  <c r="Y1034" i="1" s="1"/>
  <c r="X1034" i="1"/>
  <c r="W1035" i="1"/>
  <c r="W1043" i="1"/>
  <c r="W1046" i="1"/>
  <c r="W1047" i="1"/>
  <c r="W1062" i="1"/>
  <c r="Y1062" i="1" s="1"/>
  <c r="W1075" i="1"/>
  <c r="W1079" i="1"/>
  <c r="W1083" i="1"/>
  <c r="W1102" i="1"/>
  <c r="W1119" i="1"/>
  <c r="Y1119" i="1" s="1"/>
  <c r="X1119" i="1"/>
  <c r="W1136" i="1"/>
  <c r="Y1136" i="1" s="1"/>
  <c r="W1151" i="1"/>
  <c r="Y1151" i="1" s="1"/>
  <c r="X1151" i="1"/>
  <c r="W1159" i="1"/>
  <c r="W1160" i="1"/>
  <c r="W1161" i="1"/>
  <c r="W1162" i="1"/>
  <c r="W1174" i="1"/>
  <c r="Y1174" i="1" s="1"/>
  <c r="X1174" i="1"/>
  <c r="W1193" i="1"/>
  <c r="W1207" i="1"/>
  <c r="W1244" i="1"/>
  <c r="Y1244" i="1" s="1"/>
  <c r="W1247" i="1"/>
  <c r="W1256" i="1"/>
  <c r="W1257" i="1"/>
  <c r="W1273" i="1"/>
  <c r="Y1273" i="1" s="1"/>
  <c r="W1283" i="1"/>
  <c r="Y1283" i="1" s="1"/>
  <c r="W1284" i="1"/>
  <c r="W1292" i="1"/>
  <c r="W1306" i="1"/>
  <c r="P38" i="5"/>
  <c r="S1310" i="1"/>
  <c r="Q38" i="5"/>
  <c r="R38" i="5"/>
  <c r="AB38" i="5" s="1"/>
  <c r="U38" i="5"/>
  <c r="S38" i="5"/>
  <c r="V38" i="5"/>
  <c r="T38" i="5"/>
  <c r="W38" i="5"/>
  <c r="AA3" i="5" l="1"/>
  <c r="M21" i="5"/>
  <c r="X38" i="5"/>
  <c r="Y38" i="5" s="1"/>
  <c r="AA38" i="5" s="1"/>
  <c r="Y790" i="1"/>
  <c r="X790" i="1"/>
  <c r="X947" i="1"/>
  <c r="X684" i="1"/>
  <c r="X944" i="1"/>
  <c r="X797" i="1"/>
  <c r="Y617" i="1"/>
  <c r="X617" i="1"/>
  <c r="X519" i="1"/>
  <c r="X45" i="1"/>
  <c r="Y367" i="1"/>
  <c r="X367" i="1"/>
  <c r="Y57" i="1"/>
  <c r="X57" i="1"/>
  <c r="X731" i="1"/>
  <c r="Y356" i="1"/>
  <c r="X356" i="1"/>
  <c r="X235" i="1"/>
  <c r="Y544" i="1"/>
  <c r="X544" i="1"/>
  <c r="Y527" i="1"/>
  <c r="X527" i="1"/>
  <c r="Y12" i="5"/>
  <c r="AA12" i="5" s="1"/>
  <c r="X786" i="1"/>
  <c r="Y253" i="1"/>
  <c r="X253" i="1"/>
  <c r="X365" i="1"/>
  <c r="X297" i="1"/>
  <c r="Y54" i="1"/>
  <c r="X54" i="1"/>
  <c r="X700" i="1"/>
  <c r="X341" i="1"/>
  <c r="Y164" i="1"/>
  <c r="X164" i="1"/>
  <c r="X208" i="1"/>
  <c r="Y698" i="1"/>
  <c r="X698" i="1"/>
  <c r="Y345" i="1"/>
  <c r="X345" i="1"/>
  <c r="X309" i="1"/>
  <c r="X1244" i="1"/>
  <c r="Y229" i="1"/>
  <c r="X229" i="1"/>
  <c r="X851" i="1"/>
  <c r="X614" i="1"/>
  <c r="X856" i="1"/>
  <c r="X1109" i="1"/>
  <c r="X1040" i="1"/>
  <c r="X145" i="1"/>
  <c r="Y708" i="1"/>
  <c r="X708" i="1"/>
  <c r="Y241" i="1"/>
  <c r="X241" i="1"/>
  <c r="X952" i="1"/>
  <c r="X891" i="1"/>
  <c r="X1133" i="1"/>
  <c r="X513" i="1"/>
  <c r="Y238" i="1"/>
  <c r="X238" i="1"/>
  <c r="X89" i="1"/>
  <c r="X342" i="1"/>
  <c r="X366" i="1"/>
  <c r="X1049" i="1"/>
  <c r="X1164" i="1"/>
  <c r="X685" i="1"/>
  <c r="X1020" i="1"/>
  <c r="X889" i="1"/>
  <c r="X816" i="1"/>
  <c r="X1180" i="1"/>
  <c r="X951" i="1"/>
  <c r="X771" i="1"/>
  <c r="X1157" i="1"/>
  <c r="Y423" i="1"/>
  <c r="X423" i="1"/>
  <c r="Y1027" i="1"/>
  <c r="X1027" i="1"/>
  <c r="X881" i="1"/>
  <c r="X833" i="1"/>
  <c r="X125" i="1"/>
  <c r="Y403" i="1"/>
  <c r="X403" i="1"/>
  <c r="Y433" i="1"/>
  <c r="X433" i="1"/>
  <c r="X11" i="1"/>
  <c r="Y63" i="1"/>
  <c r="X63" i="1"/>
  <c r="Y16" i="5"/>
  <c r="AA16" i="5" s="1"/>
  <c r="X820" i="1"/>
  <c r="Y754" i="1"/>
  <c r="X754" i="1"/>
  <c r="Y612" i="1"/>
  <c r="X612" i="1"/>
  <c r="Y504" i="1"/>
  <c r="X504" i="1"/>
  <c r="Y609" i="1"/>
  <c r="X609" i="1"/>
  <c r="X454" i="1"/>
  <c r="X1147" i="1"/>
  <c r="X648" i="1"/>
  <c r="X352" i="1"/>
  <c r="X149" i="1"/>
  <c r="X1283" i="1"/>
  <c r="X847" i="1"/>
  <c r="X768" i="1"/>
  <c r="X1099" i="1"/>
  <c r="X949" i="1"/>
  <c r="X849" i="1"/>
  <c r="X1219" i="1"/>
  <c r="X1266" i="1"/>
  <c r="X1305" i="1"/>
  <c r="Y647" i="1"/>
  <c r="X647" i="1"/>
  <c r="X582" i="1"/>
  <c r="X503" i="1"/>
  <c r="X957" i="1"/>
  <c r="X865" i="1"/>
  <c r="Y452" i="1"/>
  <c r="X452" i="1"/>
  <c r="X107" i="1"/>
  <c r="X758" i="1"/>
  <c r="X286" i="1"/>
  <c r="X224" i="1"/>
  <c r="X406" i="1"/>
  <c r="X401" i="1"/>
  <c r="X212" i="1"/>
  <c r="X183" i="1"/>
  <c r="X225" i="1"/>
  <c r="X15" i="1"/>
  <c r="X117" i="1"/>
  <c r="Y26" i="5"/>
  <c r="AA26" i="5" s="1"/>
  <c r="X1012" i="1"/>
  <c r="X798" i="1"/>
  <c r="X319" i="1"/>
  <c r="X59" i="1"/>
  <c r="X536" i="1"/>
  <c r="X287" i="1"/>
  <c r="X464" i="1"/>
  <c r="X153" i="1"/>
  <c r="X255" i="1"/>
  <c r="X167" i="1"/>
  <c r="X130" i="1"/>
  <c r="X590" i="1"/>
  <c r="X268" i="1"/>
  <c r="W1310" i="1"/>
  <c r="Y1310" i="1" s="1"/>
  <c r="Y818" i="1"/>
  <c r="X818" i="1"/>
  <c r="Y468" i="1"/>
  <c r="X468" i="1"/>
  <c r="X1082" i="1"/>
  <c r="Y1082" i="1"/>
  <c r="Y764" i="1"/>
  <c r="X764" i="1"/>
  <c r="X422" i="1"/>
  <c r="Y422" i="1"/>
  <c r="X593" i="1"/>
  <c r="Y593" i="1"/>
  <c r="Y250" i="1"/>
  <c r="X250" i="1"/>
  <c r="X360" i="1"/>
  <c r="Y360" i="1"/>
  <c r="X1172" i="1"/>
  <c r="Y1172" i="1"/>
  <c r="Y765" i="1"/>
  <c r="X765" i="1"/>
  <c r="Y981" i="1"/>
  <c r="X981" i="1"/>
  <c r="X1138" i="1"/>
  <c r="Y1138" i="1"/>
  <c r="X1265" i="1"/>
  <c r="Y1265" i="1"/>
  <c r="X882" i="1"/>
  <c r="Y882" i="1"/>
  <c r="X301" i="1"/>
  <c r="Y301" i="1"/>
  <c r="X1292" i="1"/>
  <c r="Y1292" i="1"/>
  <c r="X1195" i="1"/>
  <c r="Y1195" i="1"/>
  <c r="X1050" i="1"/>
  <c r="X1276" i="1"/>
  <c r="Y1276" i="1"/>
  <c r="X1135" i="1"/>
  <c r="Y1135" i="1"/>
  <c r="X870" i="1"/>
  <c r="Y1228" i="1"/>
  <c r="X1228" i="1"/>
  <c r="X1230" i="1"/>
  <c r="X965" i="1"/>
  <c r="Y965" i="1"/>
  <c r="X554" i="1"/>
  <c r="Y554" i="1"/>
  <c r="X1160" i="1"/>
  <c r="Y1160" i="1"/>
  <c r="X1297" i="1"/>
  <c r="Y1297" i="1"/>
  <c r="X1100" i="1"/>
  <c r="Y1100" i="1"/>
  <c r="X933" i="1"/>
  <c r="Y933" i="1"/>
  <c r="X950" i="1"/>
  <c r="Y950" i="1"/>
  <c r="X1139" i="1"/>
  <c r="Y1139" i="1"/>
  <c r="Y1238" i="1"/>
  <c r="X1238" i="1"/>
  <c r="X1108" i="1"/>
  <c r="Y1108" i="1"/>
  <c r="Y1090" i="1"/>
  <c r="X1090" i="1"/>
  <c r="X411" i="1"/>
  <c r="Y411" i="1"/>
  <c r="Y477" i="1"/>
  <c r="X477" i="1"/>
  <c r="X1134" i="1"/>
  <c r="Y1134" i="1"/>
  <c r="Y1010" i="1"/>
  <c r="X1010" i="1"/>
  <c r="Y1296" i="1"/>
  <c r="X1296" i="1"/>
  <c r="X1087" i="1"/>
  <c r="Y1087" i="1"/>
  <c r="X691" i="1"/>
  <c r="Y704" i="1"/>
  <c r="X704" i="1"/>
  <c r="X1257" i="1"/>
  <c r="Y1257" i="1"/>
  <c r="X1008" i="1"/>
  <c r="Y1008" i="1"/>
  <c r="X681" i="1"/>
  <c r="Y807" i="1"/>
  <c r="X807" i="1"/>
  <c r="X747" i="1"/>
  <c r="Y1308" i="1"/>
  <c r="X1308" i="1"/>
  <c r="X382" i="1"/>
  <c r="Y382" i="1"/>
  <c r="X1306" i="1"/>
  <c r="Y1306" i="1"/>
  <c r="Y1047" i="1"/>
  <c r="X1047" i="1"/>
  <c r="X713" i="1"/>
  <c r="Y713" i="1"/>
  <c r="Y855" i="1"/>
  <c r="X855" i="1"/>
  <c r="X1290" i="1"/>
  <c r="Y1290" i="1"/>
  <c r="X1235" i="1"/>
  <c r="Y1235" i="1"/>
  <c r="X1046" i="1"/>
  <c r="Y1046" i="1"/>
  <c r="Y1289" i="1"/>
  <c r="X1289" i="1"/>
  <c r="X1221" i="1"/>
  <c r="Y1221" i="1"/>
  <c r="Y940" i="1"/>
  <c r="X940" i="1"/>
  <c r="Y661" i="1"/>
  <c r="X661" i="1"/>
  <c r="Y1102" i="1"/>
  <c r="X1102" i="1"/>
  <c r="X1194" i="1"/>
  <c r="Y1194" i="1"/>
  <c r="X1064" i="1"/>
  <c r="Y1064" i="1"/>
  <c r="X1275" i="1"/>
  <c r="Y1275" i="1"/>
  <c r="X1179" i="1"/>
  <c r="Y1179" i="1"/>
  <c r="X936" i="1"/>
  <c r="Y936" i="1"/>
  <c r="Y753" i="1"/>
  <c r="X753" i="1"/>
  <c r="X1184" i="1"/>
  <c r="Y1184" i="1"/>
  <c r="X1104" i="1"/>
  <c r="Y1104" i="1"/>
  <c r="X1220" i="1"/>
  <c r="Y1220" i="1"/>
  <c r="X539" i="1"/>
  <c r="Y539" i="1"/>
  <c r="X394" i="1"/>
  <c r="Y394" i="1"/>
  <c r="X796" i="1"/>
  <c r="Y796" i="1"/>
  <c r="Y737" i="1"/>
  <c r="X737" i="1"/>
  <c r="X1083" i="1"/>
  <c r="Y1083" i="1"/>
  <c r="X1227" i="1"/>
  <c r="Y1227" i="1"/>
  <c r="X904" i="1"/>
  <c r="Y904" i="1"/>
  <c r="X1183" i="1"/>
  <c r="Y1183" i="1"/>
  <c r="X1271" i="1"/>
  <c r="Y1271" i="1"/>
  <c r="Y1161" i="1"/>
  <c r="X1161" i="1"/>
  <c r="Y980" i="1"/>
  <c r="X980" i="1"/>
  <c r="X917" i="1"/>
  <c r="Y917" i="1"/>
  <c r="X1260" i="1"/>
  <c r="X1086" i="1"/>
  <c r="Y1086" i="1"/>
  <c r="Y934" i="1"/>
  <c r="X934" i="1"/>
  <c r="X1300" i="1"/>
  <c r="Y1300" i="1"/>
  <c r="X984" i="1"/>
  <c r="Y984" i="1"/>
  <c r="X1237" i="1"/>
  <c r="Y1200" i="1"/>
  <c r="X1200" i="1"/>
  <c r="Y1267" i="1"/>
  <c r="X1267" i="1"/>
  <c r="X1132" i="1"/>
  <c r="Y1132" i="1"/>
  <c r="X959" i="1"/>
  <c r="Y959" i="1"/>
  <c r="X566" i="1"/>
  <c r="Y566" i="1"/>
  <c r="X522" i="1"/>
  <c r="Y522" i="1"/>
  <c r="Y613" i="1"/>
  <c r="X613" i="1"/>
  <c r="X1278" i="1"/>
  <c r="Y1278" i="1"/>
  <c r="X1201" i="1"/>
  <c r="Y1201" i="1"/>
  <c r="X1167" i="1"/>
  <c r="Y1167" i="1"/>
  <c r="X1268" i="1"/>
  <c r="Y1268" i="1"/>
  <c r="X1239" i="1"/>
  <c r="Y1239" i="1"/>
  <c r="X1269" i="1"/>
  <c r="Y1269" i="1"/>
  <c r="X1241" i="1"/>
  <c r="Y1241" i="1"/>
  <c r="X1281" i="1"/>
  <c r="Y1281" i="1"/>
  <c r="X975" i="1"/>
  <c r="Y975" i="1"/>
  <c r="X653" i="1"/>
  <c r="Y653" i="1"/>
  <c r="X607" i="1"/>
  <c r="Y607" i="1"/>
  <c r="X1069" i="1"/>
  <c r="Y1069" i="1"/>
  <c r="X1016" i="1"/>
  <c r="Y1016" i="1"/>
  <c r="X696" i="1"/>
  <c r="Y696" i="1"/>
  <c r="X592" i="1"/>
  <c r="Y592" i="1"/>
  <c r="X415" i="1"/>
  <c r="Y415" i="1"/>
  <c r="X361" i="1"/>
  <c r="Y361" i="1"/>
  <c r="X330" i="1"/>
  <c r="Y330" i="1"/>
  <c r="X976" i="1"/>
  <c r="Y976" i="1"/>
  <c r="X442" i="1"/>
  <c r="Y442" i="1"/>
  <c r="X425" i="1"/>
  <c r="Y425" i="1"/>
  <c r="X1097" i="1"/>
  <c r="X1054" i="1"/>
  <c r="Y1054" i="1"/>
  <c r="X973" i="1"/>
  <c r="Y973" i="1"/>
  <c r="X824" i="1"/>
  <c r="Y824" i="1"/>
  <c r="X1003" i="1"/>
  <c r="X966" i="1"/>
  <c r="Y966" i="1"/>
  <c r="X924" i="1"/>
  <c r="Y924" i="1"/>
  <c r="X838" i="1"/>
  <c r="Y838" i="1"/>
  <c r="X778" i="1"/>
  <c r="Y778" i="1"/>
  <c r="X1060" i="1"/>
  <c r="X1146" i="1"/>
  <c r="Y1146" i="1"/>
  <c r="X1044" i="1"/>
  <c r="X1007" i="1"/>
  <c r="Y1007" i="1"/>
  <c r="X914" i="1"/>
  <c r="X884" i="1"/>
  <c r="Y884" i="1"/>
  <c r="X983" i="1"/>
  <c r="Y983" i="1"/>
  <c r="X866" i="1"/>
  <c r="X666" i="1"/>
  <c r="Y666" i="1"/>
  <c r="X635" i="1"/>
  <c r="Y635" i="1"/>
  <c r="X499" i="1"/>
  <c r="Y499" i="1"/>
  <c r="X221" i="1"/>
  <c r="Y221" i="1"/>
  <c r="X84" i="1"/>
  <c r="Y84" i="1"/>
  <c r="X8" i="1"/>
  <c r="Y8" i="1"/>
  <c r="X156" i="1"/>
  <c r="Y156" i="1"/>
  <c r="X615" i="1"/>
  <c r="Y615" i="1"/>
  <c r="X559" i="1"/>
  <c r="Y559" i="1"/>
  <c r="X399" i="1"/>
  <c r="Y399" i="1"/>
  <c r="X222" i="1"/>
  <c r="Y222" i="1"/>
  <c r="X76" i="1"/>
  <c r="X792" i="1"/>
  <c r="Y792" i="1"/>
  <c r="X673" i="1"/>
  <c r="X599" i="1"/>
  <c r="Y599" i="1"/>
  <c r="X538" i="1"/>
  <c r="X445" i="1"/>
  <c r="Y445" i="1"/>
  <c r="X129" i="1"/>
  <c r="Y129" i="1"/>
  <c r="X50" i="1"/>
  <c r="Y50" i="1"/>
  <c r="X237" i="1"/>
  <c r="Y237" i="1"/>
  <c r="X113" i="1"/>
  <c r="Y113" i="1"/>
  <c r="X810" i="1"/>
  <c r="X795" i="1"/>
  <c r="Y795" i="1"/>
  <c r="X651" i="1"/>
  <c r="Y651" i="1"/>
  <c r="X603" i="1"/>
  <c r="Y603" i="1"/>
  <c r="X541" i="1"/>
  <c r="Y541" i="1"/>
  <c r="X480" i="1"/>
  <c r="Y480" i="1"/>
  <c r="X413" i="1"/>
  <c r="Y413" i="1"/>
  <c r="X390" i="1"/>
  <c r="X626" i="1"/>
  <c r="Y626" i="1"/>
  <c r="X571" i="1"/>
  <c r="Y571" i="1"/>
  <c r="X534" i="1"/>
  <c r="Y534" i="1"/>
  <c r="X478" i="1"/>
  <c r="Y478" i="1"/>
  <c r="X645" i="1"/>
  <c r="Y645" i="1"/>
  <c r="X515" i="1"/>
  <c r="Y515" i="1"/>
  <c r="X239" i="1"/>
  <c r="X163" i="1"/>
  <c r="Y163" i="1"/>
  <c r="X98" i="1"/>
  <c r="X26" i="1"/>
  <c r="Y26" i="1"/>
  <c r="X101" i="1"/>
  <c r="X284" i="1"/>
  <c r="Y284" i="1"/>
  <c r="X64" i="1"/>
  <c r="Y64" i="1"/>
  <c r="X32" i="1"/>
  <c r="X378" i="1"/>
  <c r="Y378" i="1"/>
  <c r="X160" i="1"/>
  <c r="X263" i="1"/>
  <c r="Y263" i="1"/>
  <c r="X79" i="1"/>
  <c r="Y79" i="1"/>
  <c r="X162" i="1"/>
  <c r="X41" i="1"/>
  <c r="Y41" i="1"/>
  <c r="X121" i="1"/>
  <c r="Y121" i="1"/>
  <c r="X457" i="1"/>
  <c r="Y457" i="1"/>
  <c r="X306" i="1"/>
  <c r="Y306" i="1"/>
  <c r="X789" i="1"/>
  <c r="Y789" i="1"/>
  <c r="X1130" i="1"/>
  <c r="Y1130" i="1"/>
  <c r="X868" i="1"/>
  <c r="Y868" i="1"/>
  <c r="X1039" i="1"/>
  <c r="Y1039" i="1"/>
  <c r="X346" i="1"/>
  <c r="Y346" i="1"/>
  <c r="X246" i="1"/>
  <c r="Y246" i="1"/>
  <c r="X220" i="1"/>
  <c r="Y220" i="1"/>
  <c r="X377" i="1"/>
  <c r="Y377" i="1"/>
  <c r="X147" i="1"/>
  <c r="Y147" i="1"/>
  <c r="X601" i="1"/>
  <c r="Y601" i="1"/>
  <c r="X548" i="1"/>
  <c r="Y548" i="1"/>
  <c r="X474" i="1"/>
  <c r="Y474" i="1"/>
  <c r="X389" i="1"/>
  <c r="Y389" i="1"/>
  <c r="X299" i="1"/>
  <c r="Y299" i="1"/>
  <c r="X215" i="1"/>
  <c r="Y215" i="1"/>
  <c r="X166" i="1"/>
  <c r="Y166" i="1"/>
  <c r="Y22" i="5"/>
  <c r="AA22" i="5" s="1"/>
  <c r="X189" i="1"/>
  <c r="Y189" i="1"/>
  <c r="X517" i="1"/>
  <c r="Y517" i="1"/>
  <c r="X434" i="1"/>
  <c r="Y434" i="1"/>
  <c r="X368" i="1"/>
  <c r="Y368" i="1"/>
  <c r="X305" i="1"/>
  <c r="Y305" i="1"/>
  <c r="X283" i="1"/>
  <c r="Y283" i="1"/>
  <c r="X86" i="1"/>
  <c r="Y86" i="1"/>
  <c r="X28" i="1"/>
  <c r="Y28" i="1"/>
  <c r="X869" i="1"/>
  <c r="Y869" i="1"/>
  <c r="X641" i="1"/>
  <c r="Y641" i="1"/>
  <c r="X586" i="1"/>
  <c r="Y586" i="1"/>
  <c r="X469" i="1"/>
  <c r="Y469" i="1"/>
  <c r="X624" i="1"/>
  <c r="Y624" i="1"/>
  <c r="X449" i="1"/>
  <c r="Y449" i="1"/>
  <c r="X755" i="1"/>
  <c r="Y755" i="1"/>
  <c r="X620" i="1"/>
  <c r="Y620" i="1"/>
  <c r="X509" i="1"/>
  <c r="Y509" i="1"/>
  <c r="Y20" i="5"/>
  <c r="AA20" i="5" s="1"/>
  <c r="X252" i="1"/>
  <c r="Y252" i="1"/>
  <c r="X22" i="1"/>
  <c r="Y22" i="1"/>
  <c r="X157" i="1"/>
  <c r="Y157" i="1"/>
  <c r="X213" i="1"/>
  <c r="Y213" i="1"/>
  <c r="X447" i="1"/>
  <c r="Y447" i="1"/>
  <c r="X285" i="1"/>
  <c r="Y285" i="1"/>
  <c r="X275" i="1"/>
  <c r="Y275" i="1"/>
  <c r="X1079" i="1"/>
  <c r="Y1079" i="1"/>
  <c r="X744" i="1"/>
  <c r="Y744" i="1"/>
  <c r="X763" i="1"/>
  <c r="Y763" i="1"/>
  <c r="X719" i="1"/>
  <c r="Y719" i="1"/>
  <c r="X290" i="1"/>
  <c r="Y290" i="1"/>
  <c r="X1005" i="1"/>
  <c r="Y1005" i="1"/>
  <c r="X899" i="1"/>
  <c r="Y899" i="1"/>
  <c r="X740" i="1"/>
  <c r="Y740" i="1"/>
  <c r="X649" i="1"/>
  <c r="Y649" i="1"/>
  <c r="X475" i="1"/>
  <c r="Y475" i="1"/>
  <c r="X359" i="1"/>
  <c r="Y359" i="1"/>
  <c r="X313" i="1"/>
  <c r="Y313" i="1"/>
  <c r="X1113" i="1"/>
  <c r="Y1113" i="1"/>
  <c r="X1011" i="1"/>
  <c r="Y1011" i="1"/>
  <c r="X699" i="1"/>
  <c r="Y699" i="1"/>
  <c r="X553" i="1"/>
  <c r="Y553" i="1"/>
  <c r="X437" i="1"/>
  <c r="Y437" i="1"/>
  <c r="X331" i="1"/>
  <c r="X1095" i="1"/>
  <c r="Y1095" i="1"/>
  <c r="X1051" i="1"/>
  <c r="X1014" i="1"/>
  <c r="X963" i="1"/>
  <c r="X913" i="1"/>
  <c r="X775" i="1"/>
  <c r="X1033" i="1"/>
  <c r="Y1033" i="1"/>
  <c r="X960" i="1"/>
  <c r="X1057" i="1"/>
  <c r="Y1057" i="1"/>
  <c r="X1004" i="1"/>
  <c r="X925" i="1"/>
  <c r="X1031" i="1"/>
  <c r="Y1031" i="1"/>
  <c r="X1001" i="1"/>
  <c r="X974" i="1"/>
  <c r="Y974" i="1"/>
  <c r="X937" i="1"/>
  <c r="X1114" i="1"/>
  <c r="Y1114" i="1"/>
  <c r="X1015" i="1"/>
  <c r="X978" i="1"/>
  <c r="X920" i="1"/>
  <c r="Y920" i="1"/>
  <c r="X774" i="1"/>
  <c r="Y774" i="1"/>
  <c r="X657" i="1"/>
  <c r="X627" i="1"/>
  <c r="Y627" i="1"/>
  <c r="X542" i="1"/>
  <c r="X485" i="1"/>
  <c r="X429" i="1"/>
  <c r="X343" i="1"/>
  <c r="X242" i="1"/>
  <c r="X198" i="1"/>
  <c r="Y198" i="1"/>
  <c r="X168" i="1"/>
  <c r="X120" i="1"/>
  <c r="Y120" i="1"/>
  <c r="X73" i="1"/>
  <c r="X27" i="1"/>
  <c r="Y27" i="1"/>
  <c r="X326" i="1"/>
  <c r="X815" i="1"/>
  <c r="Y815" i="1"/>
  <c r="X738" i="1"/>
  <c r="X588" i="1"/>
  <c r="X540" i="1"/>
  <c r="Y540" i="1"/>
  <c r="X471" i="1"/>
  <c r="Y471" i="1"/>
  <c r="X379" i="1"/>
  <c r="Y379" i="1"/>
  <c r="X354" i="1"/>
  <c r="X259" i="1"/>
  <c r="X186" i="1"/>
  <c r="Y186" i="1"/>
  <c r="X128" i="1"/>
  <c r="Y128" i="1"/>
  <c r="X75" i="1"/>
  <c r="Y75" i="1"/>
  <c r="X10" i="1"/>
  <c r="X61" i="1"/>
  <c r="X694" i="1"/>
  <c r="X660" i="1"/>
  <c r="X589" i="1"/>
  <c r="X535" i="1"/>
  <c r="Y535" i="1"/>
  <c r="X496" i="1"/>
  <c r="Y496" i="1"/>
  <c r="X432" i="1"/>
  <c r="Y432" i="1"/>
  <c r="X357" i="1"/>
  <c r="Y357" i="1"/>
  <c r="X273" i="1"/>
  <c r="Y273" i="1"/>
  <c r="X155" i="1"/>
  <c r="X135" i="1"/>
  <c r="X111" i="1"/>
  <c r="X20" i="1"/>
  <c r="Y20" i="1"/>
  <c r="X200" i="1"/>
  <c r="X728" i="1"/>
  <c r="X826" i="1"/>
  <c r="X779" i="1"/>
  <c r="X637" i="1"/>
  <c r="Y637" i="1"/>
  <c r="X526" i="1"/>
  <c r="X448" i="1"/>
  <c r="Y448" i="1"/>
  <c r="X334" i="1"/>
  <c r="Y334" i="1"/>
  <c r="X702" i="1"/>
  <c r="Y702" i="1"/>
  <c r="X644" i="1"/>
  <c r="Y644" i="1"/>
  <c r="X584" i="1"/>
  <c r="Y584" i="1"/>
  <c r="X533" i="1"/>
  <c r="Y533" i="1"/>
  <c r="X375" i="1"/>
  <c r="Y375" i="1"/>
  <c r="X338" i="1"/>
  <c r="X695" i="1"/>
  <c r="X568" i="1"/>
  <c r="X530" i="1"/>
  <c r="X741" i="1"/>
  <c r="X577" i="1"/>
  <c r="Y577" i="1"/>
  <c r="X495" i="1"/>
  <c r="Y495" i="1"/>
  <c r="X158" i="1"/>
  <c r="X52" i="1"/>
  <c r="Y52" i="1"/>
  <c r="X13" i="1"/>
  <c r="X218" i="1"/>
  <c r="Y218" i="1"/>
  <c r="X38" i="1"/>
  <c r="X370" i="1"/>
  <c r="X258" i="1"/>
  <c r="Y258" i="1"/>
  <c r="X209" i="1"/>
  <c r="Y209" i="1"/>
  <c r="X122" i="1"/>
  <c r="Y122" i="1"/>
  <c r="X31" i="1"/>
  <c r="X25" i="1"/>
  <c r="X138" i="1"/>
  <c r="Y138" i="1"/>
  <c r="X6" i="1"/>
  <c r="Y6" i="1"/>
  <c r="X210" i="1"/>
  <c r="X230" i="1"/>
  <c r="X140" i="1"/>
  <c r="Y140" i="1"/>
  <c r="X193" i="1"/>
  <c r="Y193" i="1"/>
  <c r="X82" i="1"/>
  <c r="X34" i="1"/>
  <c r="X298" i="1"/>
  <c r="Y298" i="1"/>
  <c r="X69" i="1"/>
  <c r="X256" i="1"/>
  <c r="X211" i="1"/>
  <c r="X1256" i="1"/>
  <c r="Y1256" i="1"/>
  <c r="X1043" i="1"/>
  <c r="Y1043" i="1"/>
  <c r="X971" i="1"/>
  <c r="Y971" i="1"/>
  <c r="X1255" i="1"/>
  <c r="Y1255" i="1"/>
  <c r="X248" i="1"/>
  <c r="X739" i="1"/>
  <c r="Y739" i="1"/>
  <c r="X451" i="1"/>
  <c r="Y451" i="1"/>
  <c r="X416" i="1"/>
  <c r="X929" i="1"/>
  <c r="Y929" i="1"/>
  <c r="X1058" i="1"/>
  <c r="Y1058" i="1"/>
  <c r="X911" i="1"/>
  <c r="Y911" i="1"/>
  <c r="X736" i="1"/>
  <c r="Y736" i="1"/>
  <c r="X524" i="1"/>
  <c r="Y524" i="1"/>
  <c r="X419" i="1"/>
  <c r="Y419" i="1"/>
  <c r="X197" i="1"/>
  <c r="Y197" i="1"/>
  <c r="X103" i="1"/>
  <c r="Y103" i="1"/>
  <c r="X49" i="1"/>
  <c r="Y49" i="1"/>
  <c r="X720" i="1"/>
  <c r="Y720" i="1"/>
  <c r="X337" i="1"/>
  <c r="Y337" i="1"/>
  <c r="X126" i="1"/>
  <c r="Y126" i="1"/>
  <c r="X689" i="1"/>
  <c r="Y689" i="1"/>
  <c r="X532" i="1"/>
  <c r="Y532" i="1"/>
  <c r="X417" i="1"/>
  <c r="Y417" i="1"/>
  <c r="X267" i="1"/>
  <c r="Y267" i="1"/>
  <c r="X187" i="1"/>
  <c r="Y187" i="1"/>
  <c r="X300" i="1"/>
  <c r="Y300" i="1"/>
  <c r="X191" i="1"/>
  <c r="Y191" i="1"/>
  <c r="X671" i="1"/>
  <c r="X625" i="1"/>
  <c r="Y625" i="1"/>
  <c r="X511" i="1"/>
  <c r="Y511" i="1"/>
  <c r="X863" i="1"/>
  <c r="Y863" i="1"/>
  <c r="X581" i="1"/>
  <c r="Y581" i="1"/>
  <c r="X512" i="1"/>
  <c r="Y512" i="1"/>
  <c r="X446" i="1"/>
  <c r="X372" i="1"/>
  <c r="Y372" i="1"/>
  <c r="X355" i="1"/>
  <c r="X327" i="1"/>
  <c r="Y327" i="1"/>
  <c r="X600" i="1"/>
  <c r="X558" i="1"/>
  <c r="Y558" i="1"/>
  <c r="X518" i="1"/>
  <c r="Y518" i="1"/>
  <c r="X418" i="1"/>
  <c r="Y418" i="1"/>
  <c r="X528" i="1"/>
  <c r="Y528" i="1"/>
  <c r="X465" i="1"/>
  <c r="Y465" i="1"/>
  <c r="X42" i="1"/>
  <c r="X318" i="1"/>
  <c r="X114" i="1"/>
  <c r="X339" i="1"/>
  <c r="Y339" i="1"/>
  <c r="X204" i="1"/>
  <c r="X96" i="1"/>
  <c r="Y96" i="1"/>
  <c r="X142" i="1"/>
  <c r="Y142" i="1"/>
  <c r="X112" i="1"/>
  <c r="X179" i="1"/>
  <c r="Y179" i="1"/>
  <c r="X93" i="1"/>
  <c r="Y93" i="1"/>
  <c r="X152" i="1"/>
  <c r="Y152" i="1"/>
  <c r="X178" i="1"/>
  <c r="Y178" i="1"/>
  <c r="X123" i="1"/>
  <c r="X174" i="1"/>
  <c r="Y174" i="1"/>
  <c r="X67" i="1"/>
  <c r="X217" i="1"/>
  <c r="X388" i="1"/>
  <c r="Y388" i="1"/>
  <c r="Y27" i="5"/>
  <c r="AA27" i="5" s="1"/>
  <c r="X1284" i="1"/>
  <c r="Y1284" i="1"/>
  <c r="X994" i="1"/>
  <c r="Y994" i="1"/>
  <c r="X862" i="1"/>
  <c r="Y862" i="1"/>
  <c r="X1038" i="1"/>
  <c r="Y1038" i="1"/>
  <c r="X314" i="1"/>
  <c r="Y314" i="1"/>
  <c r="X560" i="1"/>
  <c r="Y560" i="1"/>
  <c r="X350" i="1"/>
  <c r="Y350" i="1"/>
  <c r="X555" i="1"/>
  <c r="Y555" i="1"/>
  <c r="X498" i="1"/>
  <c r="Y498" i="1"/>
  <c r="X470" i="1"/>
  <c r="X697" i="1"/>
  <c r="Y697" i="1"/>
  <c r="X332" i="1"/>
  <c r="Y332" i="1"/>
  <c r="X12" i="1"/>
  <c r="Y12" i="1"/>
  <c r="X207" i="1"/>
  <c r="X159" i="1"/>
  <c r="Y159" i="1"/>
  <c r="X95" i="1"/>
  <c r="Y95" i="1"/>
  <c r="X66" i="1"/>
  <c r="X55" i="1"/>
  <c r="Y55" i="1"/>
  <c r="X102" i="1"/>
  <c r="Y102" i="1"/>
  <c r="X88" i="1"/>
  <c r="Y88" i="1"/>
  <c r="X5" i="1"/>
  <c r="X265" i="1"/>
  <c r="X321" i="1"/>
  <c r="X177" i="1"/>
  <c r="Y177" i="1"/>
  <c r="X1207" i="1"/>
  <c r="Y1207" i="1"/>
  <c r="X916" i="1"/>
  <c r="Y916" i="1"/>
  <c r="X1229" i="1"/>
  <c r="Y1229" i="1"/>
  <c r="X1092" i="1"/>
  <c r="Y1092" i="1"/>
  <c r="X1264" i="1"/>
  <c r="Y1264" i="1"/>
  <c r="X1156" i="1"/>
  <c r="Y1156" i="1"/>
  <c r="X1145" i="1"/>
  <c r="Y1145" i="1"/>
  <c r="X1101" i="1"/>
  <c r="Y1101" i="1"/>
  <c r="X930" i="1"/>
  <c r="Y930" i="1"/>
  <c r="X782" i="1"/>
  <c r="Y782" i="1"/>
  <c r="X591" i="1"/>
  <c r="Y591" i="1"/>
  <c r="X1035" i="1"/>
  <c r="Y1035" i="1"/>
  <c r="X875" i="1"/>
  <c r="Y875" i="1"/>
  <c r="X1225" i="1"/>
  <c r="Y1225" i="1"/>
  <c r="X1121" i="1"/>
  <c r="X682" i="1"/>
  <c r="X1036" i="1"/>
  <c r="Y1036" i="1"/>
  <c r="X1218" i="1"/>
  <c r="X1217" i="1"/>
  <c r="X693" i="1"/>
  <c r="Y693" i="1"/>
  <c r="X288" i="1"/>
  <c r="Y288" i="1"/>
  <c r="X1002" i="1"/>
  <c r="Y1002" i="1"/>
  <c r="X351" i="1"/>
  <c r="Y351" i="1"/>
  <c r="X260" i="1"/>
  <c r="X938" i="1"/>
  <c r="X837" i="1"/>
  <c r="Y837" i="1"/>
  <c r="X688" i="1"/>
  <c r="Y688" i="1"/>
  <c r="X552" i="1"/>
  <c r="Y552" i="1"/>
  <c r="X315" i="1"/>
  <c r="Y315" i="1"/>
  <c r="X910" i="1"/>
  <c r="Y910" i="1"/>
  <c r="X998" i="1"/>
  <c r="X812" i="1"/>
  <c r="X918" i="1"/>
  <c r="Y918" i="1"/>
  <c r="X781" i="1"/>
  <c r="Y781" i="1"/>
  <c r="X1210" i="1"/>
  <c r="Y1210" i="1"/>
  <c r="X956" i="1"/>
  <c r="X854" i="1"/>
  <c r="X752" i="1"/>
  <c r="X1303" i="1"/>
  <c r="Y1303" i="1"/>
  <c r="X1169" i="1"/>
  <c r="Y1169" i="1"/>
  <c r="X521" i="1"/>
  <c r="Y521" i="1"/>
  <c r="X459" i="1"/>
  <c r="Y459" i="1"/>
  <c r="X328" i="1"/>
  <c r="X921" i="1"/>
  <c r="Y921" i="1"/>
  <c r="X578" i="1"/>
  <c r="X349" i="1"/>
  <c r="Y349" i="1"/>
  <c r="X785" i="1"/>
  <c r="Y785" i="1"/>
  <c r="X630" i="1"/>
  <c r="Y630" i="1"/>
  <c r="X551" i="1"/>
  <c r="Y551" i="1"/>
  <c r="X903" i="1"/>
  <c r="Y903" i="1"/>
  <c r="X1028" i="1"/>
  <c r="X900" i="1"/>
  <c r="Y900" i="1"/>
  <c r="X988" i="1"/>
  <c r="X825" i="1"/>
  <c r="Y825" i="1"/>
  <c r="X1029" i="1"/>
  <c r="X1055" i="1"/>
  <c r="Y1055" i="1"/>
  <c r="X585" i="1"/>
  <c r="Y585" i="1"/>
  <c r="X493" i="1"/>
  <c r="X336" i="1"/>
  <c r="Y336" i="1"/>
  <c r="X184" i="1"/>
  <c r="X72" i="1"/>
  <c r="X320" i="1"/>
  <c r="Y320" i="1"/>
  <c r="X202" i="1"/>
  <c r="Y202" i="1"/>
  <c r="X500" i="1"/>
  <c r="Y500" i="1"/>
  <c r="X667" i="1"/>
  <c r="Y667" i="1"/>
  <c r="X809" i="1"/>
  <c r="Y809" i="1"/>
  <c r="X407" i="1"/>
  <c r="X1062" i="1"/>
  <c r="X1019" i="1"/>
  <c r="Y1019" i="1"/>
  <c r="X992" i="1"/>
  <c r="X846" i="1"/>
  <c r="Y846" i="1"/>
  <c r="X1246" i="1"/>
  <c r="Y1246" i="1"/>
  <c r="X1224" i="1"/>
  <c r="X1182" i="1"/>
  <c r="Y1182" i="1"/>
  <c r="X1091" i="1"/>
  <c r="X1059" i="1"/>
  <c r="Y1059" i="1"/>
  <c r="X955" i="1"/>
  <c r="X907" i="1"/>
  <c r="X876" i="1"/>
  <c r="Y876" i="1"/>
  <c r="X822" i="1"/>
  <c r="X805" i="1"/>
  <c r="Y805" i="1"/>
  <c r="X706" i="1"/>
  <c r="X680" i="1"/>
  <c r="X1285" i="1"/>
  <c r="Y1285" i="1"/>
  <c r="X1248" i="1"/>
  <c r="Y1248" i="1"/>
  <c r="X1209" i="1"/>
  <c r="Y1209" i="1"/>
  <c r="X1105" i="1"/>
  <c r="X1066" i="1"/>
  <c r="Y1066" i="1"/>
  <c r="X808" i="1"/>
  <c r="X750" i="1"/>
  <c r="Y750" i="1"/>
  <c r="X716" i="1"/>
  <c r="Y716" i="1"/>
  <c r="X1198" i="1"/>
  <c r="Y1198" i="1"/>
  <c r="X1301" i="1"/>
  <c r="Y1301" i="1"/>
  <c r="X1262" i="1"/>
  <c r="Y1262" i="1"/>
  <c r="X1234" i="1"/>
  <c r="X1203" i="1"/>
  <c r="Y1203" i="1"/>
  <c r="X1197" i="1"/>
  <c r="X1253" i="1"/>
  <c r="X1214" i="1"/>
  <c r="Y1214" i="1"/>
  <c r="X1143" i="1"/>
  <c r="Y1143" i="1"/>
  <c r="X1302" i="1"/>
  <c r="Y1302" i="1"/>
  <c r="X1243" i="1"/>
  <c r="Y1243" i="1"/>
  <c r="X1291" i="1"/>
  <c r="X1223" i="1"/>
  <c r="X1190" i="1"/>
  <c r="Y1190" i="1"/>
  <c r="X989" i="1"/>
  <c r="Y989" i="1"/>
  <c r="X923" i="1"/>
  <c r="X858" i="1"/>
  <c r="X769" i="1"/>
  <c r="X610" i="1"/>
  <c r="X549" i="1"/>
  <c r="X506" i="1"/>
  <c r="X487" i="1"/>
  <c r="Y487" i="1"/>
  <c r="X455" i="1"/>
  <c r="Y455" i="1"/>
  <c r="X323" i="1"/>
  <c r="X226" i="1"/>
  <c r="Y226" i="1"/>
  <c r="X840" i="1"/>
  <c r="Y840" i="1"/>
  <c r="X788" i="1"/>
  <c r="X732" i="1"/>
  <c r="X669" i="1"/>
  <c r="X632" i="1"/>
  <c r="X595" i="1"/>
  <c r="Y595" i="1"/>
  <c r="X567" i="1"/>
  <c r="Y567" i="1"/>
  <c r="X456" i="1"/>
  <c r="X384" i="1"/>
  <c r="X293" i="1"/>
  <c r="Y293" i="1"/>
  <c r="X864" i="1"/>
  <c r="X832" i="1"/>
  <c r="X629" i="1"/>
  <c r="Y629" i="1"/>
  <c r="X597" i="1"/>
  <c r="X508" i="1"/>
  <c r="Y508" i="1"/>
  <c r="X397" i="1"/>
  <c r="X302" i="1"/>
  <c r="Y302" i="1"/>
  <c r="X261" i="1"/>
  <c r="X1067" i="1"/>
  <c r="Y1067" i="1"/>
  <c r="X794" i="1"/>
  <c r="Y794" i="1"/>
  <c r="X756" i="1"/>
  <c r="Y756" i="1"/>
  <c r="X995" i="1"/>
  <c r="X844" i="1"/>
  <c r="Y844" i="1"/>
  <c r="X757" i="1"/>
  <c r="X1077" i="1"/>
  <c r="X926" i="1"/>
  <c r="X909" i="1"/>
  <c r="X718" i="1"/>
  <c r="X575" i="1"/>
  <c r="Y575" i="1"/>
  <c r="X280" i="1"/>
  <c r="X185" i="1"/>
  <c r="X143" i="1"/>
  <c r="Y143" i="1"/>
  <c r="X264" i="1"/>
  <c r="X62" i="1"/>
  <c r="Y62" i="1"/>
  <c r="X580" i="1"/>
  <c r="Y580" i="1"/>
  <c r="X488" i="1"/>
  <c r="Y488" i="1"/>
  <c r="X444" i="1"/>
  <c r="Y444" i="1"/>
  <c r="X105" i="1"/>
  <c r="Y105" i="1"/>
  <c r="X14" i="1"/>
  <c r="Y14" i="1"/>
  <c r="X262" i="1"/>
  <c r="Y262" i="1"/>
  <c r="X131" i="1"/>
  <c r="X842" i="1"/>
  <c r="X687" i="1"/>
  <c r="X622" i="1"/>
  <c r="Y622" i="1"/>
  <c r="X529" i="1"/>
  <c r="X466" i="1"/>
  <c r="Y466" i="1"/>
  <c r="X340" i="1"/>
  <c r="Y340" i="1"/>
  <c r="X247" i="1"/>
  <c r="Y247" i="1"/>
  <c r="X201" i="1"/>
  <c r="Y201" i="1"/>
  <c r="X173" i="1"/>
  <c r="X133" i="1"/>
  <c r="Y133" i="1"/>
  <c r="X104" i="1"/>
  <c r="Y104" i="1"/>
  <c r="X281" i="1"/>
  <c r="X175" i="1"/>
  <c r="X710" i="1"/>
  <c r="Y710" i="1"/>
  <c r="X602" i="1"/>
  <c r="X813" i="1"/>
  <c r="X611" i="1"/>
  <c r="Y611" i="1"/>
  <c r="X557" i="1"/>
  <c r="Y557" i="1"/>
  <c r="X514" i="1"/>
  <c r="Y514" i="1"/>
  <c r="X420" i="1"/>
  <c r="Y420" i="1"/>
  <c r="X674" i="1"/>
  <c r="Y674" i="1"/>
  <c r="X573" i="1"/>
  <c r="X443" i="1"/>
  <c r="X404" i="1"/>
  <c r="Y404" i="1"/>
  <c r="X369" i="1"/>
  <c r="X494" i="1"/>
  <c r="Y494" i="1"/>
  <c r="X408" i="1"/>
  <c r="X686" i="1"/>
  <c r="Y686" i="1"/>
  <c r="X324" i="1"/>
  <c r="Y324" i="1"/>
  <c r="X141" i="1"/>
  <c r="Y141" i="1"/>
  <c r="X37" i="1"/>
  <c r="Y37" i="1"/>
  <c r="X139" i="1"/>
  <c r="Y139" i="1"/>
  <c r="X16" i="1"/>
  <c r="X353" i="1"/>
  <c r="X195" i="1"/>
  <c r="X206" i="1"/>
  <c r="Y206" i="1"/>
  <c r="X296" i="1"/>
  <c r="Y296" i="1"/>
  <c r="X194" i="1"/>
  <c r="Y194" i="1"/>
  <c r="X116" i="1"/>
  <c r="X304" i="1"/>
  <c r="Y304" i="1"/>
  <c r="X65" i="1"/>
  <c r="Y65" i="1"/>
  <c r="X80" i="1"/>
  <c r="Y80" i="1"/>
  <c r="X438" i="1"/>
  <c r="X94" i="1"/>
  <c r="X7" i="1"/>
  <c r="Y7" i="1"/>
  <c r="X205" i="1"/>
  <c r="Y205" i="1"/>
  <c r="Y31" i="5"/>
  <c r="AA31" i="5" s="1"/>
  <c r="Y35" i="5"/>
  <c r="AA35" i="5" s="1"/>
  <c r="Y25" i="5"/>
  <c r="AA25" i="5" s="1"/>
  <c r="Y9" i="5"/>
  <c r="AA9" i="5" s="1"/>
  <c r="X1021" i="1"/>
  <c r="Y1021" i="1"/>
  <c r="X1226" i="1"/>
  <c r="Y1226" i="1"/>
  <c r="X1085" i="1"/>
  <c r="Y1085" i="1"/>
  <c r="X848" i="1"/>
  <c r="Y848" i="1"/>
  <c r="X1287" i="1"/>
  <c r="Y1287" i="1"/>
  <c r="X1154" i="1"/>
  <c r="Y1154" i="1"/>
  <c r="X1131" i="1"/>
  <c r="Y1131" i="1"/>
  <c r="X1270" i="1"/>
  <c r="Y1270" i="1"/>
  <c r="X999" i="1"/>
  <c r="Y999" i="1"/>
  <c r="X701" i="1"/>
  <c r="Y701" i="1"/>
  <c r="X915" i="1"/>
  <c r="Y915" i="1"/>
  <c r="X743" i="1"/>
  <c r="Y743" i="1"/>
  <c r="X1295" i="1"/>
  <c r="Y1295" i="1"/>
  <c r="X1259" i="1"/>
  <c r="X1211" i="1"/>
  <c r="Y1211" i="1"/>
  <c r="X1116" i="1"/>
  <c r="Y1116" i="1"/>
  <c r="X919" i="1"/>
  <c r="Y919" i="1"/>
  <c r="X745" i="1"/>
  <c r="Y745" i="1"/>
  <c r="X1213" i="1"/>
  <c r="X1304" i="1"/>
  <c r="Y1304" i="1"/>
  <c r="X1307" i="1"/>
  <c r="Y1307" i="1"/>
  <c r="X1205" i="1"/>
  <c r="Y1205" i="1"/>
  <c r="X777" i="1"/>
  <c r="Y777" i="1"/>
  <c r="X885" i="1"/>
  <c r="Y885" i="1"/>
  <c r="X393" i="1"/>
  <c r="X303" i="1"/>
  <c r="Y303" i="1"/>
  <c r="X631" i="1"/>
  <c r="X492" i="1"/>
  <c r="X266" i="1"/>
  <c r="X1009" i="1"/>
  <c r="Y1009" i="1"/>
  <c r="X1106" i="1"/>
  <c r="Y1106" i="1"/>
  <c r="X859" i="1"/>
  <c r="Y859" i="1"/>
  <c r="X1096" i="1"/>
  <c r="X1061" i="1"/>
  <c r="X964" i="1"/>
  <c r="X749" i="1"/>
  <c r="X1251" i="1"/>
  <c r="Y1251" i="1"/>
  <c r="X1022" i="1"/>
  <c r="Y1022" i="1"/>
  <c r="X908" i="1"/>
  <c r="Y908" i="1"/>
  <c r="X831" i="1"/>
  <c r="Y831" i="1"/>
  <c r="X1208" i="1"/>
  <c r="Y1208" i="1"/>
  <c r="X1187" i="1"/>
  <c r="Y1187" i="1"/>
  <c r="X1144" i="1"/>
  <c r="X1254" i="1"/>
  <c r="Y1254" i="1"/>
  <c r="X490" i="1"/>
  <c r="X1056" i="1"/>
  <c r="X853" i="1"/>
  <c r="Y853" i="1"/>
  <c r="X675" i="1"/>
  <c r="Y675" i="1"/>
  <c r="X670" i="1"/>
  <c r="Y670" i="1"/>
  <c r="X857" i="1"/>
  <c r="Y857" i="1"/>
  <c r="X969" i="1"/>
  <c r="X828" i="1"/>
  <c r="Y828" i="1"/>
  <c r="X236" i="1"/>
  <c r="Y236" i="1"/>
  <c r="X572" i="1"/>
  <c r="X409" i="1"/>
  <c r="Y409" i="1"/>
  <c r="X254" i="1"/>
  <c r="Y254" i="1"/>
  <c r="X134" i="1"/>
  <c r="X633" i="1"/>
  <c r="X430" i="1"/>
  <c r="X623" i="1"/>
  <c r="X335" i="1"/>
  <c r="Y335" i="1"/>
  <c r="X1273" i="1"/>
  <c r="X1247" i="1"/>
  <c r="Y1247" i="1"/>
  <c r="X1162" i="1"/>
  <c r="Y1162" i="1"/>
  <c r="X1136" i="1"/>
  <c r="X1032" i="1"/>
  <c r="X948" i="1"/>
  <c r="Y948" i="1"/>
  <c r="X906" i="1"/>
  <c r="X872" i="1"/>
  <c r="X845" i="1"/>
  <c r="Y845" i="1"/>
  <c r="X804" i="1"/>
  <c r="X734" i="1"/>
  <c r="Y734" i="1"/>
  <c r="X1298" i="1"/>
  <c r="X1245" i="1"/>
  <c r="Y1245" i="1"/>
  <c r="X1140" i="1"/>
  <c r="Y1140" i="1"/>
  <c r="X982" i="1"/>
  <c r="Y982" i="1"/>
  <c r="X935" i="1"/>
  <c r="Y935" i="1"/>
  <c r="X871" i="1"/>
  <c r="Y871" i="1"/>
  <c r="X850" i="1"/>
  <c r="X772" i="1"/>
  <c r="X664" i="1"/>
  <c r="Y664" i="1"/>
  <c r="X1232" i="1"/>
  <c r="Y1232" i="1"/>
  <c r="X1181" i="1"/>
  <c r="Y1181" i="1"/>
  <c r="X1141" i="1"/>
  <c r="X1103" i="1"/>
  <c r="Y1103" i="1"/>
  <c r="X953" i="1"/>
  <c r="X892" i="1"/>
  <c r="X852" i="1"/>
  <c r="X821" i="1"/>
  <c r="Y821" i="1"/>
  <c r="X724" i="1"/>
  <c r="Y724" i="1"/>
  <c r="X714" i="1"/>
  <c r="Y714" i="1"/>
  <c r="X1166" i="1"/>
  <c r="Y1166" i="1"/>
  <c r="X1126" i="1"/>
  <c r="X1299" i="1"/>
  <c r="Y1299" i="1"/>
  <c r="X1252" i="1"/>
  <c r="Y1252" i="1"/>
  <c r="X1233" i="1"/>
  <c r="Y1233" i="1"/>
  <c r="X1185" i="1"/>
  <c r="Y1185" i="1"/>
  <c r="X1142" i="1"/>
  <c r="X1280" i="1"/>
  <c r="X1186" i="1"/>
  <c r="X1111" i="1"/>
  <c r="Y1111" i="1"/>
  <c r="X1053" i="1"/>
  <c r="X946" i="1"/>
  <c r="X787" i="1"/>
  <c r="X761" i="1"/>
  <c r="Y761" i="1"/>
  <c r="X421" i="1"/>
  <c r="Y421" i="1"/>
  <c r="X391" i="1"/>
  <c r="Y391" i="1"/>
  <c r="X272" i="1"/>
  <c r="Y272" i="1"/>
  <c r="X1158" i="1"/>
  <c r="Y1158" i="1"/>
  <c r="X1037" i="1"/>
  <c r="X962" i="1"/>
  <c r="X834" i="1"/>
  <c r="X594" i="1"/>
  <c r="X550" i="1"/>
  <c r="Y550" i="1"/>
  <c r="X491" i="1"/>
  <c r="Y491" i="1"/>
  <c r="X440" i="1"/>
  <c r="Y440" i="1"/>
  <c r="X362" i="1"/>
  <c r="X348" i="1"/>
  <c r="X291" i="1"/>
  <c r="Y291" i="1"/>
  <c r="X1150" i="1"/>
  <c r="Y1150" i="1"/>
  <c r="X987" i="1"/>
  <c r="X886" i="1"/>
  <c r="Y886" i="1"/>
  <c r="X861" i="1"/>
  <c r="X811" i="1"/>
  <c r="Y811" i="1"/>
  <c r="X655" i="1"/>
  <c r="X628" i="1"/>
  <c r="Y628" i="1"/>
  <c r="X596" i="1"/>
  <c r="Y596" i="1"/>
  <c r="X427" i="1"/>
  <c r="Y427" i="1"/>
  <c r="X396" i="1"/>
  <c r="Y396" i="1"/>
  <c r="X997" i="1"/>
  <c r="Y997" i="1"/>
  <c r="X867" i="1"/>
  <c r="Y867" i="1"/>
  <c r="X791" i="1"/>
  <c r="Y791" i="1"/>
  <c r="X1115" i="1"/>
  <c r="Y1115" i="1"/>
  <c r="X1093" i="1"/>
  <c r="Y1093" i="1"/>
  <c r="X1025" i="1"/>
  <c r="X760" i="1"/>
  <c r="X1073" i="1"/>
  <c r="Y1073" i="1"/>
  <c r="X961" i="1"/>
  <c r="X895" i="1"/>
  <c r="X841" i="1"/>
  <c r="X1173" i="1"/>
  <c r="X1074" i="1"/>
  <c r="Y1074" i="1"/>
  <c r="X1023" i="1"/>
  <c r="X896" i="1"/>
  <c r="Y896" i="1"/>
  <c r="X692" i="1"/>
  <c r="X638" i="1"/>
  <c r="X561" i="1"/>
  <c r="Y561" i="1"/>
  <c r="X502" i="1"/>
  <c r="X402" i="1"/>
  <c r="Y402" i="1"/>
  <c r="X322" i="1"/>
  <c r="Y322" i="1"/>
  <c r="X269" i="1"/>
  <c r="Y269" i="1"/>
  <c r="X182" i="1"/>
  <c r="Y182" i="1"/>
  <c r="X87" i="1"/>
  <c r="Y87" i="1"/>
  <c r="X44" i="1"/>
  <c r="X9" i="1"/>
  <c r="X21" i="1"/>
  <c r="X240" i="1"/>
  <c r="Y240" i="1"/>
  <c r="X30" i="1"/>
  <c r="Y30" i="1"/>
  <c r="X662" i="1"/>
  <c r="Y662" i="1"/>
  <c r="X564" i="1"/>
  <c r="X482" i="1"/>
  <c r="Y482" i="1"/>
  <c r="X412" i="1"/>
  <c r="X371" i="1"/>
  <c r="X170" i="1"/>
  <c r="X486" i="1"/>
  <c r="Y486" i="1"/>
  <c r="X244" i="1"/>
  <c r="Y244" i="1"/>
  <c r="X108" i="1"/>
  <c r="Y108" i="1"/>
  <c r="X823" i="1"/>
  <c r="X683" i="1"/>
  <c r="Y683" i="1"/>
  <c r="X618" i="1"/>
  <c r="Y618" i="1"/>
  <c r="X569" i="1"/>
  <c r="X525" i="1"/>
  <c r="Y525" i="1"/>
  <c r="X316" i="1"/>
  <c r="Y316" i="1"/>
  <c r="X289" i="1"/>
  <c r="Y289" i="1"/>
  <c r="X199" i="1"/>
  <c r="Y199" i="1"/>
  <c r="X172" i="1"/>
  <c r="Y172" i="1"/>
  <c r="X146" i="1"/>
  <c r="X91" i="1"/>
  <c r="Y91" i="1"/>
  <c r="X703" i="1"/>
  <c r="Y703" i="1"/>
  <c r="X656" i="1"/>
  <c r="Y656" i="1"/>
  <c r="X543" i="1"/>
  <c r="Y543" i="1"/>
  <c r="X751" i="1"/>
  <c r="X663" i="1"/>
  <c r="X619" i="1"/>
  <c r="X497" i="1"/>
  <c r="X363" i="1"/>
  <c r="Y363" i="1"/>
  <c r="X587" i="1"/>
  <c r="Y587" i="1"/>
  <c r="X547" i="1"/>
  <c r="X467" i="1"/>
  <c r="X400" i="1"/>
  <c r="Y400" i="1"/>
  <c r="X672" i="1"/>
  <c r="Y672" i="1"/>
  <c r="X169" i="1"/>
  <c r="Y169" i="1"/>
  <c r="X83" i="1"/>
  <c r="Y83" i="1"/>
  <c r="X161" i="1"/>
  <c r="X119" i="1"/>
  <c r="Y119" i="1"/>
  <c r="X282" i="1"/>
  <c r="Y282" i="1"/>
  <c r="X192" i="1"/>
  <c r="Y192" i="1"/>
  <c r="X33" i="1"/>
  <c r="X386" i="1"/>
  <c r="Y386" i="1"/>
  <c r="X295" i="1"/>
  <c r="Y295" i="1"/>
  <c r="X36" i="1"/>
  <c r="X56" i="1"/>
  <c r="X23" i="1"/>
  <c r="Y23" i="1"/>
  <c r="X307" i="1"/>
  <c r="Y307" i="1"/>
  <c r="X110" i="1"/>
  <c r="Y110" i="1"/>
  <c r="X233" i="1"/>
  <c r="Y233" i="1"/>
  <c r="Y28" i="5"/>
  <c r="AA28" i="5" s="1"/>
  <c r="Y34" i="5"/>
  <c r="AA34" i="5" s="1"/>
  <c r="Y23" i="5"/>
  <c r="AA23" i="5" s="1"/>
  <c r="X439" i="1"/>
  <c r="Y439" i="1"/>
  <c r="X1041" i="1"/>
  <c r="Y1041" i="1"/>
  <c r="X835" i="1"/>
  <c r="Y835" i="1"/>
  <c r="X659" i="1"/>
  <c r="Y659" i="1"/>
  <c r="X1159" i="1"/>
  <c r="Y1159" i="1"/>
  <c r="X878" i="1"/>
  <c r="Y878" i="1"/>
  <c r="X679" i="1"/>
  <c r="Y679" i="1"/>
  <c r="X1192" i="1"/>
  <c r="Y1192" i="1"/>
  <c r="X1178" i="1"/>
  <c r="Y1178" i="1"/>
  <c r="X1122" i="1"/>
  <c r="Y1122" i="1"/>
  <c r="X922" i="1"/>
  <c r="Y922" i="1"/>
  <c r="X746" i="1"/>
  <c r="Y746" i="1"/>
  <c r="X1212" i="1"/>
  <c r="Y1212" i="1"/>
  <c r="X1127" i="1"/>
  <c r="Y1127" i="1"/>
  <c r="X1206" i="1"/>
  <c r="Y1206" i="1"/>
  <c r="X1193" i="1"/>
  <c r="Y1193" i="1"/>
  <c r="X1075" i="1"/>
  <c r="Y1075" i="1"/>
  <c r="X1153" i="1"/>
  <c r="X1084" i="1"/>
  <c r="Y1084" i="1"/>
  <c r="X879" i="1"/>
  <c r="Y879" i="1"/>
  <c r="X715" i="1"/>
  <c r="X1261" i="1"/>
  <c r="Y1261" i="1"/>
  <c r="X1199" i="1"/>
  <c r="Y1199" i="1"/>
  <c r="X1188" i="1"/>
  <c r="Y1188" i="1"/>
  <c r="X1128" i="1"/>
  <c r="Y1128" i="1"/>
  <c r="X1094" i="1"/>
  <c r="Y1094" i="1"/>
  <c r="X954" i="1"/>
  <c r="X800" i="1"/>
  <c r="X646" i="1"/>
  <c r="Y646" i="1"/>
  <c r="X678" i="1"/>
  <c r="Y678" i="1"/>
  <c r="X598" i="1"/>
  <c r="Y598" i="1"/>
  <c r="X436" i="1"/>
  <c r="Y436" i="1"/>
  <c r="X958" i="1"/>
  <c r="Y958" i="1"/>
  <c r="X773" i="1"/>
  <c r="X830" i="1"/>
  <c r="X784" i="1"/>
  <c r="X1258" i="1"/>
  <c r="Y1258" i="1"/>
  <c r="X1152" i="1"/>
  <c r="Y1152" i="1"/>
  <c r="X1081" i="1"/>
  <c r="Y1081" i="1"/>
  <c r="X877" i="1"/>
  <c r="Y877" i="1"/>
  <c r="X806" i="1"/>
  <c r="X1286" i="1"/>
  <c r="X1071" i="1"/>
  <c r="Y1071" i="1"/>
  <c r="X817" i="1"/>
  <c r="X717" i="1"/>
  <c r="X1089" i="1"/>
  <c r="X1125" i="1"/>
  <c r="X1215" i="1"/>
  <c r="Y1215" i="1"/>
  <c r="X1216" i="1"/>
  <c r="Y1216" i="1"/>
  <c r="X1294" i="1"/>
  <c r="Y1294" i="1"/>
  <c r="X1088" i="1"/>
  <c r="Y1088" i="1"/>
  <c r="X562" i="1"/>
  <c r="Y562" i="1"/>
  <c r="X227" i="1"/>
  <c r="Y227" i="1"/>
  <c r="X803" i="1"/>
  <c r="Y803" i="1"/>
  <c r="X392" i="1"/>
  <c r="Y392" i="1"/>
  <c r="X1076" i="1"/>
  <c r="X801" i="1"/>
  <c r="X939" i="1"/>
  <c r="Y939" i="1"/>
  <c r="X770" i="1"/>
  <c r="Y770" i="1"/>
  <c r="X898" i="1"/>
  <c r="Y898" i="1"/>
  <c r="X29" i="1"/>
  <c r="X799" i="1"/>
  <c r="X460" i="1"/>
  <c r="X124" i="1"/>
  <c r="Y124" i="1"/>
  <c r="X68" i="1"/>
  <c r="Y68" i="1"/>
  <c r="X636" i="1"/>
  <c r="Y636" i="1"/>
  <c r="X472" i="1"/>
  <c r="X523" i="1"/>
  <c r="X676" i="1"/>
  <c r="X501" i="1"/>
  <c r="Y501" i="1"/>
  <c r="X317" i="1"/>
  <c r="Y317" i="1"/>
  <c r="X890" i="1"/>
  <c r="Y890" i="1"/>
  <c r="X839" i="1"/>
  <c r="Y839" i="1"/>
  <c r="X729" i="1"/>
  <c r="Y729" i="1"/>
  <c r="X1274" i="1"/>
  <c r="Y1274" i="1"/>
  <c r="X1196" i="1"/>
  <c r="Y1196" i="1"/>
  <c r="X1177" i="1"/>
  <c r="X1137" i="1"/>
  <c r="Y1137" i="1"/>
  <c r="X1117" i="1"/>
  <c r="X1065" i="1"/>
  <c r="Y1065" i="1"/>
  <c r="X905" i="1"/>
  <c r="Y905" i="1"/>
  <c r="X735" i="1"/>
  <c r="Y735" i="1"/>
  <c r="X690" i="1"/>
  <c r="Y690" i="1"/>
  <c r="X1231" i="1"/>
  <c r="Y1231" i="1"/>
  <c r="X1165" i="1"/>
  <c r="X1052" i="1"/>
  <c r="X996" i="1"/>
  <c r="Y996" i="1"/>
  <c r="X748" i="1"/>
  <c r="X722" i="1"/>
  <c r="Y722" i="1"/>
  <c r="X707" i="1"/>
  <c r="Y707" i="1"/>
  <c r="X1250" i="1"/>
  <c r="X1124" i="1"/>
  <c r="Y1124" i="1"/>
  <c r="X1279" i="1"/>
  <c r="Y1279" i="1"/>
  <c r="X1249" i="1"/>
  <c r="Y1249" i="1"/>
  <c r="X1202" i="1"/>
  <c r="X1170" i="1"/>
  <c r="Y1170" i="1"/>
  <c r="X1240" i="1"/>
  <c r="Y1240" i="1"/>
  <c r="X1204" i="1"/>
  <c r="X1155" i="1"/>
  <c r="Y1155" i="1"/>
  <c r="X1272" i="1"/>
  <c r="X1242" i="1"/>
  <c r="X1191" i="1"/>
  <c r="Y1191" i="1"/>
  <c r="X1282" i="1"/>
  <c r="Y1282" i="1"/>
  <c r="X1222" i="1"/>
  <c r="X1013" i="1"/>
  <c r="X888" i="1"/>
  <c r="X711" i="1"/>
  <c r="Y711" i="1"/>
  <c r="X608" i="1"/>
  <c r="Y608" i="1"/>
  <c r="X576" i="1"/>
  <c r="X505" i="1"/>
  <c r="X476" i="1"/>
  <c r="X450" i="1"/>
  <c r="X414" i="1"/>
  <c r="X380" i="1"/>
  <c r="Y380" i="1"/>
  <c r="X312" i="1"/>
  <c r="X257" i="1"/>
  <c r="Y257" i="1"/>
  <c r="X1129" i="1"/>
  <c r="Y1129" i="1"/>
  <c r="X1024" i="1"/>
  <c r="Y1024" i="1"/>
  <c r="X780" i="1"/>
  <c r="Y780" i="1"/>
  <c r="X727" i="1"/>
  <c r="X665" i="1"/>
  <c r="Y665" i="1"/>
  <c r="X489" i="1"/>
  <c r="Y489" i="1"/>
  <c r="X424" i="1"/>
  <c r="Y424" i="1"/>
  <c r="X383" i="1"/>
  <c r="X347" i="1"/>
  <c r="Y347" i="1"/>
  <c r="X276" i="1"/>
  <c r="Y276" i="1"/>
  <c r="X979" i="1"/>
  <c r="Y979" i="1"/>
  <c r="X883" i="1"/>
  <c r="Y883" i="1"/>
  <c r="X709" i="1"/>
  <c r="Y709" i="1"/>
  <c r="X579" i="1"/>
  <c r="Y579" i="1"/>
  <c r="X462" i="1"/>
  <c r="X426" i="1"/>
  <c r="Y426" i="1"/>
  <c r="X385" i="1"/>
  <c r="Y385" i="1"/>
  <c r="X251" i="1"/>
  <c r="X1017" i="1"/>
  <c r="X990" i="1"/>
  <c r="Y990" i="1"/>
  <c r="X931" i="1"/>
  <c r="X827" i="1"/>
  <c r="Y827" i="1"/>
  <c r="X977" i="1"/>
  <c r="X928" i="1"/>
  <c r="Y928" i="1"/>
  <c r="X783" i="1"/>
  <c r="X1070" i="1"/>
  <c r="Y1070" i="1"/>
  <c r="X942" i="1"/>
  <c r="Y942" i="1"/>
  <c r="X1068" i="1"/>
  <c r="Y1068" i="1"/>
  <c r="X1018" i="1"/>
  <c r="Y1018" i="1"/>
  <c r="X985" i="1"/>
  <c r="Y985" i="1"/>
  <c r="X945" i="1"/>
  <c r="X887" i="1"/>
  <c r="Y887" i="1"/>
  <c r="X1148" i="1"/>
  <c r="Y1148" i="1"/>
  <c r="X1042" i="1"/>
  <c r="X943" i="1"/>
  <c r="X893" i="1"/>
  <c r="Y893" i="1"/>
  <c r="X545" i="1"/>
  <c r="X431" i="1"/>
  <c r="X373" i="1"/>
  <c r="X232" i="1"/>
  <c r="Y232" i="1"/>
  <c r="X127" i="1"/>
  <c r="X85" i="1"/>
  <c r="Y85" i="1"/>
  <c r="X60" i="1"/>
  <c r="X17" i="1"/>
  <c r="Y17" i="1"/>
  <c r="X216" i="1"/>
  <c r="Y216" i="1"/>
  <c r="X860" i="1"/>
  <c r="X639" i="1"/>
  <c r="Y639" i="1"/>
  <c r="X308" i="1"/>
  <c r="X228" i="1"/>
  <c r="X136" i="1"/>
  <c r="X90" i="1"/>
  <c r="Y90" i="1"/>
  <c r="X46" i="1"/>
  <c r="X51" i="1"/>
  <c r="X374" i="1"/>
  <c r="Y374" i="1"/>
  <c r="X677" i="1"/>
  <c r="Y677" i="1"/>
  <c r="X605" i="1"/>
  <c r="Y605" i="1"/>
  <c r="X556" i="1"/>
  <c r="Y556" i="1"/>
  <c r="X520" i="1"/>
  <c r="X463" i="1"/>
  <c r="Y463" i="1"/>
  <c r="X311" i="1"/>
  <c r="X190" i="1"/>
  <c r="X137" i="1"/>
  <c r="X71" i="1"/>
  <c r="X154" i="1"/>
  <c r="X643" i="1"/>
  <c r="X712" i="1"/>
  <c r="Y712" i="1"/>
  <c r="X654" i="1"/>
  <c r="Y654" i="1"/>
  <c r="X606" i="1"/>
  <c r="X483" i="1"/>
  <c r="X730" i="1"/>
  <c r="Y730" i="1"/>
  <c r="X652" i="1"/>
  <c r="X616" i="1"/>
  <c r="Y616" i="1"/>
  <c r="X563" i="1"/>
  <c r="X484" i="1"/>
  <c r="Y484" i="1"/>
  <c r="X428" i="1"/>
  <c r="X395" i="1"/>
  <c r="X358" i="1"/>
  <c r="Y358" i="1"/>
  <c r="X723" i="1"/>
  <c r="Y723" i="1"/>
  <c r="X634" i="1"/>
  <c r="X574" i="1"/>
  <c r="Y574" i="1"/>
  <c r="X537" i="1"/>
  <c r="Y537" i="1"/>
  <c r="X481" i="1"/>
  <c r="X650" i="1"/>
  <c r="Y650" i="1"/>
  <c r="X165" i="1"/>
  <c r="Y165" i="1"/>
  <c r="X115" i="1"/>
  <c r="X78" i="1"/>
  <c r="Y78" i="1"/>
  <c r="X109" i="1"/>
  <c r="X292" i="1"/>
  <c r="X150" i="1"/>
  <c r="Y150" i="1"/>
  <c r="X176" i="1"/>
  <c r="X97" i="1"/>
  <c r="Y97" i="1"/>
  <c r="X279" i="1"/>
  <c r="Y279" i="1"/>
  <c r="X214" i="1"/>
  <c r="Y214" i="1"/>
  <c r="X180" i="1"/>
  <c r="Y180" i="1"/>
  <c r="X40" i="1"/>
  <c r="X24" i="1"/>
  <c r="Y24" i="1"/>
  <c r="X92" i="1"/>
  <c r="X47" i="1"/>
  <c r="X58" i="1"/>
  <c r="X148" i="1"/>
  <c r="X39" i="1"/>
  <c r="Y39" i="1"/>
  <c r="X219" i="1"/>
  <c r="X181" i="1"/>
  <c r="X249" i="1"/>
  <c r="Y249" i="1"/>
  <c r="X48" i="1"/>
  <c r="X231" i="1"/>
  <c r="Y231" i="1"/>
  <c r="Y19" i="5"/>
  <c r="AA19" i="5" s="1"/>
  <c r="Y15" i="5"/>
  <c r="AA15" i="5" s="1"/>
  <c r="Y8" i="5"/>
  <c r="AA8" i="5" s="1"/>
  <c r="M25" i="5"/>
  <c r="P39" i="5"/>
  <c r="I16" i="1"/>
  <c r="J16" i="1"/>
  <c r="Q39" i="5"/>
  <c r="R39" i="5"/>
  <c r="AB39" i="5" s="1"/>
  <c r="AC39" i="5" s="1"/>
  <c r="U39" i="5"/>
  <c r="S39" i="5"/>
  <c r="V39" i="5"/>
  <c r="T39" i="5"/>
  <c r="W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D3" i="5" l="1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X39" i="5"/>
  <c r="Y39" i="5" s="1"/>
  <c r="AA39" i="5" s="1"/>
  <c r="G16" i="1"/>
  <c r="F16" i="1"/>
  <c r="X1310" i="1"/>
  <c r="P40" i="5"/>
  <c r="J9" i="1"/>
  <c r="I9" i="1"/>
  <c r="Q40" i="5"/>
  <c r="R40" i="5"/>
  <c r="AB40" i="5" s="1"/>
  <c r="AC40" i="5" s="1"/>
  <c r="U40" i="5"/>
  <c r="S40" i="5"/>
  <c r="V40" i="5"/>
  <c r="T40" i="5"/>
  <c r="W40" i="5"/>
  <c r="AD39" i="5" l="1"/>
  <c r="X40" i="5"/>
  <c r="Y40" i="5" s="1"/>
  <c r="AA40" i="5" s="1"/>
  <c r="F9" i="1"/>
  <c r="G9" i="1"/>
  <c r="H9" i="1" s="1"/>
  <c r="H16" i="1"/>
  <c r="P41" i="5"/>
  <c r="Q41" i="5"/>
  <c r="R41" i="5"/>
  <c r="AB41" i="5" s="1"/>
  <c r="AC41" i="5" s="1"/>
  <c r="U41" i="5"/>
  <c r="S41" i="5"/>
  <c r="V41" i="5"/>
  <c r="T41" i="5"/>
  <c r="W41" i="5"/>
  <c r="AD40" i="5" l="1"/>
  <c r="X41" i="5"/>
  <c r="Y41" i="5" s="1"/>
  <c r="AA41" i="5" s="1"/>
  <c r="P42" i="5"/>
  <c r="Q42" i="5"/>
  <c r="R42" i="5"/>
  <c r="AB42" i="5" s="1"/>
  <c r="AC42" i="5" s="1"/>
  <c r="U42" i="5"/>
  <c r="S42" i="5"/>
  <c r="V42" i="5"/>
  <c r="T42" i="5"/>
  <c r="W42" i="5"/>
  <c r="AD41" i="5" l="1"/>
  <c r="X42" i="5"/>
  <c r="Y42" i="5" s="1"/>
  <c r="AA42" i="5" s="1"/>
  <c r="P43" i="5"/>
  <c r="Q43" i="5"/>
  <c r="R43" i="5"/>
  <c r="AB43" i="5" s="1"/>
  <c r="AC43" i="5" s="1"/>
  <c r="U43" i="5"/>
  <c r="S43" i="5"/>
  <c r="V43" i="5"/>
  <c r="T43" i="5"/>
  <c r="W43" i="5"/>
  <c r="AD42" i="5" l="1"/>
  <c r="X43" i="5"/>
  <c r="Y43" i="5" s="1"/>
  <c r="AA43" i="5" s="1"/>
  <c r="P44" i="5"/>
  <c r="Q44" i="5"/>
  <c r="R44" i="5"/>
  <c r="AB44" i="5" s="1"/>
  <c r="AC44" i="5" s="1"/>
  <c r="U44" i="5"/>
  <c r="S44" i="5"/>
  <c r="V44" i="5"/>
  <c r="T44" i="5"/>
  <c r="W44" i="5"/>
  <c r="AD43" i="5" l="1"/>
  <c r="X44" i="5"/>
  <c r="Y44" i="5" s="1"/>
  <c r="AA44" i="5" s="1"/>
  <c r="P45" i="5"/>
  <c r="Q45" i="5"/>
  <c r="R45" i="5"/>
  <c r="AB45" i="5" s="1"/>
  <c r="AC45" i="5" s="1"/>
  <c r="U45" i="5"/>
  <c r="S45" i="5"/>
  <c r="V45" i="5"/>
  <c r="T45" i="5"/>
  <c r="W45" i="5"/>
  <c r="AD44" i="5" l="1"/>
  <c r="X45" i="5"/>
  <c r="Y45" i="5" s="1"/>
  <c r="AA45" i="5" s="1"/>
  <c r="P46" i="5"/>
  <c r="Q46" i="5"/>
  <c r="R46" i="5"/>
  <c r="AB46" i="5" s="1"/>
  <c r="AC46" i="5" s="1"/>
  <c r="U46" i="5"/>
  <c r="S46" i="5"/>
  <c r="V46" i="5"/>
  <c r="T46" i="5"/>
  <c r="W46" i="5"/>
  <c r="AD45" i="5" l="1"/>
  <c r="X46" i="5"/>
  <c r="Y46" i="5" s="1"/>
  <c r="AA46" i="5" s="1"/>
  <c r="P47" i="5"/>
  <c r="Q47" i="5"/>
  <c r="R47" i="5"/>
  <c r="AB47" i="5" s="1"/>
  <c r="AC47" i="5" s="1"/>
  <c r="U47" i="5"/>
  <c r="S47" i="5"/>
  <c r="V47" i="5"/>
  <c r="T47" i="5"/>
  <c r="W47" i="5"/>
  <c r="AD46" i="5" l="1"/>
  <c r="X47" i="5"/>
  <c r="Y47" i="5" s="1"/>
  <c r="AA47" i="5" s="1"/>
  <c r="P48" i="5"/>
  <c r="Q48" i="5"/>
  <c r="R48" i="5"/>
  <c r="AB48" i="5" s="1"/>
  <c r="AC48" i="5" s="1"/>
  <c r="U48" i="5"/>
  <c r="S48" i="5"/>
  <c r="V48" i="5"/>
  <c r="T48" i="5"/>
  <c r="W48" i="5"/>
  <c r="AD47" i="5" l="1"/>
  <c r="X48" i="5"/>
  <c r="Y48" i="5" s="1"/>
  <c r="AA48" i="5" s="1"/>
  <c r="P49" i="5"/>
  <c r="Q49" i="5"/>
  <c r="R49" i="5"/>
  <c r="AB49" i="5" s="1"/>
  <c r="AC49" i="5" s="1"/>
  <c r="U49" i="5"/>
  <c r="S49" i="5"/>
  <c r="V49" i="5"/>
  <c r="T49" i="5"/>
  <c r="W49" i="5"/>
  <c r="AD48" i="5" l="1"/>
  <c r="X49" i="5"/>
  <c r="Y49" i="5" s="1"/>
  <c r="AA49" i="5" s="1"/>
  <c r="P50" i="5"/>
  <c r="Q50" i="5"/>
  <c r="R50" i="5"/>
  <c r="AB50" i="5" s="1"/>
  <c r="AC50" i="5" s="1"/>
  <c r="U50" i="5"/>
  <c r="S50" i="5"/>
  <c r="V50" i="5"/>
  <c r="T50" i="5"/>
  <c r="W50" i="5"/>
  <c r="AD49" i="5" l="1"/>
  <c r="X50" i="5"/>
  <c r="Y50" i="5" s="1"/>
  <c r="AA50" i="5" s="1"/>
  <c r="P51" i="5"/>
  <c r="Q51" i="5"/>
  <c r="R51" i="5"/>
  <c r="AB51" i="5" s="1"/>
  <c r="AC51" i="5" s="1"/>
  <c r="U51" i="5"/>
  <c r="S51" i="5"/>
  <c r="V51" i="5"/>
  <c r="T51" i="5"/>
  <c r="W51" i="5"/>
  <c r="AD50" i="5" l="1"/>
  <c r="X51" i="5"/>
  <c r="Y51" i="5" s="1"/>
  <c r="AA51" i="5" s="1"/>
  <c r="P52" i="5"/>
  <c r="Q52" i="5"/>
  <c r="R52" i="5"/>
  <c r="AB52" i="5" s="1"/>
  <c r="AC52" i="5" s="1"/>
  <c r="U52" i="5"/>
  <c r="S52" i="5"/>
  <c r="V52" i="5"/>
  <c r="T52" i="5"/>
  <c r="W52" i="5"/>
  <c r="AD51" i="5" l="1"/>
  <c r="X52" i="5"/>
  <c r="Y52" i="5" s="1"/>
  <c r="AA52" i="5" s="1"/>
  <c r="P53" i="5"/>
  <c r="Q53" i="5"/>
  <c r="R53" i="5"/>
  <c r="AB53" i="5" s="1"/>
  <c r="AC53" i="5" s="1"/>
  <c r="U53" i="5"/>
  <c r="S53" i="5"/>
  <c r="V53" i="5"/>
  <c r="T53" i="5"/>
  <c r="W53" i="5"/>
  <c r="AD52" i="5" l="1"/>
  <c r="X53" i="5"/>
  <c r="Y53" i="5" s="1"/>
  <c r="AA53" i="5" s="1"/>
  <c r="P54" i="5"/>
  <c r="Q54" i="5"/>
  <c r="R54" i="5"/>
  <c r="AB54" i="5" s="1"/>
  <c r="AC54" i="5" s="1"/>
  <c r="U54" i="5"/>
  <c r="S54" i="5"/>
  <c r="V54" i="5"/>
  <c r="T54" i="5"/>
  <c r="W54" i="5"/>
  <c r="AD53" i="5" l="1"/>
  <c r="X54" i="5"/>
  <c r="Y54" i="5" s="1"/>
  <c r="AA54" i="5" s="1"/>
  <c r="P55" i="5"/>
  <c r="Q55" i="5"/>
  <c r="R55" i="5"/>
  <c r="AB55" i="5" s="1"/>
  <c r="AC55" i="5" s="1"/>
  <c r="U55" i="5"/>
  <c r="S55" i="5"/>
  <c r="V55" i="5"/>
  <c r="T55" i="5"/>
  <c r="W55" i="5"/>
  <c r="AD54" i="5" l="1"/>
  <c r="X55" i="5"/>
  <c r="Y55" i="5" s="1"/>
  <c r="AA55" i="5" s="1"/>
  <c r="P56" i="5"/>
  <c r="Q56" i="5"/>
  <c r="R56" i="5"/>
  <c r="AB56" i="5" s="1"/>
  <c r="AC56" i="5" s="1"/>
  <c r="U56" i="5"/>
  <c r="S56" i="5"/>
  <c r="V56" i="5"/>
  <c r="T56" i="5"/>
  <c r="W56" i="5"/>
  <c r="AD55" i="5" l="1"/>
  <c r="X56" i="5"/>
  <c r="Y56" i="5" s="1"/>
  <c r="AA56" i="5" s="1"/>
  <c r="P57" i="5"/>
  <c r="Q57" i="5"/>
  <c r="R57" i="5"/>
  <c r="AB57" i="5" s="1"/>
  <c r="AC57" i="5" s="1"/>
  <c r="U57" i="5"/>
  <c r="S57" i="5"/>
  <c r="V57" i="5"/>
  <c r="T57" i="5"/>
  <c r="W57" i="5"/>
  <c r="AD56" i="5" l="1"/>
  <c r="X57" i="5"/>
  <c r="Y57" i="5" s="1"/>
  <c r="AA57" i="5" s="1"/>
  <c r="P58" i="5"/>
  <c r="Q58" i="5"/>
  <c r="R58" i="5"/>
  <c r="AB58" i="5" s="1"/>
  <c r="AC58" i="5" s="1"/>
  <c r="U58" i="5"/>
  <c r="S58" i="5"/>
  <c r="V58" i="5"/>
  <c r="T58" i="5"/>
  <c r="W58" i="5"/>
  <c r="AD57" i="5" l="1"/>
  <c r="X58" i="5"/>
  <c r="Y58" i="5" s="1"/>
  <c r="AA58" i="5" s="1"/>
  <c r="P59" i="5"/>
  <c r="Q59" i="5"/>
  <c r="R59" i="5"/>
  <c r="AB59" i="5" s="1"/>
  <c r="AC59" i="5" s="1"/>
  <c r="U59" i="5"/>
  <c r="S59" i="5"/>
  <c r="V59" i="5"/>
  <c r="T59" i="5"/>
  <c r="W59" i="5"/>
  <c r="AD58" i="5" l="1"/>
  <c r="X59" i="5"/>
  <c r="Y59" i="5" s="1"/>
  <c r="AA59" i="5" s="1"/>
  <c r="P60" i="5"/>
  <c r="Q60" i="5"/>
  <c r="R60" i="5"/>
  <c r="AB60" i="5" s="1"/>
  <c r="AC60" i="5" s="1"/>
  <c r="U60" i="5"/>
  <c r="S60" i="5"/>
  <c r="V60" i="5"/>
  <c r="T60" i="5"/>
  <c r="W60" i="5"/>
  <c r="AD59" i="5" l="1"/>
  <c r="X60" i="5"/>
  <c r="Y60" i="5" s="1"/>
  <c r="AA60" i="5" s="1"/>
  <c r="P61" i="5"/>
  <c r="Q61" i="5"/>
  <c r="R61" i="5"/>
  <c r="AB61" i="5" s="1"/>
  <c r="AC61" i="5" s="1"/>
  <c r="U61" i="5"/>
  <c r="S61" i="5"/>
  <c r="V61" i="5"/>
  <c r="T61" i="5"/>
  <c r="W61" i="5"/>
  <c r="AD60" i="5" l="1"/>
  <c r="X61" i="5"/>
  <c r="Y61" i="5" s="1"/>
  <c r="AA61" i="5" s="1"/>
  <c r="P62" i="5"/>
  <c r="Q62" i="5"/>
  <c r="R62" i="5"/>
  <c r="AB62" i="5" s="1"/>
  <c r="AC62" i="5" s="1"/>
  <c r="U62" i="5"/>
  <c r="S62" i="5"/>
  <c r="V62" i="5"/>
  <c r="T62" i="5"/>
  <c r="W62" i="5"/>
  <c r="AD61" i="5" l="1"/>
  <c r="X62" i="5"/>
  <c r="Y62" i="5" s="1"/>
  <c r="AA62" i="5" s="1"/>
  <c r="P63" i="5"/>
  <c r="Q63" i="5"/>
  <c r="R63" i="5"/>
  <c r="AB63" i="5" s="1"/>
  <c r="AC63" i="5" s="1"/>
  <c r="U63" i="5"/>
  <c r="S63" i="5"/>
  <c r="V63" i="5"/>
  <c r="T63" i="5"/>
  <c r="W63" i="5"/>
  <c r="AD62" i="5" l="1"/>
  <c r="X63" i="5"/>
  <c r="Y63" i="5" s="1"/>
  <c r="AA63" i="5" s="1"/>
  <c r="P64" i="5"/>
  <c r="Q64" i="5"/>
  <c r="R64" i="5"/>
  <c r="AB64" i="5" s="1"/>
  <c r="AC64" i="5" s="1"/>
  <c r="U64" i="5"/>
  <c r="S64" i="5"/>
  <c r="V64" i="5"/>
  <c r="T64" i="5"/>
  <c r="W64" i="5"/>
  <c r="AD63" i="5" l="1"/>
  <c r="X64" i="5"/>
  <c r="Y64" i="5" s="1"/>
  <c r="AA64" i="5" s="1"/>
  <c r="P65" i="5"/>
  <c r="Q65" i="5"/>
  <c r="R65" i="5"/>
  <c r="AB65" i="5" s="1"/>
  <c r="AC65" i="5" s="1"/>
  <c r="U65" i="5"/>
  <c r="S65" i="5"/>
  <c r="V65" i="5"/>
  <c r="T65" i="5"/>
  <c r="W65" i="5"/>
  <c r="AD64" i="5" l="1"/>
  <c r="X65" i="5"/>
  <c r="Y65" i="5" s="1"/>
  <c r="AA65" i="5" s="1"/>
  <c r="P66" i="5"/>
  <c r="Q66" i="5"/>
  <c r="R66" i="5"/>
  <c r="AB66" i="5" s="1"/>
  <c r="AC66" i="5" s="1"/>
  <c r="U66" i="5"/>
  <c r="S66" i="5"/>
  <c r="V66" i="5"/>
  <c r="T66" i="5"/>
  <c r="W66" i="5"/>
  <c r="AD65" i="5" l="1"/>
  <c r="X66" i="5"/>
  <c r="Y66" i="5" s="1"/>
  <c r="AA66" i="5" s="1"/>
  <c r="P67" i="5"/>
  <c r="Q67" i="5"/>
  <c r="R67" i="5"/>
  <c r="AB67" i="5" s="1"/>
  <c r="AC67" i="5" s="1"/>
  <c r="U67" i="5"/>
  <c r="S67" i="5"/>
  <c r="V67" i="5"/>
  <c r="T67" i="5"/>
  <c r="W67" i="5"/>
  <c r="AD66" i="5" l="1"/>
  <c r="X67" i="5"/>
  <c r="Y67" i="5" s="1"/>
  <c r="AA67" i="5" s="1"/>
  <c r="P68" i="5"/>
  <c r="Q68" i="5"/>
  <c r="R68" i="5"/>
  <c r="AB68" i="5" s="1"/>
  <c r="AC68" i="5" s="1"/>
  <c r="U68" i="5"/>
  <c r="S68" i="5"/>
  <c r="V68" i="5"/>
  <c r="T68" i="5"/>
  <c r="W68" i="5"/>
  <c r="AD67" i="5" l="1"/>
  <c r="X68" i="5"/>
  <c r="Y68" i="5" s="1"/>
  <c r="AA68" i="5" s="1"/>
  <c r="P69" i="5"/>
  <c r="Q69" i="5"/>
  <c r="R69" i="5"/>
  <c r="U69" i="5"/>
  <c r="S69" i="5"/>
  <c r="V69" i="5"/>
  <c r="T69" i="5"/>
  <c r="W69" i="5"/>
  <c r="I6" i="5"/>
  <c r="J6" i="5"/>
  <c r="I3" i="5"/>
  <c r="I7" i="5"/>
  <c r="J3" i="5"/>
  <c r="J7" i="5"/>
  <c r="I4" i="5"/>
  <c r="J4" i="5"/>
  <c r="I5" i="5"/>
  <c r="J5" i="5"/>
  <c r="AB69" i="5"/>
  <c r="AC69" i="5" s="1"/>
  <c r="AD68" i="5" l="1"/>
  <c r="X69" i="5"/>
  <c r="Y69" i="5" s="1"/>
  <c r="AA69" i="5" s="1"/>
  <c r="P70" i="5"/>
  <c r="Q70" i="5"/>
  <c r="R70" i="5"/>
  <c r="AB70" i="5" s="1"/>
  <c r="AC70" i="5" s="1"/>
  <c r="U70" i="5"/>
  <c r="S70" i="5"/>
  <c r="V70" i="5"/>
  <c r="T70" i="5"/>
  <c r="W70" i="5"/>
  <c r="AD69" i="5" l="1"/>
  <c r="X70" i="5"/>
  <c r="Y70" i="5" s="1"/>
  <c r="AA70" i="5" s="1"/>
  <c r="P71" i="5"/>
  <c r="Q71" i="5"/>
  <c r="R71" i="5"/>
  <c r="AB71" i="5" s="1"/>
  <c r="AC71" i="5" s="1"/>
  <c r="U71" i="5"/>
  <c r="S71" i="5"/>
  <c r="V71" i="5"/>
  <c r="T71" i="5"/>
  <c r="W71" i="5"/>
  <c r="AD70" i="5" l="1"/>
  <c r="X71" i="5"/>
  <c r="Y71" i="5" s="1"/>
  <c r="AA71" i="5" s="1"/>
  <c r="P72" i="5"/>
  <c r="Q72" i="5"/>
  <c r="R72" i="5"/>
  <c r="AB72" i="5" s="1"/>
  <c r="AC72" i="5" s="1"/>
  <c r="U72" i="5"/>
  <c r="S72" i="5"/>
  <c r="V72" i="5"/>
  <c r="T72" i="5"/>
  <c r="W72" i="5"/>
  <c r="AD71" i="5" l="1"/>
  <c r="X72" i="5"/>
  <c r="Y72" i="5" s="1"/>
  <c r="AA72" i="5" s="1"/>
  <c r="P73" i="5"/>
  <c r="Q73" i="5"/>
  <c r="R73" i="5"/>
  <c r="AB73" i="5" s="1"/>
  <c r="AC73" i="5" s="1"/>
  <c r="U73" i="5"/>
  <c r="S73" i="5"/>
  <c r="V73" i="5"/>
  <c r="T73" i="5"/>
  <c r="W73" i="5"/>
  <c r="AD72" i="5" l="1"/>
  <c r="X73" i="5"/>
  <c r="Y73" i="5" s="1"/>
  <c r="AA73" i="5" s="1"/>
  <c r="P74" i="5"/>
  <c r="Q74" i="5"/>
  <c r="R74" i="5"/>
  <c r="AB74" i="5" s="1"/>
  <c r="AC74" i="5" s="1"/>
  <c r="U74" i="5"/>
  <c r="S74" i="5"/>
  <c r="V74" i="5"/>
  <c r="T74" i="5"/>
  <c r="W74" i="5"/>
  <c r="AD73" i="5" l="1"/>
  <c r="X74" i="5"/>
  <c r="Y74" i="5" s="1"/>
  <c r="AA74" i="5" s="1"/>
  <c r="P75" i="5"/>
  <c r="Q75" i="5"/>
  <c r="R75" i="5"/>
  <c r="AB75" i="5" s="1"/>
  <c r="AC75" i="5" s="1"/>
  <c r="U75" i="5"/>
  <c r="S75" i="5"/>
  <c r="V75" i="5"/>
  <c r="T75" i="5"/>
  <c r="W75" i="5"/>
  <c r="AD74" i="5" l="1"/>
  <c r="X75" i="5"/>
  <c r="Y75" i="5" s="1"/>
  <c r="AA75" i="5" s="1"/>
  <c r="P76" i="5"/>
  <c r="Q76" i="5"/>
  <c r="R76" i="5"/>
  <c r="AB76" i="5" s="1"/>
  <c r="AC76" i="5" s="1"/>
  <c r="U76" i="5"/>
  <c r="S76" i="5"/>
  <c r="V76" i="5"/>
  <c r="T76" i="5"/>
  <c r="W76" i="5"/>
  <c r="AD75" i="5" l="1"/>
  <c r="X76" i="5"/>
  <c r="Y76" i="5" s="1"/>
  <c r="AA76" i="5" s="1"/>
  <c r="P77" i="5"/>
  <c r="Q77" i="5"/>
  <c r="R77" i="5"/>
  <c r="AB77" i="5" s="1"/>
  <c r="AC77" i="5" s="1"/>
  <c r="U77" i="5"/>
  <c r="S77" i="5"/>
  <c r="V77" i="5"/>
  <c r="T77" i="5"/>
  <c r="W77" i="5"/>
  <c r="AD76" i="5" l="1"/>
  <c r="X77" i="5"/>
  <c r="Y77" i="5" s="1"/>
  <c r="AA77" i="5" s="1"/>
  <c r="P78" i="5"/>
  <c r="Q78" i="5"/>
  <c r="R78" i="5"/>
  <c r="AB78" i="5" s="1"/>
  <c r="AC78" i="5" s="1"/>
  <c r="U78" i="5"/>
  <c r="S78" i="5"/>
  <c r="V78" i="5"/>
  <c r="T78" i="5"/>
  <c r="W78" i="5"/>
  <c r="AD77" i="5" l="1"/>
  <c r="X78" i="5"/>
  <c r="Y78" i="5" s="1"/>
  <c r="AA78" i="5" s="1"/>
  <c r="P79" i="5"/>
  <c r="Q79" i="5"/>
  <c r="R79" i="5"/>
  <c r="AB79" i="5" s="1"/>
  <c r="AC79" i="5" s="1"/>
  <c r="U79" i="5"/>
  <c r="S79" i="5"/>
  <c r="V79" i="5"/>
  <c r="T79" i="5"/>
  <c r="W79" i="5"/>
  <c r="AD78" i="5" l="1"/>
  <c r="X79" i="5"/>
  <c r="Y79" i="5" s="1"/>
  <c r="AA79" i="5" s="1"/>
  <c r="P80" i="5"/>
  <c r="Q80" i="5"/>
  <c r="R80" i="5"/>
  <c r="AB80" i="5" s="1"/>
  <c r="AC80" i="5" s="1"/>
  <c r="U80" i="5"/>
  <c r="S80" i="5"/>
  <c r="V80" i="5"/>
  <c r="T80" i="5"/>
  <c r="W80" i="5"/>
  <c r="AD79" i="5" l="1"/>
  <c r="X80" i="5"/>
  <c r="Y80" i="5" s="1"/>
  <c r="AA80" i="5" s="1"/>
  <c r="P81" i="5"/>
  <c r="Q81" i="5"/>
  <c r="R81" i="5"/>
  <c r="AB81" i="5" s="1"/>
  <c r="AC81" i="5" s="1"/>
  <c r="U81" i="5"/>
  <c r="S81" i="5"/>
  <c r="V81" i="5"/>
  <c r="T81" i="5"/>
  <c r="W81" i="5"/>
  <c r="AD80" i="5" l="1"/>
  <c r="X81" i="5"/>
  <c r="Y81" i="5" s="1"/>
  <c r="AA81" i="5" s="1"/>
  <c r="P82" i="5"/>
  <c r="Q82" i="5"/>
  <c r="R82" i="5"/>
  <c r="AB82" i="5" s="1"/>
  <c r="AC82" i="5" s="1"/>
  <c r="U82" i="5"/>
  <c r="S82" i="5"/>
  <c r="V82" i="5"/>
  <c r="T82" i="5"/>
  <c r="W82" i="5"/>
  <c r="AD81" i="5" l="1"/>
  <c r="X82" i="5"/>
  <c r="Y82" i="5" s="1"/>
  <c r="AA82" i="5" s="1"/>
  <c r="P83" i="5"/>
  <c r="Q83" i="5"/>
  <c r="R83" i="5"/>
  <c r="AB83" i="5" s="1"/>
  <c r="AC83" i="5" s="1"/>
  <c r="U83" i="5"/>
  <c r="S83" i="5"/>
  <c r="V83" i="5"/>
  <c r="T83" i="5"/>
  <c r="W83" i="5"/>
  <c r="AD82" i="5" l="1"/>
  <c r="X83" i="5"/>
  <c r="Y83" i="5" s="1"/>
  <c r="AA83" i="5" s="1"/>
  <c r="P84" i="5"/>
  <c r="Q84" i="5"/>
  <c r="R84" i="5"/>
  <c r="AB84" i="5" s="1"/>
  <c r="AC84" i="5" s="1"/>
  <c r="U84" i="5"/>
  <c r="S84" i="5"/>
  <c r="V84" i="5"/>
  <c r="T84" i="5"/>
  <c r="W84" i="5"/>
  <c r="AD83" i="5" l="1"/>
  <c r="X84" i="5"/>
  <c r="Y84" i="5" s="1"/>
  <c r="AA84" i="5" s="1"/>
  <c r="P85" i="5"/>
  <c r="Q85" i="5"/>
  <c r="R85" i="5"/>
  <c r="AB85" i="5" s="1"/>
  <c r="AC85" i="5" s="1"/>
  <c r="U85" i="5"/>
  <c r="S85" i="5"/>
  <c r="V85" i="5"/>
  <c r="T85" i="5"/>
  <c r="W85" i="5"/>
  <c r="AD84" i="5" l="1"/>
  <c r="X85" i="5"/>
  <c r="Y85" i="5" s="1"/>
  <c r="AA85" i="5" s="1"/>
  <c r="P86" i="5"/>
  <c r="Q86" i="5"/>
  <c r="R86" i="5"/>
  <c r="AB86" i="5" s="1"/>
  <c r="AC86" i="5" s="1"/>
  <c r="U86" i="5"/>
  <c r="S86" i="5"/>
  <c r="V86" i="5"/>
  <c r="T86" i="5"/>
  <c r="W86" i="5"/>
  <c r="AD85" i="5" l="1"/>
  <c r="X86" i="5"/>
  <c r="Y86" i="5" s="1"/>
  <c r="AA86" i="5" s="1"/>
  <c r="P87" i="5"/>
  <c r="Q87" i="5"/>
  <c r="R87" i="5"/>
  <c r="AB87" i="5" s="1"/>
  <c r="AC87" i="5" s="1"/>
  <c r="U87" i="5"/>
  <c r="S87" i="5"/>
  <c r="V87" i="5"/>
  <c r="T87" i="5"/>
  <c r="W87" i="5"/>
  <c r="AD86" i="5" l="1"/>
  <c r="X87" i="5"/>
  <c r="Y87" i="5" s="1"/>
  <c r="P88" i="5"/>
  <c r="Q88" i="5"/>
  <c r="R88" i="5"/>
  <c r="AB88" i="5" s="1"/>
  <c r="AC88" i="5" s="1"/>
  <c r="U88" i="5"/>
  <c r="S88" i="5"/>
  <c r="V88" i="5"/>
  <c r="T88" i="5"/>
  <c r="W88" i="5"/>
  <c r="AA87" i="5" l="1"/>
  <c r="AD87" i="5"/>
  <c r="X88" i="5"/>
  <c r="Y88" i="5" s="1"/>
  <c r="AA88" i="5" s="1"/>
  <c r="P89" i="5"/>
  <c r="Q89" i="5"/>
  <c r="R89" i="5"/>
  <c r="AB89" i="5" s="1"/>
  <c r="AC89" i="5" s="1"/>
  <c r="U89" i="5"/>
  <c r="S89" i="5"/>
  <c r="V89" i="5"/>
  <c r="T89" i="5"/>
  <c r="W89" i="5"/>
  <c r="AD88" i="5" l="1"/>
  <c r="X89" i="5"/>
  <c r="Y89" i="5" s="1"/>
  <c r="AA89" i="5" s="1"/>
  <c r="P90" i="5"/>
  <c r="Q90" i="5"/>
  <c r="R90" i="5"/>
  <c r="AB90" i="5" s="1"/>
  <c r="AC90" i="5" s="1"/>
  <c r="U90" i="5"/>
  <c r="S90" i="5"/>
  <c r="V90" i="5"/>
  <c r="T90" i="5"/>
  <c r="W90" i="5"/>
  <c r="AD89" i="5" l="1"/>
  <c r="X90" i="5"/>
  <c r="Y90" i="5" s="1"/>
  <c r="AA90" i="5" s="1"/>
  <c r="P91" i="5"/>
  <c r="Q91" i="5"/>
  <c r="R91" i="5"/>
  <c r="AB91" i="5" s="1"/>
  <c r="AC91" i="5" s="1"/>
  <c r="U91" i="5"/>
  <c r="S91" i="5"/>
  <c r="V91" i="5"/>
  <c r="T91" i="5"/>
  <c r="W91" i="5"/>
  <c r="AD90" i="5" l="1"/>
  <c r="X91" i="5"/>
  <c r="Y91" i="5" s="1"/>
  <c r="AA91" i="5" s="1"/>
  <c r="P92" i="5"/>
  <c r="Q92" i="5"/>
  <c r="R92" i="5"/>
  <c r="AB92" i="5" s="1"/>
  <c r="AC92" i="5" s="1"/>
  <c r="U92" i="5"/>
  <c r="S92" i="5"/>
  <c r="V92" i="5"/>
  <c r="T92" i="5"/>
  <c r="W92" i="5"/>
  <c r="AD91" i="5" l="1"/>
  <c r="X92" i="5"/>
  <c r="Y92" i="5" s="1"/>
  <c r="AA92" i="5" s="1"/>
  <c r="P93" i="5"/>
  <c r="Q93" i="5"/>
  <c r="R93" i="5"/>
  <c r="AB93" i="5" s="1"/>
  <c r="AC93" i="5" s="1"/>
  <c r="U93" i="5"/>
  <c r="S93" i="5"/>
  <c r="V93" i="5"/>
  <c r="T93" i="5"/>
  <c r="W93" i="5"/>
  <c r="AD92" i="5" l="1"/>
  <c r="X93" i="5"/>
  <c r="Y93" i="5" s="1"/>
  <c r="AA93" i="5" s="1"/>
  <c r="P94" i="5"/>
  <c r="Q94" i="5"/>
  <c r="R94" i="5"/>
  <c r="AB94" i="5" s="1"/>
  <c r="AC94" i="5" s="1"/>
  <c r="U94" i="5"/>
  <c r="S94" i="5"/>
  <c r="V94" i="5"/>
  <c r="T94" i="5"/>
  <c r="W94" i="5"/>
  <c r="AD93" i="5" l="1"/>
  <c r="X94" i="5"/>
  <c r="Y94" i="5" s="1"/>
  <c r="AA94" i="5" s="1"/>
  <c r="P95" i="5"/>
  <c r="Q95" i="5"/>
  <c r="R95" i="5"/>
  <c r="AB95" i="5" s="1"/>
  <c r="AC95" i="5" s="1"/>
  <c r="U95" i="5"/>
  <c r="S95" i="5"/>
  <c r="V95" i="5"/>
  <c r="T95" i="5"/>
  <c r="W95" i="5"/>
  <c r="AD94" i="5" l="1"/>
  <c r="X95" i="5"/>
  <c r="Y95" i="5" s="1"/>
  <c r="AA95" i="5" s="1"/>
  <c r="P96" i="5"/>
  <c r="Q96" i="5"/>
  <c r="R96" i="5"/>
  <c r="AB96" i="5" s="1"/>
  <c r="AC96" i="5" s="1"/>
  <c r="U96" i="5"/>
  <c r="S96" i="5"/>
  <c r="V96" i="5"/>
  <c r="T96" i="5"/>
  <c r="W96" i="5"/>
  <c r="AD95" i="5" l="1"/>
  <c r="X96" i="5"/>
  <c r="Y96" i="5" s="1"/>
  <c r="AA96" i="5" s="1"/>
  <c r="P97" i="5"/>
  <c r="Q97" i="5"/>
  <c r="R97" i="5"/>
  <c r="AB97" i="5" s="1"/>
  <c r="AC97" i="5" s="1"/>
  <c r="U97" i="5"/>
  <c r="S97" i="5"/>
  <c r="V97" i="5"/>
  <c r="T97" i="5"/>
  <c r="W97" i="5"/>
  <c r="AD96" i="5" l="1"/>
  <c r="X97" i="5"/>
  <c r="Y97" i="5" s="1"/>
  <c r="AA97" i="5" s="1"/>
  <c r="P98" i="5"/>
  <c r="Q98" i="5"/>
  <c r="R98" i="5"/>
  <c r="AB98" i="5" s="1"/>
  <c r="AC98" i="5" s="1"/>
  <c r="U98" i="5"/>
  <c r="S98" i="5"/>
  <c r="V98" i="5"/>
  <c r="T98" i="5"/>
  <c r="W98" i="5"/>
  <c r="AD97" i="5" l="1"/>
  <c r="X98" i="5"/>
  <c r="Y98" i="5" s="1"/>
  <c r="AA98" i="5" s="1"/>
  <c r="P99" i="5"/>
  <c r="Q99" i="5"/>
  <c r="R99" i="5"/>
  <c r="AB99" i="5" s="1"/>
  <c r="AC99" i="5" s="1"/>
  <c r="U99" i="5"/>
  <c r="S99" i="5"/>
  <c r="V99" i="5"/>
  <c r="T99" i="5"/>
  <c r="W99" i="5"/>
  <c r="AD98" i="5" l="1"/>
  <c r="X99" i="5"/>
  <c r="Y99" i="5" s="1"/>
  <c r="AA99" i="5" s="1"/>
  <c r="P100" i="5"/>
  <c r="Q100" i="5"/>
  <c r="R100" i="5"/>
  <c r="AB100" i="5" s="1"/>
  <c r="AC100" i="5" s="1"/>
  <c r="U100" i="5"/>
  <c r="S100" i="5"/>
  <c r="V100" i="5"/>
  <c r="T100" i="5"/>
  <c r="W100" i="5"/>
  <c r="AD99" i="5" l="1"/>
  <c r="X100" i="5"/>
  <c r="Y100" i="5" s="1"/>
  <c r="AA100" i="5" s="1"/>
  <c r="P101" i="5"/>
  <c r="Q101" i="5"/>
  <c r="R101" i="5"/>
  <c r="AB101" i="5" s="1"/>
  <c r="AC101" i="5" s="1"/>
  <c r="U101" i="5"/>
  <c r="S101" i="5"/>
  <c r="V101" i="5"/>
  <c r="T101" i="5"/>
  <c r="W101" i="5"/>
  <c r="AD100" i="5" l="1"/>
  <c r="X101" i="5"/>
  <c r="Y101" i="5" s="1"/>
  <c r="AA101" i="5" s="1"/>
  <c r="P102" i="5"/>
  <c r="Q102" i="5"/>
  <c r="R102" i="5"/>
  <c r="U102" i="5"/>
  <c r="S102" i="5"/>
  <c r="V102" i="5"/>
  <c r="T102" i="5"/>
  <c r="W102" i="5"/>
  <c r="J8" i="5"/>
  <c r="I8" i="5"/>
  <c r="AB102" i="5"/>
  <c r="AC102" i="5" s="1"/>
  <c r="AD101" i="5" l="1"/>
  <c r="X102" i="5"/>
  <c r="Y102" i="5" s="1"/>
  <c r="AA102" i="5" s="1"/>
  <c r="P103" i="5"/>
  <c r="Q103" i="5"/>
  <c r="R103" i="5"/>
  <c r="AB103" i="5" s="1"/>
  <c r="AC103" i="5" s="1"/>
  <c r="U103" i="5"/>
  <c r="S103" i="5"/>
  <c r="V103" i="5"/>
  <c r="T103" i="5"/>
  <c r="W103" i="5"/>
  <c r="AD102" i="5" l="1"/>
  <c r="X103" i="5"/>
  <c r="Y103" i="5" s="1"/>
  <c r="AA103" i="5" s="1"/>
  <c r="P104" i="5"/>
  <c r="Q104" i="5"/>
  <c r="R104" i="5"/>
  <c r="AB104" i="5" s="1"/>
  <c r="AC104" i="5" s="1"/>
  <c r="U104" i="5"/>
  <c r="S104" i="5"/>
  <c r="V104" i="5"/>
  <c r="T104" i="5"/>
  <c r="W104" i="5"/>
  <c r="AD103" i="5" l="1"/>
  <c r="X104" i="5"/>
  <c r="Y104" i="5" s="1"/>
  <c r="AA104" i="5" s="1"/>
  <c r="P105" i="5"/>
  <c r="Q105" i="5"/>
  <c r="R105" i="5"/>
  <c r="AB105" i="5" s="1"/>
  <c r="AC105" i="5" s="1"/>
  <c r="U105" i="5"/>
  <c r="S105" i="5"/>
  <c r="V105" i="5"/>
  <c r="T105" i="5"/>
  <c r="W105" i="5"/>
  <c r="AD104" i="5" l="1"/>
  <c r="X105" i="5"/>
  <c r="Y105" i="5" s="1"/>
  <c r="AA105" i="5" s="1"/>
  <c r="P106" i="5"/>
  <c r="Q106" i="5"/>
  <c r="R106" i="5"/>
  <c r="AB106" i="5" s="1"/>
  <c r="AC106" i="5" s="1"/>
  <c r="U106" i="5"/>
  <c r="S106" i="5"/>
  <c r="V106" i="5"/>
  <c r="T106" i="5"/>
  <c r="W106" i="5"/>
  <c r="AD105" i="5" l="1"/>
  <c r="X106" i="5"/>
  <c r="Y106" i="5" s="1"/>
  <c r="AA106" i="5" s="1"/>
  <c r="P107" i="5"/>
  <c r="Q107" i="5"/>
  <c r="R107" i="5"/>
  <c r="AB107" i="5" s="1"/>
  <c r="AC107" i="5" s="1"/>
  <c r="U107" i="5"/>
  <c r="S107" i="5"/>
  <c r="V107" i="5"/>
  <c r="T107" i="5"/>
  <c r="W107" i="5"/>
  <c r="AD106" i="5" l="1"/>
  <c r="X107" i="5"/>
  <c r="Y107" i="5" s="1"/>
  <c r="AA107" i="5" s="1"/>
  <c r="P108" i="5"/>
  <c r="Q108" i="5"/>
  <c r="R108" i="5"/>
  <c r="AB108" i="5" s="1"/>
  <c r="AC108" i="5" s="1"/>
  <c r="U108" i="5"/>
  <c r="S108" i="5"/>
  <c r="V108" i="5"/>
  <c r="T108" i="5"/>
  <c r="W108" i="5"/>
  <c r="AD107" i="5" l="1"/>
  <c r="X108" i="5"/>
  <c r="Y108" i="5" s="1"/>
  <c r="AA108" i="5" s="1"/>
  <c r="P109" i="5"/>
  <c r="Q109" i="5"/>
  <c r="R109" i="5"/>
  <c r="AB109" i="5" s="1"/>
  <c r="AC109" i="5" s="1"/>
  <c r="U109" i="5"/>
  <c r="S109" i="5"/>
  <c r="V109" i="5"/>
  <c r="T109" i="5"/>
  <c r="W109" i="5"/>
  <c r="AD108" i="5" l="1"/>
  <c r="X109" i="5"/>
  <c r="Y109" i="5" s="1"/>
  <c r="AA109" i="5" s="1"/>
  <c r="P110" i="5"/>
  <c r="Q110" i="5"/>
  <c r="R110" i="5"/>
  <c r="AB110" i="5" s="1"/>
  <c r="AC110" i="5" s="1"/>
  <c r="U110" i="5"/>
  <c r="S110" i="5"/>
  <c r="V110" i="5"/>
  <c r="T110" i="5"/>
  <c r="W110" i="5"/>
  <c r="AD109" i="5" l="1"/>
  <c r="X110" i="5"/>
  <c r="Y110" i="5" s="1"/>
  <c r="AA110" i="5" s="1"/>
  <c r="P111" i="5"/>
  <c r="Q111" i="5"/>
  <c r="R111" i="5"/>
  <c r="AB111" i="5" s="1"/>
  <c r="AC111" i="5" s="1"/>
  <c r="U111" i="5"/>
  <c r="S111" i="5"/>
  <c r="V111" i="5"/>
  <c r="T111" i="5"/>
  <c r="W111" i="5"/>
  <c r="AD110" i="5" l="1"/>
  <c r="X111" i="5"/>
  <c r="Y111" i="5" s="1"/>
  <c r="AA111" i="5" s="1"/>
  <c r="P112" i="5"/>
  <c r="Q112" i="5"/>
  <c r="R112" i="5"/>
  <c r="AB112" i="5" s="1"/>
  <c r="AC112" i="5" s="1"/>
  <c r="U112" i="5"/>
  <c r="S112" i="5"/>
  <c r="V112" i="5"/>
  <c r="T112" i="5"/>
  <c r="W112" i="5"/>
  <c r="AD111" i="5" l="1"/>
  <c r="X112" i="5"/>
  <c r="Y112" i="5" s="1"/>
  <c r="AA112" i="5" s="1"/>
  <c r="P113" i="5"/>
  <c r="Q113" i="5"/>
  <c r="R113" i="5"/>
  <c r="AB113" i="5" s="1"/>
  <c r="AC113" i="5" s="1"/>
  <c r="U113" i="5"/>
  <c r="S113" i="5"/>
  <c r="V113" i="5"/>
  <c r="T113" i="5"/>
  <c r="W113" i="5"/>
  <c r="AD112" i="5" l="1"/>
  <c r="X113" i="5"/>
  <c r="Y113" i="5" s="1"/>
  <c r="AA113" i="5" s="1"/>
  <c r="P114" i="5"/>
  <c r="Q114" i="5"/>
  <c r="R114" i="5"/>
  <c r="AB114" i="5" s="1"/>
  <c r="AC114" i="5" s="1"/>
  <c r="U114" i="5"/>
  <c r="S114" i="5"/>
  <c r="V114" i="5"/>
  <c r="T114" i="5"/>
  <c r="W114" i="5"/>
  <c r="AD113" i="5" l="1"/>
  <c r="X114" i="5"/>
  <c r="Y114" i="5" s="1"/>
  <c r="AA114" i="5" s="1"/>
  <c r="P115" i="5"/>
  <c r="Q115" i="5"/>
  <c r="R115" i="5"/>
  <c r="AB115" i="5" s="1"/>
  <c r="AC115" i="5" s="1"/>
  <c r="U115" i="5"/>
  <c r="S115" i="5"/>
  <c r="V115" i="5"/>
  <c r="T115" i="5"/>
  <c r="W115" i="5"/>
  <c r="AD114" i="5" l="1"/>
  <c r="X115" i="5"/>
  <c r="Y115" i="5" s="1"/>
  <c r="AA115" i="5" s="1"/>
  <c r="P116" i="5"/>
  <c r="Q116" i="5"/>
  <c r="R116" i="5"/>
  <c r="AB116" i="5" s="1"/>
  <c r="AC116" i="5" s="1"/>
  <c r="U116" i="5"/>
  <c r="S116" i="5"/>
  <c r="V116" i="5"/>
  <c r="T116" i="5"/>
  <c r="W116" i="5"/>
  <c r="AD115" i="5" l="1"/>
  <c r="X116" i="5"/>
  <c r="Y116" i="5" s="1"/>
  <c r="AA116" i="5" s="1"/>
  <c r="P117" i="5"/>
  <c r="Q117" i="5"/>
  <c r="R117" i="5"/>
  <c r="AB117" i="5" s="1"/>
  <c r="AC117" i="5" s="1"/>
  <c r="U117" i="5"/>
  <c r="S117" i="5"/>
  <c r="V117" i="5"/>
  <c r="T117" i="5"/>
  <c r="W117" i="5"/>
  <c r="AD116" i="5" l="1"/>
  <c r="X117" i="5"/>
  <c r="Y117" i="5" s="1"/>
  <c r="AA117" i="5" s="1"/>
  <c r="P118" i="5"/>
  <c r="Q118" i="5"/>
  <c r="R118" i="5"/>
  <c r="AB118" i="5" s="1"/>
  <c r="AC118" i="5" s="1"/>
  <c r="U118" i="5"/>
  <c r="S118" i="5"/>
  <c r="V118" i="5"/>
  <c r="T118" i="5"/>
  <c r="W118" i="5"/>
  <c r="AD117" i="5" l="1"/>
  <c r="X118" i="5"/>
  <c r="Y118" i="5" s="1"/>
  <c r="AA118" i="5" s="1"/>
  <c r="P119" i="5"/>
  <c r="Q119" i="5"/>
  <c r="R119" i="5"/>
  <c r="U119" i="5"/>
  <c r="S119" i="5"/>
  <c r="V119" i="5"/>
  <c r="T119" i="5"/>
  <c r="W119" i="5"/>
  <c r="AB119" i="5"/>
  <c r="AC119" i="5" s="1"/>
  <c r="AD118" i="5" l="1"/>
  <c r="X119" i="5"/>
  <c r="Y119" i="5" s="1"/>
  <c r="AA119" i="5" s="1"/>
  <c r="P120" i="5"/>
  <c r="Q120" i="5"/>
  <c r="R120" i="5"/>
  <c r="AB120" i="5" s="1"/>
  <c r="AC120" i="5" s="1"/>
  <c r="U120" i="5"/>
  <c r="S120" i="5"/>
  <c r="V120" i="5"/>
  <c r="T120" i="5"/>
  <c r="W120" i="5"/>
  <c r="AD119" i="5" l="1"/>
  <c r="X120" i="5"/>
  <c r="Y120" i="5" s="1"/>
  <c r="AA120" i="5" s="1"/>
  <c r="P121" i="5"/>
  <c r="Q121" i="5"/>
  <c r="R121" i="5"/>
  <c r="AB121" i="5" s="1"/>
  <c r="AC121" i="5" s="1"/>
  <c r="U121" i="5"/>
  <c r="S121" i="5"/>
  <c r="V121" i="5"/>
  <c r="T121" i="5"/>
  <c r="W121" i="5"/>
  <c r="AD120" i="5" l="1"/>
  <c r="X121" i="5"/>
  <c r="Y121" i="5" s="1"/>
  <c r="AA121" i="5" s="1"/>
  <c r="P122" i="5"/>
  <c r="Q122" i="5"/>
  <c r="R122" i="5"/>
  <c r="AB122" i="5" s="1"/>
  <c r="AC122" i="5" s="1"/>
  <c r="U122" i="5"/>
  <c r="S122" i="5"/>
  <c r="V122" i="5"/>
  <c r="T122" i="5"/>
  <c r="W122" i="5"/>
  <c r="AD121" i="5" l="1"/>
  <c r="X122" i="5"/>
  <c r="Y122" i="5" s="1"/>
  <c r="AA122" i="5" s="1"/>
  <c r="P123" i="5"/>
  <c r="Q123" i="5"/>
  <c r="R123" i="5"/>
  <c r="AB123" i="5" s="1"/>
  <c r="AC123" i="5" s="1"/>
  <c r="U123" i="5"/>
  <c r="S123" i="5"/>
  <c r="V123" i="5"/>
  <c r="T123" i="5"/>
  <c r="W123" i="5"/>
  <c r="AD122" i="5" l="1"/>
  <c r="X123" i="5"/>
  <c r="Y123" i="5" s="1"/>
  <c r="AA123" i="5" s="1"/>
  <c r="P124" i="5"/>
  <c r="Q124" i="5"/>
  <c r="R124" i="5"/>
  <c r="AB124" i="5" s="1"/>
  <c r="AC124" i="5" s="1"/>
  <c r="U124" i="5"/>
  <c r="S124" i="5"/>
  <c r="V124" i="5"/>
  <c r="T124" i="5"/>
  <c r="W124" i="5"/>
  <c r="AD123" i="5" l="1"/>
  <c r="X124" i="5"/>
  <c r="Y124" i="5" s="1"/>
  <c r="AA124" i="5" s="1"/>
  <c r="P125" i="5"/>
  <c r="Q125" i="5"/>
  <c r="R125" i="5"/>
  <c r="AB125" i="5" s="1"/>
  <c r="AC125" i="5" s="1"/>
  <c r="U125" i="5"/>
  <c r="S125" i="5"/>
  <c r="V125" i="5"/>
  <c r="T125" i="5"/>
  <c r="W125" i="5"/>
  <c r="AD124" i="5" l="1"/>
  <c r="X125" i="5"/>
  <c r="Y125" i="5" s="1"/>
  <c r="AA125" i="5" s="1"/>
  <c r="P126" i="5"/>
  <c r="Q126" i="5"/>
  <c r="R126" i="5"/>
  <c r="AB126" i="5" s="1"/>
  <c r="AC126" i="5" s="1"/>
  <c r="U126" i="5"/>
  <c r="S126" i="5"/>
  <c r="V126" i="5"/>
  <c r="T126" i="5"/>
  <c r="W126" i="5"/>
  <c r="AD125" i="5" l="1"/>
  <c r="X126" i="5"/>
  <c r="Y126" i="5" s="1"/>
  <c r="AA126" i="5" s="1"/>
  <c r="P127" i="5"/>
  <c r="Q127" i="5"/>
  <c r="R127" i="5"/>
  <c r="U127" i="5"/>
  <c r="S127" i="5"/>
  <c r="V127" i="5"/>
  <c r="T127" i="5"/>
  <c r="W127" i="5"/>
  <c r="AB127" i="5"/>
  <c r="AC127" i="5" s="1"/>
  <c r="AD126" i="5" l="1"/>
  <c r="X127" i="5"/>
  <c r="Y127" i="5" s="1"/>
  <c r="AA127" i="5" s="1"/>
  <c r="P128" i="5"/>
  <c r="Q128" i="5"/>
  <c r="R128" i="5"/>
  <c r="AB128" i="5" s="1"/>
  <c r="AC128" i="5" s="1"/>
  <c r="U128" i="5"/>
  <c r="S128" i="5"/>
  <c r="V128" i="5"/>
  <c r="T128" i="5"/>
  <c r="W128" i="5"/>
  <c r="AD127" i="5" l="1"/>
  <c r="X128" i="5"/>
  <c r="Y128" i="5" s="1"/>
  <c r="AA128" i="5" s="1"/>
  <c r="P129" i="5"/>
  <c r="Q129" i="5"/>
  <c r="R129" i="5"/>
  <c r="AB129" i="5" s="1"/>
  <c r="AC129" i="5" s="1"/>
  <c r="U129" i="5"/>
  <c r="S129" i="5"/>
  <c r="V129" i="5"/>
  <c r="T129" i="5"/>
  <c r="W129" i="5"/>
  <c r="AD128" i="5" l="1"/>
  <c r="X129" i="5"/>
  <c r="Y129" i="5" s="1"/>
  <c r="AA129" i="5" s="1"/>
  <c r="P130" i="5"/>
  <c r="Q130" i="5"/>
  <c r="R130" i="5"/>
  <c r="AB130" i="5" s="1"/>
  <c r="AC130" i="5" s="1"/>
  <c r="U130" i="5"/>
  <c r="S130" i="5"/>
  <c r="V130" i="5"/>
  <c r="T130" i="5"/>
  <c r="W130" i="5"/>
  <c r="AD129" i="5" l="1"/>
  <c r="X130" i="5"/>
  <c r="Y130" i="5" s="1"/>
  <c r="AA130" i="5" s="1"/>
  <c r="P131" i="5"/>
  <c r="Q131" i="5"/>
  <c r="R131" i="5"/>
  <c r="U131" i="5"/>
  <c r="S131" i="5"/>
  <c r="V131" i="5"/>
  <c r="T131" i="5"/>
  <c r="W131" i="5"/>
  <c r="AB131" i="5"/>
  <c r="AC131" i="5" s="1"/>
  <c r="AD130" i="5" l="1"/>
  <c r="X131" i="5"/>
  <c r="Y131" i="5" s="1"/>
  <c r="AA131" i="5" s="1"/>
  <c r="P132" i="5"/>
  <c r="Q132" i="5"/>
  <c r="R132" i="5"/>
  <c r="AB132" i="5" s="1"/>
  <c r="AC132" i="5" s="1"/>
  <c r="U132" i="5"/>
  <c r="S132" i="5"/>
  <c r="V132" i="5"/>
  <c r="T132" i="5"/>
  <c r="W132" i="5"/>
  <c r="AD131" i="5" l="1"/>
  <c r="AD132" i="5"/>
  <c r="X132" i="5"/>
  <c r="Y132" i="5" s="1"/>
  <c r="AA132" i="5" s="1"/>
  <c r="P133" i="5"/>
  <c r="Q133" i="5"/>
  <c r="R133" i="5"/>
  <c r="U133" i="5"/>
  <c r="S133" i="5"/>
  <c r="V133" i="5"/>
  <c r="T133" i="5"/>
  <c r="W133" i="5"/>
  <c r="AB133" i="5"/>
  <c r="AC133" i="5" s="1"/>
  <c r="X133" i="5" l="1"/>
  <c r="Y133" i="5" s="1"/>
  <c r="AA133" i="5" s="1"/>
  <c r="P134" i="5"/>
  <c r="Q134" i="5"/>
  <c r="R134" i="5"/>
  <c r="U134" i="5"/>
  <c r="S134" i="5"/>
  <c r="V134" i="5"/>
  <c r="T134" i="5"/>
  <c r="W134" i="5"/>
  <c r="AB134" i="5"/>
  <c r="AC134" i="5" s="1"/>
  <c r="AD133" i="5" l="1"/>
  <c r="AD134" i="5"/>
  <c r="X134" i="5"/>
  <c r="Y134" i="5" s="1"/>
  <c r="AA134" i="5" s="1"/>
  <c r="P135" i="5"/>
  <c r="Q135" i="5" s="1"/>
  <c r="R135" i="5"/>
  <c r="U135" i="5"/>
  <c r="S135" i="5"/>
  <c r="V135" i="5"/>
  <c r="T135" i="5"/>
  <c r="W135" i="5"/>
  <c r="AB135" i="5"/>
  <c r="AC135" i="5" s="1"/>
  <c r="U1" i="5" l="1"/>
  <c r="S1" i="5"/>
  <c r="T1" i="5"/>
  <c r="X135" i="5"/>
  <c r="Y135" i="5" s="1"/>
  <c r="I9" i="5"/>
  <c r="J9" i="5"/>
  <c r="AA135" i="5" l="1"/>
  <c r="M13" i="5" s="1"/>
  <c r="AD135" i="5"/>
  <c r="M26" i="5"/>
  <c r="Q1" i="6" l="1"/>
  <c r="P27" i="6"/>
  <c r="P2" i="6"/>
  <c r="P35" i="6"/>
  <c r="P9" i="6"/>
  <c r="P23" i="6"/>
  <c r="P38" i="6"/>
  <c r="P12" i="6"/>
  <c r="P44" i="6"/>
  <c r="P26" i="6"/>
  <c r="P41" i="6"/>
  <c r="P15" i="6"/>
  <c r="P30" i="6"/>
  <c r="P4" i="6"/>
  <c r="P36" i="6"/>
  <c r="P18" i="6"/>
  <c r="P33" i="6"/>
  <c r="P7" i="6"/>
  <c r="P21" i="6"/>
  <c r="P28" i="6"/>
  <c r="P10" i="6"/>
  <c r="P24" i="6"/>
  <c r="P39" i="6"/>
  <c r="P13" i="6"/>
  <c r="P19" i="6"/>
  <c r="P42" i="6"/>
  <c r="P16" i="6"/>
  <c r="P31" i="6"/>
  <c r="P5" i="6"/>
  <c r="P11" i="6"/>
  <c r="P34" i="6"/>
  <c r="P8" i="6"/>
  <c r="P22" i="6"/>
  <c r="P37" i="6"/>
  <c r="P3" i="6"/>
  <c r="P25" i="6"/>
  <c r="P40" i="6"/>
  <c r="P14" i="6"/>
  <c r="P29" i="6"/>
  <c r="P43" i="6"/>
  <c r="P17" i="6"/>
  <c r="P32" i="6"/>
  <c r="P6" i="6"/>
  <c r="P20" i="6"/>
  <c r="I6" i="1"/>
  <c r="J6" i="1"/>
  <c r="I3" i="1"/>
  <c r="J3" i="1"/>
  <c r="J5" i="1"/>
  <c r="I7" i="1"/>
  <c r="J7" i="1"/>
  <c r="I5" i="1"/>
  <c r="I12" i="1"/>
  <c r="J12" i="1"/>
  <c r="J10" i="1"/>
  <c r="I13" i="1"/>
  <c r="J13" i="1"/>
  <c r="J4" i="1"/>
  <c r="I4" i="1"/>
  <c r="J14" i="1"/>
  <c r="I11" i="1"/>
  <c r="J11" i="1"/>
  <c r="I10" i="1"/>
  <c r="I14" i="1"/>
  <c r="J15" i="1"/>
  <c r="I15" i="1"/>
  <c r="I8" i="1"/>
  <c r="J8" i="1"/>
  <c r="G15" i="1"/>
  <c r="F15" i="1"/>
  <c r="H15" i="1"/>
  <c r="G10" i="1"/>
  <c r="H10" i="1" s="1"/>
  <c r="F4" i="1"/>
  <c r="H4" i="1" s="1"/>
  <c r="Q17" i="6"/>
  <c r="F5" i="1"/>
  <c r="Q29" i="6"/>
  <c r="Q27" i="6"/>
  <c r="F10" i="1"/>
  <c r="F3" i="1"/>
  <c r="H3" i="1" s="1"/>
  <c r="Q22" i="6"/>
  <c r="F13" i="1"/>
  <c r="H13" i="1" s="1"/>
  <c r="Q25" i="6"/>
  <c r="F8" i="1"/>
  <c r="F14" i="1"/>
  <c r="Q20" i="6"/>
  <c r="F6" i="1"/>
  <c r="G14" i="1"/>
  <c r="H14" i="1" s="1"/>
  <c r="Q9" i="6"/>
  <c r="G5" i="1"/>
  <c r="H5" i="1" s="1"/>
  <c r="F11" i="1"/>
  <c r="Q15" i="6"/>
  <c r="Q43" i="6"/>
  <c r="Q32" i="6"/>
  <c r="Q18" i="6"/>
  <c r="Q3" i="6"/>
  <c r="Q35" i="6"/>
  <c r="Q37" i="6"/>
  <c r="G4" i="1"/>
  <c r="Q33" i="6"/>
  <c r="Q14" i="6"/>
  <c r="Q12" i="6"/>
  <c r="G6" i="1"/>
  <c r="G13" i="1"/>
  <c r="Q30" i="6"/>
  <c r="Q19" i="6"/>
  <c r="Q11" i="6"/>
  <c r="G12" i="1"/>
  <c r="F7" i="1"/>
  <c r="Q23" i="6"/>
  <c r="Q6" i="6"/>
  <c r="Q26" i="6"/>
  <c r="F12" i="1"/>
  <c r="H12" i="1" s="1"/>
  <c r="Q38" i="6"/>
  <c r="Q16" i="6"/>
  <c r="Q40" i="6"/>
  <c r="G7" i="1"/>
  <c r="G11" i="1"/>
  <c r="G3" i="1"/>
  <c r="Q34" i="6"/>
  <c r="Q21" i="6"/>
  <c r="G8" i="1"/>
  <c r="H8" i="1" s="1"/>
  <c r="Q24" i="6"/>
  <c r="Q8" i="6"/>
  <c r="Q42" i="6"/>
  <c r="Q28" i="6"/>
  <c r="Q4" i="6"/>
  <c r="Q39" i="6"/>
  <c r="Q31" i="6"/>
  <c r="Q5" i="6"/>
  <c r="Q10" i="6"/>
  <c r="Q36" i="6"/>
  <c r="Q44" i="6"/>
  <c r="Q7" i="6"/>
  <c r="Q2" i="6"/>
  <c r="Q41" i="6"/>
  <c r="Q13" i="6"/>
  <c r="H6" i="1"/>
  <c r="H7" i="1"/>
  <c r="H11" i="1"/>
  <c r="J12" i="5"/>
  <c r="I12" i="5"/>
  <c r="J13" i="5"/>
  <c r="I13" i="5"/>
  <c r="J14" i="5"/>
  <c r="I14" i="5"/>
  <c r="J10" i="5"/>
  <c r="I10" i="5"/>
  <c r="J11" i="5"/>
  <c r="I11" i="5"/>
  <c r="J16" i="5"/>
  <c r="I16" i="5"/>
  <c r="J15" i="5"/>
  <c r="I15" i="5"/>
  <c r="G4" i="5"/>
  <c r="F4" i="5"/>
  <c r="G12" i="5"/>
  <c r="F12" i="5"/>
  <c r="H12" i="5" s="1"/>
  <c r="G15" i="5"/>
  <c r="G13" i="5"/>
  <c r="F13" i="5"/>
  <c r="F3" i="5"/>
  <c r="G10" i="5"/>
  <c r="F8" i="5"/>
  <c r="G16" i="5"/>
  <c r="F5" i="5"/>
  <c r="G9" i="5"/>
  <c r="F9" i="5"/>
  <c r="G14" i="5"/>
  <c r="F14" i="5"/>
  <c r="G3" i="5"/>
  <c r="F7" i="5"/>
  <c r="G7" i="5"/>
  <c r="F11" i="5"/>
  <c r="F10" i="5"/>
  <c r="H10" i="5" s="1"/>
  <c r="G5" i="5"/>
  <c r="H5" i="5" s="1"/>
  <c r="G8" i="5"/>
  <c r="H8" i="5" s="1"/>
  <c r="F15" i="5"/>
  <c r="G6" i="5"/>
  <c r="F6" i="5"/>
  <c r="G11" i="5"/>
  <c r="F16" i="5"/>
  <c r="H4" i="5" l="1"/>
  <c r="H7" i="5"/>
  <c r="H15" i="5"/>
  <c r="H14" i="5"/>
  <c r="H13" i="5"/>
  <c r="H11" i="5"/>
  <c r="H3" i="5"/>
  <c r="H16" i="5"/>
  <c r="H9" i="5"/>
  <c r="H6" i="5"/>
</calcChain>
</file>

<file path=xl/sharedStrings.xml><?xml version="1.0" encoding="utf-8"?>
<sst xmlns="http://schemas.openxmlformats.org/spreadsheetml/2006/main" count="1478" uniqueCount="89">
  <si>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</si>
  <si>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</si>
  <si>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</si>
  <si>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</si>
  <si>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</si>
  <si>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</si>
  <si>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</si>
  <si>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</si>
  <si>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</si>
  <si>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</si>
  <si>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</si>
  <si>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</si>
  <si>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</si>
  <si>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Last update</t>
  </si>
  <si>
    <t>Live Data Feed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</si>
  <si>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</si>
  <si>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</si>
  <si>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</si>
  <si>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</si>
  <si>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</si>
  <si>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</si>
  <si>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</si>
  <si>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</si>
  <si>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</si>
  <si>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</si>
  <si>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</si>
  <si>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maturity date</t>
  </si>
  <si>
    <t>3M quote</t>
  </si>
  <si>
    <t>P(d)</t>
  </si>
  <si>
    <t>F ON</t>
  </si>
  <si>
    <t>tau</t>
  </si>
  <si>
    <t>Delta</t>
  </si>
  <si>
    <t>1D</t>
  </si>
  <si>
    <t>1W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</si>
  <si>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</si>
  <si>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</si>
  <si>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</si>
  <si>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</si>
  <si>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</si>
  <si>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</si>
  <si>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</si>
  <si>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</si>
  <si>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</si>
  <si>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</si>
  <si>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6M quote</t>
  </si>
  <si>
    <t>Basis</t>
  </si>
  <si>
    <t>t</t>
  </si>
  <si>
    <t>a</t>
  </si>
  <si>
    <t>b</t>
  </si>
  <si>
    <t>c</t>
  </si>
  <si>
    <t>d</t>
  </si>
  <si>
    <t xml:space="preserve">tenor </t>
  </si>
  <si>
    <t>Value date</t>
  </si>
  <si>
    <t>Maturity date</t>
  </si>
  <si>
    <t>Step</t>
  </si>
  <si>
    <t>1Y</t>
  </si>
  <si>
    <t>3Y</t>
  </si>
  <si>
    <t>4Y</t>
  </si>
  <si>
    <t>5Y</t>
  </si>
  <si>
    <t>6Y</t>
  </si>
  <si>
    <t>7Y</t>
  </si>
  <si>
    <t>8Y</t>
  </si>
  <si>
    <t>9Y</t>
  </si>
  <si>
    <t>12Y</t>
  </si>
  <si>
    <t>15Y</t>
  </si>
  <si>
    <t>20Y</t>
  </si>
  <si>
    <t>25Y</t>
  </si>
  <si>
    <t>30Y</t>
  </si>
  <si>
    <t>35Y</t>
  </si>
  <si>
    <t>40Y</t>
  </si>
  <si>
    <t>50Y</t>
  </si>
  <si>
    <t>60Y</t>
  </si>
  <si>
    <t>10Y</t>
  </si>
  <si>
    <t>2Y</t>
  </si>
  <si>
    <t>F 6M</t>
  </si>
  <si>
    <t>P(d+x)</t>
  </si>
  <si>
    <t>abcd interpolation</t>
  </si>
  <si>
    <t>selected</t>
  </si>
  <si>
    <t>2Y6M</t>
  </si>
  <si>
    <t>error</t>
  </si>
  <si>
    <t>Calibrated Basis</t>
  </si>
  <si>
    <t>Market Basis</t>
  </si>
  <si>
    <t>Error</t>
  </si>
  <si>
    <t>simple basis</t>
  </si>
  <si>
    <t>cont. basis</t>
  </si>
  <si>
    <t>cont</t>
  </si>
  <si>
    <t>Time</t>
  </si>
  <si>
    <t>simple</t>
  </si>
  <si>
    <t>max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</si>
</sst>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d\,\ dd\-mmm\-yyyy\ h:mm:ss"/>
    <numFmt numFmtId="165" formatCode="ddd\,\ d\-mmm\-yyyy"/>
    <numFmt numFmtId="166" formatCode="ddd\,\ dd\-mmm\-yyyy\,\ h:mm:ss"/>
    <numFmt numFmtId="167" formatCode="0.0000%"/>
    <numFmt numFmtId="168" formatCode="0.0000"/>
    <numFmt numFmtId="169" formatCode="ddd\,\ dd\-mmm\-yyyy"/>
    <numFmt numFmtId="170" formatCode="0.000000000"/>
    <numFmt numFmtId="177" formatCode="dd\-mmm\-yy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  <font>
      <sz val="8"/>
      <color theme="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9">
    <xf numFmtId="0" fontId="0" fillId="0" borderId="0" xfId="0"/>
    <xf numFmtId="0" fontId="3" fillId="2" borderId="0" xfId="1" applyFont="1" applyFill="1"/>
    <xf numFmtId="0" fontId="5" fillId="3" borderId="1" xfId="2" applyFont="1" applyFill="1" applyBorder="1" applyAlignment="1">
      <alignment horizontal="centerContinuous" vertical="center"/>
    </xf>
    <xf numFmtId="0" fontId="5" fillId="3" borderId="2" xfId="2" applyFont="1" applyFill="1" applyBorder="1" applyAlignment="1">
      <alignment horizontal="centerContinuous" vertical="center"/>
    </xf>
    <xf numFmtId="0" fontId="3" fillId="4" borderId="3" xfId="1" applyFont="1" applyFill="1" applyBorder="1"/>
    <xf numFmtId="0" fontId="3" fillId="4" borderId="0" xfId="1" applyFont="1" applyFill="1" applyBorder="1"/>
    <xf numFmtId="0" fontId="3" fillId="4" borderId="4" xfId="1" applyFont="1" applyFill="1" applyBorder="1"/>
    <xf numFmtId="0" fontId="3" fillId="5" borderId="5" xfId="1" applyFont="1" applyFill="1" applyBorder="1" applyAlignment="1">
      <alignment horizontal="right"/>
    </xf>
    <xf numFmtId="0" fontId="3" fillId="4" borderId="5" xfId="1" applyFont="1" applyFill="1" applyBorder="1" applyAlignment="1">
      <alignment horizontal="center"/>
    </xf>
    <xf numFmtId="164" fontId="3" fillId="4" borderId="5" xfId="1" applyNumberFormat="1" applyFont="1" applyFill="1" applyBorder="1" applyAlignment="1">
      <alignment horizontal="center"/>
    </xf>
    <xf numFmtId="0" fontId="3" fillId="2" borderId="0" xfId="2" applyFont="1" applyFill="1"/>
    <xf numFmtId="165" fontId="3" fillId="4" borderId="5" xfId="4" applyNumberFormat="1" applyFont="1" applyFill="1" applyBorder="1" applyAlignment="1">
      <alignment horizontal="center"/>
    </xf>
    <xf numFmtId="165" fontId="3" fillId="4" borderId="6" xfId="4" applyNumberFormat="1" applyFont="1" applyFill="1" applyBorder="1" applyAlignment="1">
      <alignment horizontal="center"/>
    </xf>
    <xf numFmtId="0" fontId="3" fillId="6" borderId="3" xfId="1" applyFont="1" applyFill="1" applyBorder="1"/>
    <xf numFmtId="0" fontId="3" fillId="6" borderId="0" xfId="1" applyFont="1" applyFill="1"/>
    <xf numFmtId="0" fontId="6" fillId="4" borderId="0" xfId="1" applyFont="1" applyFill="1" applyBorder="1" applyAlignment="1">
      <alignment horizontal="right" vertical="center"/>
    </xf>
    <xf numFmtId="166" fontId="7" fillId="4" borderId="0" xfId="1" applyNumberFormat="1" applyFont="1" applyFill="1" applyBorder="1" applyAlignment="1">
      <alignment horizontal="right" vertical="center"/>
    </xf>
    <xf numFmtId="0" fontId="7" fillId="4" borderId="0" xfId="1" quotePrefix="1" applyFont="1" applyFill="1" applyBorder="1" applyAlignment="1">
      <alignment horizontal="center" vertical="center"/>
    </xf>
    <xf numFmtId="0" fontId="3" fillId="4" borderId="7" xfId="1" applyFont="1" applyFill="1" applyBorder="1"/>
    <xf numFmtId="0" fontId="3" fillId="4" borderId="8" xfId="1" applyFont="1" applyFill="1" applyBorder="1" applyAlignment="1">
      <alignment horizontal="center"/>
    </xf>
    <xf numFmtId="0" fontId="6" fillId="4" borderId="8" xfId="1" applyFont="1" applyFill="1" applyBorder="1" applyAlignment="1">
      <alignment horizontal="right" vertical="center"/>
    </xf>
    <xf numFmtId="0" fontId="3" fillId="4" borderId="9" xfId="1" applyFont="1" applyFill="1" applyBorder="1"/>
    <xf numFmtId="0" fontId="3" fillId="2" borderId="0" xfId="1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5" borderId="5" xfId="1" applyFont="1" applyFill="1" applyBorder="1" applyAlignment="1">
      <alignment horizontal="right" vertical="center"/>
    </xf>
    <xf numFmtId="169" fontId="3" fillId="4" borderId="6" xfId="4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/>
    </xf>
    <xf numFmtId="1" fontId="3" fillId="4" borderId="5" xfId="4" applyNumberFormat="1" applyFont="1" applyFill="1" applyBorder="1" applyAlignment="1">
      <alignment horizontal="center"/>
    </xf>
    <xf numFmtId="1" fontId="3" fillId="4" borderId="6" xfId="4" applyNumberFormat="1" applyFont="1" applyFill="1" applyBorder="1" applyAlignment="1">
      <alignment horizontal="center"/>
    </xf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169" fontId="3" fillId="4" borderId="7" xfId="4" applyNumberFormat="1" applyFont="1" applyFill="1" applyBorder="1" applyAlignment="1">
      <alignment horizontal="center"/>
    </xf>
    <xf numFmtId="169" fontId="3" fillId="4" borderId="8" xfId="4" applyNumberFormat="1" applyFont="1" applyFill="1" applyBorder="1" applyAlignment="1">
      <alignment horizontal="center"/>
    </xf>
    <xf numFmtId="169" fontId="3" fillId="4" borderId="9" xfId="4" applyNumberFormat="1" applyFont="1" applyFill="1" applyBorder="1" applyAlignment="1">
      <alignment horizontal="center"/>
    </xf>
    <xf numFmtId="0" fontId="1" fillId="7" borderId="5" xfId="0" applyFont="1" applyFill="1" applyBorder="1"/>
    <xf numFmtId="0" fontId="0" fillId="0" borderId="5" xfId="0" applyBorder="1"/>
    <xf numFmtId="0" fontId="1" fillId="7" borderId="5" xfId="0" applyFont="1" applyFill="1" applyBorder="1" applyAlignment="1">
      <alignment horizontal="center" vertical="center" wrapText="1"/>
    </xf>
    <xf numFmtId="169" fontId="0" fillId="0" borderId="15" xfId="0" applyNumberFormat="1" applyBorder="1"/>
    <xf numFmtId="168" fontId="0" fillId="0" borderId="15" xfId="0" applyNumberFormat="1" applyBorder="1"/>
    <xf numFmtId="167" fontId="0" fillId="0" borderId="15" xfId="0" applyNumberFormat="1" applyBorder="1"/>
    <xf numFmtId="170" fontId="0" fillId="0" borderId="15" xfId="0" applyNumberFormat="1" applyBorder="1"/>
    <xf numFmtId="0" fontId="0" fillId="0" borderId="15" xfId="0" applyBorder="1"/>
    <xf numFmtId="0" fontId="0" fillId="0" borderId="10" xfId="0" applyBorder="1"/>
    <xf numFmtId="0" fontId="0" fillId="0" borderId="15" xfId="0" applyFill="1" applyBorder="1"/>
    <xf numFmtId="169" fontId="3" fillId="8" borderId="15" xfId="3" applyNumberFormat="1" applyFont="1" applyFill="1" applyBorder="1"/>
    <xf numFmtId="0" fontId="3" fillId="6" borderId="15" xfId="3" applyFont="1" applyFill="1" applyBorder="1"/>
    <xf numFmtId="0" fontId="3" fillId="8" borderId="17" xfId="3" applyNumberFormat="1" applyFont="1" applyFill="1" applyBorder="1"/>
    <xf numFmtId="0" fontId="9" fillId="8" borderId="17" xfId="0" applyFont="1" applyFill="1" applyBorder="1"/>
    <xf numFmtId="0" fontId="10" fillId="7" borderId="5" xfId="3" applyFont="1" applyFill="1" applyBorder="1" applyAlignment="1">
      <alignment horizontal="centerContinuous"/>
    </xf>
    <xf numFmtId="0" fontId="10" fillId="7" borderId="5" xfId="3" applyFont="1" applyFill="1" applyBorder="1" applyAlignment="1">
      <alignment horizontal="center" vertical="center" wrapText="1"/>
    </xf>
    <xf numFmtId="0" fontId="3" fillId="8" borderId="16" xfId="3" applyNumberFormat="1" applyFont="1" applyFill="1" applyBorder="1"/>
    <xf numFmtId="0" fontId="3" fillId="8" borderId="15" xfId="3" applyNumberFormat="1" applyFont="1" applyFill="1" applyBorder="1"/>
    <xf numFmtId="0" fontId="3" fillId="8" borderId="15" xfId="3" applyFont="1" applyFill="1" applyBorder="1"/>
    <xf numFmtId="0" fontId="3" fillId="8" borderId="11" xfId="3" applyFont="1" applyFill="1" applyBorder="1"/>
    <xf numFmtId="169" fontId="3" fillId="8" borderId="11" xfId="3" applyNumberFormat="1" applyFont="1" applyFill="1" applyBorder="1"/>
    <xf numFmtId="0" fontId="3" fillId="6" borderId="11" xfId="3" applyFont="1" applyFill="1" applyBorder="1"/>
    <xf numFmtId="0" fontId="9" fillId="8" borderId="18" xfId="0" applyFont="1" applyFill="1" applyBorder="1"/>
    <xf numFmtId="0" fontId="3" fillId="8" borderId="19" xfId="3" applyNumberFormat="1" applyFont="1" applyFill="1" applyBorder="1"/>
    <xf numFmtId="0" fontId="3" fillId="8" borderId="11" xfId="3" applyNumberFormat="1" applyFont="1" applyFill="1" applyBorder="1"/>
    <xf numFmtId="0" fontId="3" fillId="8" borderId="18" xfId="3" applyNumberFormat="1" applyFont="1" applyFill="1" applyBorder="1"/>
    <xf numFmtId="0" fontId="0" fillId="0" borderId="0" xfId="0" applyBorder="1"/>
    <xf numFmtId="0" fontId="9" fillId="0" borderId="0" xfId="0" applyFont="1"/>
    <xf numFmtId="0" fontId="11" fillId="7" borderId="5" xfId="0" applyFont="1" applyFill="1" applyBorder="1" applyAlignment="1">
      <alignment horizontal="center" vertical="center" wrapText="1"/>
    </xf>
    <xf numFmtId="167" fontId="9" fillId="0" borderId="0" xfId="0" applyNumberFormat="1" applyFont="1"/>
    <xf numFmtId="0" fontId="9" fillId="0" borderId="10" xfId="0" applyFont="1" applyBorder="1"/>
    <xf numFmtId="0" fontId="9" fillId="0" borderId="15" xfId="0" applyFont="1" applyBorder="1"/>
    <xf numFmtId="169" fontId="9" fillId="0" borderId="15" xfId="0" applyNumberFormat="1" applyFont="1" applyBorder="1"/>
    <xf numFmtId="168" fontId="9" fillId="0" borderId="15" xfId="0" applyNumberFormat="1" applyFont="1" applyBorder="1"/>
    <xf numFmtId="167" fontId="9" fillId="0" borderId="15" xfId="0" applyNumberFormat="1" applyFont="1" applyBorder="1"/>
    <xf numFmtId="170" fontId="9" fillId="0" borderId="15" xfId="0" applyNumberFormat="1" applyFont="1" applyBorder="1"/>
    <xf numFmtId="0" fontId="9" fillId="0" borderId="15" xfId="0" applyFont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9" fillId="0" borderId="11" xfId="0" applyFont="1" applyBorder="1"/>
    <xf numFmtId="169" fontId="9" fillId="0" borderId="11" xfId="0" applyNumberFormat="1" applyFont="1" applyBorder="1"/>
    <xf numFmtId="168" fontId="9" fillId="0" borderId="11" xfId="0" applyNumberFormat="1" applyFont="1" applyBorder="1"/>
    <xf numFmtId="167" fontId="9" fillId="0" borderId="11" xfId="0" applyNumberFormat="1" applyFont="1" applyBorder="1"/>
    <xf numFmtId="170" fontId="9" fillId="0" borderId="11" xfId="0" applyNumberFormat="1" applyFont="1" applyBorder="1"/>
    <xf numFmtId="0" fontId="9" fillId="0" borderId="0" xfId="0" applyFont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9" fillId="9" borderId="0" xfId="0" applyNumberFormat="1" applyFont="1" applyFill="1"/>
    <xf numFmtId="0" fontId="11" fillId="7" borderId="5" xfId="0" applyFont="1" applyFill="1" applyBorder="1"/>
    <xf numFmtId="0" fontId="9" fillId="0" borderId="5" xfId="0" applyFont="1" applyBorder="1"/>
    <xf numFmtId="0" fontId="9" fillId="9" borderId="0" xfId="0" applyFont="1" applyFill="1" applyBorder="1"/>
    <xf numFmtId="0" fontId="9" fillId="9" borderId="20" xfId="0" applyFont="1" applyFill="1" applyBorder="1"/>
    <xf numFmtId="169" fontId="9" fillId="9" borderId="20" xfId="0" applyNumberFormat="1" applyFont="1" applyFill="1" applyBorder="1"/>
    <xf numFmtId="168" fontId="9" fillId="9" borderId="20" xfId="0" applyNumberFormat="1" applyFont="1" applyFill="1" applyBorder="1"/>
    <xf numFmtId="167" fontId="9" fillId="9" borderId="20" xfId="0" applyNumberFormat="1" applyFont="1" applyFill="1" applyBorder="1"/>
    <xf numFmtId="170" fontId="9" fillId="9" borderId="20" xfId="0" applyNumberFormat="1" applyFont="1" applyFill="1" applyBorder="1"/>
    <xf numFmtId="169" fontId="9" fillId="9" borderId="0" xfId="0" applyNumberFormat="1" applyFont="1" applyFill="1" applyBorder="1"/>
    <xf numFmtId="168" fontId="9" fillId="9" borderId="0" xfId="0" applyNumberFormat="1" applyFont="1" applyFill="1" applyBorder="1"/>
    <xf numFmtId="167" fontId="9" fillId="9" borderId="0" xfId="0" applyNumberFormat="1" applyFont="1" applyFill="1" applyBorder="1"/>
    <xf numFmtId="170" fontId="9" fillId="9" borderId="0" xfId="0" applyNumberFormat="1" applyFont="1" applyFill="1" applyBorder="1"/>
    <xf numFmtId="168" fontId="9" fillId="9" borderId="0" xfId="0" applyNumberFormat="1" applyFont="1" applyFill="1"/>
    <xf numFmtId="167" fontId="9" fillId="0" borderId="5" xfId="0" applyNumberFormat="1" applyFont="1" applyBorder="1"/>
    <xf numFmtId="168" fontId="9" fillId="0" borderId="5" xfId="0" applyNumberFormat="1" applyFont="1" applyBorder="1"/>
    <xf numFmtId="177" fontId="9" fillId="0" borderId="5" xfId="0" applyNumberFormat="1" applyFont="1" applyBorder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Delta'!$X$2</c:f>
              <c:strCache>
                <c:ptCount val="1"/>
                <c:pt idx="0">
                  <c:v>Delta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42118</c:v>
                </c:pt>
                <c:pt idx="1">
                  <c:v>42121</c:v>
                </c:pt>
                <c:pt idx="2">
                  <c:v>42122</c:v>
                </c:pt>
                <c:pt idx="3">
                  <c:v>42123</c:v>
                </c:pt>
                <c:pt idx="4">
                  <c:v>42124</c:v>
                </c:pt>
                <c:pt idx="5">
                  <c:v>42128</c:v>
                </c:pt>
                <c:pt idx="6">
                  <c:v>42129</c:v>
                </c:pt>
                <c:pt idx="7">
                  <c:v>42130</c:v>
                </c:pt>
                <c:pt idx="8">
                  <c:v>42131</c:v>
                </c:pt>
                <c:pt idx="9">
                  <c:v>42132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42142</c:v>
                </c:pt>
                <c:pt idx="16">
                  <c:v>42143</c:v>
                </c:pt>
                <c:pt idx="17">
                  <c:v>42144</c:v>
                </c:pt>
                <c:pt idx="18">
                  <c:v>42145</c:v>
                </c:pt>
                <c:pt idx="19">
                  <c:v>42146</c:v>
                </c:pt>
                <c:pt idx="20">
                  <c:v>42149</c:v>
                </c:pt>
                <c:pt idx="21">
                  <c:v>42150</c:v>
                </c:pt>
                <c:pt idx="22">
                  <c:v>42151</c:v>
                </c:pt>
                <c:pt idx="23">
                  <c:v>42152</c:v>
                </c:pt>
                <c:pt idx="24">
                  <c:v>42153</c:v>
                </c:pt>
                <c:pt idx="25">
                  <c:v>42156</c:v>
                </c:pt>
                <c:pt idx="26">
                  <c:v>42157</c:v>
                </c:pt>
                <c:pt idx="27">
                  <c:v>42158</c:v>
                </c:pt>
                <c:pt idx="28">
                  <c:v>42159</c:v>
                </c:pt>
                <c:pt idx="29">
                  <c:v>42160</c:v>
                </c:pt>
                <c:pt idx="30">
                  <c:v>42163</c:v>
                </c:pt>
                <c:pt idx="31">
                  <c:v>42164</c:v>
                </c:pt>
                <c:pt idx="32">
                  <c:v>42165</c:v>
                </c:pt>
                <c:pt idx="33">
                  <c:v>42166</c:v>
                </c:pt>
                <c:pt idx="34">
                  <c:v>42167</c:v>
                </c:pt>
                <c:pt idx="35">
                  <c:v>42170</c:v>
                </c:pt>
                <c:pt idx="36">
                  <c:v>42171</c:v>
                </c:pt>
                <c:pt idx="37">
                  <c:v>42172</c:v>
                </c:pt>
                <c:pt idx="38">
                  <c:v>42173</c:v>
                </c:pt>
                <c:pt idx="39">
                  <c:v>42174</c:v>
                </c:pt>
                <c:pt idx="40">
                  <c:v>42177</c:v>
                </c:pt>
                <c:pt idx="41">
                  <c:v>42178</c:v>
                </c:pt>
                <c:pt idx="42">
                  <c:v>42179</c:v>
                </c:pt>
                <c:pt idx="43">
                  <c:v>42180</c:v>
                </c:pt>
                <c:pt idx="44">
                  <c:v>42181</c:v>
                </c:pt>
                <c:pt idx="45">
                  <c:v>42184</c:v>
                </c:pt>
                <c:pt idx="46">
                  <c:v>42185</c:v>
                </c:pt>
                <c:pt idx="47">
                  <c:v>42186</c:v>
                </c:pt>
                <c:pt idx="48">
                  <c:v>42187</c:v>
                </c:pt>
                <c:pt idx="49">
                  <c:v>42188</c:v>
                </c:pt>
                <c:pt idx="50">
                  <c:v>42191</c:v>
                </c:pt>
                <c:pt idx="51">
                  <c:v>42192</c:v>
                </c:pt>
                <c:pt idx="52">
                  <c:v>42193</c:v>
                </c:pt>
                <c:pt idx="53">
                  <c:v>42194</c:v>
                </c:pt>
                <c:pt idx="54">
                  <c:v>42195</c:v>
                </c:pt>
                <c:pt idx="55">
                  <c:v>42198</c:v>
                </c:pt>
                <c:pt idx="56">
                  <c:v>42199</c:v>
                </c:pt>
                <c:pt idx="57">
                  <c:v>42200</c:v>
                </c:pt>
                <c:pt idx="58">
                  <c:v>42201</c:v>
                </c:pt>
                <c:pt idx="59">
                  <c:v>42202</c:v>
                </c:pt>
                <c:pt idx="60">
                  <c:v>42205</c:v>
                </c:pt>
                <c:pt idx="61">
                  <c:v>42206</c:v>
                </c:pt>
                <c:pt idx="62">
                  <c:v>42207</c:v>
                </c:pt>
                <c:pt idx="63">
                  <c:v>42208</c:v>
                </c:pt>
                <c:pt idx="64">
                  <c:v>42209</c:v>
                </c:pt>
                <c:pt idx="65">
                  <c:v>42212</c:v>
                </c:pt>
                <c:pt idx="66">
                  <c:v>42213</c:v>
                </c:pt>
                <c:pt idx="67">
                  <c:v>42214</c:v>
                </c:pt>
                <c:pt idx="68">
                  <c:v>42215</c:v>
                </c:pt>
                <c:pt idx="69">
                  <c:v>42216</c:v>
                </c:pt>
                <c:pt idx="70">
                  <c:v>42219</c:v>
                </c:pt>
                <c:pt idx="71">
                  <c:v>42220</c:v>
                </c:pt>
                <c:pt idx="72">
                  <c:v>42221</c:v>
                </c:pt>
                <c:pt idx="73">
                  <c:v>42222</c:v>
                </c:pt>
                <c:pt idx="74">
                  <c:v>42223</c:v>
                </c:pt>
                <c:pt idx="75">
                  <c:v>42226</c:v>
                </c:pt>
                <c:pt idx="76">
                  <c:v>42227</c:v>
                </c:pt>
                <c:pt idx="77">
                  <c:v>42228</c:v>
                </c:pt>
                <c:pt idx="78">
                  <c:v>42229</c:v>
                </c:pt>
                <c:pt idx="79">
                  <c:v>42230</c:v>
                </c:pt>
                <c:pt idx="80">
                  <c:v>42233</c:v>
                </c:pt>
                <c:pt idx="81">
                  <c:v>42234</c:v>
                </c:pt>
                <c:pt idx="82">
                  <c:v>42235</c:v>
                </c:pt>
                <c:pt idx="83">
                  <c:v>42236</c:v>
                </c:pt>
                <c:pt idx="84">
                  <c:v>42237</c:v>
                </c:pt>
                <c:pt idx="85">
                  <c:v>42240</c:v>
                </c:pt>
                <c:pt idx="86">
                  <c:v>42241</c:v>
                </c:pt>
                <c:pt idx="87">
                  <c:v>42242</c:v>
                </c:pt>
                <c:pt idx="88">
                  <c:v>42243</c:v>
                </c:pt>
                <c:pt idx="89">
                  <c:v>42244</c:v>
                </c:pt>
                <c:pt idx="90">
                  <c:v>42247</c:v>
                </c:pt>
                <c:pt idx="91">
                  <c:v>42248</c:v>
                </c:pt>
                <c:pt idx="92">
                  <c:v>42249</c:v>
                </c:pt>
                <c:pt idx="93">
                  <c:v>42250</c:v>
                </c:pt>
                <c:pt idx="94">
                  <c:v>42251</c:v>
                </c:pt>
                <c:pt idx="95">
                  <c:v>42254</c:v>
                </c:pt>
                <c:pt idx="96">
                  <c:v>42255</c:v>
                </c:pt>
                <c:pt idx="97">
                  <c:v>42256</c:v>
                </c:pt>
                <c:pt idx="98">
                  <c:v>42257</c:v>
                </c:pt>
                <c:pt idx="99">
                  <c:v>42258</c:v>
                </c:pt>
                <c:pt idx="100">
                  <c:v>42261</c:v>
                </c:pt>
                <c:pt idx="101">
                  <c:v>42262</c:v>
                </c:pt>
                <c:pt idx="102">
                  <c:v>42263</c:v>
                </c:pt>
                <c:pt idx="103">
                  <c:v>42264</c:v>
                </c:pt>
                <c:pt idx="104">
                  <c:v>42265</c:v>
                </c:pt>
                <c:pt idx="105">
                  <c:v>42268</c:v>
                </c:pt>
                <c:pt idx="106">
                  <c:v>42269</c:v>
                </c:pt>
                <c:pt idx="107">
                  <c:v>42270</c:v>
                </c:pt>
                <c:pt idx="108">
                  <c:v>42271</c:v>
                </c:pt>
                <c:pt idx="109">
                  <c:v>42272</c:v>
                </c:pt>
                <c:pt idx="110">
                  <c:v>42275</c:v>
                </c:pt>
                <c:pt idx="111">
                  <c:v>42276</c:v>
                </c:pt>
                <c:pt idx="112">
                  <c:v>42277</c:v>
                </c:pt>
                <c:pt idx="113">
                  <c:v>42278</c:v>
                </c:pt>
                <c:pt idx="114">
                  <c:v>42279</c:v>
                </c:pt>
                <c:pt idx="115">
                  <c:v>42282</c:v>
                </c:pt>
                <c:pt idx="116">
                  <c:v>42283</c:v>
                </c:pt>
                <c:pt idx="117">
                  <c:v>42284</c:v>
                </c:pt>
                <c:pt idx="118">
                  <c:v>42285</c:v>
                </c:pt>
                <c:pt idx="119">
                  <c:v>42286</c:v>
                </c:pt>
                <c:pt idx="120">
                  <c:v>42289</c:v>
                </c:pt>
                <c:pt idx="121">
                  <c:v>42290</c:v>
                </c:pt>
                <c:pt idx="122">
                  <c:v>42291</c:v>
                </c:pt>
                <c:pt idx="123">
                  <c:v>42292</c:v>
                </c:pt>
                <c:pt idx="124">
                  <c:v>42293</c:v>
                </c:pt>
                <c:pt idx="125">
                  <c:v>42296</c:v>
                </c:pt>
                <c:pt idx="126">
                  <c:v>42297</c:v>
                </c:pt>
                <c:pt idx="127">
                  <c:v>42298</c:v>
                </c:pt>
                <c:pt idx="128">
                  <c:v>42299</c:v>
                </c:pt>
                <c:pt idx="129">
                  <c:v>42300</c:v>
                </c:pt>
                <c:pt idx="130">
                  <c:v>42303</c:v>
                </c:pt>
                <c:pt idx="131">
                  <c:v>42304</c:v>
                </c:pt>
                <c:pt idx="132">
                  <c:v>42305</c:v>
                </c:pt>
                <c:pt idx="133">
                  <c:v>42306</c:v>
                </c:pt>
                <c:pt idx="134">
                  <c:v>42307</c:v>
                </c:pt>
                <c:pt idx="135">
                  <c:v>42310</c:v>
                </c:pt>
                <c:pt idx="136">
                  <c:v>42311</c:v>
                </c:pt>
                <c:pt idx="137">
                  <c:v>42312</c:v>
                </c:pt>
                <c:pt idx="138">
                  <c:v>42313</c:v>
                </c:pt>
                <c:pt idx="139">
                  <c:v>42314</c:v>
                </c:pt>
                <c:pt idx="140">
                  <c:v>42317</c:v>
                </c:pt>
                <c:pt idx="141">
                  <c:v>42318</c:v>
                </c:pt>
                <c:pt idx="142">
                  <c:v>42319</c:v>
                </c:pt>
                <c:pt idx="143">
                  <c:v>42320</c:v>
                </c:pt>
                <c:pt idx="144">
                  <c:v>42321</c:v>
                </c:pt>
                <c:pt idx="145">
                  <c:v>42324</c:v>
                </c:pt>
                <c:pt idx="146">
                  <c:v>42325</c:v>
                </c:pt>
                <c:pt idx="147">
                  <c:v>42326</c:v>
                </c:pt>
                <c:pt idx="148">
                  <c:v>42327</c:v>
                </c:pt>
                <c:pt idx="149">
                  <c:v>42328</c:v>
                </c:pt>
                <c:pt idx="150">
                  <c:v>42331</c:v>
                </c:pt>
                <c:pt idx="151">
                  <c:v>42332</c:v>
                </c:pt>
                <c:pt idx="152">
                  <c:v>42333</c:v>
                </c:pt>
                <c:pt idx="153">
                  <c:v>42334</c:v>
                </c:pt>
                <c:pt idx="154">
                  <c:v>42335</c:v>
                </c:pt>
                <c:pt idx="155">
                  <c:v>42338</c:v>
                </c:pt>
                <c:pt idx="156">
                  <c:v>42339</c:v>
                </c:pt>
                <c:pt idx="157">
                  <c:v>42340</c:v>
                </c:pt>
                <c:pt idx="158">
                  <c:v>42341</c:v>
                </c:pt>
                <c:pt idx="159">
                  <c:v>42342</c:v>
                </c:pt>
                <c:pt idx="160">
                  <c:v>42345</c:v>
                </c:pt>
                <c:pt idx="161">
                  <c:v>42346</c:v>
                </c:pt>
                <c:pt idx="162">
                  <c:v>42347</c:v>
                </c:pt>
                <c:pt idx="163">
                  <c:v>42348</c:v>
                </c:pt>
                <c:pt idx="164">
                  <c:v>42349</c:v>
                </c:pt>
                <c:pt idx="165">
                  <c:v>42352</c:v>
                </c:pt>
                <c:pt idx="166">
                  <c:v>42353</c:v>
                </c:pt>
                <c:pt idx="167">
                  <c:v>42354</c:v>
                </c:pt>
                <c:pt idx="168">
                  <c:v>42355</c:v>
                </c:pt>
                <c:pt idx="169">
                  <c:v>42356</c:v>
                </c:pt>
                <c:pt idx="170">
                  <c:v>42359</c:v>
                </c:pt>
                <c:pt idx="171">
                  <c:v>42360</c:v>
                </c:pt>
                <c:pt idx="172">
                  <c:v>42361</c:v>
                </c:pt>
                <c:pt idx="173">
                  <c:v>42362</c:v>
                </c:pt>
                <c:pt idx="174">
                  <c:v>42366</c:v>
                </c:pt>
                <c:pt idx="175">
                  <c:v>42367</c:v>
                </c:pt>
                <c:pt idx="176">
                  <c:v>42368</c:v>
                </c:pt>
                <c:pt idx="177">
                  <c:v>42369</c:v>
                </c:pt>
                <c:pt idx="178">
                  <c:v>42373</c:v>
                </c:pt>
                <c:pt idx="179">
                  <c:v>42374</c:v>
                </c:pt>
                <c:pt idx="180">
                  <c:v>42375</c:v>
                </c:pt>
                <c:pt idx="181">
                  <c:v>42376</c:v>
                </c:pt>
                <c:pt idx="182">
                  <c:v>42377</c:v>
                </c:pt>
                <c:pt idx="183">
                  <c:v>42380</c:v>
                </c:pt>
                <c:pt idx="184">
                  <c:v>42381</c:v>
                </c:pt>
                <c:pt idx="185">
                  <c:v>42382</c:v>
                </c:pt>
                <c:pt idx="186">
                  <c:v>42383</c:v>
                </c:pt>
                <c:pt idx="187">
                  <c:v>42384</c:v>
                </c:pt>
                <c:pt idx="188">
                  <c:v>42387</c:v>
                </c:pt>
                <c:pt idx="189">
                  <c:v>42388</c:v>
                </c:pt>
                <c:pt idx="190">
                  <c:v>42389</c:v>
                </c:pt>
                <c:pt idx="191">
                  <c:v>42390</c:v>
                </c:pt>
                <c:pt idx="192">
                  <c:v>42391</c:v>
                </c:pt>
                <c:pt idx="193">
                  <c:v>42394</c:v>
                </c:pt>
                <c:pt idx="194">
                  <c:v>42395</c:v>
                </c:pt>
                <c:pt idx="195">
                  <c:v>42396</c:v>
                </c:pt>
                <c:pt idx="196">
                  <c:v>42397</c:v>
                </c:pt>
                <c:pt idx="197">
                  <c:v>42398</c:v>
                </c:pt>
                <c:pt idx="198">
                  <c:v>42401</c:v>
                </c:pt>
                <c:pt idx="199">
                  <c:v>42402</c:v>
                </c:pt>
                <c:pt idx="200">
                  <c:v>42403</c:v>
                </c:pt>
                <c:pt idx="201">
                  <c:v>42404</c:v>
                </c:pt>
                <c:pt idx="202">
                  <c:v>42405</c:v>
                </c:pt>
                <c:pt idx="203">
                  <c:v>42408</c:v>
                </c:pt>
                <c:pt idx="204">
                  <c:v>42409</c:v>
                </c:pt>
                <c:pt idx="205">
                  <c:v>42410</c:v>
                </c:pt>
                <c:pt idx="206">
                  <c:v>42411</c:v>
                </c:pt>
                <c:pt idx="207">
                  <c:v>42412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42422</c:v>
                </c:pt>
                <c:pt idx="214">
                  <c:v>42423</c:v>
                </c:pt>
                <c:pt idx="215">
                  <c:v>42424</c:v>
                </c:pt>
                <c:pt idx="216">
                  <c:v>42425</c:v>
                </c:pt>
                <c:pt idx="217">
                  <c:v>42426</c:v>
                </c:pt>
                <c:pt idx="218">
                  <c:v>42429</c:v>
                </c:pt>
                <c:pt idx="219">
                  <c:v>42430</c:v>
                </c:pt>
                <c:pt idx="220">
                  <c:v>42431</c:v>
                </c:pt>
                <c:pt idx="221">
                  <c:v>42432</c:v>
                </c:pt>
                <c:pt idx="222">
                  <c:v>42433</c:v>
                </c:pt>
                <c:pt idx="223">
                  <c:v>42436</c:v>
                </c:pt>
                <c:pt idx="224">
                  <c:v>42437</c:v>
                </c:pt>
                <c:pt idx="225">
                  <c:v>42438</c:v>
                </c:pt>
                <c:pt idx="226">
                  <c:v>42439</c:v>
                </c:pt>
                <c:pt idx="227">
                  <c:v>42440</c:v>
                </c:pt>
                <c:pt idx="228">
                  <c:v>42443</c:v>
                </c:pt>
                <c:pt idx="229">
                  <c:v>42444</c:v>
                </c:pt>
                <c:pt idx="230">
                  <c:v>42445</c:v>
                </c:pt>
                <c:pt idx="231">
                  <c:v>42446</c:v>
                </c:pt>
                <c:pt idx="232">
                  <c:v>42447</c:v>
                </c:pt>
                <c:pt idx="233">
                  <c:v>42450</c:v>
                </c:pt>
                <c:pt idx="234">
                  <c:v>42451</c:v>
                </c:pt>
                <c:pt idx="235">
                  <c:v>42452</c:v>
                </c:pt>
                <c:pt idx="236">
                  <c:v>42453</c:v>
                </c:pt>
                <c:pt idx="237">
                  <c:v>42458</c:v>
                </c:pt>
                <c:pt idx="238">
                  <c:v>42459</c:v>
                </c:pt>
                <c:pt idx="239">
                  <c:v>42460</c:v>
                </c:pt>
                <c:pt idx="240">
                  <c:v>42461</c:v>
                </c:pt>
                <c:pt idx="241">
                  <c:v>42464</c:v>
                </c:pt>
                <c:pt idx="242">
                  <c:v>42465</c:v>
                </c:pt>
                <c:pt idx="243">
                  <c:v>42466</c:v>
                </c:pt>
                <c:pt idx="244">
                  <c:v>42467</c:v>
                </c:pt>
                <c:pt idx="245">
                  <c:v>42468</c:v>
                </c:pt>
                <c:pt idx="246">
                  <c:v>42471</c:v>
                </c:pt>
                <c:pt idx="247">
                  <c:v>42472</c:v>
                </c:pt>
                <c:pt idx="248">
                  <c:v>42473</c:v>
                </c:pt>
                <c:pt idx="249">
                  <c:v>42474</c:v>
                </c:pt>
                <c:pt idx="250">
                  <c:v>42475</c:v>
                </c:pt>
                <c:pt idx="251">
                  <c:v>42478</c:v>
                </c:pt>
                <c:pt idx="252">
                  <c:v>42479</c:v>
                </c:pt>
                <c:pt idx="253">
                  <c:v>42480</c:v>
                </c:pt>
                <c:pt idx="254">
                  <c:v>42481</c:v>
                </c:pt>
                <c:pt idx="255">
                  <c:v>42482</c:v>
                </c:pt>
                <c:pt idx="256">
                  <c:v>42485</c:v>
                </c:pt>
                <c:pt idx="257">
                  <c:v>42492</c:v>
                </c:pt>
                <c:pt idx="258">
                  <c:v>42499</c:v>
                </c:pt>
                <c:pt idx="259">
                  <c:v>42506</c:v>
                </c:pt>
                <c:pt idx="260">
                  <c:v>42513</c:v>
                </c:pt>
                <c:pt idx="261">
                  <c:v>42520</c:v>
                </c:pt>
                <c:pt idx="262">
                  <c:v>42527</c:v>
                </c:pt>
                <c:pt idx="263">
                  <c:v>42534</c:v>
                </c:pt>
                <c:pt idx="264">
                  <c:v>42541</c:v>
                </c:pt>
                <c:pt idx="265">
                  <c:v>42548</c:v>
                </c:pt>
                <c:pt idx="266">
                  <c:v>42555</c:v>
                </c:pt>
                <c:pt idx="267">
                  <c:v>42562</c:v>
                </c:pt>
                <c:pt idx="268">
                  <c:v>42569</c:v>
                </c:pt>
                <c:pt idx="269">
                  <c:v>42576</c:v>
                </c:pt>
                <c:pt idx="270">
                  <c:v>42583</c:v>
                </c:pt>
                <c:pt idx="271">
                  <c:v>42590</c:v>
                </c:pt>
                <c:pt idx="272">
                  <c:v>42597</c:v>
                </c:pt>
                <c:pt idx="273">
                  <c:v>42604</c:v>
                </c:pt>
                <c:pt idx="274">
                  <c:v>42611</c:v>
                </c:pt>
                <c:pt idx="275">
                  <c:v>42618</c:v>
                </c:pt>
                <c:pt idx="276">
                  <c:v>42625</c:v>
                </c:pt>
                <c:pt idx="277">
                  <c:v>42632</c:v>
                </c:pt>
                <c:pt idx="278">
                  <c:v>42639</c:v>
                </c:pt>
                <c:pt idx="279">
                  <c:v>42646</c:v>
                </c:pt>
                <c:pt idx="280">
                  <c:v>42653</c:v>
                </c:pt>
                <c:pt idx="281">
                  <c:v>42660</c:v>
                </c:pt>
                <c:pt idx="282">
                  <c:v>42667</c:v>
                </c:pt>
                <c:pt idx="283">
                  <c:v>42674</c:v>
                </c:pt>
                <c:pt idx="284">
                  <c:v>42681</c:v>
                </c:pt>
                <c:pt idx="285">
                  <c:v>42688</c:v>
                </c:pt>
                <c:pt idx="286">
                  <c:v>42695</c:v>
                </c:pt>
                <c:pt idx="287">
                  <c:v>42702</c:v>
                </c:pt>
                <c:pt idx="288">
                  <c:v>42709</c:v>
                </c:pt>
                <c:pt idx="289">
                  <c:v>42716</c:v>
                </c:pt>
                <c:pt idx="290">
                  <c:v>42723</c:v>
                </c:pt>
                <c:pt idx="291">
                  <c:v>42731</c:v>
                </c:pt>
                <c:pt idx="292">
                  <c:v>42737</c:v>
                </c:pt>
                <c:pt idx="293">
                  <c:v>42744</c:v>
                </c:pt>
                <c:pt idx="294">
                  <c:v>42751</c:v>
                </c:pt>
                <c:pt idx="295">
                  <c:v>42758</c:v>
                </c:pt>
                <c:pt idx="296">
                  <c:v>42765</c:v>
                </c:pt>
                <c:pt idx="297">
                  <c:v>42772</c:v>
                </c:pt>
                <c:pt idx="298">
                  <c:v>42779</c:v>
                </c:pt>
                <c:pt idx="299">
                  <c:v>42786</c:v>
                </c:pt>
                <c:pt idx="300">
                  <c:v>42793</c:v>
                </c:pt>
                <c:pt idx="301">
                  <c:v>42800</c:v>
                </c:pt>
                <c:pt idx="302">
                  <c:v>42807</c:v>
                </c:pt>
                <c:pt idx="303">
                  <c:v>42814</c:v>
                </c:pt>
                <c:pt idx="304">
                  <c:v>42821</c:v>
                </c:pt>
                <c:pt idx="305">
                  <c:v>42828</c:v>
                </c:pt>
                <c:pt idx="306">
                  <c:v>42835</c:v>
                </c:pt>
                <c:pt idx="307">
                  <c:v>42844</c:v>
                </c:pt>
                <c:pt idx="308">
                  <c:v>42849</c:v>
                </c:pt>
                <c:pt idx="309">
                  <c:v>42857</c:v>
                </c:pt>
                <c:pt idx="310">
                  <c:v>42863</c:v>
                </c:pt>
                <c:pt idx="311">
                  <c:v>42870</c:v>
                </c:pt>
                <c:pt idx="312">
                  <c:v>42877</c:v>
                </c:pt>
                <c:pt idx="313">
                  <c:v>42884</c:v>
                </c:pt>
                <c:pt idx="314">
                  <c:v>42891</c:v>
                </c:pt>
                <c:pt idx="315">
                  <c:v>42898</c:v>
                </c:pt>
                <c:pt idx="316">
                  <c:v>42905</c:v>
                </c:pt>
                <c:pt idx="317">
                  <c:v>42912</c:v>
                </c:pt>
                <c:pt idx="318">
                  <c:v>42919</c:v>
                </c:pt>
                <c:pt idx="319">
                  <c:v>42926</c:v>
                </c:pt>
                <c:pt idx="320">
                  <c:v>42933</c:v>
                </c:pt>
                <c:pt idx="321">
                  <c:v>42940</c:v>
                </c:pt>
                <c:pt idx="322">
                  <c:v>42947</c:v>
                </c:pt>
                <c:pt idx="323">
                  <c:v>42954</c:v>
                </c:pt>
                <c:pt idx="324">
                  <c:v>42961</c:v>
                </c:pt>
                <c:pt idx="325">
                  <c:v>42968</c:v>
                </c:pt>
                <c:pt idx="326">
                  <c:v>42975</c:v>
                </c:pt>
                <c:pt idx="327">
                  <c:v>42982</c:v>
                </c:pt>
                <c:pt idx="328">
                  <c:v>42989</c:v>
                </c:pt>
                <c:pt idx="329">
                  <c:v>42996</c:v>
                </c:pt>
                <c:pt idx="330">
                  <c:v>43003</c:v>
                </c:pt>
                <c:pt idx="331">
                  <c:v>43010</c:v>
                </c:pt>
                <c:pt idx="332">
                  <c:v>43017</c:v>
                </c:pt>
                <c:pt idx="333">
                  <c:v>43024</c:v>
                </c:pt>
                <c:pt idx="334">
                  <c:v>43031</c:v>
                </c:pt>
                <c:pt idx="335">
                  <c:v>43038</c:v>
                </c:pt>
                <c:pt idx="336">
                  <c:v>43045</c:v>
                </c:pt>
                <c:pt idx="337">
                  <c:v>43052</c:v>
                </c:pt>
                <c:pt idx="338">
                  <c:v>43059</c:v>
                </c:pt>
                <c:pt idx="339">
                  <c:v>43066</c:v>
                </c:pt>
                <c:pt idx="340">
                  <c:v>43073</c:v>
                </c:pt>
                <c:pt idx="341">
                  <c:v>43080</c:v>
                </c:pt>
                <c:pt idx="342">
                  <c:v>43087</c:v>
                </c:pt>
                <c:pt idx="343">
                  <c:v>43096</c:v>
                </c:pt>
                <c:pt idx="344">
                  <c:v>43102</c:v>
                </c:pt>
                <c:pt idx="345">
                  <c:v>43108</c:v>
                </c:pt>
                <c:pt idx="346">
                  <c:v>43115</c:v>
                </c:pt>
                <c:pt idx="347">
                  <c:v>43122</c:v>
                </c:pt>
                <c:pt idx="348">
                  <c:v>43129</c:v>
                </c:pt>
                <c:pt idx="349">
                  <c:v>43136</c:v>
                </c:pt>
                <c:pt idx="350">
                  <c:v>43143</c:v>
                </c:pt>
                <c:pt idx="351">
                  <c:v>43150</c:v>
                </c:pt>
                <c:pt idx="352">
                  <c:v>43157</c:v>
                </c:pt>
                <c:pt idx="353">
                  <c:v>43164</c:v>
                </c:pt>
                <c:pt idx="354">
                  <c:v>43171</c:v>
                </c:pt>
                <c:pt idx="355">
                  <c:v>43178</c:v>
                </c:pt>
                <c:pt idx="356">
                  <c:v>43185</c:v>
                </c:pt>
                <c:pt idx="357">
                  <c:v>43194</c:v>
                </c:pt>
                <c:pt idx="358">
                  <c:v>43199</c:v>
                </c:pt>
                <c:pt idx="359">
                  <c:v>43206</c:v>
                </c:pt>
                <c:pt idx="360">
                  <c:v>43213</c:v>
                </c:pt>
                <c:pt idx="361">
                  <c:v>43220</c:v>
                </c:pt>
                <c:pt idx="362">
                  <c:v>43227</c:v>
                </c:pt>
                <c:pt idx="363">
                  <c:v>43234</c:v>
                </c:pt>
                <c:pt idx="364">
                  <c:v>43241</c:v>
                </c:pt>
                <c:pt idx="365">
                  <c:v>43248</c:v>
                </c:pt>
                <c:pt idx="366">
                  <c:v>43255</c:v>
                </c:pt>
                <c:pt idx="367">
                  <c:v>43262</c:v>
                </c:pt>
                <c:pt idx="368">
                  <c:v>43269</c:v>
                </c:pt>
                <c:pt idx="369">
                  <c:v>43276</c:v>
                </c:pt>
                <c:pt idx="370">
                  <c:v>43283</c:v>
                </c:pt>
                <c:pt idx="371">
                  <c:v>43290</c:v>
                </c:pt>
                <c:pt idx="372">
                  <c:v>43297</c:v>
                </c:pt>
                <c:pt idx="373">
                  <c:v>43304</c:v>
                </c:pt>
                <c:pt idx="374">
                  <c:v>43311</c:v>
                </c:pt>
                <c:pt idx="375">
                  <c:v>43318</c:v>
                </c:pt>
                <c:pt idx="376">
                  <c:v>43325</c:v>
                </c:pt>
                <c:pt idx="377">
                  <c:v>43332</c:v>
                </c:pt>
                <c:pt idx="378">
                  <c:v>43339</c:v>
                </c:pt>
                <c:pt idx="379">
                  <c:v>43346</c:v>
                </c:pt>
                <c:pt idx="380">
                  <c:v>43353</c:v>
                </c:pt>
                <c:pt idx="381">
                  <c:v>43360</c:v>
                </c:pt>
                <c:pt idx="382">
                  <c:v>43367</c:v>
                </c:pt>
                <c:pt idx="383">
                  <c:v>43374</c:v>
                </c:pt>
                <c:pt idx="384">
                  <c:v>43381</c:v>
                </c:pt>
                <c:pt idx="385">
                  <c:v>43388</c:v>
                </c:pt>
                <c:pt idx="386">
                  <c:v>43395</c:v>
                </c:pt>
                <c:pt idx="387">
                  <c:v>43402</c:v>
                </c:pt>
                <c:pt idx="388">
                  <c:v>43409</c:v>
                </c:pt>
                <c:pt idx="389">
                  <c:v>43416</c:v>
                </c:pt>
                <c:pt idx="390">
                  <c:v>43423</c:v>
                </c:pt>
                <c:pt idx="391">
                  <c:v>43430</c:v>
                </c:pt>
                <c:pt idx="392">
                  <c:v>43437</c:v>
                </c:pt>
                <c:pt idx="393">
                  <c:v>43444</c:v>
                </c:pt>
                <c:pt idx="394">
                  <c:v>43451</c:v>
                </c:pt>
                <c:pt idx="395">
                  <c:v>43458</c:v>
                </c:pt>
                <c:pt idx="396">
                  <c:v>43465</c:v>
                </c:pt>
                <c:pt idx="397">
                  <c:v>43472</c:v>
                </c:pt>
                <c:pt idx="398">
                  <c:v>43479</c:v>
                </c:pt>
                <c:pt idx="399">
                  <c:v>43486</c:v>
                </c:pt>
                <c:pt idx="400">
                  <c:v>43493</c:v>
                </c:pt>
                <c:pt idx="401">
                  <c:v>43500</c:v>
                </c:pt>
                <c:pt idx="402">
                  <c:v>43507</c:v>
                </c:pt>
                <c:pt idx="403">
                  <c:v>43514</c:v>
                </c:pt>
                <c:pt idx="404">
                  <c:v>43521</c:v>
                </c:pt>
                <c:pt idx="405">
                  <c:v>43528</c:v>
                </c:pt>
                <c:pt idx="406">
                  <c:v>43535</c:v>
                </c:pt>
                <c:pt idx="407">
                  <c:v>43542</c:v>
                </c:pt>
                <c:pt idx="408">
                  <c:v>43549</c:v>
                </c:pt>
                <c:pt idx="409">
                  <c:v>43556</c:v>
                </c:pt>
                <c:pt idx="410">
                  <c:v>43563</c:v>
                </c:pt>
                <c:pt idx="411">
                  <c:v>43570</c:v>
                </c:pt>
                <c:pt idx="412">
                  <c:v>43579</c:v>
                </c:pt>
                <c:pt idx="413">
                  <c:v>43584</c:v>
                </c:pt>
                <c:pt idx="414">
                  <c:v>43591</c:v>
                </c:pt>
                <c:pt idx="415">
                  <c:v>43598</c:v>
                </c:pt>
                <c:pt idx="416">
                  <c:v>43605</c:v>
                </c:pt>
                <c:pt idx="417">
                  <c:v>43612</c:v>
                </c:pt>
                <c:pt idx="418">
                  <c:v>43619</c:v>
                </c:pt>
                <c:pt idx="419">
                  <c:v>43626</c:v>
                </c:pt>
                <c:pt idx="420">
                  <c:v>43633</c:v>
                </c:pt>
                <c:pt idx="421">
                  <c:v>43640</c:v>
                </c:pt>
                <c:pt idx="422">
                  <c:v>43647</c:v>
                </c:pt>
                <c:pt idx="423">
                  <c:v>43654</c:v>
                </c:pt>
                <c:pt idx="424">
                  <c:v>43661</c:v>
                </c:pt>
                <c:pt idx="425">
                  <c:v>43668</c:v>
                </c:pt>
                <c:pt idx="426">
                  <c:v>43675</c:v>
                </c:pt>
                <c:pt idx="427">
                  <c:v>43682</c:v>
                </c:pt>
                <c:pt idx="428">
                  <c:v>43689</c:v>
                </c:pt>
                <c:pt idx="429">
                  <c:v>43696</c:v>
                </c:pt>
                <c:pt idx="430">
                  <c:v>43703</c:v>
                </c:pt>
                <c:pt idx="431">
                  <c:v>43710</c:v>
                </c:pt>
                <c:pt idx="432">
                  <c:v>43717</c:v>
                </c:pt>
                <c:pt idx="433">
                  <c:v>43724</c:v>
                </c:pt>
                <c:pt idx="434">
                  <c:v>43731</c:v>
                </c:pt>
                <c:pt idx="435">
                  <c:v>43738</c:v>
                </c:pt>
                <c:pt idx="436">
                  <c:v>43745</c:v>
                </c:pt>
                <c:pt idx="437">
                  <c:v>43752</c:v>
                </c:pt>
                <c:pt idx="438">
                  <c:v>43759</c:v>
                </c:pt>
                <c:pt idx="439">
                  <c:v>43766</c:v>
                </c:pt>
                <c:pt idx="440">
                  <c:v>43773</c:v>
                </c:pt>
                <c:pt idx="441">
                  <c:v>43780</c:v>
                </c:pt>
                <c:pt idx="442">
                  <c:v>43787</c:v>
                </c:pt>
                <c:pt idx="443">
                  <c:v>43794</c:v>
                </c:pt>
                <c:pt idx="444">
                  <c:v>43801</c:v>
                </c:pt>
                <c:pt idx="445">
                  <c:v>43808</c:v>
                </c:pt>
                <c:pt idx="446">
                  <c:v>43815</c:v>
                </c:pt>
                <c:pt idx="447">
                  <c:v>43822</c:v>
                </c:pt>
                <c:pt idx="448">
                  <c:v>43830</c:v>
                </c:pt>
                <c:pt idx="449">
                  <c:v>43837</c:v>
                </c:pt>
                <c:pt idx="450">
                  <c:v>43844</c:v>
                </c:pt>
                <c:pt idx="451">
                  <c:v>43851</c:v>
                </c:pt>
                <c:pt idx="452">
                  <c:v>43858</c:v>
                </c:pt>
                <c:pt idx="453">
                  <c:v>43865</c:v>
                </c:pt>
                <c:pt idx="454">
                  <c:v>43872</c:v>
                </c:pt>
                <c:pt idx="455">
                  <c:v>43879</c:v>
                </c:pt>
                <c:pt idx="456">
                  <c:v>43886</c:v>
                </c:pt>
                <c:pt idx="457">
                  <c:v>43893</c:v>
                </c:pt>
                <c:pt idx="458">
                  <c:v>43900</c:v>
                </c:pt>
                <c:pt idx="459">
                  <c:v>43907</c:v>
                </c:pt>
                <c:pt idx="460">
                  <c:v>43914</c:v>
                </c:pt>
                <c:pt idx="461">
                  <c:v>43921</c:v>
                </c:pt>
                <c:pt idx="462">
                  <c:v>43928</c:v>
                </c:pt>
                <c:pt idx="463">
                  <c:v>43937</c:v>
                </c:pt>
                <c:pt idx="464">
                  <c:v>43944</c:v>
                </c:pt>
                <c:pt idx="465">
                  <c:v>43951</c:v>
                </c:pt>
                <c:pt idx="466">
                  <c:v>43958</c:v>
                </c:pt>
                <c:pt idx="467">
                  <c:v>43965</c:v>
                </c:pt>
                <c:pt idx="468">
                  <c:v>43972</c:v>
                </c:pt>
                <c:pt idx="469">
                  <c:v>43979</c:v>
                </c:pt>
                <c:pt idx="470">
                  <c:v>43986</c:v>
                </c:pt>
                <c:pt idx="471">
                  <c:v>43993</c:v>
                </c:pt>
                <c:pt idx="472">
                  <c:v>44000</c:v>
                </c:pt>
                <c:pt idx="473">
                  <c:v>44007</c:v>
                </c:pt>
                <c:pt idx="474">
                  <c:v>44014</c:v>
                </c:pt>
                <c:pt idx="475">
                  <c:v>44021</c:v>
                </c:pt>
                <c:pt idx="476">
                  <c:v>44028</c:v>
                </c:pt>
                <c:pt idx="477">
                  <c:v>44035</c:v>
                </c:pt>
                <c:pt idx="478">
                  <c:v>44042</c:v>
                </c:pt>
                <c:pt idx="479">
                  <c:v>44049</c:v>
                </c:pt>
                <c:pt idx="480">
                  <c:v>44056</c:v>
                </c:pt>
                <c:pt idx="481">
                  <c:v>44063</c:v>
                </c:pt>
                <c:pt idx="482">
                  <c:v>44070</c:v>
                </c:pt>
                <c:pt idx="483">
                  <c:v>44077</c:v>
                </c:pt>
                <c:pt idx="484">
                  <c:v>44084</c:v>
                </c:pt>
                <c:pt idx="485">
                  <c:v>44091</c:v>
                </c:pt>
                <c:pt idx="486">
                  <c:v>44098</c:v>
                </c:pt>
                <c:pt idx="487">
                  <c:v>44105</c:v>
                </c:pt>
                <c:pt idx="488">
                  <c:v>44112</c:v>
                </c:pt>
                <c:pt idx="489">
                  <c:v>44119</c:v>
                </c:pt>
                <c:pt idx="490">
                  <c:v>44126</c:v>
                </c:pt>
                <c:pt idx="491">
                  <c:v>44133</c:v>
                </c:pt>
                <c:pt idx="492">
                  <c:v>44140</c:v>
                </c:pt>
                <c:pt idx="493">
                  <c:v>44147</c:v>
                </c:pt>
                <c:pt idx="494">
                  <c:v>44154</c:v>
                </c:pt>
                <c:pt idx="495">
                  <c:v>44161</c:v>
                </c:pt>
                <c:pt idx="496">
                  <c:v>44168</c:v>
                </c:pt>
                <c:pt idx="497">
                  <c:v>44175</c:v>
                </c:pt>
                <c:pt idx="498">
                  <c:v>44182</c:v>
                </c:pt>
                <c:pt idx="499">
                  <c:v>44189</c:v>
                </c:pt>
                <c:pt idx="500">
                  <c:v>44196</c:v>
                </c:pt>
                <c:pt idx="501">
                  <c:v>44203</c:v>
                </c:pt>
                <c:pt idx="502">
                  <c:v>44210</c:v>
                </c:pt>
                <c:pt idx="503">
                  <c:v>44217</c:v>
                </c:pt>
                <c:pt idx="504">
                  <c:v>44224</c:v>
                </c:pt>
                <c:pt idx="505">
                  <c:v>44231</c:v>
                </c:pt>
                <c:pt idx="506">
                  <c:v>44238</c:v>
                </c:pt>
                <c:pt idx="507">
                  <c:v>44245</c:v>
                </c:pt>
                <c:pt idx="508">
                  <c:v>44252</c:v>
                </c:pt>
                <c:pt idx="509">
                  <c:v>44259</c:v>
                </c:pt>
                <c:pt idx="510">
                  <c:v>44266</c:v>
                </c:pt>
                <c:pt idx="511">
                  <c:v>44273</c:v>
                </c:pt>
                <c:pt idx="512">
                  <c:v>44280</c:v>
                </c:pt>
                <c:pt idx="513">
                  <c:v>44287</c:v>
                </c:pt>
                <c:pt idx="514">
                  <c:v>44294</c:v>
                </c:pt>
                <c:pt idx="515">
                  <c:v>44301</c:v>
                </c:pt>
                <c:pt idx="516">
                  <c:v>44308</c:v>
                </c:pt>
                <c:pt idx="517">
                  <c:v>44315</c:v>
                </c:pt>
                <c:pt idx="518">
                  <c:v>44322</c:v>
                </c:pt>
                <c:pt idx="519">
                  <c:v>44329</c:v>
                </c:pt>
                <c:pt idx="520">
                  <c:v>44336</c:v>
                </c:pt>
                <c:pt idx="521">
                  <c:v>44343</c:v>
                </c:pt>
                <c:pt idx="522">
                  <c:v>44350</c:v>
                </c:pt>
                <c:pt idx="523">
                  <c:v>44357</c:v>
                </c:pt>
                <c:pt idx="524">
                  <c:v>44364</c:v>
                </c:pt>
                <c:pt idx="525">
                  <c:v>44371</c:v>
                </c:pt>
                <c:pt idx="526">
                  <c:v>44378</c:v>
                </c:pt>
                <c:pt idx="527">
                  <c:v>44385</c:v>
                </c:pt>
                <c:pt idx="528">
                  <c:v>44392</c:v>
                </c:pt>
                <c:pt idx="529">
                  <c:v>44399</c:v>
                </c:pt>
                <c:pt idx="530">
                  <c:v>44406</c:v>
                </c:pt>
                <c:pt idx="531">
                  <c:v>44413</c:v>
                </c:pt>
                <c:pt idx="532">
                  <c:v>44420</c:v>
                </c:pt>
                <c:pt idx="533">
                  <c:v>44427</c:v>
                </c:pt>
                <c:pt idx="534">
                  <c:v>44434</c:v>
                </c:pt>
                <c:pt idx="535">
                  <c:v>44441</c:v>
                </c:pt>
                <c:pt idx="536">
                  <c:v>44448</c:v>
                </c:pt>
                <c:pt idx="537">
                  <c:v>44455</c:v>
                </c:pt>
                <c:pt idx="538">
                  <c:v>44462</c:v>
                </c:pt>
                <c:pt idx="539">
                  <c:v>44469</c:v>
                </c:pt>
                <c:pt idx="540">
                  <c:v>44476</c:v>
                </c:pt>
                <c:pt idx="541">
                  <c:v>44483</c:v>
                </c:pt>
                <c:pt idx="542">
                  <c:v>44490</c:v>
                </c:pt>
                <c:pt idx="543">
                  <c:v>44497</c:v>
                </c:pt>
                <c:pt idx="544">
                  <c:v>44504</c:v>
                </c:pt>
                <c:pt idx="545">
                  <c:v>44511</c:v>
                </c:pt>
                <c:pt idx="546">
                  <c:v>44518</c:v>
                </c:pt>
                <c:pt idx="547">
                  <c:v>44525</c:v>
                </c:pt>
                <c:pt idx="548">
                  <c:v>44532</c:v>
                </c:pt>
                <c:pt idx="549">
                  <c:v>44539</c:v>
                </c:pt>
                <c:pt idx="550">
                  <c:v>44546</c:v>
                </c:pt>
                <c:pt idx="551">
                  <c:v>44553</c:v>
                </c:pt>
                <c:pt idx="552">
                  <c:v>44560</c:v>
                </c:pt>
                <c:pt idx="553">
                  <c:v>44567</c:v>
                </c:pt>
                <c:pt idx="554">
                  <c:v>44574</c:v>
                </c:pt>
                <c:pt idx="555">
                  <c:v>44581</c:v>
                </c:pt>
                <c:pt idx="556">
                  <c:v>44588</c:v>
                </c:pt>
                <c:pt idx="557">
                  <c:v>44595</c:v>
                </c:pt>
                <c:pt idx="558">
                  <c:v>44602</c:v>
                </c:pt>
                <c:pt idx="559">
                  <c:v>44609</c:v>
                </c:pt>
                <c:pt idx="560">
                  <c:v>44616</c:v>
                </c:pt>
                <c:pt idx="561">
                  <c:v>44623</c:v>
                </c:pt>
                <c:pt idx="562">
                  <c:v>44630</c:v>
                </c:pt>
                <c:pt idx="563">
                  <c:v>44637</c:v>
                </c:pt>
                <c:pt idx="564">
                  <c:v>44644</c:v>
                </c:pt>
                <c:pt idx="565">
                  <c:v>44651</c:v>
                </c:pt>
                <c:pt idx="566">
                  <c:v>44658</c:v>
                </c:pt>
                <c:pt idx="567">
                  <c:v>44665</c:v>
                </c:pt>
                <c:pt idx="568">
                  <c:v>44672</c:v>
                </c:pt>
                <c:pt idx="569">
                  <c:v>44679</c:v>
                </c:pt>
                <c:pt idx="570">
                  <c:v>44686</c:v>
                </c:pt>
                <c:pt idx="571">
                  <c:v>44693</c:v>
                </c:pt>
                <c:pt idx="572">
                  <c:v>44700</c:v>
                </c:pt>
                <c:pt idx="573">
                  <c:v>44707</c:v>
                </c:pt>
                <c:pt idx="574">
                  <c:v>44714</c:v>
                </c:pt>
                <c:pt idx="575">
                  <c:v>44721</c:v>
                </c:pt>
                <c:pt idx="576">
                  <c:v>44728</c:v>
                </c:pt>
                <c:pt idx="577">
                  <c:v>44735</c:v>
                </c:pt>
                <c:pt idx="578">
                  <c:v>44742</c:v>
                </c:pt>
                <c:pt idx="579">
                  <c:v>44749</c:v>
                </c:pt>
                <c:pt idx="580">
                  <c:v>44756</c:v>
                </c:pt>
                <c:pt idx="581">
                  <c:v>44763</c:v>
                </c:pt>
                <c:pt idx="582">
                  <c:v>44770</c:v>
                </c:pt>
                <c:pt idx="583">
                  <c:v>44777</c:v>
                </c:pt>
                <c:pt idx="584">
                  <c:v>44784</c:v>
                </c:pt>
                <c:pt idx="585">
                  <c:v>44791</c:v>
                </c:pt>
                <c:pt idx="586">
                  <c:v>44798</c:v>
                </c:pt>
                <c:pt idx="587">
                  <c:v>44805</c:v>
                </c:pt>
                <c:pt idx="588">
                  <c:v>44812</c:v>
                </c:pt>
                <c:pt idx="589">
                  <c:v>44819</c:v>
                </c:pt>
                <c:pt idx="590">
                  <c:v>44826</c:v>
                </c:pt>
                <c:pt idx="591">
                  <c:v>44833</c:v>
                </c:pt>
                <c:pt idx="592">
                  <c:v>44840</c:v>
                </c:pt>
                <c:pt idx="593">
                  <c:v>44847</c:v>
                </c:pt>
                <c:pt idx="594">
                  <c:v>44854</c:v>
                </c:pt>
                <c:pt idx="595">
                  <c:v>44861</c:v>
                </c:pt>
                <c:pt idx="596">
                  <c:v>44868</c:v>
                </c:pt>
                <c:pt idx="597">
                  <c:v>44875</c:v>
                </c:pt>
                <c:pt idx="598">
                  <c:v>44882</c:v>
                </c:pt>
                <c:pt idx="599">
                  <c:v>44889</c:v>
                </c:pt>
                <c:pt idx="600">
                  <c:v>44896</c:v>
                </c:pt>
                <c:pt idx="601">
                  <c:v>44903</c:v>
                </c:pt>
                <c:pt idx="602">
                  <c:v>44910</c:v>
                </c:pt>
                <c:pt idx="603">
                  <c:v>44917</c:v>
                </c:pt>
                <c:pt idx="604">
                  <c:v>44924</c:v>
                </c:pt>
                <c:pt idx="605">
                  <c:v>44931</c:v>
                </c:pt>
                <c:pt idx="606">
                  <c:v>44938</c:v>
                </c:pt>
                <c:pt idx="607">
                  <c:v>44945</c:v>
                </c:pt>
                <c:pt idx="608">
                  <c:v>44952</c:v>
                </c:pt>
                <c:pt idx="609">
                  <c:v>44959</c:v>
                </c:pt>
                <c:pt idx="610">
                  <c:v>44966</c:v>
                </c:pt>
                <c:pt idx="611">
                  <c:v>44973</c:v>
                </c:pt>
                <c:pt idx="612">
                  <c:v>44980</c:v>
                </c:pt>
                <c:pt idx="613">
                  <c:v>44987</c:v>
                </c:pt>
                <c:pt idx="614">
                  <c:v>44994</c:v>
                </c:pt>
                <c:pt idx="615">
                  <c:v>45001</c:v>
                </c:pt>
                <c:pt idx="616">
                  <c:v>45008</c:v>
                </c:pt>
                <c:pt idx="617">
                  <c:v>45015</c:v>
                </c:pt>
                <c:pt idx="618">
                  <c:v>45022</c:v>
                </c:pt>
                <c:pt idx="619">
                  <c:v>45029</c:v>
                </c:pt>
                <c:pt idx="620">
                  <c:v>45036</c:v>
                </c:pt>
                <c:pt idx="621">
                  <c:v>45043</c:v>
                </c:pt>
                <c:pt idx="622">
                  <c:v>45050</c:v>
                </c:pt>
                <c:pt idx="623">
                  <c:v>45057</c:v>
                </c:pt>
                <c:pt idx="624">
                  <c:v>45064</c:v>
                </c:pt>
                <c:pt idx="625">
                  <c:v>45071</c:v>
                </c:pt>
                <c:pt idx="626">
                  <c:v>45078</c:v>
                </c:pt>
                <c:pt idx="627">
                  <c:v>45085</c:v>
                </c:pt>
                <c:pt idx="628">
                  <c:v>45092</c:v>
                </c:pt>
                <c:pt idx="629">
                  <c:v>45099</c:v>
                </c:pt>
                <c:pt idx="630">
                  <c:v>45106</c:v>
                </c:pt>
                <c:pt idx="631">
                  <c:v>45113</c:v>
                </c:pt>
                <c:pt idx="632">
                  <c:v>45120</c:v>
                </c:pt>
                <c:pt idx="633">
                  <c:v>45127</c:v>
                </c:pt>
                <c:pt idx="634">
                  <c:v>45134</c:v>
                </c:pt>
                <c:pt idx="635">
                  <c:v>45141</c:v>
                </c:pt>
                <c:pt idx="636">
                  <c:v>45148</c:v>
                </c:pt>
                <c:pt idx="637">
                  <c:v>45155</c:v>
                </c:pt>
                <c:pt idx="638">
                  <c:v>45162</c:v>
                </c:pt>
                <c:pt idx="639">
                  <c:v>45169</c:v>
                </c:pt>
                <c:pt idx="640">
                  <c:v>45176</c:v>
                </c:pt>
                <c:pt idx="641">
                  <c:v>45183</c:v>
                </c:pt>
                <c:pt idx="642">
                  <c:v>45190</c:v>
                </c:pt>
                <c:pt idx="643">
                  <c:v>45197</c:v>
                </c:pt>
                <c:pt idx="644">
                  <c:v>45204</c:v>
                </c:pt>
                <c:pt idx="645">
                  <c:v>45211</c:v>
                </c:pt>
                <c:pt idx="646">
                  <c:v>45218</c:v>
                </c:pt>
                <c:pt idx="647">
                  <c:v>45225</c:v>
                </c:pt>
                <c:pt idx="648">
                  <c:v>45232</c:v>
                </c:pt>
                <c:pt idx="649">
                  <c:v>45239</c:v>
                </c:pt>
                <c:pt idx="650">
                  <c:v>45246</c:v>
                </c:pt>
                <c:pt idx="651">
                  <c:v>45253</c:v>
                </c:pt>
                <c:pt idx="652">
                  <c:v>45260</c:v>
                </c:pt>
                <c:pt idx="653">
                  <c:v>45267</c:v>
                </c:pt>
                <c:pt idx="654">
                  <c:v>45274</c:v>
                </c:pt>
                <c:pt idx="655">
                  <c:v>45281</c:v>
                </c:pt>
                <c:pt idx="656">
                  <c:v>45289</c:v>
                </c:pt>
                <c:pt idx="657">
                  <c:v>45296</c:v>
                </c:pt>
                <c:pt idx="658">
                  <c:v>45303</c:v>
                </c:pt>
                <c:pt idx="659">
                  <c:v>45310</c:v>
                </c:pt>
                <c:pt idx="660">
                  <c:v>45317</c:v>
                </c:pt>
                <c:pt idx="661">
                  <c:v>45324</c:v>
                </c:pt>
                <c:pt idx="662">
                  <c:v>45331</c:v>
                </c:pt>
                <c:pt idx="663">
                  <c:v>45338</c:v>
                </c:pt>
                <c:pt idx="664">
                  <c:v>45345</c:v>
                </c:pt>
                <c:pt idx="665">
                  <c:v>45352</c:v>
                </c:pt>
                <c:pt idx="666">
                  <c:v>45359</c:v>
                </c:pt>
                <c:pt idx="667">
                  <c:v>45366</c:v>
                </c:pt>
                <c:pt idx="668">
                  <c:v>45373</c:v>
                </c:pt>
                <c:pt idx="669">
                  <c:v>45384</c:v>
                </c:pt>
                <c:pt idx="670">
                  <c:v>45387</c:v>
                </c:pt>
                <c:pt idx="671">
                  <c:v>45394</c:v>
                </c:pt>
                <c:pt idx="672">
                  <c:v>45401</c:v>
                </c:pt>
                <c:pt idx="673">
                  <c:v>45408</c:v>
                </c:pt>
                <c:pt idx="674">
                  <c:v>45418</c:v>
                </c:pt>
                <c:pt idx="675">
                  <c:v>45425</c:v>
                </c:pt>
                <c:pt idx="676">
                  <c:v>45432</c:v>
                </c:pt>
                <c:pt idx="677">
                  <c:v>45439</c:v>
                </c:pt>
                <c:pt idx="678">
                  <c:v>45446</c:v>
                </c:pt>
                <c:pt idx="679">
                  <c:v>45453</c:v>
                </c:pt>
                <c:pt idx="680">
                  <c:v>45460</c:v>
                </c:pt>
                <c:pt idx="681">
                  <c:v>45467</c:v>
                </c:pt>
                <c:pt idx="682">
                  <c:v>45474</c:v>
                </c:pt>
                <c:pt idx="683">
                  <c:v>45481</c:v>
                </c:pt>
                <c:pt idx="684">
                  <c:v>45488</c:v>
                </c:pt>
                <c:pt idx="685">
                  <c:v>45495</c:v>
                </c:pt>
                <c:pt idx="686">
                  <c:v>45502</c:v>
                </c:pt>
                <c:pt idx="687">
                  <c:v>45509</c:v>
                </c:pt>
                <c:pt idx="688">
                  <c:v>45516</c:v>
                </c:pt>
                <c:pt idx="689">
                  <c:v>45523</c:v>
                </c:pt>
                <c:pt idx="690">
                  <c:v>45530</c:v>
                </c:pt>
                <c:pt idx="691">
                  <c:v>45537</c:v>
                </c:pt>
                <c:pt idx="692">
                  <c:v>45544</c:v>
                </c:pt>
                <c:pt idx="693">
                  <c:v>45551</c:v>
                </c:pt>
                <c:pt idx="694">
                  <c:v>45558</c:v>
                </c:pt>
                <c:pt idx="695">
                  <c:v>45565</c:v>
                </c:pt>
                <c:pt idx="696">
                  <c:v>45572</c:v>
                </c:pt>
                <c:pt idx="697">
                  <c:v>45579</c:v>
                </c:pt>
                <c:pt idx="698">
                  <c:v>45586</c:v>
                </c:pt>
                <c:pt idx="699">
                  <c:v>45593</c:v>
                </c:pt>
                <c:pt idx="700">
                  <c:v>45600</c:v>
                </c:pt>
                <c:pt idx="701">
                  <c:v>45607</c:v>
                </c:pt>
                <c:pt idx="702">
                  <c:v>45614</c:v>
                </c:pt>
                <c:pt idx="703">
                  <c:v>45621</c:v>
                </c:pt>
                <c:pt idx="704">
                  <c:v>45628</c:v>
                </c:pt>
                <c:pt idx="705">
                  <c:v>45635</c:v>
                </c:pt>
                <c:pt idx="706">
                  <c:v>45642</c:v>
                </c:pt>
                <c:pt idx="707">
                  <c:v>45649</c:v>
                </c:pt>
                <c:pt idx="708">
                  <c:v>45657</c:v>
                </c:pt>
                <c:pt idx="709">
                  <c:v>45664</c:v>
                </c:pt>
                <c:pt idx="710">
                  <c:v>45671</c:v>
                </c:pt>
                <c:pt idx="711">
                  <c:v>45678</c:v>
                </c:pt>
                <c:pt idx="712">
                  <c:v>45685</c:v>
                </c:pt>
                <c:pt idx="713">
                  <c:v>45692</c:v>
                </c:pt>
                <c:pt idx="714">
                  <c:v>45699</c:v>
                </c:pt>
                <c:pt idx="715">
                  <c:v>45706</c:v>
                </c:pt>
                <c:pt idx="716">
                  <c:v>45713</c:v>
                </c:pt>
                <c:pt idx="717">
                  <c:v>45720</c:v>
                </c:pt>
                <c:pt idx="718">
                  <c:v>45727</c:v>
                </c:pt>
                <c:pt idx="719">
                  <c:v>45734</c:v>
                </c:pt>
                <c:pt idx="720">
                  <c:v>45741</c:v>
                </c:pt>
                <c:pt idx="721">
                  <c:v>45748</c:v>
                </c:pt>
                <c:pt idx="722">
                  <c:v>45755</c:v>
                </c:pt>
                <c:pt idx="723">
                  <c:v>45762</c:v>
                </c:pt>
                <c:pt idx="724">
                  <c:v>45771</c:v>
                </c:pt>
                <c:pt idx="725">
                  <c:v>45779</c:v>
                </c:pt>
                <c:pt idx="726">
                  <c:v>45810</c:v>
                </c:pt>
                <c:pt idx="727">
                  <c:v>45840</c:v>
                </c:pt>
                <c:pt idx="728">
                  <c:v>45870</c:v>
                </c:pt>
                <c:pt idx="729">
                  <c:v>45903</c:v>
                </c:pt>
                <c:pt idx="730">
                  <c:v>45933</c:v>
                </c:pt>
                <c:pt idx="731">
                  <c:v>45966</c:v>
                </c:pt>
                <c:pt idx="732">
                  <c:v>45996</c:v>
                </c:pt>
                <c:pt idx="733">
                  <c:v>46029</c:v>
                </c:pt>
                <c:pt idx="734">
                  <c:v>46062</c:v>
                </c:pt>
                <c:pt idx="735">
                  <c:v>46090</c:v>
                </c:pt>
                <c:pt idx="736">
                  <c:v>46121</c:v>
                </c:pt>
                <c:pt idx="737">
                  <c:v>46153</c:v>
                </c:pt>
                <c:pt idx="738">
                  <c:v>46183</c:v>
                </c:pt>
                <c:pt idx="739">
                  <c:v>46213</c:v>
                </c:pt>
                <c:pt idx="740">
                  <c:v>46246</c:v>
                </c:pt>
                <c:pt idx="741">
                  <c:v>46279</c:v>
                </c:pt>
                <c:pt idx="742">
                  <c:v>46309</c:v>
                </c:pt>
                <c:pt idx="743">
                  <c:v>46342</c:v>
                </c:pt>
                <c:pt idx="744">
                  <c:v>46372</c:v>
                </c:pt>
                <c:pt idx="745">
                  <c:v>46405</c:v>
                </c:pt>
                <c:pt idx="746">
                  <c:v>46435</c:v>
                </c:pt>
                <c:pt idx="747">
                  <c:v>46463</c:v>
                </c:pt>
                <c:pt idx="748">
                  <c:v>46496</c:v>
                </c:pt>
                <c:pt idx="749">
                  <c:v>46526</c:v>
                </c:pt>
                <c:pt idx="750">
                  <c:v>46559</c:v>
                </c:pt>
                <c:pt idx="751">
                  <c:v>46589</c:v>
                </c:pt>
                <c:pt idx="752">
                  <c:v>46622</c:v>
                </c:pt>
                <c:pt idx="753">
                  <c:v>46652</c:v>
                </c:pt>
                <c:pt idx="754">
                  <c:v>46682</c:v>
                </c:pt>
                <c:pt idx="755">
                  <c:v>46715</c:v>
                </c:pt>
                <c:pt idx="756">
                  <c:v>46745</c:v>
                </c:pt>
                <c:pt idx="757">
                  <c:v>46778</c:v>
                </c:pt>
                <c:pt idx="758">
                  <c:v>46811</c:v>
                </c:pt>
                <c:pt idx="759">
                  <c:v>46840</c:v>
                </c:pt>
                <c:pt idx="760">
                  <c:v>46869</c:v>
                </c:pt>
                <c:pt idx="761">
                  <c:v>46899</c:v>
                </c:pt>
                <c:pt idx="762">
                  <c:v>46932</c:v>
                </c:pt>
                <c:pt idx="763">
                  <c:v>46962</c:v>
                </c:pt>
                <c:pt idx="764">
                  <c:v>46995</c:v>
                </c:pt>
                <c:pt idx="765">
                  <c:v>47028</c:v>
                </c:pt>
                <c:pt idx="766">
                  <c:v>47058</c:v>
                </c:pt>
                <c:pt idx="767">
                  <c:v>47091</c:v>
                </c:pt>
                <c:pt idx="768">
                  <c:v>47122</c:v>
                </c:pt>
                <c:pt idx="769">
                  <c:v>47155</c:v>
                </c:pt>
                <c:pt idx="770">
                  <c:v>47183</c:v>
                </c:pt>
                <c:pt idx="771">
                  <c:v>47213</c:v>
                </c:pt>
                <c:pt idx="772">
                  <c:v>47245</c:v>
                </c:pt>
                <c:pt idx="773">
                  <c:v>47275</c:v>
                </c:pt>
                <c:pt idx="774">
                  <c:v>47305</c:v>
                </c:pt>
                <c:pt idx="775">
                  <c:v>47338</c:v>
                </c:pt>
                <c:pt idx="776">
                  <c:v>47371</c:v>
                </c:pt>
                <c:pt idx="777">
                  <c:v>47401</c:v>
                </c:pt>
                <c:pt idx="778">
                  <c:v>47434</c:v>
                </c:pt>
                <c:pt idx="779">
                  <c:v>47464</c:v>
                </c:pt>
                <c:pt idx="780">
                  <c:v>47497</c:v>
                </c:pt>
                <c:pt idx="781">
                  <c:v>47527</c:v>
                </c:pt>
                <c:pt idx="782">
                  <c:v>47555</c:v>
                </c:pt>
                <c:pt idx="783">
                  <c:v>47588</c:v>
                </c:pt>
                <c:pt idx="784">
                  <c:v>47618</c:v>
                </c:pt>
                <c:pt idx="785">
                  <c:v>47651</c:v>
                </c:pt>
                <c:pt idx="786">
                  <c:v>47681</c:v>
                </c:pt>
                <c:pt idx="787">
                  <c:v>47714</c:v>
                </c:pt>
                <c:pt idx="788">
                  <c:v>47744</c:v>
                </c:pt>
                <c:pt idx="789">
                  <c:v>47774</c:v>
                </c:pt>
                <c:pt idx="790">
                  <c:v>47807</c:v>
                </c:pt>
                <c:pt idx="791">
                  <c:v>47837</c:v>
                </c:pt>
                <c:pt idx="792">
                  <c:v>47870</c:v>
                </c:pt>
                <c:pt idx="793">
                  <c:v>47903</c:v>
                </c:pt>
                <c:pt idx="794">
                  <c:v>47931</c:v>
                </c:pt>
                <c:pt idx="795">
                  <c:v>47961</c:v>
                </c:pt>
                <c:pt idx="796">
                  <c:v>47991</c:v>
                </c:pt>
                <c:pt idx="797">
                  <c:v>48024</c:v>
                </c:pt>
                <c:pt idx="798">
                  <c:v>48054</c:v>
                </c:pt>
                <c:pt idx="799">
                  <c:v>48087</c:v>
                </c:pt>
                <c:pt idx="800">
                  <c:v>48120</c:v>
                </c:pt>
                <c:pt idx="801">
                  <c:v>48150</c:v>
                </c:pt>
                <c:pt idx="802">
                  <c:v>48183</c:v>
                </c:pt>
                <c:pt idx="803">
                  <c:v>48213</c:v>
                </c:pt>
                <c:pt idx="804">
                  <c:v>48246</c:v>
                </c:pt>
                <c:pt idx="805">
                  <c:v>48276</c:v>
                </c:pt>
                <c:pt idx="806">
                  <c:v>48309</c:v>
                </c:pt>
                <c:pt idx="807">
                  <c:v>48339</c:v>
                </c:pt>
                <c:pt idx="808">
                  <c:v>48372</c:v>
                </c:pt>
                <c:pt idx="809">
                  <c:v>48402</c:v>
                </c:pt>
                <c:pt idx="810">
                  <c:v>48435</c:v>
                </c:pt>
                <c:pt idx="811">
                  <c:v>48465</c:v>
                </c:pt>
                <c:pt idx="812">
                  <c:v>48495</c:v>
                </c:pt>
                <c:pt idx="813">
                  <c:v>48528</c:v>
                </c:pt>
                <c:pt idx="814">
                  <c:v>48558</c:v>
                </c:pt>
                <c:pt idx="815">
                  <c:v>48591</c:v>
                </c:pt>
                <c:pt idx="816">
                  <c:v>48624</c:v>
                </c:pt>
                <c:pt idx="817">
                  <c:v>48652</c:v>
                </c:pt>
                <c:pt idx="818">
                  <c:v>48682</c:v>
                </c:pt>
                <c:pt idx="819">
                  <c:v>48712</c:v>
                </c:pt>
                <c:pt idx="820">
                  <c:v>48745</c:v>
                </c:pt>
                <c:pt idx="821">
                  <c:v>48775</c:v>
                </c:pt>
                <c:pt idx="822">
                  <c:v>48808</c:v>
                </c:pt>
                <c:pt idx="823">
                  <c:v>48841</c:v>
                </c:pt>
                <c:pt idx="824">
                  <c:v>48871</c:v>
                </c:pt>
                <c:pt idx="825">
                  <c:v>48904</c:v>
                </c:pt>
                <c:pt idx="826">
                  <c:v>48934</c:v>
                </c:pt>
                <c:pt idx="827">
                  <c:v>48967</c:v>
                </c:pt>
                <c:pt idx="828">
                  <c:v>48997</c:v>
                </c:pt>
                <c:pt idx="829">
                  <c:v>49025</c:v>
                </c:pt>
                <c:pt idx="830">
                  <c:v>49058</c:v>
                </c:pt>
                <c:pt idx="831">
                  <c:v>49088</c:v>
                </c:pt>
                <c:pt idx="832">
                  <c:v>49121</c:v>
                </c:pt>
                <c:pt idx="833">
                  <c:v>49151</c:v>
                </c:pt>
                <c:pt idx="834">
                  <c:v>49184</c:v>
                </c:pt>
                <c:pt idx="835">
                  <c:v>49214</c:v>
                </c:pt>
                <c:pt idx="836">
                  <c:v>49244</c:v>
                </c:pt>
                <c:pt idx="837">
                  <c:v>49277</c:v>
                </c:pt>
                <c:pt idx="838">
                  <c:v>49307</c:v>
                </c:pt>
                <c:pt idx="839">
                  <c:v>49340</c:v>
                </c:pt>
                <c:pt idx="840">
                  <c:v>49370</c:v>
                </c:pt>
                <c:pt idx="841">
                  <c:v>49398</c:v>
                </c:pt>
                <c:pt idx="842">
                  <c:v>49432</c:v>
                </c:pt>
                <c:pt idx="843">
                  <c:v>49461</c:v>
                </c:pt>
                <c:pt idx="844">
                  <c:v>49494</c:v>
                </c:pt>
                <c:pt idx="845">
                  <c:v>49527</c:v>
                </c:pt>
                <c:pt idx="846">
                  <c:v>49557</c:v>
                </c:pt>
                <c:pt idx="847">
                  <c:v>49587</c:v>
                </c:pt>
                <c:pt idx="848">
                  <c:v>49620</c:v>
                </c:pt>
                <c:pt idx="849">
                  <c:v>49650</c:v>
                </c:pt>
                <c:pt idx="850">
                  <c:v>49683</c:v>
                </c:pt>
                <c:pt idx="851">
                  <c:v>49716</c:v>
                </c:pt>
                <c:pt idx="852">
                  <c:v>49745</c:v>
                </c:pt>
                <c:pt idx="853">
                  <c:v>49774</c:v>
                </c:pt>
                <c:pt idx="854">
                  <c:v>49804</c:v>
                </c:pt>
                <c:pt idx="855">
                  <c:v>49837</c:v>
                </c:pt>
                <c:pt idx="856">
                  <c:v>49867</c:v>
                </c:pt>
                <c:pt idx="857">
                  <c:v>49900</c:v>
                </c:pt>
                <c:pt idx="858">
                  <c:v>49933</c:v>
                </c:pt>
                <c:pt idx="859">
                  <c:v>49963</c:v>
                </c:pt>
                <c:pt idx="860">
                  <c:v>49996</c:v>
                </c:pt>
                <c:pt idx="861">
                  <c:v>50026</c:v>
                </c:pt>
                <c:pt idx="862">
                  <c:v>50059</c:v>
                </c:pt>
                <c:pt idx="863">
                  <c:v>50089</c:v>
                </c:pt>
                <c:pt idx="864">
                  <c:v>50117</c:v>
                </c:pt>
                <c:pt idx="865">
                  <c:v>50150</c:v>
                </c:pt>
                <c:pt idx="866">
                  <c:v>50180</c:v>
                </c:pt>
                <c:pt idx="867">
                  <c:v>50213</c:v>
                </c:pt>
                <c:pt idx="868">
                  <c:v>50243</c:v>
                </c:pt>
                <c:pt idx="869">
                  <c:v>50276</c:v>
                </c:pt>
                <c:pt idx="870">
                  <c:v>50306</c:v>
                </c:pt>
                <c:pt idx="871">
                  <c:v>50336</c:v>
                </c:pt>
                <c:pt idx="872">
                  <c:v>50369</c:v>
                </c:pt>
                <c:pt idx="873">
                  <c:v>50402</c:v>
                </c:pt>
                <c:pt idx="874">
                  <c:v>50432</c:v>
                </c:pt>
                <c:pt idx="875">
                  <c:v>50465</c:v>
                </c:pt>
                <c:pt idx="876">
                  <c:v>50493</c:v>
                </c:pt>
                <c:pt idx="877">
                  <c:v>50524</c:v>
                </c:pt>
                <c:pt idx="878">
                  <c:v>50556</c:v>
                </c:pt>
                <c:pt idx="879">
                  <c:v>50586</c:v>
                </c:pt>
                <c:pt idx="880">
                  <c:v>50616</c:v>
                </c:pt>
                <c:pt idx="881">
                  <c:v>50649</c:v>
                </c:pt>
                <c:pt idx="882">
                  <c:v>50682</c:v>
                </c:pt>
                <c:pt idx="883">
                  <c:v>50712</c:v>
                </c:pt>
                <c:pt idx="884">
                  <c:v>50742</c:v>
                </c:pt>
                <c:pt idx="885">
                  <c:v>50775</c:v>
                </c:pt>
                <c:pt idx="886">
                  <c:v>50808</c:v>
                </c:pt>
                <c:pt idx="887">
                  <c:v>50836</c:v>
                </c:pt>
                <c:pt idx="888">
                  <c:v>50866</c:v>
                </c:pt>
                <c:pt idx="889">
                  <c:v>50896</c:v>
                </c:pt>
                <c:pt idx="890">
                  <c:v>50929</c:v>
                </c:pt>
                <c:pt idx="891">
                  <c:v>50959</c:v>
                </c:pt>
                <c:pt idx="892">
                  <c:v>50992</c:v>
                </c:pt>
                <c:pt idx="893">
                  <c:v>51025</c:v>
                </c:pt>
                <c:pt idx="894">
                  <c:v>51055</c:v>
                </c:pt>
                <c:pt idx="895">
                  <c:v>51088</c:v>
                </c:pt>
                <c:pt idx="896">
                  <c:v>51118</c:v>
                </c:pt>
                <c:pt idx="897">
                  <c:v>51151</c:v>
                </c:pt>
                <c:pt idx="898">
                  <c:v>51181</c:v>
                </c:pt>
                <c:pt idx="899">
                  <c:v>51210</c:v>
                </c:pt>
                <c:pt idx="900">
                  <c:v>51243</c:v>
                </c:pt>
                <c:pt idx="901">
                  <c:v>51272</c:v>
                </c:pt>
                <c:pt idx="902">
                  <c:v>51305</c:v>
                </c:pt>
                <c:pt idx="903">
                  <c:v>51335</c:v>
                </c:pt>
                <c:pt idx="904">
                  <c:v>51368</c:v>
                </c:pt>
                <c:pt idx="905">
                  <c:v>51398</c:v>
                </c:pt>
                <c:pt idx="906">
                  <c:v>51428</c:v>
                </c:pt>
                <c:pt idx="907">
                  <c:v>51461</c:v>
                </c:pt>
                <c:pt idx="908">
                  <c:v>51491</c:v>
                </c:pt>
                <c:pt idx="909">
                  <c:v>51524</c:v>
                </c:pt>
                <c:pt idx="910">
                  <c:v>51557</c:v>
                </c:pt>
                <c:pt idx="911">
                  <c:v>51585</c:v>
                </c:pt>
                <c:pt idx="912">
                  <c:v>51616</c:v>
                </c:pt>
                <c:pt idx="913">
                  <c:v>51648</c:v>
                </c:pt>
                <c:pt idx="914">
                  <c:v>51678</c:v>
                </c:pt>
                <c:pt idx="915">
                  <c:v>51708</c:v>
                </c:pt>
                <c:pt idx="916">
                  <c:v>51741</c:v>
                </c:pt>
                <c:pt idx="917">
                  <c:v>51774</c:v>
                </c:pt>
                <c:pt idx="918">
                  <c:v>51804</c:v>
                </c:pt>
                <c:pt idx="919">
                  <c:v>51837</c:v>
                </c:pt>
                <c:pt idx="920">
                  <c:v>51868</c:v>
                </c:pt>
                <c:pt idx="921">
                  <c:v>51900</c:v>
                </c:pt>
                <c:pt idx="922">
                  <c:v>51929</c:v>
                </c:pt>
                <c:pt idx="923">
                  <c:v>51957</c:v>
                </c:pt>
                <c:pt idx="924">
                  <c:v>51986</c:v>
                </c:pt>
                <c:pt idx="925">
                  <c:v>52016</c:v>
                </c:pt>
                <c:pt idx="926">
                  <c:v>52049</c:v>
                </c:pt>
                <c:pt idx="927">
                  <c:v>52079</c:v>
                </c:pt>
                <c:pt idx="928">
                  <c:v>52112</c:v>
                </c:pt>
                <c:pt idx="929">
                  <c:v>52142</c:v>
                </c:pt>
                <c:pt idx="930">
                  <c:v>52175</c:v>
                </c:pt>
                <c:pt idx="931">
                  <c:v>52205</c:v>
                </c:pt>
                <c:pt idx="932">
                  <c:v>52238</c:v>
                </c:pt>
                <c:pt idx="933">
                  <c:v>52271</c:v>
                </c:pt>
                <c:pt idx="934">
                  <c:v>52299</c:v>
                </c:pt>
                <c:pt idx="935">
                  <c:v>52329</c:v>
                </c:pt>
                <c:pt idx="936">
                  <c:v>52359</c:v>
                </c:pt>
                <c:pt idx="937">
                  <c:v>52392</c:v>
                </c:pt>
                <c:pt idx="938">
                  <c:v>52422</c:v>
                </c:pt>
                <c:pt idx="939">
                  <c:v>52455</c:v>
                </c:pt>
                <c:pt idx="940">
                  <c:v>52488</c:v>
                </c:pt>
                <c:pt idx="941">
                  <c:v>52518</c:v>
                </c:pt>
                <c:pt idx="942">
                  <c:v>52551</c:v>
                </c:pt>
                <c:pt idx="943">
                  <c:v>52581</c:v>
                </c:pt>
                <c:pt idx="944">
                  <c:v>52614</c:v>
                </c:pt>
                <c:pt idx="945">
                  <c:v>52644</c:v>
                </c:pt>
                <c:pt idx="946">
                  <c:v>52673</c:v>
                </c:pt>
                <c:pt idx="947">
                  <c:v>52708</c:v>
                </c:pt>
                <c:pt idx="948">
                  <c:v>52740</c:v>
                </c:pt>
                <c:pt idx="949">
                  <c:v>52770</c:v>
                </c:pt>
                <c:pt idx="950">
                  <c:v>52800</c:v>
                </c:pt>
                <c:pt idx="951">
                  <c:v>52833</c:v>
                </c:pt>
                <c:pt idx="952">
                  <c:v>52866</c:v>
                </c:pt>
                <c:pt idx="953">
                  <c:v>52896</c:v>
                </c:pt>
                <c:pt idx="954">
                  <c:v>52929</c:v>
                </c:pt>
                <c:pt idx="955">
                  <c:v>52960</c:v>
                </c:pt>
                <c:pt idx="956">
                  <c:v>52993</c:v>
                </c:pt>
                <c:pt idx="957">
                  <c:v>53022</c:v>
                </c:pt>
                <c:pt idx="958">
                  <c:v>53050</c:v>
                </c:pt>
                <c:pt idx="959">
                  <c:v>53084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Delta'!$X$3:$X$1310</c:f>
              <c:numCache>
                <c:formatCode>General</c:formatCode>
                <c:ptCount val="1308"/>
                <c:pt idx="0">
                  <c:v>2.7928163075242244E-4</c:v>
                </c:pt>
                <c:pt idx="1">
                  <c:v>3.0805202324581202E-4</c:v>
                </c:pt>
                <c:pt idx="2">
                  <c:v>3.0847377044657462E-4</c:v>
                </c:pt>
                <c:pt idx="3">
                  <c:v>3.0888958038742265E-4</c:v>
                </c:pt>
                <c:pt idx="4">
                  <c:v>3.131088004351062E-4</c:v>
                </c:pt>
                <c:pt idx="5">
                  <c:v>3.2199721182631119E-4</c:v>
                </c:pt>
                <c:pt idx="6">
                  <c:v>3.2222931860557735E-4</c:v>
                </c:pt>
                <c:pt idx="7">
                  <c:v>3.2242790718129658E-4</c:v>
                </c:pt>
                <c:pt idx="8">
                  <c:v>3.2261583304347952E-4</c:v>
                </c:pt>
                <c:pt idx="9">
                  <c:v>3.3084801243268803E-4</c:v>
                </c:pt>
                <c:pt idx="10">
                  <c:v>3.2360567662458631E-4</c:v>
                </c:pt>
                <c:pt idx="11">
                  <c:v>3.2392917038354108E-4</c:v>
                </c:pt>
                <c:pt idx="12">
                  <c:v>3.2427927433358749E-4</c:v>
                </c:pt>
                <c:pt idx="13">
                  <c:v>3.2465387895548858E-4</c:v>
                </c:pt>
                <c:pt idx="14">
                  <c:v>3.3330257579392941E-4</c:v>
                </c:pt>
                <c:pt idx="15">
                  <c:v>3.2636176591285506E-4</c:v>
                </c:pt>
                <c:pt idx="16">
                  <c:v>3.2683634699534543E-4</c:v>
                </c:pt>
                <c:pt idx="17">
                  <c:v>3.2732868464511615E-4</c:v>
                </c:pt>
                <c:pt idx="18">
                  <c:v>3.2783814759469238E-4</c:v>
                </c:pt>
                <c:pt idx="19">
                  <c:v>3.367736522464789E-4</c:v>
                </c:pt>
                <c:pt idx="20">
                  <c:v>3.3003462705566438E-4</c:v>
                </c:pt>
                <c:pt idx="21">
                  <c:v>3.3061883447184549E-4</c:v>
                </c:pt>
                <c:pt idx="22">
                  <c:v>3.3121373800981983E-4</c:v>
                </c:pt>
                <c:pt idx="23">
                  <c:v>3.3181898312828153E-4</c:v>
                </c:pt>
                <c:pt idx="24">
                  <c:v>3.4093981585219782E-4</c:v>
                </c:pt>
                <c:pt idx="25">
                  <c:v>3.4183631672770313E-4</c:v>
                </c:pt>
                <c:pt idx="26">
                  <c:v>3.4248795164462426E-4</c:v>
                </c:pt>
                <c:pt idx="27">
                  <c:v>3.4314780089953818E-4</c:v>
                </c:pt>
                <c:pt idx="28">
                  <c:v>3.4381550995244954E-4</c:v>
                </c:pt>
                <c:pt idx="29">
                  <c:v>3.5303058401408508E-4</c:v>
                </c:pt>
                <c:pt idx="30">
                  <c:v>3.4655785333522198E-4</c:v>
                </c:pt>
                <c:pt idx="31">
                  <c:v>3.4725954327094553E-4</c:v>
                </c:pt>
                <c:pt idx="32">
                  <c:v>3.479669431425826E-4</c:v>
                </c:pt>
                <c:pt idx="33">
                  <c:v>3.4867958530729326E-4</c:v>
                </c:pt>
                <c:pt idx="34">
                  <c:v>3.5790708794724164E-4</c:v>
                </c:pt>
                <c:pt idx="35">
                  <c:v>3.5157277166370096E-4</c:v>
                </c:pt>
                <c:pt idx="36">
                  <c:v>3.5230427136764315E-4</c:v>
                </c:pt>
                <c:pt idx="37">
                  <c:v>3.5303807179378984E-4</c:v>
                </c:pt>
                <c:pt idx="38">
                  <c:v>3.53775042323105E-4</c:v>
                </c:pt>
                <c:pt idx="39">
                  <c:v>3.629459331144003E-4</c:v>
                </c:pt>
                <c:pt idx="40">
                  <c:v>3.567730741757684E-4</c:v>
                </c:pt>
                <c:pt idx="41">
                  <c:v>3.5753706551598354E-4</c:v>
                </c:pt>
                <c:pt idx="42">
                  <c:v>3.5830762858446154E-4</c:v>
                </c:pt>
                <c:pt idx="43">
                  <c:v>3.590845322000133E-4</c:v>
                </c:pt>
                <c:pt idx="44">
                  <c:v>3.6823116375836901E-4</c:v>
                </c:pt>
                <c:pt idx="45">
                  <c:v>3.6223217217326857E-4</c:v>
                </c:pt>
                <c:pt idx="46">
                  <c:v>3.6302354647046949E-4</c:v>
                </c:pt>
                <c:pt idx="47">
                  <c:v>3.5961448084006483E-4</c:v>
                </c:pt>
                <c:pt idx="48">
                  <c:v>3.6040388450739612E-4</c:v>
                </c:pt>
                <c:pt idx="49">
                  <c:v>3.6950167144840984E-4</c:v>
                </c:pt>
                <c:pt idx="50">
                  <c:v>3.6352393565940112E-4</c:v>
                </c:pt>
                <c:pt idx="51">
                  <c:v>3.6428901549529614E-4</c:v>
                </c:pt>
                <c:pt idx="52">
                  <c:v>3.6504590532097112E-4</c:v>
                </c:pt>
                <c:pt idx="53">
                  <c:v>3.6579349672131236E-4</c:v>
                </c:pt>
                <c:pt idx="54">
                  <c:v>3.7479921846388727E-4</c:v>
                </c:pt>
                <c:pt idx="55">
                  <c:v>3.6866870978173708E-4</c:v>
                </c:pt>
                <c:pt idx="56">
                  <c:v>3.6935318283790091E-4</c:v>
                </c:pt>
                <c:pt idx="57">
                  <c:v>3.7002170698176274E-4</c:v>
                </c:pt>
                <c:pt idx="58">
                  <c:v>3.7067317379791889E-4</c:v>
                </c:pt>
                <c:pt idx="59">
                  <c:v>3.7954360975930705E-4</c:v>
                </c:pt>
                <c:pt idx="60">
                  <c:v>3.7308629949444689E-4</c:v>
                </c:pt>
                <c:pt idx="61">
                  <c:v>3.7363585345403816E-4</c:v>
                </c:pt>
                <c:pt idx="62">
                  <c:v>3.7416169959781628E-4</c:v>
                </c:pt>
                <c:pt idx="63">
                  <c:v>3.7466261567109136E-4</c:v>
                </c:pt>
                <c:pt idx="64">
                  <c:v>3.8335374838620003E-4</c:v>
                </c:pt>
                <c:pt idx="65">
                  <c:v>3.7639030863732977E-4</c:v>
                </c:pt>
                <c:pt idx="66">
                  <c:v>3.7675327006700301E-4</c:v>
                </c:pt>
                <c:pt idx="67">
                  <c:v>3.7709006622115227E-4</c:v>
                </c:pt>
                <c:pt idx="68">
                  <c:v>3.774015002803468E-4</c:v>
                </c:pt>
                <c:pt idx="69">
                  <c:v>3.7358385193351373E-4</c:v>
                </c:pt>
                <c:pt idx="70">
                  <c:v>3.7170989457918407E-4</c:v>
                </c:pt>
                <c:pt idx="71">
                  <c:v>3.7190674425301168E-4</c:v>
                </c:pt>
                <c:pt idx="72">
                  <c:v>3.7208312226744546E-4</c:v>
                </c:pt>
                <c:pt idx="73">
                  <c:v>3.7223984369364025E-4</c:v>
                </c:pt>
                <c:pt idx="74">
                  <c:v>3.8059585834863621E-4</c:v>
                </c:pt>
                <c:pt idx="75">
                  <c:v>3.7268646497155665E-4</c:v>
                </c:pt>
                <c:pt idx="76">
                  <c:v>3.7275712954554056E-4</c:v>
                </c:pt>
                <c:pt idx="77">
                  <c:v>3.728130279672225E-4</c:v>
                </c:pt>
                <c:pt idx="78">
                  <c:v>3.7285497530711224E-4</c:v>
                </c:pt>
                <c:pt idx="79">
                  <c:v>3.8112936873019304E-4</c:v>
                </c:pt>
                <c:pt idx="80">
                  <c:v>3.7289955530620412E-4</c:v>
                </c:pt>
                <c:pt idx="81">
                  <c:v>3.7288397332728738E-4</c:v>
                </c:pt>
                <c:pt idx="82">
                  <c:v>3.7285933070183724E-4</c:v>
                </c:pt>
                <c:pt idx="83">
                  <c:v>3.7282644250256783E-4</c:v>
                </c:pt>
                <c:pt idx="84">
                  <c:v>3.8107723662518164E-4</c:v>
                </c:pt>
                <c:pt idx="85">
                  <c:v>3.7262873540989553E-4</c:v>
                </c:pt>
                <c:pt idx="86">
                  <c:v>3.7256684542468784E-4</c:v>
                </c:pt>
                <c:pt idx="87">
                  <c:v>3.7250160029984576E-4</c:v>
                </c:pt>
                <c:pt idx="88">
                  <c:v>3.7243381510775064E-4</c:v>
                </c:pt>
                <c:pt idx="89">
                  <c:v>3.8071903185978603E-4</c:v>
                </c:pt>
                <c:pt idx="90">
                  <c:v>3.6796824256467834E-4</c:v>
                </c:pt>
                <c:pt idx="91">
                  <c:v>3.6569442195143019E-4</c:v>
                </c:pt>
                <c:pt idx="92">
                  <c:v>3.6562276959987348E-4</c:v>
                </c:pt>
                <c:pt idx="93">
                  <c:v>3.6555409816371666E-4</c:v>
                </c:pt>
                <c:pt idx="94">
                  <c:v>3.6548922271428162E-4</c:v>
                </c:pt>
                <c:pt idx="95">
                  <c:v>3.6532552301324117E-4</c:v>
                </c:pt>
                <c:pt idx="96">
                  <c:v>3.6528398223637914E-4</c:v>
                </c:pt>
                <c:pt idx="97">
                  <c:v>3.6525031280910996E-4</c:v>
                </c:pt>
                <c:pt idx="98">
                  <c:v>3.6522533725357918E-4</c:v>
                </c:pt>
                <c:pt idx="99">
                  <c:v>3.6520990789484423E-4</c:v>
                </c:pt>
                <c:pt idx="100">
                  <c:v>3.6522949475888101E-4</c:v>
                </c:pt>
                <c:pt idx="101">
                  <c:v>3.6526084794518581E-4</c:v>
                </c:pt>
                <c:pt idx="102">
                  <c:v>3.6530604620747223E-4</c:v>
                </c:pt>
                <c:pt idx="103">
                  <c:v>3.6536615018442468E-4</c:v>
                </c:pt>
                <c:pt idx="104">
                  <c:v>3.654407440718403E-4</c:v>
                </c:pt>
                <c:pt idx="105">
                  <c:v>3.6574311746934477E-4</c:v>
                </c:pt>
                <c:pt idx="106">
                  <c:v>3.6586945625582555E-4</c:v>
                </c:pt>
                <c:pt idx="107">
                  <c:v>3.6600824407483627E-4</c:v>
                </c:pt>
                <c:pt idx="108">
                  <c:v>3.6615928604827823E-4</c:v>
                </c:pt>
                <c:pt idx="109">
                  <c:v>3.7943547212551399E-4</c:v>
                </c:pt>
                <c:pt idx="110">
                  <c:v>3.6688209794769224E-4</c:v>
                </c:pt>
                <c:pt idx="111">
                  <c:v>3.6709148753856253E-4</c:v>
                </c:pt>
                <c:pt idx="112">
                  <c:v>3.7171153118442527E-4</c:v>
                </c:pt>
                <c:pt idx="113">
                  <c:v>3.7270989732114185E-4</c:v>
                </c:pt>
                <c:pt idx="114">
                  <c:v>3.685454636194793E-4</c:v>
                </c:pt>
                <c:pt idx="115">
                  <c:v>3.6050702955980668E-4</c:v>
                </c:pt>
                <c:pt idx="116">
                  <c:v>3.6079643666791285E-4</c:v>
                </c:pt>
                <c:pt idx="117">
                  <c:v>3.6109548283217666E-4</c:v>
                </c:pt>
                <c:pt idx="118">
                  <c:v>3.6140397317543569E-4</c:v>
                </c:pt>
                <c:pt idx="119">
                  <c:v>3.7065808917922428E-4</c:v>
                </c:pt>
                <c:pt idx="120">
                  <c:v>3.6272847879536304E-4</c:v>
                </c:pt>
                <c:pt idx="121">
                  <c:v>3.6308126687593353E-4</c:v>
                </c:pt>
                <c:pt idx="122">
                  <c:v>3.6344232987294521E-4</c:v>
                </c:pt>
                <c:pt idx="123">
                  <c:v>3.6381147290894499E-4</c:v>
                </c:pt>
                <c:pt idx="124">
                  <c:v>3.732063753236624E-4</c:v>
                </c:pt>
                <c:pt idx="125">
                  <c:v>3.6536494790096765E-4</c:v>
                </c:pt>
                <c:pt idx="126">
                  <c:v>3.65771567975086E-4</c:v>
                </c:pt>
                <c:pt idx="127">
                  <c:v>3.661850988254244E-4</c:v>
                </c:pt>
                <c:pt idx="128">
                  <c:v>3.6660534557546412E-4</c:v>
                </c:pt>
                <c:pt idx="129">
                  <c:v>3.761234791990812E-4</c:v>
                </c:pt>
                <c:pt idx="130">
                  <c:v>3.6834959402297482E-4</c:v>
                </c:pt>
                <c:pt idx="131">
                  <c:v>3.6880047117516433E-4</c:v>
                </c:pt>
                <c:pt idx="132">
                  <c:v>3.6925673934240164E-4</c:v>
                </c:pt>
                <c:pt idx="133">
                  <c:v>3.6971803613596E-4</c:v>
                </c:pt>
                <c:pt idx="134">
                  <c:v>3.6561315472180713E-4</c:v>
                </c:pt>
                <c:pt idx="135">
                  <c:v>3.7160519165418482E-4</c:v>
                </c:pt>
                <c:pt idx="136">
                  <c:v>3.7208536341244242E-4</c:v>
                </c:pt>
                <c:pt idx="137">
                  <c:v>3.725680446386317E-4</c:v>
                </c:pt>
                <c:pt idx="138">
                  <c:v>3.7305281349185419E-4</c:v>
                </c:pt>
                <c:pt idx="139">
                  <c:v>3.8273111728747984E-4</c:v>
                </c:pt>
                <c:pt idx="140">
                  <c:v>3.7500432834497064E-4</c:v>
                </c:pt>
                <c:pt idx="141">
                  <c:v>3.7549320771049444E-4</c:v>
                </c:pt>
                <c:pt idx="142">
                  <c:v>3.7598164365431805E-4</c:v>
                </c:pt>
                <c:pt idx="143">
                  <c:v>3.7646921433438709E-4</c:v>
                </c:pt>
                <c:pt idx="144">
                  <c:v>3.8616307027587526E-4</c:v>
                </c:pt>
                <c:pt idx="145">
                  <c:v>3.7840240759200546E-4</c:v>
                </c:pt>
                <c:pt idx="146">
                  <c:v>3.7887932433260211E-4</c:v>
                </c:pt>
                <c:pt idx="147">
                  <c:v>3.7935284476126426E-4</c:v>
                </c:pt>
                <c:pt idx="148">
                  <c:v>3.7982254703619985E-4</c:v>
                </c:pt>
                <c:pt idx="149">
                  <c:v>3.8948802781057991E-4</c:v>
                </c:pt>
                <c:pt idx="150">
                  <c:v>3.8165473776769827E-4</c:v>
                </c:pt>
                <c:pt idx="151">
                  <c:v>3.8209902165149727E-4</c:v>
                </c:pt>
                <c:pt idx="152">
                  <c:v>3.8253695633307653E-4</c:v>
                </c:pt>
                <c:pt idx="153">
                  <c:v>3.8296811996949519E-4</c:v>
                </c:pt>
                <c:pt idx="154">
                  <c:v>3.925612982632652E-4</c:v>
                </c:pt>
                <c:pt idx="155">
                  <c:v>3.8003680788017437E-4</c:v>
                </c:pt>
                <c:pt idx="156">
                  <c:v>3.8043129470086633E-4</c:v>
                </c:pt>
                <c:pt idx="157">
                  <c:v>3.8081671674563666E-4</c:v>
                </c:pt>
                <c:pt idx="158">
                  <c:v>3.811926521731572E-4</c:v>
                </c:pt>
                <c:pt idx="159">
                  <c:v>3.8155867914158395E-4</c:v>
                </c:pt>
                <c:pt idx="160">
                  <c:v>3.8259309087968347E-4</c:v>
                </c:pt>
                <c:pt idx="161">
                  <c:v>3.8291526559793877E-4</c:v>
                </c:pt>
                <c:pt idx="162">
                  <c:v>3.832254226504157E-4</c:v>
                </c:pt>
                <c:pt idx="163">
                  <c:v>3.8352315536484787E-4</c:v>
                </c:pt>
                <c:pt idx="164">
                  <c:v>3.8380811774826033E-4</c:v>
                </c:pt>
                <c:pt idx="165">
                  <c:v>3.8458307467932498E-4</c:v>
                </c:pt>
                <c:pt idx="166">
                  <c:v>3.8481364750646995E-4</c:v>
                </c:pt>
                <c:pt idx="167">
                  <c:v>3.8502979588554475E-4</c:v>
                </c:pt>
                <c:pt idx="168">
                  <c:v>3.8523104001761919E-4</c:v>
                </c:pt>
                <c:pt idx="169">
                  <c:v>3.8541722445379831E-4</c:v>
                </c:pt>
                <c:pt idx="170">
                  <c:v>3.8588697662439257E-4</c:v>
                </c:pt>
                <c:pt idx="171">
                  <c:v>3.8601447931506188E-4</c:v>
                </c:pt>
                <c:pt idx="172">
                  <c:v>3.8612770082826245E-4</c:v>
                </c:pt>
                <c:pt idx="173">
                  <c:v>3.862267968692134E-4</c:v>
                </c:pt>
                <c:pt idx="174">
                  <c:v>3.9090132034155637E-4</c:v>
                </c:pt>
                <c:pt idx="175">
                  <c:v>3.8651584461359796E-4</c:v>
                </c:pt>
                <c:pt idx="176">
                  <c:v>3.8653345759805357E-4</c:v>
                </c:pt>
                <c:pt idx="177">
                  <c:v>3.865380350362698E-4</c:v>
                </c:pt>
                <c:pt idx="178">
                  <c:v>3.989292340314249E-4</c:v>
                </c:pt>
                <c:pt idx="179">
                  <c:v>3.9887096929720517E-4</c:v>
                </c:pt>
                <c:pt idx="180">
                  <c:v>3.9880060324011014E-4</c:v>
                </c:pt>
                <c:pt idx="181">
                  <c:v>3.9871829156399918E-4</c:v>
                </c:pt>
                <c:pt idx="182">
                  <c:v>3.9862418997235088E-4</c:v>
                </c:pt>
                <c:pt idx="183">
                  <c:v>3.9827270274452286E-4</c:v>
                </c:pt>
                <c:pt idx="184">
                  <c:v>3.9813299853097214E-4</c:v>
                </c:pt>
                <c:pt idx="185">
                  <c:v>3.9798228292108799E-4</c:v>
                </c:pt>
                <c:pt idx="186">
                  <c:v>3.9782071161933064E-4</c:v>
                </c:pt>
                <c:pt idx="187">
                  <c:v>3.9764844032879422E-4</c:v>
                </c:pt>
                <c:pt idx="188">
                  <c:v>3.9706898356660776E-4</c:v>
                </c:pt>
                <c:pt idx="189">
                  <c:v>3.9685546936200211E-4</c:v>
                </c:pt>
                <c:pt idx="190">
                  <c:v>3.9663203368792507E-4</c:v>
                </c:pt>
                <c:pt idx="191">
                  <c:v>3.9639883224871846E-4</c:v>
                </c:pt>
                <c:pt idx="192">
                  <c:v>3.9615602074791412E-4</c:v>
                </c:pt>
                <c:pt idx="193">
                  <c:v>3.953714829164933E-4</c:v>
                </c:pt>
                <c:pt idx="194">
                  <c:v>3.9509178820892074E-4</c:v>
                </c:pt>
                <c:pt idx="195">
                  <c:v>3.9480328789588042E-4</c:v>
                </c:pt>
                <c:pt idx="196">
                  <c:v>3.9450629674365404E-4</c:v>
                </c:pt>
                <c:pt idx="197">
                  <c:v>3.9420127296643646E-4</c:v>
                </c:pt>
                <c:pt idx="198">
                  <c:v>3.9994290424814124E-4</c:v>
                </c:pt>
                <c:pt idx="199">
                  <c:v>3.9536126690044846E-4</c:v>
                </c:pt>
                <c:pt idx="200">
                  <c:v>3.9502584968830346E-4</c:v>
                </c:pt>
                <c:pt idx="201">
                  <c:v>3.9468507512887532E-4</c:v>
                </c:pt>
                <c:pt idx="202">
                  <c:v>3.9433943081351296E-4</c:v>
                </c:pt>
                <c:pt idx="203">
                  <c:v>3.9751653349734634E-4</c:v>
                </c:pt>
                <c:pt idx="204">
                  <c:v>3.9291790783443171E-4</c:v>
                </c:pt>
                <c:pt idx="205">
                  <c:v>3.9255522862042825E-4</c:v>
                </c:pt>
                <c:pt idx="206">
                  <c:v>3.9219060520297101E-4</c:v>
                </c:pt>
                <c:pt idx="207">
                  <c:v>3.9182452517376844E-4</c:v>
                </c:pt>
                <c:pt idx="208">
                  <c:v>3.949593762202957E-4</c:v>
                </c:pt>
                <c:pt idx="209">
                  <c:v>3.9035539078228506E-4</c:v>
                </c:pt>
                <c:pt idx="210">
                  <c:v>3.8998934157575865E-4</c:v>
                </c:pt>
                <c:pt idx="211">
                  <c:v>3.8962476131025652E-4</c:v>
                </c:pt>
                <c:pt idx="212">
                  <c:v>3.8926213757736473E-4</c:v>
                </c:pt>
                <c:pt idx="213">
                  <c:v>3.9243867648553306E-4</c:v>
                </c:pt>
                <c:pt idx="214">
                  <c:v>3.8784095981358579E-4</c:v>
                </c:pt>
                <c:pt idx="215">
                  <c:v>3.8749543262531889E-4</c:v>
                </c:pt>
                <c:pt idx="216">
                  <c:v>3.8715478752138048E-4</c:v>
                </c:pt>
                <c:pt idx="217">
                  <c:v>3.8681951209460083E-4</c:v>
                </c:pt>
                <c:pt idx="218">
                  <c:v>3.9439687854238249E-4</c:v>
                </c:pt>
                <c:pt idx="219">
                  <c:v>3.9629681366012992E-4</c:v>
                </c:pt>
                <c:pt idx="220">
                  <c:v>3.9600505454505614E-4</c:v>
                </c:pt>
                <c:pt idx="221">
                  <c:v>3.9572209120852168E-4</c:v>
                </c:pt>
                <c:pt idx="222">
                  <c:v>4.0405513921175921E-4</c:v>
                </c:pt>
                <c:pt idx="223">
                  <c:v>3.9468794749484995E-4</c:v>
                </c:pt>
                <c:pt idx="224">
                  <c:v>3.9445627693425109E-4</c:v>
                </c:pt>
                <c:pt idx="225">
                  <c:v>3.9423623171674872E-4</c:v>
                </c:pt>
                <c:pt idx="226">
                  <c:v>3.9402781949466448E-4</c:v>
                </c:pt>
                <c:pt idx="227">
                  <c:v>4.0252178217907816E-4</c:v>
                </c:pt>
                <c:pt idx="228">
                  <c:v>3.9330873383174362E-4</c:v>
                </c:pt>
                <c:pt idx="229">
                  <c:v>3.9315716154142855E-4</c:v>
                </c:pt>
                <c:pt idx="230">
                  <c:v>3.9301669222870648E-4</c:v>
                </c:pt>
                <c:pt idx="231">
                  <c:v>3.9288666189321104E-4</c:v>
                </c:pt>
                <c:pt idx="232">
                  <c:v>4.0150850935869814E-4</c:v>
                </c:pt>
                <c:pt idx="233">
                  <c:v>3.9245863877160168E-4</c:v>
                </c:pt>
                <c:pt idx="234">
                  <c:v>3.9237278541295206E-4</c:v>
                </c:pt>
                <c:pt idx="235">
                  <c:v>3.9229464417079533E-4</c:v>
                </c:pt>
                <c:pt idx="236">
                  <c:v>3.9222384061701456E-4</c:v>
                </c:pt>
                <c:pt idx="237">
                  <c:v>3.919667832485706E-4</c:v>
                </c:pt>
                <c:pt idx="238">
                  <c:v>3.9193214286880815E-4</c:v>
                </c:pt>
                <c:pt idx="239">
                  <c:v>3.8752799626732334E-4</c:v>
                </c:pt>
                <c:pt idx="240">
                  <c:v>3.9170403707821305E-4</c:v>
                </c:pt>
                <c:pt idx="241">
                  <c:v>3.9165624495249258E-4</c:v>
                </c:pt>
                <c:pt idx="242">
                  <c:v>3.9164710345589214E-4</c:v>
                </c:pt>
                <c:pt idx="243">
                  <c:v>3.9164073252040274E-4</c:v>
                </c:pt>
                <c:pt idx="244">
                  <c:v>3.9163675771970599E-4</c:v>
                </c:pt>
                <c:pt idx="245">
                  <c:v>3.9163480462723645E-4</c:v>
                </c:pt>
                <c:pt idx="246">
                  <c:v>3.9163733133243601E-4</c:v>
                </c:pt>
                <c:pt idx="247">
                  <c:v>3.9163972080564688E-4</c:v>
                </c:pt>
                <c:pt idx="248">
                  <c:v>3.9164225985434343E-4</c:v>
                </c:pt>
                <c:pt idx="249">
                  <c:v>3.9164457405082431E-4</c:v>
                </c:pt>
                <c:pt idx="250">
                  <c:v>3.9164628896938921E-4</c:v>
                </c:pt>
                <c:pt idx="251">
                  <c:v>3.9164409378727517E-4</c:v>
                </c:pt>
                <c:pt idx="252">
                  <c:v>3.9163966732539253E-4</c:v>
                </c:pt>
                <c:pt idx="253">
                  <c:v>3.9163276945237816E-4</c:v>
                </c:pt>
                <c:pt idx="254">
                  <c:v>3.9162302574047281E-4</c:v>
                </c:pt>
                <c:pt idx="255">
                  <c:v>3.9161006176409972E-4</c:v>
                </c:pt>
                <c:pt idx="256">
                  <c:v>3.9154810397784405E-4</c:v>
                </c:pt>
                <c:pt idx="257">
                  <c:v>3.954354651679426E-4</c:v>
                </c:pt>
                <c:pt idx="258">
                  <c:v>3.9486618748592268E-4</c:v>
                </c:pt>
                <c:pt idx="259">
                  <c:v>3.9407480809595827E-4</c:v>
                </c:pt>
                <c:pt idx="260">
                  <c:v>3.9305177957812563E-4</c:v>
                </c:pt>
                <c:pt idx="261">
                  <c:v>3.9178755451210344E-4</c:v>
                </c:pt>
                <c:pt idx="262">
                  <c:v>3.9027258547812902E-4</c:v>
                </c:pt>
                <c:pt idx="263">
                  <c:v>3.8850932356180586E-4</c:v>
                </c:pt>
                <c:pt idx="264">
                  <c:v>3.8660313214923178E-4</c:v>
                </c:pt>
                <c:pt idx="265">
                  <c:v>3.8471139072727257E-4</c:v>
                </c:pt>
                <c:pt idx="266">
                  <c:v>3.8301513506085172E-4</c:v>
                </c:pt>
                <c:pt idx="267">
                  <c:v>3.8169424518267854E-4</c:v>
                </c:pt>
                <c:pt idx="268">
                  <c:v>3.8092860112659598E-4</c:v>
                </c:pt>
                <c:pt idx="269">
                  <c:v>3.808980154703899E-4</c:v>
                </c:pt>
                <c:pt idx="270">
                  <c:v>3.817181434757459E-4</c:v>
                </c:pt>
                <c:pt idx="271">
                  <c:v>3.832951622955305E-4</c:v>
                </c:pt>
                <c:pt idx="272">
                  <c:v>3.8549078867185184E-4</c:v>
                </c:pt>
                <c:pt idx="273">
                  <c:v>3.8816673934867393E-4</c:v>
                </c:pt>
                <c:pt idx="274">
                  <c:v>3.911847310683147E-4</c:v>
                </c:pt>
                <c:pt idx="275">
                  <c:v>3.8986538782088699E-4</c:v>
                </c:pt>
                <c:pt idx="276">
                  <c:v>3.931434202555388E-4</c:v>
                </c:pt>
                <c:pt idx="277">
                  <c:v>3.963723126848623E-4</c:v>
                </c:pt>
                <c:pt idx="278">
                  <c:v>4.04168181235454E-4</c:v>
                </c:pt>
                <c:pt idx="279">
                  <c:v>3.9921852830187952E-4</c:v>
                </c:pt>
                <c:pt idx="280">
                  <c:v>4.0249418341631581E-4</c:v>
                </c:pt>
                <c:pt idx="281">
                  <c:v>4.0551107231213041E-4</c:v>
                </c:pt>
                <c:pt idx="282">
                  <c:v>4.080851551681415E-4</c:v>
                </c:pt>
                <c:pt idx="283">
                  <c:v>4.1007220435301686E-4</c:v>
                </c:pt>
                <c:pt idx="284">
                  <c:v>4.1148724099250057E-4</c:v>
                </c:pt>
                <c:pt idx="285">
                  <c:v>4.1238509840331396E-4</c:v>
                </c:pt>
                <c:pt idx="286">
                  <c:v>4.1282060990004772E-4</c:v>
                </c:pt>
                <c:pt idx="287">
                  <c:v>4.1284860879958637E-4</c:v>
                </c:pt>
                <c:pt idx="288">
                  <c:v>4.0805076891364984E-4</c:v>
                </c:pt>
                <c:pt idx="289">
                  <c:v>4.0745697821946528E-4</c:v>
                </c:pt>
                <c:pt idx="290">
                  <c:v>4.0662119674326379E-4</c:v>
                </c:pt>
                <c:pt idx="291">
                  <c:v>4.0095849963454812E-4</c:v>
                </c:pt>
                <c:pt idx="292">
                  <c:v>4.1242520235841633E-4</c:v>
                </c:pt>
                <c:pt idx="293">
                  <c:v>4.1078466019257246E-4</c:v>
                </c:pt>
                <c:pt idx="294">
                  <c:v>4.1345133935869567E-4</c:v>
                </c:pt>
                <c:pt idx="295">
                  <c:v>4.0738567697136928E-4</c:v>
                </c:pt>
                <c:pt idx="296">
                  <c:v>3.9267859983578237E-4</c:v>
                </c:pt>
                <c:pt idx="297">
                  <c:v>4.0459049870126982E-4</c:v>
                </c:pt>
                <c:pt idx="298">
                  <c:v>4.0350823417312405E-4</c:v>
                </c:pt>
                <c:pt idx="299">
                  <c:v>4.0264232057715118E-4</c:v>
                </c:pt>
                <c:pt idx="300">
                  <c:v>4.0199734665471846E-4</c:v>
                </c:pt>
                <c:pt idx="301">
                  <c:v>4.060098179118488E-4</c:v>
                </c:pt>
                <c:pt idx="302">
                  <c:v>4.0582500237739869E-4</c:v>
                </c:pt>
                <c:pt idx="303">
                  <c:v>4.0587478578615931E-4</c:v>
                </c:pt>
                <c:pt idx="304">
                  <c:v>4.0611928785161936E-4</c:v>
                </c:pt>
                <c:pt idx="305">
                  <c:v>4.0201635872178426E-4</c:v>
                </c:pt>
                <c:pt idx="306">
                  <c:v>4.0243200139203762E-4</c:v>
                </c:pt>
                <c:pt idx="307">
                  <c:v>4.0302974973916751E-4</c:v>
                </c:pt>
                <c:pt idx="308">
                  <c:v>4.0337288096016868E-4</c:v>
                </c:pt>
                <c:pt idx="309">
                  <c:v>4.0838756780459541E-4</c:v>
                </c:pt>
                <c:pt idx="310">
                  <c:v>4.0879530084370319E-4</c:v>
                </c:pt>
                <c:pt idx="311">
                  <c:v>4.0927047292400751E-4</c:v>
                </c:pt>
                <c:pt idx="312">
                  <c:v>4.0974915586206631E-4</c:v>
                </c:pt>
                <c:pt idx="313">
                  <c:v>4.1023562006234896E-4</c:v>
                </c:pt>
                <c:pt idx="314">
                  <c:v>4.1073413592864996E-4</c:v>
                </c:pt>
                <c:pt idx="315">
                  <c:v>4.1124897386588541E-4</c:v>
                </c:pt>
                <c:pt idx="316">
                  <c:v>4.1178427147579367E-4</c:v>
                </c:pt>
                <c:pt idx="317">
                  <c:v>4.1234193570763918E-4</c:v>
                </c:pt>
                <c:pt idx="318">
                  <c:v>4.1292202258665111E-4</c:v>
                </c:pt>
                <c:pt idx="319">
                  <c:v>4.135245321135375E-4</c:v>
                </c:pt>
                <c:pt idx="320">
                  <c:v>4.14149464288386E-4</c:v>
                </c:pt>
                <c:pt idx="321">
                  <c:v>4.1479681911044168E-4</c:v>
                </c:pt>
                <c:pt idx="322">
                  <c:v>4.1546659658010462E-4</c:v>
                </c:pt>
                <c:pt idx="323">
                  <c:v>4.1615879669804214E-4</c:v>
                </c:pt>
                <c:pt idx="324">
                  <c:v>4.1687341946319135E-4</c:v>
                </c:pt>
                <c:pt idx="325">
                  <c:v>4.1761046487564423E-4</c:v>
                </c:pt>
                <c:pt idx="326">
                  <c:v>4.1836993293598197E-4</c:v>
                </c:pt>
                <c:pt idx="327">
                  <c:v>4.1453639644505177E-4</c:v>
                </c:pt>
                <c:pt idx="328">
                  <c:v>4.1533038305600602E-4</c:v>
                </c:pt>
                <c:pt idx="329">
                  <c:v>4.1614654858929253E-4</c:v>
                </c:pt>
                <c:pt idx="330">
                  <c:v>4.2628073504280951E-4</c:v>
                </c:pt>
                <c:pt idx="331">
                  <c:v>4.2250361295282052E-4</c:v>
                </c:pt>
                <c:pt idx="332">
                  <c:v>4.2339761689878303E-4</c:v>
                </c:pt>
                <c:pt idx="333">
                  <c:v>4.2431404349286108E-4</c:v>
                </c:pt>
                <c:pt idx="334">
                  <c:v>4.2525289273466607E-4</c:v>
                </c:pt>
                <c:pt idx="335">
                  <c:v>4.2621416462363277E-4</c:v>
                </c:pt>
                <c:pt idx="336">
                  <c:v>4.2719785916057275E-4</c:v>
                </c:pt>
                <c:pt idx="337">
                  <c:v>4.2820397634478919E-4</c:v>
                </c:pt>
                <c:pt idx="338">
                  <c:v>4.2923251617718399E-4</c:v>
                </c:pt>
                <c:pt idx="339">
                  <c:v>4.3028347865715075E-4</c:v>
                </c:pt>
                <c:pt idx="340">
                  <c:v>4.2658817839118804E-4</c:v>
                </c:pt>
                <c:pt idx="341">
                  <c:v>4.2767049100308661E-4</c:v>
                </c:pt>
                <c:pt idx="342">
                  <c:v>4.2877498253878561E-4</c:v>
                </c:pt>
                <c:pt idx="343">
                  <c:v>4.2541571305535278E-4</c:v>
                </c:pt>
                <c:pt idx="344">
                  <c:v>4.3121643424348281E-4</c:v>
                </c:pt>
                <c:pt idx="345">
                  <c:v>4.3222153068393743E-4</c:v>
                </c:pt>
                <c:pt idx="346">
                  <c:v>4.3341473791203293E-4</c:v>
                </c:pt>
                <c:pt idx="347">
                  <c:v>4.3463012406346992E-4</c:v>
                </c:pt>
                <c:pt idx="348">
                  <c:v>4.3586736115340974E-4</c:v>
                </c:pt>
                <c:pt idx="349">
                  <c:v>4.3712409710553384E-4</c:v>
                </c:pt>
                <c:pt idx="350">
                  <c:v>4.3839720847299991E-4</c:v>
                </c:pt>
                <c:pt idx="351">
                  <c:v>4.3968357029007928E-4</c:v>
                </c:pt>
                <c:pt idx="352">
                  <c:v>4.4098005759074494E-4</c:v>
                </c:pt>
                <c:pt idx="353">
                  <c:v>4.4723883260420989E-4</c:v>
                </c:pt>
                <c:pt idx="354">
                  <c:v>4.4855998968824641E-4</c:v>
                </c:pt>
                <c:pt idx="355">
                  <c:v>4.4988169465831374E-4</c:v>
                </c:pt>
                <c:pt idx="356">
                  <c:v>4.5120082255027335E-4</c:v>
                </c:pt>
                <c:pt idx="357">
                  <c:v>4.4787505235253233E-4</c:v>
                </c:pt>
                <c:pt idx="358">
                  <c:v>4.4879661845919364E-4</c:v>
                </c:pt>
                <c:pt idx="359">
                  <c:v>4.5007648510083233E-4</c:v>
                </c:pt>
                <c:pt idx="360">
                  <c:v>4.5134147749888772E-4</c:v>
                </c:pt>
                <c:pt idx="361">
                  <c:v>4.5764875999959831E-4</c:v>
                </c:pt>
                <c:pt idx="362">
                  <c:v>4.5888980917869858E-4</c:v>
                </c:pt>
                <c:pt idx="363">
                  <c:v>4.6011221002522826E-4</c:v>
                </c:pt>
                <c:pt idx="364">
                  <c:v>4.6131596253988017E-4</c:v>
                </c:pt>
                <c:pt idx="365">
                  <c:v>4.6250106672274797E-4</c:v>
                </c:pt>
                <c:pt idx="366">
                  <c:v>4.636675225733261E-4</c:v>
                </c:pt>
                <c:pt idx="367">
                  <c:v>4.6481533009184138E-4</c:v>
                </c:pt>
                <c:pt idx="368">
                  <c:v>4.6594448927836526E-4</c:v>
                </c:pt>
                <c:pt idx="369">
                  <c:v>4.6705500013259198E-4</c:v>
                </c:pt>
                <c:pt idx="370">
                  <c:v>4.681468626545041E-4</c:v>
                </c:pt>
                <c:pt idx="371">
                  <c:v>4.6922007684481671E-4</c:v>
                </c:pt>
                <c:pt idx="372">
                  <c:v>4.7027464270275784E-4</c:v>
                </c:pt>
                <c:pt idx="373">
                  <c:v>4.7131056022850981E-4</c:v>
                </c:pt>
                <c:pt idx="374">
                  <c:v>4.7232782942232144E-4</c:v>
                </c:pt>
                <c:pt idx="375">
                  <c:v>4.7332645028428624E-4</c:v>
                </c:pt>
                <c:pt idx="376">
                  <c:v>4.7430642281389839E-4</c:v>
                </c:pt>
                <c:pt idx="377">
                  <c:v>4.7526774701116243E-4</c:v>
                </c:pt>
                <c:pt idx="378">
                  <c:v>4.7621042287637137E-4</c:v>
                </c:pt>
                <c:pt idx="379">
                  <c:v>4.7188640391379849E-4</c:v>
                </c:pt>
                <c:pt idx="380">
                  <c:v>4.7278325958213791E-4</c:v>
                </c:pt>
                <c:pt idx="381">
                  <c:v>4.7366166961719107E-4</c:v>
                </c:pt>
                <c:pt idx="382">
                  <c:v>4.7452163401940489E-4</c:v>
                </c:pt>
                <c:pt idx="383">
                  <c:v>4.8592611588543663E-4</c:v>
                </c:pt>
                <c:pt idx="384">
                  <c:v>4.8147486309506863E-4</c:v>
                </c:pt>
                <c:pt idx="385">
                  <c:v>4.8228700063614589E-4</c:v>
                </c:pt>
                <c:pt idx="386">
                  <c:v>4.8308048984458004E-4</c:v>
                </c:pt>
                <c:pt idx="387">
                  <c:v>4.8385533072126265E-4</c:v>
                </c:pt>
                <c:pt idx="388">
                  <c:v>4.8461152326559809E-4</c:v>
                </c:pt>
                <c:pt idx="389">
                  <c:v>4.8534906747794504E-4</c:v>
                </c:pt>
                <c:pt idx="390">
                  <c:v>4.8606796335828477E-4</c:v>
                </c:pt>
                <c:pt idx="391">
                  <c:v>4.8676821090644292E-4</c:v>
                </c:pt>
                <c:pt idx="392">
                  <c:v>4.8210676823868772E-4</c:v>
                </c:pt>
                <c:pt idx="393">
                  <c:v>4.8276383068025818E-4</c:v>
                </c:pt>
                <c:pt idx="394">
                  <c:v>4.8340244748842518E-4</c:v>
                </c:pt>
                <c:pt idx="395">
                  <c:v>4.8402261866412722E-4</c:v>
                </c:pt>
                <c:pt idx="396">
                  <c:v>4.6853267392578293E-4</c:v>
                </c:pt>
                <c:pt idx="397">
                  <c:v>4.8520762411723107E-4</c:v>
                </c:pt>
                <c:pt idx="398">
                  <c:v>4.8577245839451368E-4</c:v>
                </c:pt>
                <c:pt idx="399">
                  <c:v>4.9169885133663654E-4</c:v>
                </c:pt>
                <c:pt idx="400">
                  <c:v>4.8684671891392647E-4</c:v>
                </c:pt>
                <c:pt idx="401">
                  <c:v>4.873553040432697E-4</c:v>
                </c:pt>
                <c:pt idx="402">
                  <c:v>4.8784343579330488E-4</c:v>
                </c:pt>
                <c:pt idx="403">
                  <c:v>4.8830994297892826E-4</c:v>
                </c:pt>
                <c:pt idx="404">
                  <c:v>4.8875365441608976E-4</c:v>
                </c:pt>
                <c:pt idx="405">
                  <c:v>4.9457437952678469E-4</c:v>
                </c:pt>
                <c:pt idx="406">
                  <c:v>4.9497118758481647E-4</c:v>
                </c:pt>
                <c:pt idx="407">
                  <c:v>4.9534131632711321E-4</c:v>
                </c:pt>
                <c:pt idx="408">
                  <c:v>4.9568359456711485E-4</c:v>
                </c:pt>
                <c:pt idx="409">
                  <c:v>4.9058928387696538E-4</c:v>
                </c:pt>
                <c:pt idx="410">
                  <c:v>4.9087162592844442E-4</c:v>
                </c:pt>
                <c:pt idx="411">
                  <c:v>4.9112297393372737E-4</c:v>
                </c:pt>
                <c:pt idx="412">
                  <c:v>4.9139870856135107E-4</c:v>
                </c:pt>
                <c:pt idx="413">
                  <c:v>4.9152807420324368E-4</c:v>
                </c:pt>
                <c:pt idx="414">
                  <c:v>4.9708780048930061E-4</c:v>
                </c:pt>
                <c:pt idx="415">
                  <c:v>4.9720525202815694E-4</c:v>
                </c:pt>
                <c:pt idx="416">
                  <c:v>4.9728866251534209E-4</c:v>
                </c:pt>
                <c:pt idx="417">
                  <c:v>4.9733803195049688E-4</c:v>
                </c:pt>
                <c:pt idx="418">
                  <c:v>4.9735336033400251E-4</c:v>
                </c:pt>
                <c:pt idx="419">
                  <c:v>4.9733464766520499E-4</c:v>
                </c:pt>
                <c:pt idx="420">
                  <c:v>4.9728189394441255E-4</c:v>
                </c:pt>
                <c:pt idx="421">
                  <c:v>4.9719509917156438E-4</c:v>
                </c:pt>
                <c:pt idx="422">
                  <c:v>4.9707426334667391E-4</c:v>
                </c:pt>
                <c:pt idx="423">
                  <c:v>4.9691938647005156E-4</c:v>
                </c:pt>
                <c:pt idx="424">
                  <c:v>4.9673046854208178E-4</c:v>
                </c:pt>
                <c:pt idx="425">
                  <c:v>4.9650750956122642E-4</c:v>
                </c:pt>
                <c:pt idx="426">
                  <c:v>4.9625050952890719E-4</c:v>
                </c:pt>
                <c:pt idx="427">
                  <c:v>4.9595946844417898E-4</c:v>
                </c:pt>
                <c:pt idx="428">
                  <c:v>4.9563438630794657E-4</c:v>
                </c:pt>
                <c:pt idx="429">
                  <c:v>4.952752631196362E-4</c:v>
                </c:pt>
                <c:pt idx="430">
                  <c:v>4.9488209887897021E-4</c:v>
                </c:pt>
                <c:pt idx="431">
                  <c:v>4.8911692312455081E-4</c:v>
                </c:pt>
                <c:pt idx="432">
                  <c:v>4.8866309540142262E-4</c:v>
                </c:pt>
                <c:pt idx="433">
                  <c:v>4.8817559663811449E-4</c:v>
                </c:pt>
                <c:pt idx="434">
                  <c:v>4.8765442683443061E-4</c:v>
                </c:pt>
                <c:pt idx="435">
                  <c:v>4.9240566189802436E-4</c:v>
                </c:pt>
                <c:pt idx="436">
                  <c:v>4.9180825134579329E-4</c:v>
                </c:pt>
                <c:pt idx="437">
                  <c:v>4.9117679974157555E-4</c:v>
                </c:pt>
                <c:pt idx="438">
                  <c:v>4.9051130708546893E-4</c:v>
                </c:pt>
                <c:pt idx="439">
                  <c:v>4.8981177337786765E-4</c:v>
                </c:pt>
                <c:pt idx="440">
                  <c:v>4.8907819861790901E-4</c:v>
                </c:pt>
                <c:pt idx="441">
                  <c:v>4.8831058280569286E-4</c:v>
                </c:pt>
                <c:pt idx="442">
                  <c:v>4.8750892594205946E-4</c:v>
                </c:pt>
                <c:pt idx="443">
                  <c:v>4.8667322802614839E-4</c:v>
                </c:pt>
                <c:pt idx="444">
                  <c:v>4.8059082156797352E-4</c:v>
                </c:pt>
                <c:pt idx="445">
                  <c:v>4.7969927031813185E-4</c:v>
                </c:pt>
                <c:pt idx="446">
                  <c:v>4.787740480279325E-4</c:v>
                </c:pt>
                <c:pt idx="447">
                  <c:v>4.7781515469757461E-4</c:v>
                </c:pt>
                <c:pt idx="448">
                  <c:v>4.7667804675949468E-4</c:v>
                </c:pt>
                <c:pt idx="449">
                  <c:v>4.7564700119931207E-4</c:v>
                </c:pt>
                <c:pt idx="450">
                  <c:v>4.7458228459869805E-4</c:v>
                </c:pt>
                <c:pt idx="451">
                  <c:v>4.7348389695730007E-4</c:v>
                </c:pt>
                <c:pt idx="452">
                  <c:v>4.7235197722917153E-4</c:v>
                </c:pt>
                <c:pt idx="453">
                  <c:v>4.6609899156573823E-4</c:v>
                </c:pt>
                <c:pt idx="454">
                  <c:v>4.6492364542539077E-4</c:v>
                </c:pt>
                <c:pt idx="455">
                  <c:v>4.6372584971420786E-4</c:v>
                </c:pt>
                <c:pt idx="456">
                  <c:v>4.6251007268023728E-4</c:v>
                </c:pt>
                <c:pt idx="457">
                  <c:v>4.7134785461461502E-4</c:v>
                </c:pt>
                <c:pt idx="458">
                  <c:v>4.7008314002166499E-4</c:v>
                </c:pt>
                <c:pt idx="459">
                  <c:v>4.6881438546766252E-4</c:v>
                </c:pt>
                <c:pt idx="460">
                  <c:v>4.6754605919950196E-4</c:v>
                </c:pt>
                <c:pt idx="461">
                  <c:v>4.6130111794843081E-4</c:v>
                </c:pt>
                <c:pt idx="462">
                  <c:v>4.6005915041941056E-4</c:v>
                </c:pt>
                <c:pt idx="463">
                  <c:v>4.5848289215161606E-4</c:v>
                </c:pt>
                <c:pt idx="464">
                  <c:v>4.5727849528362307E-4</c:v>
                </c:pt>
                <c:pt idx="465">
                  <c:v>4.6102896183525651E-4</c:v>
                </c:pt>
                <c:pt idx="466">
                  <c:v>4.5986134033448753E-4</c:v>
                </c:pt>
                <c:pt idx="467">
                  <c:v>4.587184033207564E-4</c:v>
                </c:pt>
                <c:pt idx="468">
                  <c:v>4.5760015079414292E-4</c:v>
                </c:pt>
                <c:pt idx="469">
                  <c:v>4.5650658275467424E-4</c:v>
                </c:pt>
                <c:pt idx="470">
                  <c:v>4.5543769920254693E-4</c:v>
                </c:pt>
                <c:pt idx="471">
                  <c:v>4.5439350013768288E-4</c:v>
                </c:pt>
                <c:pt idx="472">
                  <c:v>4.5337398555995155E-4</c:v>
                </c:pt>
                <c:pt idx="473">
                  <c:v>4.5237915547005739E-4</c:v>
                </c:pt>
                <c:pt idx="474">
                  <c:v>4.5140900986709884E-4</c:v>
                </c:pt>
                <c:pt idx="475">
                  <c:v>4.5046354875078761E-4</c:v>
                </c:pt>
                <c:pt idx="476">
                  <c:v>4.4954277212211444E-4</c:v>
                </c:pt>
                <c:pt idx="477">
                  <c:v>4.4864667998046394E-4</c:v>
                </c:pt>
                <c:pt idx="478">
                  <c:v>4.4777527232649987E-4</c:v>
                </c:pt>
                <c:pt idx="479">
                  <c:v>4.4692854915927982E-4</c:v>
                </c:pt>
                <c:pt idx="480">
                  <c:v>4.4610651047958448E-4</c:v>
                </c:pt>
                <c:pt idx="481">
                  <c:v>4.4530915628703227E-4</c:v>
                </c:pt>
                <c:pt idx="482">
                  <c:v>4.4453648658163294E-4</c:v>
                </c:pt>
                <c:pt idx="483">
                  <c:v>4.3901295091064473E-4</c:v>
                </c:pt>
                <c:pt idx="484">
                  <c:v>4.3829576813154801E-4</c:v>
                </c:pt>
                <c:pt idx="485">
                  <c:v>4.3760300153025054E-4</c:v>
                </c:pt>
                <c:pt idx="486">
                  <c:v>4.3693465110644875E-4</c:v>
                </c:pt>
                <c:pt idx="487">
                  <c:v>4.5529707017492692E-4</c:v>
                </c:pt>
                <c:pt idx="488">
                  <c:v>4.4041884258181691E-4</c:v>
                </c:pt>
                <c:pt idx="489">
                  <c:v>4.3981896428723624E-4</c:v>
                </c:pt>
                <c:pt idx="490">
                  <c:v>4.392437704797731E-4</c:v>
                </c:pt>
                <c:pt idx="491">
                  <c:v>4.3869326115940902E-4</c:v>
                </c:pt>
                <c:pt idx="492">
                  <c:v>4.381674363265168E-4</c:v>
                </c:pt>
                <c:pt idx="493">
                  <c:v>4.3766629598075105E-4</c:v>
                </c:pt>
                <c:pt idx="494">
                  <c:v>4.3718984012237997E-4</c:v>
                </c:pt>
                <c:pt idx="495">
                  <c:v>4.367380687511751E-4</c:v>
                </c:pt>
                <c:pt idx="496">
                  <c:v>4.2687669379620541E-4</c:v>
                </c:pt>
                <c:pt idx="497">
                  <c:v>4.264795895825417E-4</c:v>
                </c:pt>
                <c:pt idx="498">
                  <c:v>4.2610663323633212E-4</c:v>
                </c:pt>
                <c:pt idx="499">
                  <c:v>4.2575782475818289E-4</c:v>
                </c:pt>
                <c:pt idx="500">
                  <c:v>4.2543316414806072E-4</c:v>
                </c:pt>
                <c:pt idx="501">
                  <c:v>4.2513265140595857E-4</c:v>
                </c:pt>
                <c:pt idx="502">
                  <c:v>4.2485628653167354E-4</c:v>
                </c:pt>
                <c:pt idx="503">
                  <c:v>4.2460406952525104E-4</c:v>
                </c:pt>
                <c:pt idx="504">
                  <c:v>4.2437599478961765E-4</c:v>
                </c:pt>
                <c:pt idx="505">
                  <c:v>4.1946867511178136E-4</c:v>
                </c:pt>
                <c:pt idx="506">
                  <c:v>4.1928719045177735E-4</c:v>
                </c:pt>
                <c:pt idx="507">
                  <c:v>4.1912649995699505E-4</c:v>
                </c:pt>
                <c:pt idx="508">
                  <c:v>4.1898516377733992E-4</c:v>
                </c:pt>
                <c:pt idx="509">
                  <c:v>4.3296363902607025E-4</c:v>
                </c:pt>
                <c:pt idx="510">
                  <c:v>4.3285553691482234E-4</c:v>
                </c:pt>
                <c:pt idx="511">
                  <c:v>4.3276265741868248E-4</c:v>
                </c:pt>
                <c:pt idx="512">
                  <c:v>4.3268356068662674E-4</c:v>
                </c:pt>
                <c:pt idx="513">
                  <c:v>4.2791736234064332E-4</c:v>
                </c:pt>
                <c:pt idx="514">
                  <c:v>4.2786163717854986E-4</c:v>
                </c:pt>
                <c:pt idx="515">
                  <c:v>4.2781531261367243E-4</c:v>
                </c:pt>
                <c:pt idx="516">
                  <c:v>4.2777694879586245E-4</c:v>
                </c:pt>
                <c:pt idx="517">
                  <c:v>4.2774512476555752E-4</c:v>
                </c:pt>
                <c:pt idx="518">
                  <c:v>4.3241848637682689E-4</c:v>
                </c:pt>
                <c:pt idx="519">
                  <c:v>4.3239829086670151E-4</c:v>
                </c:pt>
                <c:pt idx="520">
                  <c:v>4.3238385609824042E-4</c:v>
                </c:pt>
                <c:pt idx="521">
                  <c:v>4.3237518207213702E-4</c:v>
                </c:pt>
                <c:pt idx="522">
                  <c:v>4.3237226878831928E-4</c:v>
                </c:pt>
                <c:pt idx="523">
                  <c:v>4.3237511624661556E-4</c:v>
                </c:pt>
                <c:pt idx="524">
                  <c:v>4.3238372444742056E-4</c:v>
                </c:pt>
                <c:pt idx="525">
                  <c:v>4.3239809339014166E-4</c:v>
                </c:pt>
                <c:pt idx="526">
                  <c:v>4.3241822307497441E-4</c:v>
                </c:pt>
                <c:pt idx="527">
                  <c:v>4.3244411350223673E-4</c:v>
                </c:pt>
                <c:pt idx="528">
                  <c:v>4.3247576467170311E-4</c:v>
                </c:pt>
                <c:pt idx="529">
                  <c:v>4.3251317658304857E-4</c:v>
                </c:pt>
                <c:pt idx="530">
                  <c:v>4.3255634923695821E-4</c:v>
                </c:pt>
                <c:pt idx="531">
                  <c:v>4.3260528263290782E-4</c:v>
                </c:pt>
                <c:pt idx="532">
                  <c:v>4.3265997677116152E-4</c:v>
                </c:pt>
                <c:pt idx="533">
                  <c:v>4.327204316514399E-4</c:v>
                </c:pt>
                <c:pt idx="534">
                  <c:v>4.3278664727402984E-4</c:v>
                </c:pt>
                <c:pt idx="535">
                  <c:v>4.2814747764608721E-4</c:v>
                </c:pt>
                <c:pt idx="536">
                  <c:v>4.2822396277548389E-4</c:v>
                </c:pt>
                <c:pt idx="537">
                  <c:v>4.2830614603043795E-4</c:v>
                </c:pt>
                <c:pt idx="538">
                  <c:v>4.2839402741087616E-4</c:v>
                </c:pt>
                <c:pt idx="539">
                  <c:v>4.3320413652006448E-4</c:v>
                </c:pt>
                <c:pt idx="540">
                  <c:v>4.3330491659586369E-4</c:v>
                </c:pt>
                <c:pt idx="541">
                  <c:v>4.3341145741363895E-4</c:v>
                </c:pt>
                <c:pt idx="542">
                  <c:v>4.3352375897376855E-4</c:v>
                </c:pt>
                <c:pt idx="543">
                  <c:v>4.3364182127630918E-4</c:v>
                </c:pt>
                <c:pt idx="544">
                  <c:v>4.3376564432077405E-4</c:v>
                </c:pt>
                <c:pt idx="545">
                  <c:v>4.3389522810768672E-4</c:v>
                </c:pt>
                <c:pt idx="546">
                  <c:v>4.3403057263680512E-4</c:v>
                </c:pt>
                <c:pt idx="547">
                  <c:v>4.3417167790778781E-4</c:v>
                </c:pt>
                <c:pt idx="548">
                  <c:v>4.2485422233584283E-4</c:v>
                </c:pt>
                <c:pt idx="549">
                  <c:v>4.250027260460416E-4</c:v>
                </c:pt>
                <c:pt idx="550">
                  <c:v>4.2515686526494508E-4</c:v>
                </c:pt>
                <c:pt idx="551">
                  <c:v>4.2531663999172294E-4</c:v>
                </c:pt>
                <c:pt idx="552">
                  <c:v>4.2548205022789094E-4</c:v>
                </c:pt>
                <c:pt idx="553">
                  <c:v>4.256530959724282E-4</c:v>
                </c:pt>
                <c:pt idx="554">
                  <c:v>4.2582977722555027E-4</c:v>
                </c:pt>
                <c:pt idx="555">
                  <c:v>4.2601209398782119E-4</c:v>
                </c:pt>
                <c:pt idx="556">
                  <c:v>4.262000384068973E-4</c:v>
                </c:pt>
                <c:pt idx="557">
                  <c:v>4.2164071737030572E-4</c:v>
                </c:pt>
                <c:pt idx="558">
                  <c:v>4.2183451915101872E-4</c:v>
                </c:pt>
                <c:pt idx="559">
                  <c:v>4.2202956569078922E-4</c:v>
                </c:pt>
                <c:pt idx="560">
                  <c:v>4.2222383719400526E-4</c:v>
                </c:pt>
                <c:pt idx="561">
                  <c:v>4.3669381183021263E-4</c:v>
                </c:pt>
                <c:pt idx="562">
                  <c:v>4.3688401698016842E-4</c:v>
                </c:pt>
                <c:pt idx="563">
                  <c:v>4.3706670993107688E-4</c:v>
                </c:pt>
                <c:pt idx="564">
                  <c:v>4.3723987088765509E-4</c:v>
                </c:pt>
                <c:pt idx="565">
                  <c:v>4.3263855715656855E-4</c:v>
                </c:pt>
                <c:pt idx="566">
                  <c:v>4.3278634968033894E-4</c:v>
                </c:pt>
                <c:pt idx="567">
                  <c:v>4.3291877674865088E-4</c:v>
                </c:pt>
                <c:pt idx="568">
                  <c:v>4.3303381856681544E-4</c:v>
                </c:pt>
                <c:pt idx="569">
                  <c:v>4.3312948183754846E-4</c:v>
                </c:pt>
                <c:pt idx="570">
                  <c:v>4.3796653764160368E-4</c:v>
                </c:pt>
                <c:pt idx="571">
                  <c:v>4.3802026072635881E-4</c:v>
                </c:pt>
                <c:pt idx="572">
                  <c:v>4.3805319867132976E-4</c:v>
                </c:pt>
                <c:pt idx="573">
                  <c:v>4.3806535147612887E-4</c:v>
                </c:pt>
                <c:pt idx="574">
                  <c:v>4.3805671914084814E-4</c:v>
                </c:pt>
                <c:pt idx="575">
                  <c:v>4.380273016653932E-4</c:v>
                </c:pt>
                <c:pt idx="576">
                  <c:v>4.3797709904992726E-4</c:v>
                </c:pt>
                <c:pt idx="577">
                  <c:v>4.3790611129464907E-4</c:v>
                </c:pt>
                <c:pt idx="578">
                  <c:v>4.3781433839912726E-4</c:v>
                </c:pt>
                <c:pt idx="579">
                  <c:v>4.3770178036363182E-4</c:v>
                </c:pt>
                <c:pt idx="580">
                  <c:v>4.375684371880246E-4</c:v>
                </c:pt>
                <c:pt idx="581">
                  <c:v>4.3741430887220289E-4</c:v>
                </c:pt>
                <c:pt idx="582">
                  <c:v>4.3723939541676559E-4</c:v>
                </c:pt>
                <c:pt idx="583">
                  <c:v>4.3704369682101552E-4</c:v>
                </c:pt>
                <c:pt idx="584">
                  <c:v>4.3682721308540076E-4</c:v>
                </c:pt>
                <c:pt idx="585">
                  <c:v>4.3658994420973934E-4</c:v>
                </c:pt>
                <c:pt idx="586">
                  <c:v>4.363318901936628E-4</c:v>
                </c:pt>
                <c:pt idx="587">
                  <c:v>4.3133692563021944E-4</c:v>
                </c:pt>
                <c:pt idx="588">
                  <c:v>4.3104202663527241E-4</c:v>
                </c:pt>
                <c:pt idx="589">
                  <c:v>4.3072656842597034E-4</c:v>
                </c:pt>
                <c:pt idx="590">
                  <c:v>4.3039055100194411E-4</c:v>
                </c:pt>
                <c:pt idx="591">
                  <c:v>4.3003397436333228E-4</c:v>
                </c:pt>
                <c:pt idx="592">
                  <c:v>4.3434707815809162E-4</c:v>
                </c:pt>
                <c:pt idx="593">
                  <c:v>4.3394352816177501E-4</c:v>
                </c:pt>
                <c:pt idx="594">
                  <c:v>4.3351919302559843E-4</c:v>
                </c:pt>
                <c:pt idx="595">
                  <c:v>4.3307407274907026E-4</c:v>
                </c:pt>
                <c:pt idx="596">
                  <c:v>4.3260816733306631E-4</c:v>
                </c:pt>
                <c:pt idx="597">
                  <c:v>4.3212147677650049E-4</c:v>
                </c:pt>
                <c:pt idx="598">
                  <c:v>4.3161400107987591E-4</c:v>
                </c:pt>
                <c:pt idx="599">
                  <c:v>4.3108574024373149E-4</c:v>
                </c:pt>
                <c:pt idx="600">
                  <c:v>4.2126146947389311E-4</c:v>
                </c:pt>
                <c:pt idx="601">
                  <c:v>4.2070693074559428E-4</c:v>
                </c:pt>
                <c:pt idx="602">
                  <c:v>4.2013205872852376E-4</c:v>
                </c:pt>
                <c:pt idx="603">
                  <c:v>4.195368534222391E-4</c:v>
                </c:pt>
                <c:pt idx="604">
                  <c:v>4.18921314826833E-4</c:v>
                </c:pt>
                <c:pt idx="605">
                  <c:v>4.1828544294226784E-4</c:v>
                </c:pt>
                <c:pt idx="606">
                  <c:v>4.1762923776815335E-4</c:v>
                </c:pt>
                <c:pt idx="607">
                  <c:v>4.1695269930507858E-4</c:v>
                </c:pt>
                <c:pt idx="608">
                  <c:v>4.162558411212179E-4</c:v>
                </c:pt>
                <c:pt idx="609">
                  <c:v>4.1097678218473209E-4</c:v>
                </c:pt>
                <c:pt idx="610">
                  <c:v>4.1025373072759932E-4</c:v>
                </c:pt>
                <c:pt idx="611">
                  <c:v>4.0951805144284634E-4</c:v>
                </c:pt>
                <c:pt idx="612">
                  <c:v>4.0877323478071329E-4</c:v>
                </c:pt>
                <c:pt idx="613">
                  <c:v>4.2160825622456199E-4</c:v>
                </c:pt>
                <c:pt idx="614">
                  <c:v>4.2083269663977158E-4</c:v>
                </c:pt>
                <c:pt idx="615">
                  <c:v>4.200592891596594E-4</c:v>
                </c:pt>
                <c:pt idx="616">
                  <c:v>4.1929152423438861E-4</c:v>
                </c:pt>
                <c:pt idx="617">
                  <c:v>4.185328923145636E-4</c:v>
                </c:pt>
                <c:pt idx="618">
                  <c:v>4.1329481038603072E-4</c:v>
                </c:pt>
                <c:pt idx="619">
                  <c:v>4.1257115982430611E-4</c:v>
                </c:pt>
                <c:pt idx="620">
                  <c:v>4.1186684090845104E-4</c:v>
                </c:pt>
                <c:pt idx="621">
                  <c:v>4.1118529829566649E-4</c:v>
                </c:pt>
                <c:pt idx="622">
                  <c:v>4.1499719751680961E-4</c:v>
                </c:pt>
                <c:pt idx="623">
                  <c:v>4.1436002648093372E-4</c:v>
                </c:pt>
                <c:pt idx="624">
                  <c:v>4.1374794479481504E-4</c:v>
                </c:pt>
                <c:pt idx="625">
                  <c:v>4.1316095245791384E-4</c:v>
                </c:pt>
                <c:pt idx="626">
                  <c:v>4.125990494709094E-4</c:v>
                </c:pt>
                <c:pt idx="627">
                  <c:v>4.1206223583325834E-4</c:v>
                </c:pt>
                <c:pt idx="628">
                  <c:v>4.1155051154519211E-4</c:v>
                </c:pt>
                <c:pt idx="629">
                  <c:v>4.1106387660705152E-4</c:v>
                </c:pt>
                <c:pt idx="630">
                  <c:v>4.1060233101817656E-4</c:v>
                </c:pt>
                <c:pt idx="631">
                  <c:v>4.1016587477868215E-4</c:v>
                </c:pt>
                <c:pt idx="632">
                  <c:v>4.097545078890145E-4</c:v>
                </c:pt>
                <c:pt idx="633">
                  <c:v>4.0936823034884087E-4</c:v>
                </c:pt>
                <c:pt idx="634">
                  <c:v>4.0900704215860378E-4</c:v>
                </c:pt>
                <c:pt idx="635">
                  <c:v>4.0867094331730104E-4</c:v>
                </c:pt>
                <c:pt idx="636">
                  <c:v>4.0835993382581519E-4</c:v>
                </c:pt>
                <c:pt idx="637">
                  <c:v>4.0807401368402833E-4</c:v>
                </c:pt>
                <c:pt idx="638">
                  <c:v>4.0781318289170957E-4</c:v>
                </c:pt>
                <c:pt idx="639">
                  <c:v>4.0315922273958193E-4</c:v>
                </c:pt>
                <c:pt idx="640">
                  <c:v>4.0294908772592786E-4</c:v>
                </c:pt>
                <c:pt idx="641">
                  <c:v>4.0276376935164022E-4</c:v>
                </c:pt>
                <c:pt idx="642">
                  <c:v>4.0260326761675468E-4</c:v>
                </c:pt>
                <c:pt idx="643">
                  <c:v>4.0246758252056916E-4</c:v>
                </c:pt>
                <c:pt idx="644">
                  <c:v>4.0677507447856482E-4</c:v>
                </c:pt>
                <c:pt idx="645">
                  <c:v>4.0668986913323132E-4</c:v>
                </c:pt>
                <c:pt idx="646">
                  <c:v>4.0662975313767331E-4</c:v>
                </c:pt>
                <c:pt idx="647">
                  <c:v>4.0659472649131061E-4</c:v>
                </c:pt>
                <c:pt idx="648">
                  <c:v>4.0658478919456016E-4</c:v>
                </c:pt>
                <c:pt idx="649">
                  <c:v>4.0659994124750398E-4</c:v>
                </c:pt>
                <c:pt idx="650">
                  <c:v>4.0664018265033339E-4</c:v>
                </c:pt>
                <c:pt idx="651">
                  <c:v>4.0670551340223901E-4</c:v>
                </c:pt>
                <c:pt idx="652">
                  <c:v>4.0236316542405242E-4</c:v>
                </c:pt>
                <c:pt idx="653">
                  <c:v>4.0247564672057088E-4</c:v>
                </c:pt>
                <c:pt idx="654">
                  <c:v>4.0261294465641256E-4</c:v>
                </c:pt>
                <c:pt idx="655">
                  <c:v>4.0277505923134354E-4</c:v>
                </c:pt>
                <c:pt idx="656">
                  <c:v>3.9854420379287128E-4</c:v>
                </c:pt>
                <c:pt idx="657">
                  <c:v>4.0320601384120789E-4</c:v>
                </c:pt>
                <c:pt idx="658">
                  <c:v>4.0344612356800534E-4</c:v>
                </c:pt>
                <c:pt idx="659">
                  <c:v>4.037110499342314E-4</c:v>
                </c:pt>
                <c:pt idx="660">
                  <c:v>4.0400077770071368E-4</c:v>
                </c:pt>
                <c:pt idx="661">
                  <c:v>3.9984453825651402E-4</c:v>
                </c:pt>
                <c:pt idx="662">
                  <c:v>4.0017297839549669E-4</c:v>
                </c:pt>
                <c:pt idx="663">
                  <c:v>4.0051756205622808E-4</c:v>
                </c:pt>
                <c:pt idx="664">
                  <c:v>4.0087436904935446E-4</c:v>
                </c:pt>
                <c:pt idx="665">
                  <c:v>4.1918561978923489E-4</c:v>
                </c:pt>
                <c:pt idx="666">
                  <c:v>4.195683595405745E-4</c:v>
                </c:pt>
                <c:pt idx="667">
                  <c:v>4.1995041278698226E-4</c:v>
                </c:pt>
                <c:pt idx="668">
                  <c:v>4.2032785933895461E-4</c:v>
                </c:pt>
                <c:pt idx="669">
                  <c:v>4.0740380504238608E-4</c:v>
                </c:pt>
                <c:pt idx="670">
                  <c:v>4.0755215514295316E-4</c:v>
                </c:pt>
                <c:pt idx="671">
                  <c:v>4.0788669679370909E-4</c:v>
                </c:pt>
                <c:pt idx="672">
                  <c:v>4.0820181294088357E-4</c:v>
                </c:pt>
                <c:pt idx="673">
                  <c:v>4.0849359863325761E-4</c:v>
                </c:pt>
                <c:pt idx="674">
                  <c:v>4.1337171308490552E-4</c:v>
                </c:pt>
                <c:pt idx="675">
                  <c:v>4.1360086307122562E-4</c:v>
                </c:pt>
                <c:pt idx="676">
                  <c:v>4.1380357991168402E-4</c:v>
                </c:pt>
                <c:pt idx="677">
                  <c:v>4.1397986360593148E-4</c:v>
                </c:pt>
                <c:pt idx="678">
                  <c:v>4.1412971415396427E-4</c:v>
                </c:pt>
                <c:pt idx="679">
                  <c:v>4.1425313155590187E-4</c:v>
                </c:pt>
                <c:pt idx="680">
                  <c:v>4.1435011581132143E-4</c:v>
                </c:pt>
                <c:pt idx="681">
                  <c:v>4.1442066692125518E-4</c:v>
                </c:pt>
                <c:pt idx="682">
                  <c:v>4.1446478488463918E-4</c:v>
                </c:pt>
                <c:pt idx="683">
                  <c:v>4.1448246970208656E-4</c:v>
                </c:pt>
                <c:pt idx="684">
                  <c:v>4.1447372137344606E-4</c:v>
                </c:pt>
                <c:pt idx="685">
                  <c:v>4.1443853989891176E-4</c:v>
                </c:pt>
                <c:pt idx="686">
                  <c:v>4.1437692527791331E-4</c:v>
                </c:pt>
                <c:pt idx="687">
                  <c:v>4.142888775108916E-4</c:v>
                </c:pt>
                <c:pt idx="688">
                  <c:v>4.14174396597745E-4</c:v>
                </c:pt>
                <c:pt idx="689">
                  <c:v>4.1403348253827329E-4</c:v>
                </c:pt>
                <c:pt idx="690">
                  <c:v>4.1386613533306565E-4</c:v>
                </c:pt>
                <c:pt idx="691">
                  <c:v>4.0919454303560697E-4</c:v>
                </c:pt>
                <c:pt idx="692">
                  <c:v>4.0897859072218677E-4</c:v>
                </c:pt>
                <c:pt idx="693">
                  <c:v>4.0873649257929364E-4</c:v>
                </c:pt>
                <c:pt idx="694">
                  <c:v>4.0846824860702607E-4</c:v>
                </c:pt>
                <c:pt idx="695">
                  <c:v>4.1263290211406559E-4</c:v>
                </c:pt>
                <c:pt idx="696">
                  <c:v>4.1230695603152812E-4</c:v>
                </c:pt>
                <c:pt idx="697">
                  <c:v>4.1195457680328712E-4</c:v>
                </c:pt>
                <c:pt idx="698">
                  <c:v>4.1157576442892133E-4</c:v>
                </c:pt>
                <c:pt idx="699">
                  <c:v>4.1117051890835496E-4</c:v>
                </c:pt>
                <c:pt idx="700">
                  <c:v>4.1073884024185749E-4</c:v>
                </c:pt>
                <c:pt idx="701">
                  <c:v>4.1028072842893404E-4</c:v>
                </c:pt>
                <c:pt idx="702">
                  <c:v>4.0979618346987897E-4</c:v>
                </c:pt>
                <c:pt idx="703">
                  <c:v>4.0928520536488819E-4</c:v>
                </c:pt>
                <c:pt idx="704">
                  <c:v>4.0434778827368016E-4</c:v>
                </c:pt>
                <c:pt idx="705">
                  <c:v>4.0379194017889689E-4</c:v>
                </c:pt>
                <c:pt idx="706">
                  <c:v>4.0320994625510012E-4</c:v>
                </c:pt>
                <c:pt idx="707">
                  <c:v>4.0260180650191873E-4</c:v>
                </c:pt>
                <c:pt idx="708">
                  <c:v>3.9750847761112462E-4</c:v>
                </c:pt>
                <c:pt idx="709">
                  <c:v>3.9685345665066668E-4</c:v>
                </c:pt>
                <c:pt idx="710">
                  <c:v>3.9617257717786087E-4</c:v>
                </c:pt>
                <c:pt idx="711">
                  <c:v>3.9980383726078968E-4</c:v>
                </c:pt>
                <c:pt idx="712">
                  <c:v>3.9473340138735665E-4</c:v>
                </c:pt>
                <c:pt idx="713">
                  <c:v>3.9397808800340921E-4</c:v>
                </c:pt>
                <c:pt idx="714">
                  <c:v>3.9320493506619865E-4</c:v>
                </c:pt>
                <c:pt idx="715">
                  <c:v>3.9241904554941095E-4</c:v>
                </c:pt>
                <c:pt idx="716">
                  <c:v>3.91625522426594E-4</c:v>
                </c:pt>
                <c:pt idx="717">
                  <c:v>3.9939890565312191E-4</c:v>
                </c:pt>
                <c:pt idx="718">
                  <c:v>3.9859098073456375E-4</c:v>
                </c:pt>
                <c:pt idx="719">
                  <c:v>3.9779161449142605E-4</c:v>
                </c:pt>
                <c:pt idx="720">
                  <c:v>3.9700590989682642E-4</c:v>
                </c:pt>
                <c:pt idx="721">
                  <c:v>3.9198089378728116E-4</c:v>
                </c:pt>
                <c:pt idx="722">
                  <c:v>3.9124324489765266E-4</c:v>
                </c:pt>
                <c:pt idx="723">
                  <c:v>3.9053412489897831E-4</c:v>
                </c:pt>
                <c:pt idx="724">
                  <c:v>3.8967253155544113E-4</c:v>
                </c:pt>
                <c:pt idx="725">
                  <c:v>4.0167151666827553E-4</c:v>
                </c:pt>
                <c:pt idx="726">
                  <c:v>3.9092430069491874E-4</c:v>
                </c:pt>
                <c:pt idx="727">
                  <c:v>3.8948248913066769E-4</c:v>
                </c:pt>
                <c:pt idx="728">
                  <c:v>3.972414979177867E-4</c:v>
                </c:pt>
                <c:pt idx="729">
                  <c:v>3.8464267438004989E-4</c:v>
                </c:pt>
                <c:pt idx="730">
                  <c:v>3.9828483093863181E-4</c:v>
                </c:pt>
                <c:pt idx="731">
                  <c:v>3.9157700239314302E-4</c:v>
                </c:pt>
                <c:pt idx="732">
                  <c:v>3.8534702551740803E-4</c:v>
                </c:pt>
                <c:pt idx="733">
                  <c:v>3.8878833666913972E-4</c:v>
                </c:pt>
                <c:pt idx="734">
                  <c:v>3.9754680915310816E-4</c:v>
                </c:pt>
                <c:pt idx="735">
                  <c:v>4.0622415402362882E-4</c:v>
                </c:pt>
                <c:pt idx="736">
                  <c:v>4.0642062471858611E-4</c:v>
                </c:pt>
                <c:pt idx="737">
                  <c:v>4.1540402430079035E-4</c:v>
                </c:pt>
                <c:pt idx="738">
                  <c:v>4.1894048500341414E-4</c:v>
                </c:pt>
                <c:pt idx="739">
                  <c:v>4.3110422146436526E-4</c:v>
                </c:pt>
                <c:pt idx="740">
                  <c:v>4.2434586053926611E-4</c:v>
                </c:pt>
                <c:pt idx="741">
                  <c:v>4.2143771766365814E-4</c:v>
                </c:pt>
                <c:pt idx="742">
                  <c:v>4.2701284699543738E-4</c:v>
                </c:pt>
                <c:pt idx="743">
                  <c:v>4.2731696806866664E-4</c:v>
                </c:pt>
                <c:pt idx="744">
                  <c:v>4.1769237734707318E-4</c:v>
                </c:pt>
                <c:pt idx="745">
                  <c:v>4.2121047658439883E-4</c:v>
                </c:pt>
                <c:pt idx="746">
                  <c:v>4.1042344486762785E-4</c:v>
                </c:pt>
                <c:pt idx="747">
                  <c:v>4.221794863316321E-4</c:v>
                </c:pt>
                <c:pt idx="748">
                  <c:v>4.1504852378700417E-4</c:v>
                </c:pt>
                <c:pt idx="749">
                  <c:v>4.1712299743805101E-4</c:v>
                </c:pt>
                <c:pt idx="750">
                  <c:v>4.1443170099504997E-4</c:v>
                </c:pt>
                <c:pt idx="751">
                  <c:v>4.1198459760591907E-4</c:v>
                </c:pt>
                <c:pt idx="752">
                  <c:v>4.0929226659306095E-4</c:v>
                </c:pt>
                <c:pt idx="753">
                  <c:v>4.024623675026709E-4</c:v>
                </c:pt>
                <c:pt idx="754">
                  <c:v>4.1310353603075749E-4</c:v>
                </c:pt>
                <c:pt idx="755">
                  <c:v>4.0170187267772692E-4</c:v>
                </c:pt>
                <c:pt idx="756">
                  <c:v>3.9495312746478533E-4</c:v>
                </c:pt>
                <c:pt idx="757">
                  <c:v>3.9228753509440678E-4</c:v>
                </c:pt>
                <c:pt idx="758">
                  <c:v>3.8962140669689349E-4</c:v>
                </c:pt>
                <c:pt idx="759">
                  <c:v>3.9149295012861382E-4</c:v>
                </c:pt>
                <c:pt idx="760">
                  <c:v>3.8493418509145445E-4</c:v>
                </c:pt>
                <c:pt idx="761">
                  <c:v>3.9499402596520754E-4</c:v>
                </c:pt>
                <c:pt idx="762">
                  <c:v>3.8397421580340464E-4</c:v>
                </c:pt>
                <c:pt idx="763">
                  <c:v>3.8973194176908349E-4</c:v>
                </c:pt>
                <c:pt idx="764">
                  <c:v>3.7882308762662495E-4</c:v>
                </c:pt>
                <c:pt idx="765">
                  <c:v>3.7612408938569435E-4</c:v>
                </c:pt>
                <c:pt idx="766">
                  <c:v>3.7366998436177203E-4</c:v>
                </c:pt>
                <c:pt idx="767">
                  <c:v>3.669781421399005E-4</c:v>
                </c:pt>
                <c:pt idx="768">
                  <c:v>3.6050371978349331E-4</c:v>
                </c:pt>
                <c:pt idx="769">
                  <c:v>3.5786137125899534E-4</c:v>
                </c:pt>
                <c:pt idx="770">
                  <c:v>3.634397259857945E-4</c:v>
                </c:pt>
                <c:pt idx="771">
                  <c:v>3.5710007808806608E-4</c:v>
                </c:pt>
                <c:pt idx="772">
                  <c:v>3.5836263307852182E-4</c:v>
                </c:pt>
                <c:pt idx="773">
                  <c:v>3.5590528849255266E-4</c:v>
                </c:pt>
                <c:pt idx="774">
                  <c:v>3.6104741407314646E-4</c:v>
                </c:pt>
                <c:pt idx="775">
                  <c:v>3.5074340705872455E-4</c:v>
                </c:pt>
                <c:pt idx="776">
                  <c:v>3.4429628756544169E-4</c:v>
                </c:pt>
                <c:pt idx="777">
                  <c:v>3.4557955053721937E-4</c:v>
                </c:pt>
                <c:pt idx="778">
                  <c:v>3.428738850680186E-4</c:v>
                </c:pt>
                <c:pt idx="779">
                  <c:v>3.3309365794101565E-4</c:v>
                </c:pt>
                <c:pt idx="780">
                  <c:v>3.3407686301387222E-4</c:v>
                </c:pt>
                <c:pt idx="781">
                  <c:v>3.2443335445751846E-4</c:v>
                </c:pt>
                <c:pt idx="782">
                  <c:v>3.329541303877601E-4</c:v>
                </c:pt>
                <c:pt idx="783">
                  <c:v>3.2671625196233658E-4</c:v>
                </c:pt>
                <c:pt idx="784">
                  <c:v>3.2784267466449095E-4</c:v>
                </c:pt>
                <c:pt idx="785">
                  <c:v>3.2520225872448516E-4</c:v>
                </c:pt>
                <c:pt idx="786">
                  <c:v>3.2282500980465551E-4</c:v>
                </c:pt>
                <c:pt idx="787">
                  <c:v>3.2023547812076947E-4</c:v>
                </c:pt>
                <c:pt idx="788">
                  <c:v>3.1448706847614523E-4</c:v>
                </c:pt>
                <c:pt idx="789">
                  <c:v>3.2237843385466217E-4</c:v>
                </c:pt>
                <c:pt idx="790">
                  <c:v>3.1308110809908447E-4</c:v>
                </c:pt>
                <c:pt idx="791">
                  <c:v>3.0413455552128079E-4</c:v>
                </c:pt>
                <c:pt idx="792">
                  <c:v>3.0172378787650161E-4</c:v>
                </c:pt>
                <c:pt idx="793">
                  <c:v>3.0262893655116268E-4</c:v>
                </c:pt>
                <c:pt idx="794">
                  <c:v>3.0387123945361134E-4</c:v>
                </c:pt>
                <c:pt idx="795">
                  <c:v>2.9845567790100843E-4</c:v>
                </c:pt>
                <c:pt idx="796">
                  <c:v>3.0598947414972789E-4</c:v>
                </c:pt>
                <c:pt idx="797">
                  <c:v>2.972108065078547E-4</c:v>
                </c:pt>
                <c:pt idx="798">
                  <c:v>3.0145195456000623E-4</c:v>
                </c:pt>
                <c:pt idx="799">
                  <c:v>2.9281917219747513E-4</c:v>
                </c:pt>
                <c:pt idx="800">
                  <c:v>2.8743283998610602E-4</c:v>
                </c:pt>
                <c:pt idx="801">
                  <c:v>2.8852468055855717E-4</c:v>
                </c:pt>
                <c:pt idx="802">
                  <c:v>2.8323459617752628E-4</c:v>
                </c:pt>
                <c:pt idx="803">
                  <c:v>2.8126920445447316E-4</c:v>
                </c:pt>
                <c:pt idx="804">
                  <c:v>2.7913243914206735E-4</c:v>
                </c:pt>
                <c:pt idx="805">
                  <c:v>2.8022712529578403E-4</c:v>
                </c:pt>
                <c:pt idx="806">
                  <c:v>2.7512636887934427E-4</c:v>
                </c:pt>
                <c:pt idx="807">
                  <c:v>2.7622406167150183E-4</c:v>
                </c:pt>
                <c:pt idx="808">
                  <c:v>2.741659877780533E-4</c:v>
                </c:pt>
                <c:pt idx="809">
                  <c:v>2.723181407189382E-4</c:v>
                </c:pt>
                <c:pt idx="810">
                  <c:v>2.7031095108196742E-4</c:v>
                </c:pt>
                <c:pt idx="811">
                  <c:v>2.6562011937440207E-4</c:v>
                </c:pt>
                <c:pt idx="812">
                  <c:v>2.7246844255748132E-4</c:v>
                </c:pt>
                <c:pt idx="813">
                  <c:v>2.6479772682826185E-4</c:v>
                </c:pt>
                <c:pt idx="814">
                  <c:v>2.5740144299396815E-4</c:v>
                </c:pt>
                <c:pt idx="815">
                  <c:v>2.5556035778631609E-4</c:v>
                </c:pt>
                <c:pt idx="816">
                  <c:v>2.5653731915991598E-4</c:v>
                </c:pt>
                <c:pt idx="817">
                  <c:v>2.5777605254007584E-4</c:v>
                </c:pt>
                <c:pt idx="818">
                  <c:v>2.5337644566244893E-4</c:v>
                </c:pt>
                <c:pt idx="819">
                  <c:v>2.5999206950219357E-4</c:v>
                </c:pt>
                <c:pt idx="820">
                  <c:v>2.5275676536218062E-4</c:v>
                </c:pt>
                <c:pt idx="821">
                  <c:v>2.5659046216556754E-4</c:v>
                </c:pt>
                <c:pt idx="822">
                  <c:v>2.4947687495934689E-4</c:v>
                </c:pt>
                <c:pt idx="823">
                  <c:v>2.4512893945799474E-4</c:v>
                </c:pt>
                <c:pt idx="824">
                  <c:v>2.462941272279693E-4</c:v>
                </c:pt>
                <c:pt idx="825">
                  <c:v>2.4466574261165579E-4</c:v>
                </c:pt>
                <c:pt idx="826">
                  <c:v>2.3796818812244218E-4</c:v>
                </c:pt>
                <c:pt idx="827">
                  <c:v>2.3902785808314821E-4</c:v>
                </c:pt>
                <c:pt idx="828">
                  <c:v>2.3245400278206618E-4</c:v>
                </c:pt>
                <c:pt idx="829">
                  <c:v>2.3892303587231636E-4</c:v>
                </c:pt>
                <c:pt idx="830">
                  <c:v>2.3486055221024035E-4</c:v>
                </c:pt>
                <c:pt idx="831">
                  <c:v>2.3607489067609076E-4</c:v>
                </c:pt>
                <c:pt idx="832">
                  <c:v>2.3462177405436432E-4</c:v>
                </c:pt>
                <c:pt idx="833">
                  <c:v>2.333238881516751E-4</c:v>
                </c:pt>
                <c:pt idx="834">
                  <c:v>2.3192165578642102E-4</c:v>
                </c:pt>
                <c:pt idx="835">
                  <c:v>2.2818301595632087E-4</c:v>
                </c:pt>
                <c:pt idx="836">
                  <c:v>2.3438716159215455E-4</c:v>
                </c:pt>
                <c:pt idx="837">
                  <c:v>2.2565332658563823E-4</c:v>
                </c:pt>
                <c:pt idx="838">
                  <c:v>2.2448248459437344E-4</c:v>
                </c:pt>
                <c:pt idx="839">
                  <c:v>2.1835048045655542E-4</c:v>
                </c:pt>
                <c:pt idx="840">
                  <c:v>2.2935758135477047E-4</c:v>
                </c:pt>
                <c:pt idx="841">
                  <c:v>2.2105621536123345E-4</c:v>
                </c:pt>
                <c:pt idx="842">
                  <c:v>2.2220783841090552E-4</c:v>
                </c:pt>
                <c:pt idx="843">
                  <c:v>2.259128504779714E-4</c:v>
                </c:pt>
                <c:pt idx="844">
                  <c:v>2.1993985780777078E-4</c:v>
                </c:pt>
                <c:pt idx="845">
                  <c:v>2.1874699608609834E-4</c:v>
                </c:pt>
                <c:pt idx="846">
                  <c:v>2.153227996436917E-4</c:v>
                </c:pt>
                <c:pt idx="847">
                  <c:v>2.212762921978742E-4</c:v>
                </c:pt>
                <c:pt idx="848">
                  <c:v>2.1543870519636244E-4</c:v>
                </c:pt>
                <c:pt idx="849">
                  <c:v>2.1207520619105004E-4</c:v>
                </c:pt>
                <c:pt idx="850">
                  <c:v>2.1094158037105305E-4</c:v>
                </c:pt>
                <c:pt idx="851">
                  <c:v>2.0981777391099313E-4</c:v>
                </c:pt>
                <c:pt idx="852">
                  <c:v>2.1111628241575828E-4</c:v>
                </c:pt>
                <c:pt idx="853">
                  <c:v>2.0786639441174954E-4</c:v>
                </c:pt>
                <c:pt idx="854">
                  <c:v>2.1363773806532809E-4</c:v>
                </c:pt>
                <c:pt idx="855">
                  <c:v>2.0802597461848333E-4</c:v>
                </c:pt>
                <c:pt idx="856">
                  <c:v>2.1150224384082394E-4</c:v>
                </c:pt>
                <c:pt idx="857">
                  <c:v>2.0595429418834946E-4</c:v>
                </c:pt>
                <c:pt idx="858">
                  <c:v>2.0267247737451247E-4</c:v>
                </c:pt>
                <c:pt idx="859">
                  <c:v>2.0391879494561593E-4</c:v>
                </c:pt>
                <c:pt idx="860">
                  <c:v>2.0286702071488775E-4</c:v>
                </c:pt>
                <c:pt idx="861">
                  <c:v>1.9756055665408684E-4</c:v>
                </c:pt>
                <c:pt idx="862">
                  <c:v>1.9871844082688285E-4</c:v>
                </c:pt>
                <c:pt idx="863">
                  <c:v>1.934806354850632E-4</c:v>
                </c:pt>
                <c:pt idx="864">
                  <c:v>1.9909544846732379E-4</c:v>
                </c:pt>
                <c:pt idx="865">
                  <c:v>1.959517757244411E-4</c:v>
                </c:pt>
                <c:pt idx="866">
                  <c:v>1.9718457331755276E-4</c:v>
                </c:pt>
                <c:pt idx="867">
                  <c:v>1.9619807837335161E-4</c:v>
                </c:pt>
                <c:pt idx="868">
                  <c:v>1.9530987935628769E-4</c:v>
                </c:pt>
                <c:pt idx="869">
                  <c:v>1.9434233646315334E-4</c:v>
                </c:pt>
                <c:pt idx="870">
                  <c:v>1.9138264007395649E-4</c:v>
                </c:pt>
                <c:pt idx="871">
                  <c:v>1.9676664925012409E-4</c:v>
                </c:pt>
                <c:pt idx="872">
                  <c:v>1.9166903499856996E-4</c:v>
                </c:pt>
                <c:pt idx="873">
                  <c:v>1.8867993221894573E-4</c:v>
                </c:pt>
                <c:pt idx="874">
                  <c:v>1.8580157401539902E-4</c:v>
                </c:pt>
                <c:pt idx="875">
                  <c:v>1.8899219786142201E-4</c:v>
                </c:pt>
                <c:pt idx="876">
                  <c:v>1.882272789782498E-4</c:v>
                </c:pt>
                <c:pt idx="877">
                  <c:v>1.8536514718081869E-4</c:v>
                </c:pt>
                <c:pt idx="878">
                  <c:v>1.865323423488278E-4</c:v>
                </c:pt>
                <c:pt idx="879">
                  <c:v>1.8573794641262869E-4</c:v>
                </c:pt>
                <c:pt idx="880">
                  <c:v>1.8295423518010996E-4</c:v>
                </c:pt>
                <c:pt idx="881">
                  <c:v>1.8210804879994851E-4</c:v>
                </c:pt>
                <c:pt idx="882">
                  <c:v>1.8325101265507894E-4</c:v>
                </c:pt>
                <c:pt idx="883">
                  <c:v>1.824910749932013E-4</c:v>
                </c:pt>
                <c:pt idx="884">
                  <c:v>1.778127349108031E-4</c:v>
                </c:pt>
                <c:pt idx="885">
                  <c:v>1.7701278023836791E-4</c:v>
                </c:pt>
                <c:pt idx="886">
                  <c:v>1.7816860230852305E-4</c:v>
                </c:pt>
                <c:pt idx="887">
                  <c:v>1.7943703837260155E-4</c:v>
                </c:pt>
                <c:pt idx="888">
                  <c:v>1.7678831460832262E-4</c:v>
                </c:pt>
                <c:pt idx="889">
                  <c:v>1.8185549322362421E-4</c:v>
                </c:pt>
                <c:pt idx="890">
                  <c:v>1.7723849535683842E-4</c:v>
                </c:pt>
                <c:pt idx="891">
                  <c:v>1.8036077308678953E-4</c:v>
                </c:pt>
                <c:pt idx="892">
                  <c:v>1.7579395552229837E-4</c:v>
                </c:pt>
                <c:pt idx="893">
                  <c:v>1.7315997681240279E-4</c:v>
                </c:pt>
                <c:pt idx="894">
                  <c:v>1.7438559687576281E-4</c:v>
                </c:pt>
                <c:pt idx="895">
                  <c:v>1.7366232486200922E-4</c:v>
                </c:pt>
                <c:pt idx="896">
                  <c:v>1.7114340105455053E-4</c:v>
                </c:pt>
                <c:pt idx="897">
                  <c:v>1.7044658796510335E-4</c:v>
                </c:pt>
                <c:pt idx="898">
                  <c:v>1.6796562415783732E-4</c:v>
                </c:pt>
                <c:pt idx="899">
                  <c:v>1.7107437859650512E-4</c:v>
                </c:pt>
                <c:pt idx="900">
                  <c:v>1.685548652524693E-4</c:v>
                </c:pt>
                <c:pt idx="901">
                  <c:v>1.6980919534909596E-4</c:v>
                </c:pt>
                <c:pt idx="902">
                  <c:v>1.6914876346204466E-4</c:v>
                </c:pt>
                <c:pt idx="903">
                  <c:v>1.6855615879507135E-4</c:v>
                </c:pt>
                <c:pt idx="904">
                  <c:v>1.6791286041384381E-4</c:v>
                </c:pt>
                <c:pt idx="905">
                  <c:v>1.6552635426264639E-4</c:v>
                </c:pt>
                <c:pt idx="906">
                  <c:v>1.7037243383380079E-4</c:v>
                </c:pt>
                <c:pt idx="907">
                  <c:v>1.6614821394715299E-4</c:v>
                </c:pt>
                <c:pt idx="908">
                  <c:v>1.6201213197986671E-4</c:v>
                </c:pt>
                <c:pt idx="909">
                  <c:v>1.6142405582153396E-4</c:v>
                </c:pt>
                <c:pt idx="910">
                  <c:v>1.6262317824823581E-4</c:v>
                </c:pt>
                <c:pt idx="911">
                  <c:v>1.6390622942744323E-4</c:v>
                </c:pt>
                <c:pt idx="912">
                  <c:v>1.6159832233352941E-4</c:v>
                </c:pt>
                <c:pt idx="913">
                  <c:v>1.628157015806131E-4</c:v>
                </c:pt>
                <c:pt idx="914">
                  <c:v>1.6230789911434566E-4</c:v>
                </c:pt>
                <c:pt idx="915">
                  <c:v>1.653082873182571E-4</c:v>
                </c:pt>
                <c:pt idx="916">
                  <c:v>1.612656566023101E-4</c:v>
                </c:pt>
                <c:pt idx="917">
                  <c:v>1.6073277414778916E-4</c:v>
                </c:pt>
                <c:pt idx="918">
                  <c:v>1.6025612351061469E-4</c:v>
                </c:pt>
                <c:pt idx="919">
                  <c:v>1.580116671937051E-4</c:v>
                </c:pt>
                <c:pt idx="920">
                  <c:v>1.5581658408942646E-4</c:v>
                </c:pt>
                <c:pt idx="921">
                  <c:v>1.5706215166602332E-4</c:v>
                </c:pt>
                <c:pt idx="922">
                  <c:v>1.5834991605045588E-4</c:v>
                </c:pt>
                <c:pt idx="923">
                  <c:v>1.5623094481849388E-4</c:v>
                </c:pt>
                <c:pt idx="924">
                  <c:v>1.5752343268059103E-4</c:v>
                </c:pt>
                <c:pt idx="925">
                  <c:v>1.5539846775081199E-4</c:v>
                </c:pt>
                <c:pt idx="926">
                  <c:v>1.5664110289037597E-4</c:v>
                </c:pt>
                <c:pt idx="927">
                  <c:v>1.596151426814177E-4</c:v>
                </c:pt>
                <c:pt idx="928">
                  <c:v>1.5410457704013685E-4</c:v>
                </c:pt>
                <c:pt idx="929">
                  <c:v>1.5876349730840035E-4</c:v>
                </c:pt>
                <c:pt idx="930">
                  <c:v>1.549745715704685E-4</c:v>
                </c:pt>
                <c:pt idx="931">
                  <c:v>1.512483280422654E-4</c:v>
                </c:pt>
                <c:pt idx="932">
                  <c:v>1.5085021031885078E-4</c:v>
                </c:pt>
                <c:pt idx="933">
                  <c:v>1.5212682479496639E-4</c:v>
                </c:pt>
                <c:pt idx="934">
                  <c:v>1.5346223210994478E-4</c:v>
                </c:pt>
                <c:pt idx="935">
                  <c:v>1.5145667888813937E-4</c:v>
                </c:pt>
                <c:pt idx="936">
                  <c:v>1.5608586332992457E-4</c:v>
                </c:pt>
                <c:pt idx="937">
                  <c:v>1.5241113559111757E-4</c:v>
                </c:pt>
                <c:pt idx="938">
                  <c:v>1.5538275348891216E-4</c:v>
                </c:pt>
                <c:pt idx="939">
                  <c:v>1.5173959984272838E-4</c:v>
                </c:pt>
                <c:pt idx="940">
                  <c:v>1.4976018288670172E-4</c:v>
                </c:pt>
                <c:pt idx="941">
                  <c:v>1.511007735152443E-4</c:v>
                </c:pt>
                <c:pt idx="942">
                  <c:v>1.5077920430013446E-4</c:v>
                </c:pt>
                <c:pt idx="943">
                  <c:v>1.4886341376084498E-4</c:v>
                </c:pt>
                <c:pt idx="944">
                  <c:v>1.5019022089843355E-4</c:v>
                </c:pt>
                <c:pt idx="945">
                  <c:v>1.4667062317479272E-4</c:v>
                </c:pt>
                <c:pt idx="946">
                  <c:v>1.4966829343606979E-4</c:v>
                </c:pt>
                <c:pt idx="947">
                  <c:v>1.4775267205238408E-4</c:v>
                </c:pt>
                <c:pt idx="948">
                  <c:v>1.4911038235649107E-4</c:v>
                </c:pt>
                <c:pt idx="949">
                  <c:v>1.4887256240710963E-4</c:v>
                </c:pt>
                <c:pt idx="950">
                  <c:v>1.5186592483302895E-4</c:v>
                </c:pt>
                <c:pt idx="951">
                  <c:v>1.4839728318109948E-4</c:v>
                </c:pt>
                <c:pt idx="952">
                  <c:v>1.4816138149550099E-4</c:v>
                </c:pt>
                <c:pt idx="953">
                  <c:v>1.4795471337539451E-4</c:v>
                </c:pt>
                <c:pt idx="954">
                  <c:v>1.4773594519571954E-4</c:v>
                </c:pt>
                <c:pt idx="955">
                  <c:v>1.4433723391104071E-4</c:v>
                </c:pt>
                <c:pt idx="956">
                  <c:v>1.3934362587366916E-4</c:v>
                </c:pt>
                <c:pt idx="957">
                  <c:v>1.4716667514024531E-4</c:v>
                </c:pt>
                <c:pt idx="958">
                  <c:v>1.4700519844104302E-4</c:v>
                </c:pt>
                <c:pt idx="959">
                  <c:v>1.4680976772541029E-4</c:v>
                </c:pt>
                <c:pt idx="960">
                  <c:v>1.4664144906507159E-4</c:v>
                </c:pt>
                <c:pt idx="961">
                  <c:v>1.4644777698530456E-4</c:v>
                </c:pt>
                <c:pt idx="962">
                  <c:v>1.462697373484614E-4</c:v>
                </c:pt>
                <c:pt idx="963">
                  <c:v>1.4448698627796377E-4</c:v>
                </c:pt>
                <c:pt idx="964">
                  <c:v>1.4588973437012952E-4</c:v>
                </c:pt>
                <c:pt idx="965">
                  <c:v>1.4568737620693662E-4</c:v>
                </c:pt>
                <c:pt idx="966">
                  <c:v>1.4234448910438832E-4</c:v>
                </c:pt>
                <c:pt idx="967">
                  <c:v>1.437185786238096E-4</c:v>
                </c:pt>
                <c:pt idx="968">
                  <c:v>1.4038244812666141E-4</c:v>
                </c:pt>
                <c:pt idx="969">
                  <c:v>1.4492593301330817E-4</c:v>
                </c:pt>
                <c:pt idx="970">
                  <c:v>1.431432159408122E-4</c:v>
                </c:pt>
                <c:pt idx="971">
                  <c:v>1.445173712450936E-4</c:v>
                </c:pt>
                <c:pt idx="972">
                  <c:v>1.4430005371570439E-4</c:v>
                </c:pt>
                <c:pt idx="973">
                  <c:v>1.4410051821552803E-4</c:v>
                </c:pt>
                <c:pt idx="974">
                  <c:v>1.4387885764407515E-4</c:v>
                </c:pt>
                <c:pt idx="975">
                  <c:v>1.4211707060377739E-4</c:v>
                </c:pt>
                <c:pt idx="976">
                  <c:v>1.4658186292003926E-4</c:v>
                </c:pt>
                <c:pt idx="977">
                  <c:v>1.4324193837106944E-4</c:v>
                </c:pt>
                <c:pt idx="978">
                  <c:v>1.3993010742553678E-4</c:v>
                </c:pt>
                <c:pt idx="979">
                  <c:v>1.3970281258912171E-4</c:v>
                </c:pt>
                <c:pt idx="980">
                  <c:v>1.410194464198404E-4</c:v>
                </c:pt>
                <c:pt idx="981">
                  <c:v>1.4236460719762711E-4</c:v>
                </c:pt>
                <c:pt idx="982">
                  <c:v>1.4059886354477833E-4</c:v>
                </c:pt>
                <c:pt idx="983">
                  <c:v>1.4190656107462531E-4</c:v>
                </c:pt>
                <c:pt idx="984">
                  <c:v>1.4168552971096998E-4</c:v>
                </c:pt>
                <c:pt idx="985">
                  <c:v>1.4453023447269034E-4</c:v>
                </c:pt>
                <c:pt idx="986">
                  <c:v>1.4121524410606843E-4</c:v>
                </c:pt>
                <c:pt idx="987">
                  <c:v>1.3943713430604387E-4</c:v>
                </c:pt>
                <c:pt idx="988">
                  <c:v>1.4073666723982492E-4</c:v>
                </c:pt>
                <c:pt idx="989">
                  <c:v>1.4048267513530363E-4</c:v>
                </c:pt>
                <c:pt idx="990">
                  <c:v>1.3871379447541715E-4</c:v>
                </c:pt>
                <c:pt idx="991">
                  <c:v>1.3847372178652111E-4</c:v>
                </c:pt>
                <c:pt idx="992">
                  <c:v>1.3672427853747449E-4</c:v>
                </c:pt>
                <c:pt idx="993">
                  <c:v>1.3952392247757177E-4</c:v>
                </c:pt>
                <c:pt idx="994">
                  <c:v>1.3774955688210897E-4</c:v>
                </c:pt>
                <c:pt idx="995">
                  <c:v>1.390247718345322E-4</c:v>
                </c:pt>
                <c:pt idx="996">
                  <c:v>1.3875582036355338E-4</c:v>
                </c:pt>
                <c:pt idx="997">
                  <c:v>1.3850934491651008E-4</c:v>
                </c:pt>
                <c:pt idx="998">
                  <c:v>1.367376130001916E-4</c:v>
                </c:pt>
                <c:pt idx="999">
                  <c:v>1.3798562673733285E-4</c:v>
                </c:pt>
                <c:pt idx="1000">
                  <c:v>1.3624041197967678E-4</c:v>
                </c:pt>
                <c:pt idx="1001">
                  <c:v>1.3447385054314636E-4</c:v>
                </c:pt>
                <c:pt idx="1002">
                  <c:v>1.3568489918734973E-4</c:v>
                </c:pt>
                <c:pt idx="1003">
                  <c:v>1.3246133567248981E-4</c:v>
                </c:pt>
                <c:pt idx="1004">
                  <c:v>1.3667052155542919E-4</c:v>
                </c:pt>
                <c:pt idx="1005">
                  <c:v>1.3490420427848384E-4</c:v>
                </c:pt>
                <c:pt idx="1006">
                  <c:v>1.3611824458636821E-4</c:v>
                </c:pt>
                <c:pt idx="1007">
                  <c:v>1.3582564766584685E-4</c:v>
                </c:pt>
                <c:pt idx="1008">
                  <c:v>1.3555767635573283E-4</c:v>
                </c:pt>
                <c:pt idx="1009">
                  <c:v>1.3526073639329574E-4</c:v>
                </c:pt>
                <c:pt idx="1010">
                  <c:v>1.3352606084031257E-4</c:v>
                </c:pt>
                <c:pt idx="1011">
                  <c:v>1.3763421333217815E-4</c:v>
                </c:pt>
                <c:pt idx="1012">
                  <c:v>1.3441166610859715E-4</c:v>
                </c:pt>
                <c:pt idx="1013">
                  <c:v>1.3122708113124908E-4</c:v>
                </c:pt>
                <c:pt idx="1014">
                  <c:v>1.3092614341254195E-4</c:v>
                </c:pt>
                <c:pt idx="1015">
                  <c:v>1.3206966936058273E-4</c:v>
                </c:pt>
                <c:pt idx="1016">
                  <c:v>1.332514669208642E-4</c:v>
                </c:pt>
                <c:pt idx="1017">
                  <c:v>1.3151595899858851E-4</c:v>
                </c:pt>
                <c:pt idx="1018">
                  <c:v>1.3264970559637913E-4</c:v>
                </c:pt>
                <c:pt idx="1019">
                  <c:v>1.3236023842276836E-4</c:v>
                </c:pt>
                <c:pt idx="1020">
                  <c:v>1.3492996513111871E-4</c:v>
                </c:pt>
                <c:pt idx="1021">
                  <c:v>1.3174623761691358E-4</c:v>
                </c:pt>
                <c:pt idx="1022">
                  <c:v>1.2999771886215933E-4</c:v>
                </c:pt>
                <c:pt idx="1023">
                  <c:v>1.3112394554974687E-4</c:v>
                </c:pt>
                <c:pt idx="1024">
                  <c:v>1.3079467405394259E-4</c:v>
                </c:pt>
                <c:pt idx="1025">
                  <c:v>1.2766643601079967E-4</c:v>
                </c:pt>
                <c:pt idx="1026">
                  <c:v>1.287500001842052E-4</c:v>
                </c:pt>
                <c:pt idx="1027">
                  <c:v>1.2563495637893352E-4</c:v>
                </c:pt>
                <c:pt idx="1028">
                  <c:v>1.295678819750907E-4</c:v>
                </c:pt>
                <c:pt idx="1029">
                  <c:v>1.2782846842828471E-4</c:v>
                </c:pt>
                <c:pt idx="1030">
                  <c:v>1.2891703111817259E-4</c:v>
                </c:pt>
                <c:pt idx="1031">
                  <c:v>1.2857280025619242E-4</c:v>
                </c:pt>
                <c:pt idx="1032">
                  <c:v>1.2825788899906149E-4</c:v>
                </c:pt>
                <c:pt idx="1033">
                  <c:v>1.2790931509560754E-4</c:v>
                </c:pt>
                <c:pt idx="1034">
                  <c:v>1.2620889039467313E-4</c:v>
                </c:pt>
                <c:pt idx="1035">
                  <c:v>1.3002545908838274E-4</c:v>
                </c:pt>
                <c:pt idx="1036">
                  <c:v>1.2691473097641083E-4</c:v>
                </c:pt>
                <c:pt idx="1037">
                  <c:v>1.25219448082833E-4</c:v>
                </c:pt>
                <c:pt idx="1038">
                  <c:v>1.234972848040155E-4</c:v>
                </c:pt>
                <c:pt idx="1039">
                  <c:v>1.2586911204394408E-4</c:v>
                </c:pt>
                <c:pt idx="1040">
                  <c:v>1.2419027539460536E-4</c:v>
                </c:pt>
                <c:pt idx="1041">
                  <c:v>1.2521694009888414E-4</c:v>
                </c:pt>
                <c:pt idx="1042">
                  <c:v>1.2354171779378837E-4</c:v>
                </c:pt>
                <c:pt idx="1043">
                  <c:v>1.2452377100989577E-4</c:v>
                </c:pt>
                <c:pt idx="1044">
                  <c:v>1.2415155165645188E-4</c:v>
                </c:pt>
                <c:pt idx="1045">
                  <c:v>1.2247106436787288E-4</c:v>
                </c:pt>
                <c:pt idx="1046">
                  <c:v>1.2614134670460938E-4</c:v>
                </c:pt>
                <c:pt idx="1047">
                  <c:v>1.230903303609547E-4</c:v>
                </c:pt>
                <c:pt idx="1048">
                  <c:v>1.2008714490514266E-4</c:v>
                </c:pt>
                <c:pt idx="1049">
                  <c:v>1.1971256430360879E-4</c:v>
                </c:pt>
                <c:pt idx="1050">
                  <c:v>1.2065590559287642E-4</c:v>
                </c:pt>
                <c:pt idx="1051">
                  <c:v>1.2164726315768722E-4</c:v>
                </c:pt>
                <c:pt idx="1052">
                  <c:v>1.1996906774408236E-4</c:v>
                </c:pt>
                <c:pt idx="1053">
                  <c:v>1.2090178663251568E-4</c:v>
                </c:pt>
                <c:pt idx="1054">
                  <c:v>1.2054388364861243E-4</c:v>
                </c:pt>
                <c:pt idx="1055">
                  <c:v>1.227844787494668E-4</c:v>
                </c:pt>
                <c:pt idx="1056">
                  <c:v>1.197861676419457E-4</c:v>
                </c:pt>
                <c:pt idx="1057">
                  <c:v>1.1809431671025383E-4</c:v>
                </c:pt>
                <c:pt idx="1058">
                  <c:v>1.1902016037353889E-4</c:v>
                </c:pt>
                <c:pt idx="1059">
                  <c:v>1.1861560948682679E-4</c:v>
                </c:pt>
                <c:pt idx="1060">
                  <c:v>1.1568741724459461E-4</c:v>
                </c:pt>
                <c:pt idx="1061">
                  <c:v>1.1656229187303263E-4</c:v>
                </c:pt>
                <c:pt idx="1062">
                  <c:v>1.1365111238873302E-4</c:v>
                </c:pt>
                <c:pt idx="1063">
                  <c:v>1.1711279297421927E-4</c:v>
                </c:pt>
                <c:pt idx="1064">
                  <c:v>1.154354278917697E-4</c:v>
                </c:pt>
                <c:pt idx="1065">
                  <c:v>1.1631822691594161E-4</c:v>
                </c:pt>
                <c:pt idx="1066">
                  <c:v>1.1589871666300428E-4</c:v>
                </c:pt>
                <c:pt idx="1067">
                  <c:v>1.1551536959603033E-4</c:v>
                </c:pt>
                <c:pt idx="1068">
                  <c:v>1.150915163014478E-4</c:v>
                </c:pt>
                <c:pt idx="1069">
                  <c:v>1.1346385175701855E-4</c:v>
                </c:pt>
                <c:pt idx="1070">
                  <c:v>1.1678683461940498E-4</c:v>
                </c:pt>
                <c:pt idx="1071">
                  <c:v>1.1388478117159323E-4</c:v>
                </c:pt>
                <c:pt idx="1072">
                  <c:v>1.122255801878055E-4</c:v>
                </c:pt>
                <c:pt idx="1073">
                  <c:v>1.1061223542871953E-4</c:v>
                </c:pt>
                <c:pt idx="1074">
                  <c:v>1.1262049019550717E-4</c:v>
                </c:pt>
                <c:pt idx="1075">
                  <c:v>1.1224950781292093E-4</c:v>
                </c:pt>
                <c:pt idx="1076">
                  <c:v>1.1064327540138117E-4</c:v>
                </c:pt>
                <c:pt idx="1077">
                  <c:v>1.1386654109791098E-4</c:v>
                </c:pt>
                <c:pt idx="1078">
                  <c:v>1.1102365749096893E-4</c:v>
                </c:pt>
                <c:pt idx="1079">
                  <c:v>1.0943528638290365E-4</c:v>
                </c:pt>
                <c:pt idx="1080">
                  <c:v>1.0901019685156109E-4</c:v>
                </c:pt>
                <c:pt idx="1081">
                  <c:v>1.0977377573821416E-4</c:v>
                </c:pt>
                <c:pt idx="1082">
                  <c:v>1.093864520208149E-4</c:v>
                </c:pt>
                <c:pt idx="1083">
                  <c:v>1.0782222669299813E-4</c:v>
                </c:pt>
                <c:pt idx="1084">
                  <c:v>1.07404240628251E-4</c:v>
                </c:pt>
                <c:pt idx="1085">
                  <c:v>1.0698811499522943E-4</c:v>
                </c:pt>
                <c:pt idx="1086">
                  <c:v>1.0778933505008134E-4</c:v>
                </c:pt>
                <c:pt idx="1087">
                  <c:v>1.0624876936032274E-4</c:v>
                </c:pt>
                <c:pt idx="1088">
                  <c:v>1.0700717737242483E-4</c:v>
                </c:pt>
                <c:pt idx="1089">
                  <c:v>1.0663109745936073E-4</c:v>
                </c:pt>
                <c:pt idx="1090">
                  <c:v>1.0855379659518818E-4</c:v>
                </c:pt>
                <c:pt idx="1091">
                  <c:v>1.0584638935349898E-4</c:v>
                </c:pt>
                <c:pt idx="1092">
                  <c:v>1.0429811366422961E-4</c:v>
                </c:pt>
                <c:pt idx="1093">
                  <c:v>1.0506853634162654E-4</c:v>
                </c:pt>
                <c:pt idx="1094">
                  <c:v>1.0466382534513914E-4</c:v>
                </c:pt>
                <c:pt idx="1095">
                  <c:v>1.0204209464432822E-4</c:v>
                </c:pt>
                <c:pt idx="1096">
                  <c:v>1.0277309390829894E-4</c:v>
                </c:pt>
                <c:pt idx="1097">
                  <c:v>1.0017479233882131E-4</c:v>
                </c:pt>
                <c:pt idx="1098">
                  <c:v>1.0319597696470842E-4</c:v>
                </c:pt>
                <c:pt idx="1099">
                  <c:v>1.0168855849391433E-4</c:v>
                </c:pt>
                <c:pt idx="1100">
                  <c:v>1.0244173594151649E-4</c:v>
                </c:pt>
                <c:pt idx="1101">
                  <c:v>1.0204939313006412E-4</c:v>
                </c:pt>
                <c:pt idx="1102">
                  <c:v>1.0169435001195272E-4</c:v>
                </c:pt>
                <c:pt idx="1103">
                  <c:v>1.0130559796373488E-4</c:v>
                </c:pt>
                <c:pt idx="1104">
                  <c:v>9.9862268680372344E-5</c:v>
                </c:pt>
                <c:pt idx="1105">
                  <c:v>1.0277875627664478E-4</c:v>
                </c:pt>
                <c:pt idx="1106">
                  <c:v>1.0022014343355109E-4</c:v>
                </c:pt>
                <c:pt idx="1107">
                  <c:v>9.7713291046238045E-5</c:v>
                </c:pt>
                <c:pt idx="1108">
                  <c:v>9.7341632494426912E-5</c:v>
                </c:pt>
                <c:pt idx="1109">
                  <c:v>9.8043640150353661E-5</c:v>
                </c:pt>
                <c:pt idx="1110">
                  <c:v>9.8796107921774986E-5</c:v>
                </c:pt>
                <c:pt idx="1111">
                  <c:v>9.7390991933382412E-5</c:v>
                </c:pt>
                <c:pt idx="1112">
                  <c:v>1.0023807151435019E-4</c:v>
                </c:pt>
                <c:pt idx="1113">
                  <c:v>9.7745509184840796E-5</c:v>
                </c:pt>
                <c:pt idx="1114">
                  <c:v>9.9516018062732896E-5</c:v>
                </c:pt>
                <c:pt idx="1115">
                  <c:v>9.7042300524787656E-5</c:v>
                </c:pt>
                <c:pt idx="1116">
                  <c:v>9.6676688951434131E-5</c:v>
                </c:pt>
                <c:pt idx="1117">
                  <c:v>9.6345946958395202E-5</c:v>
                </c:pt>
                <c:pt idx="1118">
                  <c:v>9.4946021238725455E-5</c:v>
                </c:pt>
                <c:pt idx="1119">
                  <c:v>9.3576934849226188E-5</c:v>
                </c:pt>
                <c:pt idx="1120">
                  <c:v>9.4267515233436466E-5</c:v>
                </c:pt>
                <c:pt idx="1121">
                  <c:v>9.4984587173641615E-5</c:v>
                </c:pt>
                <c:pt idx="1122">
                  <c:v>9.3638237453859744E-5</c:v>
                </c:pt>
                <c:pt idx="1123">
                  <c:v>9.4308690077162221E-5</c:v>
                </c:pt>
                <c:pt idx="1124">
                  <c:v>9.3999866872253267E-5</c:v>
                </c:pt>
                <c:pt idx="1125">
                  <c:v>9.570771285994685E-5</c:v>
                </c:pt>
                <c:pt idx="1126">
                  <c:v>9.3333980388210307E-5</c:v>
                </c:pt>
                <c:pt idx="1127">
                  <c:v>9.1982339742659923E-5</c:v>
                </c:pt>
                <c:pt idx="1128">
                  <c:v>9.2674948997938366E-5</c:v>
                </c:pt>
                <c:pt idx="1129">
                  <c:v>9.2332477898670652E-5</c:v>
                </c:pt>
                <c:pt idx="1130">
                  <c:v>9.1027605193416575E-5</c:v>
                </c:pt>
                <c:pt idx="1131">
                  <c:v>9.0692380151096791E-5</c:v>
                </c:pt>
                <c:pt idx="1132">
                  <c:v>8.9400927673153916E-5</c:v>
                </c:pt>
                <c:pt idx="1133">
                  <c:v>9.1082702910632403E-5</c:v>
                </c:pt>
                <c:pt idx="1134">
                  <c:v>8.9767636582842127E-5</c:v>
                </c:pt>
                <c:pt idx="1135">
                  <c:v>9.0457423073615859E-5</c:v>
                </c:pt>
                <c:pt idx="1136">
                  <c:v>9.0127320159354255E-5</c:v>
                </c:pt>
                <c:pt idx="1137">
                  <c:v>8.982885876609786E-5</c:v>
                </c:pt>
                <c:pt idx="1138">
                  <c:v>8.950234661486753E-5</c:v>
                </c:pt>
                <c:pt idx="1139">
                  <c:v>8.8242347469261073E-5</c:v>
                </c:pt>
                <c:pt idx="1140">
                  <c:v>9.0836463090017067E-5</c:v>
                </c:pt>
                <c:pt idx="1141">
                  <c:v>8.8592295431177346E-5</c:v>
                </c:pt>
                <c:pt idx="1142">
                  <c:v>8.6391728978988685E-5</c:v>
                </c:pt>
                <c:pt idx="1143">
                  <c:v>8.6080957283020285E-5</c:v>
                </c:pt>
                <c:pt idx="1144">
                  <c:v>8.6720342480821029E-5</c:v>
                </c:pt>
                <c:pt idx="1145">
                  <c:v>8.7402131048112006E-5</c:v>
                </c:pt>
                <c:pt idx="1146">
                  <c:v>8.6175896561816996E-5</c:v>
                </c:pt>
                <c:pt idx="1147">
                  <c:v>8.8713950074255951E-5</c:v>
                </c:pt>
                <c:pt idx="1148">
                  <c:v>8.6526935657772443E-5</c:v>
                </c:pt>
                <c:pt idx="1149">
                  <c:v>8.8113301322993902E-5</c:v>
                </c:pt>
                <c:pt idx="1150">
                  <c:v>8.5942548619741187E-5</c:v>
                </c:pt>
                <c:pt idx="1151">
                  <c:v>8.5639176943082309E-5</c:v>
                </c:pt>
                <c:pt idx="1152">
                  <c:v>8.5365016675181737E-5</c:v>
                </c:pt>
                <c:pt idx="1153">
                  <c:v>8.5065235761814232E-5</c:v>
                </c:pt>
                <c:pt idx="1154">
                  <c:v>8.2950958984741508E-5</c:v>
                </c:pt>
                <c:pt idx="1155">
                  <c:v>7.991849093010385E-5</c:v>
                </c:pt>
                <c:pt idx="1156">
                  <c:v>8.4230518066777017E-5</c:v>
                </c:pt>
                <c:pt idx="1157">
                  <c:v>8.3973285097183048E-5</c:v>
                </c:pt>
                <c:pt idx="1158">
                  <c:v>8.3673551403172711E-5</c:v>
                </c:pt>
                <c:pt idx="1159">
                  <c:v>8.3428211064117086E-5</c:v>
                </c:pt>
                <c:pt idx="1160">
                  <c:v>8.3140798335672181E-5</c:v>
                </c:pt>
                <c:pt idx="1161">
                  <c:v>8.2881146201769015E-5</c:v>
                </c:pt>
                <c:pt idx="1162">
                  <c:v>8.1703753917424204E-5</c:v>
                </c:pt>
                <c:pt idx="1163">
                  <c:v>8.234093643324101E-5</c:v>
                </c:pt>
                <c:pt idx="1164">
                  <c:v>8.2060705231605952E-5</c:v>
                </c:pt>
                <c:pt idx="1165">
                  <c:v>8.0037359969386729E-5</c:v>
                </c:pt>
                <c:pt idx="1166">
                  <c:v>8.0648854490871836E-5</c:v>
                </c:pt>
                <c:pt idx="1167">
                  <c:v>7.864262416777325E-5</c:v>
                </c:pt>
                <c:pt idx="1168">
                  <c:v>8.104928276417403E-5</c:v>
                </c:pt>
                <c:pt idx="1169">
                  <c:v>7.9903850426439106E-5</c:v>
                </c:pt>
                <c:pt idx="1170">
                  <c:v>8.0532684984469395E-5</c:v>
                </c:pt>
                <c:pt idx="1171">
                  <c:v>8.0264821967315002E-5</c:v>
                </c:pt>
                <c:pt idx="1172">
                  <c:v>8.0022942298258465E-5</c:v>
                </c:pt>
                <c:pt idx="1173">
                  <c:v>7.9758670044611732E-5</c:v>
                </c:pt>
                <c:pt idx="1174">
                  <c:v>7.8659614354722958E-5</c:v>
                </c:pt>
                <c:pt idx="1175">
                  <c:v>8.099851804746716E-5</c:v>
                </c:pt>
                <c:pt idx="1176">
                  <c:v>7.9024022207700381E-5</c:v>
                </c:pt>
                <c:pt idx="1177">
                  <c:v>7.7937638775643297E-5</c:v>
                </c:pt>
                <c:pt idx="1178">
                  <c:v>7.7685005625897249E-5</c:v>
                </c:pt>
                <c:pt idx="1179">
                  <c:v>7.7434232907900137E-5</c:v>
                </c:pt>
                <c:pt idx="1180">
                  <c:v>7.8060124858460398E-5</c:v>
                </c:pt>
                <c:pt idx="1181">
                  <c:v>7.6997989287288829E-5</c:v>
                </c:pt>
                <c:pt idx="1182">
                  <c:v>7.9294176778157451E-5</c:v>
                </c:pt>
                <c:pt idx="1183">
                  <c:v>7.7367936909783391E-5</c:v>
                </c:pt>
                <c:pt idx="1184">
                  <c:v>7.8814932727720846E-5</c:v>
                </c:pt>
                <c:pt idx="1185">
                  <c:v>7.690237149335942E-5</c:v>
                </c:pt>
                <c:pt idx="1186">
                  <c:v>7.5831552261823728E-5</c:v>
                </c:pt>
                <c:pt idx="1187">
                  <c:v>7.6443661170931386E-5</c:v>
                </c:pt>
                <c:pt idx="1188">
                  <c:v>7.6206120154894872E-5</c:v>
                </c:pt>
                <c:pt idx="1189">
                  <c:v>7.4346748542094502E-5</c:v>
                </c:pt>
                <c:pt idx="1190">
                  <c:v>7.4937880009284143E-5</c:v>
                </c:pt>
                <c:pt idx="1191">
                  <c:v>7.3093467942756619E-5</c:v>
                </c:pt>
                <c:pt idx="1192">
                  <c:v>7.5351308852815289E-5</c:v>
                </c:pt>
                <c:pt idx="1193">
                  <c:v>7.430959825909104E-5</c:v>
                </c:pt>
                <c:pt idx="1194">
                  <c:v>7.491677747670991E-5</c:v>
                </c:pt>
                <c:pt idx="1195">
                  <c:v>7.4692192124231599E-5</c:v>
                </c:pt>
                <c:pt idx="1196">
                  <c:v>7.4489831947615194E-5</c:v>
                </c:pt>
                <c:pt idx="1197">
                  <c:v>7.346522711425457E-5</c:v>
                </c:pt>
                <c:pt idx="1198">
                  <c:v>7.4070481383064514E-5</c:v>
                </c:pt>
                <c:pt idx="1199">
                  <c:v>7.3073707283036036E-5</c:v>
                </c:pt>
                <c:pt idx="1200">
                  <c:v>7.2063756434225022E-5</c:v>
                </c:pt>
                <c:pt idx="1201">
                  <c:v>7.2650905613653544E-5</c:v>
                </c:pt>
                <c:pt idx="1202">
                  <c:v>7.0875011144357438E-5</c:v>
                </c:pt>
                <c:pt idx="1203">
                  <c:v>7.3077376090858087E-5</c:v>
                </c:pt>
                <c:pt idx="1204">
                  <c:v>7.2081472811323991E-5</c:v>
                </c:pt>
                <c:pt idx="1205">
                  <c:v>7.2684185961485222E-5</c:v>
                </c:pt>
                <c:pt idx="1206">
                  <c:v>7.2481260323959464E-5</c:v>
                </c:pt>
                <c:pt idx="1207">
                  <c:v>7.2298590796722936E-5</c:v>
                </c:pt>
                <c:pt idx="1208">
                  <c:v>7.209964347393691E-5</c:v>
                </c:pt>
                <c:pt idx="1209">
                  <c:v>7.1141768433007359E-5</c:v>
                </c:pt>
                <c:pt idx="1210">
                  <c:v>7.3296917107646767E-5</c:v>
                </c:pt>
                <c:pt idx="1211">
                  <c:v>7.1550185362695995E-5</c:v>
                </c:pt>
                <c:pt idx="1212">
                  <c:v>6.983041798106007E-5</c:v>
                </c:pt>
                <c:pt idx="1213">
                  <c:v>6.9645370737554441E-5</c:v>
                </c:pt>
                <c:pt idx="1214">
                  <c:v>7.0231392553213824E-5</c:v>
                </c:pt>
                <c:pt idx="1215">
                  <c:v>7.0843319736806299E-5</c:v>
                </c:pt>
                <c:pt idx="1216">
                  <c:v>6.9911216966358049E-5</c:v>
                </c:pt>
                <c:pt idx="1217">
                  <c:v>7.2039162580109564E-5</c:v>
                </c:pt>
                <c:pt idx="1218">
                  <c:v>7.0332479409364451E-5</c:v>
                </c:pt>
                <c:pt idx="1219">
                  <c:v>7.1691252646321726E-5</c:v>
                </c:pt>
                <c:pt idx="1220">
                  <c:v>6.9995829574497214E-5</c:v>
                </c:pt>
                <c:pt idx="1221">
                  <c:v>6.9066147388940414E-5</c:v>
                </c:pt>
                <c:pt idx="1222">
                  <c:v>6.9666774704880968E-5</c:v>
                </c:pt>
                <c:pt idx="1223">
                  <c:v>6.949744372677245E-5</c:v>
                </c:pt>
                <c:pt idx="1224">
                  <c:v>6.8594040908610661E-5</c:v>
                </c:pt>
                <c:pt idx="1225">
                  <c:v>6.9179962136778461E-5</c:v>
                </c:pt>
                <c:pt idx="1226">
                  <c:v>6.753555342343632E-5</c:v>
                </c:pt>
                <c:pt idx="1227">
                  <c:v>6.888952505137759E-5</c:v>
                </c:pt>
                <c:pt idx="1228">
                  <c:v>6.7975778381761362E-5</c:v>
                </c:pt>
                <c:pt idx="1229">
                  <c:v>6.8567783851872485E-5</c:v>
                </c:pt>
                <c:pt idx="1230">
                  <c:v>6.8426504873968531E-5</c:v>
                </c:pt>
                <c:pt idx="1231">
                  <c:v>6.9766754572951536E-5</c:v>
                </c:pt>
                <c:pt idx="1232">
                  <c:v>6.8135424828594379E-5</c:v>
                </c:pt>
                <c:pt idx="1233">
                  <c:v>6.8722705794953051E-5</c:v>
                </c:pt>
                <c:pt idx="1234">
                  <c:v>6.7851939748452935E-5</c:v>
                </c:pt>
                <c:pt idx="1235">
                  <c:v>6.6972688863880091E-5</c:v>
                </c:pt>
                <c:pt idx="1236">
                  <c:v>6.6106976684277596E-5</c:v>
                </c:pt>
                <c:pt idx="1237">
                  <c:v>6.670367300425099E-5</c:v>
                </c:pt>
                <c:pt idx="1238">
                  <c:v>6.7316155061190671E-5</c:v>
                </c:pt>
                <c:pt idx="1239">
                  <c:v>6.6470854510986159E-5</c:v>
                </c:pt>
                <c:pt idx="1240">
                  <c:v>6.7071555665728744E-5</c:v>
                </c:pt>
                <c:pt idx="1241">
                  <c:v>6.6227992971255271E-5</c:v>
                </c:pt>
                <c:pt idx="1242">
                  <c:v>6.6821696819041503E-5</c:v>
                </c:pt>
                <c:pt idx="1243">
                  <c:v>6.6691706955982676E-5</c:v>
                </c:pt>
                <c:pt idx="1244">
                  <c:v>6.5853587582298011E-5</c:v>
                </c:pt>
                <c:pt idx="1245">
                  <c:v>6.7901654588732705E-5</c:v>
                </c:pt>
                <c:pt idx="1246">
                  <c:v>6.6336583502641478E-5</c:v>
                </c:pt>
                <c:pt idx="1247">
                  <c:v>6.4789436902086781E-5</c:v>
                </c:pt>
                <c:pt idx="1248">
                  <c:v>6.4671848043374204E-5</c:v>
                </c:pt>
                <c:pt idx="1249">
                  <c:v>6.5271849870584286E-5</c:v>
                </c:pt>
                <c:pt idx="1250">
                  <c:v>6.5888830754567978E-5</c:v>
                </c:pt>
                <c:pt idx="1251">
                  <c:v>6.5071554873984773E-5</c:v>
                </c:pt>
                <c:pt idx="1252">
                  <c:v>6.7107205152507009E-5</c:v>
                </c:pt>
                <c:pt idx="1253">
                  <c:v>6.5572325086098152E-5</c:v>
                </c:pt>
                <c:pt idx="1254">
                  <c:v>6.6893803148397707E-5</c:v>
                </c:pt>
                <c:pt idx="1255">
                  <c:v>6.5367321309991322E-5</c:v>
                </c:pt>
                <c:pt idx="1256">
                  <c:v>6.4555123465629506E-5</c:v>
                </c:pt>
                <c:pt idx="1257">
                  <c:v>6.5169912499353895E-5</c:v>
                </c:pt>
                <c:pt idx="1258">
                  <c:v>6.5069538981149896E-5</c:v>
                </c:pt>
                <c:pt idx="1259">
                  <c:v>6.3570348809876588E-5</c:v>
                </c:pt>
                <c:pt idx="1260">
                  <c:v>6.4883703449647676E-5</c:v>
                </c:pt>
                <c:pt idx="1261">
                  <c:v>6.2688975234168737E-5</c:v>
                </c:pt>
                <c:pt idx="1262">
                  <c:v>6.47193314924648E-5</c:v>
                </c:pt>
                <c:pt idx="1263">
                  <c:v>6.3922155994660903E-5</c:v>
                </c:pt>
                <c:pt idx="1264">
                  <c:v>6.4548083116392166E-5</c:v>
                </c:pt>
                <c:pt idx="1265">
                  <c:v>6.4461412683313159E-5</c:v>
                </c:pt>
                <c:pt idx="1266">
                  <c:v>6.4384429705582666E-5</c:v>
                </c:pt>
                <c:pt idx="1267">
                  <c:v>6.4301737587300908E-5</c:v>
                </c:pt>
                <c:pt idx="1268">
                  <c:v>6.3531417878217691E-5</c:v>
                </c:pt>
                <c:pt idx="1269">
                  <c:v>6.5549059162177644E-5</c:v>
                </c:pt>
                <c:pt idx="1270">
                  <c:v>6.4079907777398967E-5</c:v>
                </c:pt>
                <c:pt idx="1271">
                  <c:v>6.3310554131527531E-5</c:v>
                </c:pt>
                <c:pt idx="1272">
                  <c:v>6.3245111548905213E-5</c:v>
                </c:pt>
                <c:pt idx="1273">
                  <c:v>6.3868282087585271E-5</c:v>
                </c:pt>
                <c:pt idx="1274">
                  <c:v>6.3807821842094603E-5</c:v>
                </c:pt>
                <c:pt idx="1275">
                  <c:v>6.305702303711783E-5</c:v>
                </c:pt>
                <c:pt idx="1276">
                  <c:v>6.5072389500885229E-5</c:v>
                </c:pt>
                <c:pt idx="1277">
                  <c:v>6.3626667863621344E-5</c:v>
                </c:pt>
                <c:pt idx="1278">
                  <c:v>6.4951246140514961E-5</c:v>
                </c:pt>
                <c:pt idx="1279">
                  <c:v>6.2822468872080758E-5</c:v>
                </c:pt>
                <c:pt idx="1280">
                  <c:v>6.3454905693448454E-5</c:v>
                </c:pt>
                <c:pt idx="1281">
                  <c:v>6.3404846665293327E-5</c:v>
                </c:pt>
                <c:pt idx="1282">
                  <c:v>6.1980715084952528E-5</c:v>
                </c:pt>
                <c:pt idx="1283">
                  <c:v>6.1932073763682272E-5</c:v>
                </c:pt>
                <c:pt idx="1284">
                  <c:v>6.1889648325519751E-5</c:v>
                </c:pt>
                <c:pt idx="1285">
                  <c:v>6.3221832695287272E-5</c:v>
                </c:pt>
                <c:pt idx="1286">
                  <c:v>6.3183094355590095E-5</c:v>
                </c:pt>
                <c:pt idx="1287">
                  <c:v>6.3138071847214421E-5</c:v>
                </c:pt>
                <c:pt idx="1288">
                  <c:v>6.310265546762784E-5</c:v>
                </c:pt>
                <c:pt idx="1289">
                  <c:v>6.3062840743820537E-5</c:v>
                </c:pt>
                <c:pt idx="1290">
                  <c:v>6.3028453865554603E-5</c:v>
                </c:pt>
                <c:pt idx="1291">
                  <c:v>6.2308422356343096E-5</c:v>
                </c:pt>
                <c:pt idx="1292">
                  <c:v>6.2961847228510312E-5</c:v>
                </c:pt>
                <c:pt idx="1293">
                  <c:v>6.2929989134906909E-5</c:v>
                </c:pt>
                <c:pt idx="1294">
                  <c:v>6.153621251746874E-5</c:v>
                </c:pt>
                <c:pt idx="1295">
                  <c:v>6.2191920363697324E-5</c:v>
                </c:pt>
                <c:pt idx="1296">
                  <c:v>6.0802973080620847E-5</c:v>
                </c:pt>
                <c:pt idx="1297">
                  <c:v>6.283100486969923E-5</c:v>
                </c:pt>
                <c:pt idx="1298">
                  <c:v>6.2126468317297588E-5</c:v>
                </c:pt>
                <c:pt idx="1299">
                  <c:v>6.2790558667436965E-5</c:v>
                </c:pt>
                <c:pt idx="1300">
                  <c:v>6.2772403658908533E-5</c:v>
                </c:pt>
                <c:pt idx="1301">
                  <c:v>6.2757707430295356E-5</c:v>
                </c:pt>
                <c:pt idx="1302">
                  <c:v>6.2743530736367986E-5</c:v>
                </c:pt>
                <c:pt idx="1303">
                  <c:v>6.2050730949921335E-5</c:v>
                </c:pt>
                <c:pt idx="1304">
                  <c:v>6.4086381228212351E-5</c:v>
                </c:pt>
                <c:pt idx="1305">
                  <c:v>6.27147898508646E-5</c:v>
                </c:pt>
                <c:pt idx="1306">
                  <c:v>6.1345940599913783E-5</c:v>
                </c:pt>
                <c:pt idx="1307">
                  <c:v>6.1341647231842971E-5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22528"/>
        <c:axId val="185624064"/>
      </c:lineChart>
      <c:dateAx>
        <c:axId val="185622528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5624064"/>
        <c:crosses val="autoZero"/>
        <c:auto val="1"/>
        <c:lblOffset val="100"/>
        <c:baseTimeUnit val="days"/>
        <c:majorUnit val="6"/>
        <c:majorTimeUnit val="months"/>
      </c:dateAx>
      <c:valAx>
        <c:axId val="185624064"/>
        <c:scaling>
          <c:orientation val="minMax"/>
          <c:max val="1E-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622528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Delta'!$Y$2</c:f>
              <c:strCache>
                <c:ptCount val="1"/>
                <c:pt idx="0">
                  <c:v>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42118</c:v>
                </c:pt>
                <c:pt idx="1">
                  <c:v>42121</c:v>
                </c:pt>
                <c:pt idx="2">
                  <c:v>42122</c:v>
                </c:pt>
                <c:pt idx="3">
                  <c:v>42123</c:v>
                </c:pt>
                <c:pt idx="4">
                  <c:v>42124</c:v>
                </c:pt>
                <c:pt idx="5">
                  <c:v>42128</c:v>
                </c:pt>
                <c:pt idx="6">
                  <c:v>42129</c:v>
                </c:pt>
                <c:pt idx="7">
                  <c:v>42130</c:v>
                </c:pt>
                <c:pt idx="8">
                  <c:v>42131</c:v>
                </c:pt>
                <c:pt idx="9">
                  <c:v>42132</c:v>
                </c:pt>
                <c:pt idx="10">
                  <c:v>42135</c:v>
                </c:pt>
                <c:pt idx="11">
                  <c:v>42136</c:v>
                </c:pt>
                <c:pt idx="12">
                  <c:v>42137</c:v>
                </c:pt>
                <c:pt idx="13">
                  <c:v>42138</c:v>
                </c:pt>
                <c:pt idx="14">
                  <c:v>42139</c:v>
                </c:pt>
                <c:pt idx="15">
                  <c:v>42142</c:v>
                </c:pt>
                <c:pt idx="16">
                  <c:v>42143</c:v>
                </c:pt>
                <c:pt idx="17">
                  <c:v>42144</c:v>
                </c:pt>
                <c:pt idx="18">
                  <c:v>42145</c:v>
                </c:pt>
                <c:pt idx="19">
                  <c:v>42146</c:v>
                </c:pt>
                <c:pt idx="20">
                  <c:v>42149</c:v>
                </c:pt>
                <c:pt idx="21">
                  <c:v>42150</c:v>
                </c:pt>
                <c:pt idx="22">
                  <c:v>42151</c:v>
                </c:pt>
                <c:pt idx="23">
                  <c:v>42152</c:v>
                </c:pt>
                <c:pt idx="24">
                  <c:v>42153</c:v>
                </c:pt>
                <c:pt idx="25">
                  <c:v>42156</c:v>
                </c:pt>
                <c:pt idx="26">
                  <c:v>42157</c:v>
                </c:pt>
                <c:pt idx="27">
                  <c:v>42158</c:v>
                </c:pt>
                <c:pt idx="28">
                  <c:v>42159</c:v>
                </c:pt>
                <c:pt idx="29">
                  <c:v>42160</c:v>
                </c:pt>
                <c:pt idx="30">
                  <c:v>42163</c:v>
                </c:pt>
                <c:pt idx="31">
                  <c:v>42164</c:v>
                </c:pt>
                <c:pt idx="32">
                  <c:v>42165</c:v>
                </c:pt>
                <c:pt idx="33">
                  <c:v>42166</c:v>
                </c:pt>
                <c:pt idx="34">
                  <c:v>42167</c:v>
                </c:pt>
                <c:pt idx="35">
                  <c:v>42170</c:v>
                </c:pt>
                <c:pt idx="36">
                  <c:v>42171</c:v>
                </c:pt>
                <c:pt idx="37">
                  <c:v>42172</c:v>
                </c:pt>
                <c:pt idx="38">
                  <c:v>42173</c:v>
                </c:pt>
                <c:pt idx="39">
                  <c:v>42174</c:v>
                </c:pt>
                <c:pt idx="40">
                  <c:v>42177</c:v>
                </c:pt>
                <c:pt idx="41">
                  <c:v>42178</c:v>
                </c:pt>
                <c:pt idx="42">
                  <c:v>42179</c:v>
                </c:pt>
                <c:pt idx="43">
                  <c:v>42180</c:v>
                </c:pt>
                <c:pt idx="44">
                  <c:v>42181</c:v>
                </c:pt>
                <c:pt idx="45">
                  <c:v>42184</c:v>
                </c:pt>
                <c:pt idx="46">
                  <c:v>42185</c:v>
                </c:pt>
                <c:pt idx="47">
                  <c:v>42186</c:v>
                </c:pt>
                <c:pt idx="48">
                  <c:v>42187</c:v>
                </c:pt>
                <c:pt idx="49">
                  <c:v>42188</c:v>
                </c:pt>
                <c:pt idx="50">
                  <c:v>42191</c:v>
                </c:pt>
                <c:pt idx="51">
                  <c:v>42192</c:v>
                </c:pt>
                <c:pt idx="52">
                  <c:v>42193</c:v>
                </c:pt>
                <c:pt idx="53">
                  <c:v>42194</c:v>
                </c:pt>
                <c:pt idx="54">
                  <c:v>42195</c:v>
                </c:pt>
                <c:pt idx="55">
                  <c:v>42198</c:v>
                </c:pt>
                <c:pt idx="56">
                  <c:v>42199</c:v>
                </c:pt>
                <c:pt idx="57">
                  <c:v>42200</c:v>
                </c:pt>
                <c:pt idx="58">
                  <c:v>42201</c:v>
                </c:pt>
                <c:pt idx="59">
                  <c:v>42202</c:v>
                </c:pt>
                <c:pt idx="60">
                  <c:v>42205</c:v>
                </c:pt>
                <c:pt idx="61">
                  <c:v>42206</c:v>
                </c:pt>
                <c:pt idx="62">
                  <c:v>42207</c:v>
                </c:pt>
                <c:pt idx="63">
                  <c:v>42208</c:v>
                </c:pt>
                <c:pt idx="64">
                  <c:v>42209</c:v>
                </c:pt>
                <c:pt idx="65">
                  <c:v>42212</c:v>
                </c:pt>
                <c:pt idx="66">
                  <c:v>42213</c:v>
                </c:pt>
                <c:pt idx="67">
                  <c:v>42214</c:v>
                </c:pt>
                <c:pt idx="68">
                  <c:v>42215</c:v>
                </c:pt>
                <c:pt idx="69">
                  <c:v>42216</c:v>
                </c:pt>
                <c:pt idx="70">
                  <c:v>42219</c:v>
                </c:pt>
                <c:pt idx="71">
                  <c:v>42220</c:v>
                </c:pt>
                <c:pt idx="72">
                  <c:v>42221</c:v>
                </c:pt>
                <c:pt idx="73">
                  <c:v>42222</c:v>
                </c:pt>
                <c:pt idx="74">
                  <c:v>42223</c:v>
                </c:pt>
                <c:pt idx="75">
                  <c:v>42226</c:v>
                </c:pt>
                <c:pt idx="76">
                  <c:v>42227</c:v>
                </c:pt>
                <c:pt idx="77">
                  <c:v>42228</c:v>
                </c:pt>
                <c:pt idx="78">
                  <c:v>42229</c:v>
                </c:pt>
                <c:pt idx="79">
                  <c:v>42230</c:v>
                </c:pt>
                <c:pt idx="80">
                  <c:v>42233</c:v>
                </c:pt>
                <c:pt idx="81">
                  <c:v>42234</c:v>
                </c:pt>
                <c:pt idx="82">
                  <c:v>42235</c:v>
                </c:pt>
                <c:pt idx="83">
                  <c:v>42236</c:v>
                </c:pt>
                <c:pt idx="84">
                  <c:v>42237</c:v>
                </c:pt>
                <c:pt idx="85">
                  <c:v>42240</c:v>
                </c:pt>
                <c:pt idx="86">
                  <c:v>42241</c:v>
                </c:pt>
                <c:pt idx="87">
                  <c:v>42242</c:v>
                </c:pt>
                <c:pt idx="88">
                  <c:v>42243</c:v>
                </c:pt>
                <c:pt idx="89">
                  <c:v>42244</c:v>
                </c:pt>
                <c:pt idx="90">
                  <c:v>42247</c:v>
                </c:pt>
                <c:pt idx="91">
                  <c:v>42248</c:v>
                </c:pt>
                <c:pt idx="92">
                  <c:v>42249</c:v>
                </c:pt>
                <c:pt idx="93">
                  <c:v>42250</c:v>
                </c:pt>
                <c:pt idx="94">
                  <c:v>42251</c:v>
                </c:pt>
                <c:pt idx="95">
                  <c:v>42254</c:v>
                </c:pt>
                <c:pt idx="96">
                  <c:v>42255</c:v>
                </c:pt>
                <c:pt idx="97">
                  <c:v>42256</c:v>
                </c:pt>
                <c:pt idx="98">
                  <c:v>42257</c:v>
                </c:pt>
                <c:pt idx="99">
                  <c:v>42258</c:v>
                </c:pt>
                <c:pt idx="100">
                  <c:v>42261</c:v>
                </c:pt>
                <c:pt idx="101">
                  <c:v>42262</c:v>
                </c:pt>
                <c:pt idx="102">
                  <c:v>42263</c:v>
                </c:pt>
                <c:pt idx="103">
                  <c:v>42264</c:v>
                </c:pt>
                <c:pt idx="104">
                  <c:v>42265</c:v>
                </c:pt>
                <c:pt idx="105">
                  <c:v>42268</c:v>
                </c:pt>
                <c:pt idx="106">
                  <c:v>42269</c:v>
                </c:pt>
                <c:pt idx="107">
                  <c:v>42270</c:v>
                </c:pt>
                <c:pt idx="108">
                  <c:v>42271</c:v>
                </c:pt>
                <c:pt idx="109">
                  <c:v>42272</c:v>
                </c:pt>
                <c:pt idx="110">
                  <c:v>42275</c:v>
                </c:pt>
                <c:pt idx="111">
                  <c:v>42276</c:v>
                </c:pt>
                <c:pt idx="112">
                  <c:v>42277</c:v>
                </c:pt>
                <c:pt idx="113">
                  <c:v>42278</c:v>
                </c:pt>
                <c:pt idx="114">
                  <c:v>42279</c:v>
                </c:pt>
                <c:pt idx="115">
                  <c:v>42282</c:v>
                </c:pt>
                <c:pt idx="116">
                  <c:v>42283</c:v>
                </c:pt>
                <c:pt idx="117">
                  <c:v>42284</c:v>
                </c:pt>
                <c:pt idx="118">
                  <c:v>42285</c:v>
                </c:pt>
                <c:pt idx="119">
                  <c:v>42286</c:v>
                </c:pt>
                <c:pt idx="120">
                  <c:v>42289</c:v>
                </c:pt>
                <c:pt idx="121">
                  <c:v>42290</c:v>
                </c:pt>
                <c:pt idx="122">
                  <c:v>42291</c:v>
                </c:pt>
                <c:pt idx="123">
                  <c:v>42292</c:v>
                </c:pt>
                <c:pt idx="124">
                  <c:v>42293</c:v>
                </c:pt>
                <c:pt idx="125">
                  <c:v>42296</c:v>
                </c:pt>
                <c:pt idx="126">
                  <c:v>42297</c:v>
                </c:pt>
                <c:pt idx="127">
                  <c:v>42298</c:v>
                </c:pt>
                <c:pt idx="128">
                  <c:v>42299</c:v>
                </c:pt>
                <c:pt idx="129">
                  <c:v>42300</c:v>
                </c:pt>
                <c:pt idx="130">
                  <c:v>42303</c:v>
                </c:pt>
                <c:pt idx="131">
                  <c:v>42304</c:v>
                </c:pt>
                <c:pt idx="132">
                  <c:v>42305</c:v>
                </c:pt>
                <c:pt idx="133">
                  <c:v>42306</c:v>
                </c:pt>
                <c:pt idx="134">
                  <c:v>42307</c:v>
                </c:pt>
                <c:pt idx="135">
                  <c:v>42310</c:v>
                </c:pt>
                <c:pt idx="136">
                  <c:v>42311</c:v>
                </c:pt>
                <c:pt idx="137">
                  <c:v>42312</c:v>
                </c:pt>
                <c:pt idx="138">
                  <c:v>42313</c:v>
                </c:pt>
                <c:pt idx="139">
                  <c:v>42314</c:v>
                </c:pt>
                <c:pt idx="140">
                  <c:v>42317</c:v>
                </c:pt>
                <c:pt idx="141">
                  <c:v>42318</c:v>
                </c:pt>
                <c:pt idx="142">
                  <c:v>42319</c:v>
                </c:pt>
                <c:pt idx="143">
                  <c:v>42320</c:v>
                </c:pt>
                <c:pt idx="144">
                  <c:v>42321</c:v>
                </c:pt>
                <c:pt idx="145">
                  <c:v>42324</c:v>
                </c:pt>
                <c:pt idx="146">
                  <c:v>42325</c:v>
                </c:pt>
                <c:pt idx="147">
                  <c:v>42326</c:v>
                </c:pt>
                <c:pt idx="148">
                  <c:v>42327</c:v>
                </c:pt>
                <c:pt idx="149">
                  <c:v>42328</c:v>
                </c:pt>
                <c:pt idx="150">
                  <c:v>42331</c:v>
                </c:pt>
                <c:pt idx="151">
                  <c:v>42332</c:v>
                </c:pt>
                <c:pt idx="152">
                  <c:v>42333</c:v>
                </c:pt>
                <c:pt idx="153">
                  <c:v>42334</c:v>
                </c:pt>
                <c:pt idx="154">
                  <c:v>42335</c:v>
                </c:pt>
                <c:pt idx="155">
                  <c:v>42338</c:v>
                </c:pt>
                <c:pt idx="156">
                  <c:v>42339</c:v>
                </c:pt>
                <c:pt idx="157">
                  <c:v>42340</c:v>
                </c:pt>
                <c:pt idx="158">
                  <c:v>42341</c:v>
                </c:pt>
                <c:pt idx="159">
                  <c:v>42342</c:v>
                </c:pt>
                <c:pt idx="160">
                  <c:v>42345</c:v>
                </c:pt>
                <c:pt idx="161">
                  <c:v>42346</c:v>
                </c:pt>
                <c:pt idx="162">
                  <c:v>42347</c:v>
                </c:pt>
                <c:pt idx="163">
                  <c:v>42348</c:v>
                </c:pt>
                <c:pt idx="164">
                  <c:v>42349</c:v>
                </c:pt>
                <c:pt idx="165">
                  <c:v>42352</c:v>
                </c:pt>
                <c:pt idx="166">
                  <c:v>42353</c:v>
                </c:pt>
                <c:pt idx="167">
                  <c:v>42354</c:v>
                </c:pt>
                <c:pt idx="168">
                  <c:v>42355</c:v>
                </c:pt>
                <c:pt idx="169">
                  <c:v>42356</c:v>
                </c:pt>
                <c:pt idx="170">
                  <c:v>42359</c:v>
                </c:pt>
                <c:pt idx="171">
                  <c:v>42360</c:v>
                </c:pt>
                <c:pt idx="172">
                  <c:v>42361</c:v>
                </c:pt>
                <c:pt idx="173">
                  <c:v>42362</c:v>
                </c:pt>
                <c:pt idx="174">
                  <c:v>42366</c:v>
                </c:pt>
                <c:pt idx="175">
                  <c:v>42367</c:v>
                </c:pt>
                <c:pt idx="176">
                  <c:v>42368</c:v>
                </c:pt>
                <c:pt idx="177">
                  <c:v>42369</c:v>
                </c:pt>
                <c:pt idx="178">
                  <c:v>42373</c:v>
                </c:pt>
                <c:pt idx="179">
                  <c:v>42374</c:v>
                </c:pt>
                <c:pt idx="180">
                  <c:v>42375</c:v>
                </c:pt>
                <c:pt idx="181">
                  <c:v>42376</c:v>
                </c:pt>
                <c:pt idx="182">
                  <c:v>42377</c:v>
                </c:pt>
                <c:pt idx="183">
                  <c:v>42380</c:v>
                </c:pt>
                <c:pt idx="184">
                  <c:v>42381</c:v>
                </c:pt>
                <c:pt idx="185">
                  <c:v>42382</c:v>
                </c:pt>
                <c:pt idx="186">
                  <c:v>42383</c:v>
                </c:pt>
                <c:pt idx="187">
                  <c:v>42384</c:v>
                </c:pt>
                <c:pt idx="188">
                  <c:v>42387</c:v>
                </c:pt>
                <c:pt idx="189">
                  <c:v>42388</c:v>
                </c:pt>
                <c:pt idx="190">
                  <c:v>42389</c:v>
                </c:pt>
                <c:pt idx="191">
                  <c:v>42390</c:v>
                </c:pt>
                <c:pt idx="192">
                  <c:v>42391</c:v>
                </c:pt>
                <c:pt idx="193">
                  <c:v>42394</c:v>
                </c:pt>
                <c:pt idx="194">
                  <c:v>42395</c:v>
                </c:pt>
                <c:pt idx="195">
                  <c:v>42396</c:v>
                </c:pt>
                <c:pt idx="196">
                  <c:v>42397</c:v>
                </c:pt>
                <c:pt idx="197">
                  <c:v>42398</c:v>
                </c:pt>
                <c:pt idx="198">
                  <c:v>42401</c:v>
                </c:pt>
                <c:pt idx="199">
                  <c:v>42402</c:v>
                </c:pt>
                <c:pt idx="200">
                  <c:v>42403</c:v>
                </c:pt>
                <c:pt idx="201">
                  <c:v>42404</c:v>
                </c:pt>
                <c:pt idx="202">
                  <c:v>42405</c:v>
                </c:pt>
                <c:pt idx="203">
                  <c:v>42408</c:v>
                </c:pt>
                <c:pt idx="204">
                  <c:v>42409</c:v>
                </c:pt>
                <c:pt idx="205">
                  <c:v>42410</c:v>
                </c:pt>
                <c:pt idx="206">
                  <c:v>42411</c:v>
                </c:pt>
                <c:pt idx="207">
                  <c:v>42412</c:v>
                </c:pt>
                <c:pt idx="208">
                  <c:v>42415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42422</c:v>
                </c:pt>
                <c:pt idx="214">
                  <c:v>42423</c:v>
                </c:pt>
                <c:pt idx="215">
                  <c:v>42424</c:v>
                </c:pt>
                <c:pt idx="216">
                  <c:v>42425</c:v>
                </c:pt>
                <c:pt idx="217">
                  <c:v>42426</c:v>
                </c:pt>
                <c:pt idx="218">
                  <c:v>42429</c:v>
                </c:pt>
                <c:pt idx="219">
                  <c:v>42430</c:v>
                </c:pt>
                <c:pt idx="220">
                  <c:v>42431</c:v>
                </c:pt>
                <c:pt idx="221">
                  <c:v>42432</c:v>
                </c:pt>
                <c:pt idx="222">
                  <c:v>42433</c:v>
                </c:pt>
                <c:pt idx="223">
                  <c:v>42436</c:v>
                </c:pt>
                <c:pt idx="224">
                  <c:v>42437</c:v>
                </c:pt>
                <c:pt idx="225">
                  <c:v>42438</c:v>
                </c:pt>
                <c:pt idx="226">
                  <c:v>42439</c:v>
                </c:pt>
                <c:pt idx="227">
                  <c:v>42440</c:v>
                </c:pt>
                <c:pt idx="228">
                  <c:v>42443</c:v>
                </c:pt>
                <c:pt idx="229">
                  <c:v>42444</c:v>
                </c:pt>
                <c:pt idx="230">
                  <c:v>42445</c:v>
                </c:pt>
                <c:pt idx="231">
                  <c:v>42446</c:v>
                </c:pt>
                <c:pt idx="232">
                  <c:v>42447</c:v>
                </c:pt>
                <c:pt idx="233">
                  <c:v>42450</c:v>
                </c:pt>
                <c:pt idx="234">
                  <c:v>42451</c:v>
                </c:pt>
                <c:pt idx="235">
                  <c:v>42452</c:v>
                </c:pt>
                <c:pt idx="236">
                  <c:v>42453</c:v>
                </c:pt>
                <c:pt idx="237">
                  <c:v>42458</c:v>
                </c:pt>
                <c:pt idx="238">
                  <c:v>42459</c:v>
                </c:pt>
                <c:pt idx="239">
                  <c:v>42460</c:v>
                </c:pt>
                <c:pt idx="240">
                  <c:v>42461</c:v>
                </c:pt>
                <c:pt idx="241">
                  <c:v>42464</c:v>
                </c:pt>
                <c:pt idx="242">
                  <c:v>42465</c:v>
                </c:pt>
                <c:pt idx="243">
                  <c:v>42466</c:v>
                </c:pt>
                <c:pt idx="244">
                  <c:v>42467</c:v>
                </c:pt>
                <c:pt idx="245">
                  <c:v>42468</c:v>
                </c:pt>
                <c:pt idx="246">
                  <c:v>42471</c:v>
                </c:pt>
                <c:pt idx="247">
                  <c:v>42472</c:v>
                </c:pt>
                <c:pt idx="248">
                  <c:v>42473</c:v>
                </c:pt>
                <c:pt idx="249">
                  <c:v>42474</c:v>
                </c:pt>
                <c:pt idx="250">
                  <c:v>42475</c:v>
                </c:pt>
                <c:pt idx="251">
                  <c:v>42478</c:v>
                </c:pt>
                <c:pt idx="252">
                  <c:v>42479</c:v>
                </c:pt>
                <c:pt idx="253">
                  <c:v>42480</c:v>
                </c:pt>
                <c:pt idx="254">
                  <c:v>42481</c:v>
                </c:pt>
                <c:pt idx="255">
                  <c:v>42482</c:v>
                </c:pt>
                <c:pt idx="256">
                  <c:v>42485</c:v>
                </c:pt>
                <c:pt idx="257">
                  <c:v>42492</c:v>
                </c:pt>
                <c:pt idx="258">
                  <c:v>42499</c:v>
                </c:pt>
                <c:pt idx="259">
                  <c:v>42506</c:v>
                </c:pt>
                <c:pt idx="260">
                  <c:v>42513</c:v>
                </c:pt>
                <c:pt idx="261">
                  <c:v>42520</c:v>
                </c:pt>
                <c:pt idx="262">
                  <c:v>42527</c:v>
                </c:pt>
                <c:pt idx="263">
                  <c:v>42534</c:v>
                </c:pt>
                <c:pt idx="264">
                  <c:v>42541</c:v>
                </c:pt>
                <c:pt idx="265">
                  <c:v>42548</c:v>
                </c:pt>
                <c:pt idx="266">
                  <c:v>42555</c:v>
                </c:pt>
                <c:pt idx="267">
                  <c:v>42562</c:v>
                </c:pt>
                <c:pt idx="268">
                  <c:v>42569</c:v>
                </c:pt>
                <c:pt idx="269">
                  <c:v>42576</c:v>
                </c:pt>
                <c:pt idx="270">
                  <c:v>42583</c:v>
                </c:pt>
                <c:pt idx="271">
                  <c:v>42590</c:v>
                </c:pt>
                <c:pt idx="272">
                  <c:v>42597</c:v>
                </c:pt>
                <c:pt idx="273">
                  <c:v>42604</c:v>
                </c:pt>
                <c:pt idx="274">
                  <c:v>42611</c:v>
                </c:pt>
                <c:pt idx="275">
                  <c:v>42618</c:v>
                </c:pt>
                <c:pt idx="276">
                  <c:v>42625</c:v>
                </c:pt>
                <c:pt idx="277">
                  <c:v>42632</c:v>
                </c:pt>
                <c:pt idx="278">
                  <c:v>42639</c:v>
                </c:pt>
                <c:pt idx="279">
                  <c:v>42646</c:v>
                </c:pt>
                <c:pt idx="280">
                  <c:v>42653</c:v>
                </c:pt>
                <c:pt idx="281">
                  <c:v>42660</c:v>
                </c:pt>
                <c:pt idx="282">
                  <c:v>42667</c:v>
                </c:pt>
                <c:pt idx="283">
                  <c:v>42674</c:v>
                </c:pt>
                <c:pt idx="284">
                  <c:v>42681</c:v>
                </c:pt>
                <c:pt idx="285">
                  <c:v>42688</c:v>
                </c:pt>
                <c:pt idx="286">
                  <c:v>42695</c:v>
                </c:pt>
                <c:pt idx="287">
                  <c:v>42702</c:v>
                </c:pt>
                <c:pt idx="288">
                  <c:v>42709</c:v>
                </c:pt>
                <c:pt idx="289">
                  <c:v>42716</c:v>
                </c:pt>
                <c:pt idx="290">
                  <c:v>42723</c:v>
                </c:pt>
                <c:pt idx="291">
                  <c:v>42731</c:v>
                </c:pt>
                <c:pt idx="292">
                  <c:v>42737</c:v>
                </c:pt>
                <c:pt idx="293">
                  <c:v>42744</c:v>
                </c:pt>
                <c:pt idx="294">
                  <c:v>42751</c:v>
                </c:pt>
                <c:pt idx="295">
                  <c:v>42758</c:v>
                </c:pt>
                <c:pt idx="296">
                  <c:v>42765</c:v>
                </c:pt>
                <c:pt idx="297">
                  <c:v>42772</c:v>
                </c:pt>
                <c:pt idx="298">
                  <c:v>42779</c:v>
                </c:pt>
                <c:pt idx="299">
                  <c:v>42786</c:v>
                </c:pt>
                <c:pt idx="300">
                  <c:v>42793</c:v>
                </c:pt>
                <c:pt idx="301">
                  <c:v>42800</c:v>
                </c:pt>
                <c:pt idx="302">
                  <c:v>42807</c:v>
                </c:pt>
                <c:pt idx="303">
                  <c:v>42814</c:v>
                </c:pt>
                <c:pt idx="304">
                  <c:v>42821</c:v>
                </c:pt>
                <c:pt idx="305">
                  <c:v>42828</c:v>
                </c:pt>
                <c:pt idx="306">
                  <c:v>42835</c:v>
                </c:pt>
                <c:pt idx="307">
                  <c:v>42844</c:v>
                </c:pt>
                <c:pt idx="308">
                  <c:v>42849</c:v>
                </c:pt>
                <c:pt idx="309">
                  <c:v>42857</c:v>
                </c:pt>
                <c:pt idx="310">
                  <c:v>42863</c:v>
                </c:pt>
                <c:pt idx="311">
                  <c:v>42870</c:v>
                </c:pt>
                <c:pt idx="312">
                  <c:v>42877</c:v>
                </c:pt>
                <c:pt idx="313">
                  <c:v>42884</c:v>
                </c:pt>
                <c:pt idx="314">
                  <c:v>42891</c:v>
                </c:pt>
                <c:pt idx="315">
                  <c:v>42898</c:v>
                </c:pt>
                <c:pt idx="316">
                  <c:v>42905</c:v>
                </c:pt>
                <c:pt idx="317">
                  <c:v>42912</c:v>
                </c:pt>
                <c:pt idx="318">
                  <c:v>42919</c:v>
                </c:pt>
                <c:pt idx="319">
                  <c:v>42926</c:v>
                </c:pt>
                <c:pt idx="320">
                  <c:v>42933</c:v>
                </c:pt>
                <c:pt idx="321">
                  <c:v>42940</c:v>
                </c:pt>
                <c:pt idx="322">
                  <c:v>42947</c:v>
                </c:pt>
                <c:pt idx="323">
                  <c:v>42954</c:v>
                </c:pt>
                <c:pt idx="324">
                  <c:v>42961</c:v>
                </c:pt>
                <c:pt idx="325">
                  <c:v>42968</c:v>
                </c:pt>
                <c:pt idx="326">
                  <c:v>42975</c:v>
                </c:pt>
                <c:pt idx="327">
                  <c:v>42982</c:v>
                </c:pt>
                <c:pt idx="328">
                  <c:v>42989</c:v>
                </c:pt>
                <c:pt idx="329">
                  <c:v>42996</c:v>
                </c:pt>
                <c:pt idx="330">
                  <c:v>43003</c:v>
                </c:pt>
                <c:pt idx="331">
                  <c:v>43010</c:v>
                </c:pt>
                <c:pt idx="332">
                  <c:v>43017</c:v>
                </c:pt>
                <c:pt idx="333">
                  <c:v>43024</c:v>
                </c:pt>
                <c:pt idx="334">
                  <c:v>43031</c:v>
                </c:pt>
                <c:pt idx="335">
                  <c:v>43038</c:v>
                </c:pt>
                <c:pt idx="336">
                  <c:v>43045</c:v>
                </c:pt>
                <c:pt idx="337">
                  <c:v>43052</c:v>
                </c:pt>
                <c:pt idx="338">
                  <c:v>43059</c:v>
                </c:pt>
                <c:pt idx="339">
                  <c:v>43066</c:v>
                </c:pt>
                <c:pt idx="340">
                  <c:v>43073</c:v>
                </c:pt>
                <c:pt idx="341">
                  <c:v>43080</c:v>
                </c:pt>
                <c:pt idx="342">
                  <c:v>43087</c:v>
                </c:pt>
                <c:pt idx="343">
                  <c:v>43096</c:v>
                </c:pt>
                <c:pt idx="344">
                  <c:v>43102</c:v>
                </c:pt>
                <c:pt idx="345">
                  <c:v>43108</c:v>
                </c:pt>
                <c:pt idx="346">
                  <c:v>43115</c:v>
                </c:pt>
                <c:pt idx="347">
                  <c:v>43122</c:v>
                </c:pt>
                <c:pt idx="348">
                  <c:v>43129</c:v>
                </c:pt>
                <c:pt idx="349">
                  <c:v>43136</c:v>
                </c:pt>
                <c:pt idx="350">
                  <c:v>43143</c:v>
                </c:pt>
                <c:pt idx="351">
                  <c:v>43150</c:v>
                </c:pt>
                <c:pt idx="352">
                  <c:v>43157</c:v>
                </c:pt>
                <c:pt idx="353">
                  <c:v>43164</c:v>
                </c:pt>
                <c:pt idx="354">
                  <c:v>43171</c:v>
                </c:pt>
                <c:pt idx="355">
                  <c:v>43178</c:v>
                </c:pt>
                <c:pt idx="356">
                  <c:v>43185</c:v>
                </c:pt>
                <c:pt idx="357">
                  <c:v>43194</c:v>
                </c:pt>
                <c:pt idx="358">
                  <c:v>43199</c:v>
                </c:pt>
                <c:pt idx="359">
                  <c:v>43206</c:v>
                </c:pt>
                <c:pt idx="360">
                  <c:v>43213</c:v>
                </c:pt>
                <c:pt idx="361">
                  <c:v>43220</c:v>
                </c:pt>
                <c:pt idx="362">
                  <c:v>43227</c:v>
                </c:pt>
                <c:pt idx="363">
                  <c:v>43234</c:v>
                </c:pt>
                <c:pt idx="364">
                  <c:v>43241</c:v>
                </c:pt>
                <c:pt idx="365">
                  <c:v>43248</c:v>
                </c:pt>
                <c:pt idx="366">
                  <c:v>43255</c:v>
                </c:pt>
                <c:pt idx="367">
                  <c:v>43262</c:v>
                </c:pt>
                <c:pt idx="368">
                  <c:v>43269</c:v>
                </c:pt>
                <c:pt idx="369">
                  <c:v>43276</c:v>
                </c:pt>
                <c:pt idx="370">
                  <c:v>43283</c:v>
                </c:pt>
                <c:pt idx="371">
                  <c:v>43290</c:v>
                </c:pt>
                <c:pt idx="372">
                  <c:v>43297</c:v>
                </c:pt>
                <c:pt idx="373">
                  <c:v>43304</c:v>
                </c:pt>
                <c:pt idx="374">
                  <c:v>43311</c:v>
                </c:pt>
                <c:pt idx="375">
                  <c:v>43318</c:v>
                </c:pt>
                <c:pt idx="376">
                  <c:v>43325</c:v>
                </c:pt>
                <c:pt idx="377">
                  <c:v>43332</c:v>
                </c:pt>
                <c:pt idx="378">
                  <c:v>43339</c:v>
                </c:pt>
                <c:pt idx="379">
                  <c:v>43346</c:v>
                </c:pt>
                <c:pt idx="380">
                  <c:v>43353</c:v>
                </c:pt>
                <c:pt idx="381">
                  <c:v>43360</c:v>
                </c:pt>
                <c:pt idx="382">
                  <c:v>43367</c:v>
                </c:pt>
                <c:pt idx="383">
                  <c:v>43374</c:v>
                </c:pt>
                <c:pt idx="384">
                  <c:v>43381</c:v>
                </c:pt>
                <c:pt idx="385">
                  <c:v>43388</c:v>
                </c:pt>
                <c:pt idx="386">
                  <c:v>43395</c:v>
                </c:pt>
                <c:pt idx="387">
                  <c:v>43402</c:v>
                </c:pt>
                <c:pt idx="388">
                  <c:v>43409</c:v>
                </c:pt>
                <c:pt idx="389">
                  <c:v>43416</c:v>
                </c:pt>
                <c:pt idx="390">
                  <c:v>43423</c:v>
                </c:pt>
                <c:pt idx="391">
                  <c:v>43430</c:v>
                </c:pt>
                <c:pt idx="392">
                  <c:v>43437</c:v>
                </c:pt>
                <c:pt idx="393">
                  <c:v>43444</c:v>
                </c:pt>
                <c:pt idx="394">
                  <c:v>43451</c:v>
                </c:pt>
                <c:pt idx="395">
                  <c:v>43458</c:v>
                </c:pt>
                <c:pt idx="396">
                  <c:v>43465</c:v>
                </c:pt>
                <c:pt idx="397">
                  <c:v>43472</c:v>
                </c:pt>
                <c:pt idx="398">
                  <c:v>43479</c:v>
                </c:pt>
                <c:pt idx="399">
                  <c:v>43486</c:v>
                </c:pt>
                <c:pt idx="400">
                  <c:v>43493</c:v>
                </c:pt>
                <c:pt idx="401">
                  <c:v>43500</c:v>
                </c:pt>
                <c:pt idx="402">
                  <c:v>43507</c:v>
                </c:pt>
                <c:pt idx="403">
                  <c:v>43514</c:v>
                </c:pt>
                <c:pt idx="404">
                  <c:v>43521</c:v>
                </c:pt>
                <c:pt idx="405">
                  <c:v>43528</c:v>
                </c:pt>
                <c:pt idx="406">
                  <c:v>43535</c:v>
                </c:pt>
                <c:pt idx="407">
                  <c:v>43542</c:v>
                </c:pt>
                <c:pt idx="408">
                  <c:v>43549</c:v>
                </c:pt>
                <c:pt idx="409">
                  <c:v>43556</c:v>
                </c:pt>
                <c:pt idx="410">
                  <c:v>43563</c:v>
                </c:pt>
                <c:pt idx="411">
                  <c:v>43570</c:v>
                </c:pt>
                <c:pt idx="412">
                  <c:v>43579</c:v>
                </c:pt>
                <c:pt idx="413">
                  <c:v>43584</c:v>
                </c:pt>
                <c:pt idx="414">
                  <c:v>43591</c:v>
                </c:pt>
                <c:pt idx="415">
                  <c:v>43598</c:v>
                </c:pt>
                <c:pt idx="416">
                  <c:v>43605</c:v>
                </c:pt>
                <c:pt idx="417">
                  <c:v>43612</c:v>
                </c:pt>
                <c:pt idx="418">
                  <c:v>43619</c:v>
                </c:pt>
                <c:pt idx="419">
                  <c:v>43626</c:v>
                </c:pt>
                <c:pt idx="420">
                  <c:v>43633</c:v>
                </c:pt>
                <c:pt idx="421">
                  <c:v>43640</c:v>
                </c:pt>
                <c:pt idx="422">
                  <c:v>43647</c:v>
                </c:pt>
                <c:pt idx="423">
                  <c:v>43654</c:v>
                </c:pt>
                <c:pt idx="424">
                  <c:v>43661</c:v>
                </c:pt>
                <c:pt idx="425">
                  <c:v>43668</c:v>
                </c:pt>
                <c:pt idx="426">
                  <c:v>43675</c:v>
                </c:pt>
                <c:pt idx="427">
                  <c:v>43682</c:v>
                </c:pt>
                <c:pt idx="428">
                  <c:v>43689</c:v>
                </c:pt>
                <c:pt idx="429">
                  <c:v>43696</c:v>
                </c:pt>
                <c:pt idx="430">
                  <c:v>43703</c:v>
                </c:pt>
                <c:pt idx="431">
                  <c:v>43710</c:v>
                </c:pt>
                <c:pt idx="432">
                  <c:v>43717</c:v>
                </c:pt>
                <c:pt idx="433">
                  <c:v>43724</c:v>
                </c:pt>
                <c:pt idx="434">
                  <c:v>43731</c:v>
                </c:pt>
                <c:pt idx="435">
                  <c:v>43738</c:v>
                </c:pt>
                <c:pt idx="436">
                  <c:v>43745</c:v>
                </c:pt>
                <c:pt idx="437">
                  <c:v>43752</c:v>
                </c:pt>
                <c:pt idx="438">
                  <c:v>43759</c:v>
                </c:pt>
                <c:pt idx="439">
                  <c:v>43766</c:v>
                </c:pt>
                <c:pt idx="440">
                  <c:v>43773</c:v>
                </c:pt>
                <c:pt idx="441">
                  <c:v>43780</c:v>
                </c:pt>
                <c:pt idx="442">
                  <c:v>43787</c:v>
                </c:pt>
                <c:pt idx="443">
                  <c:v>43794</c:v>
                </c:pt>
                <c:pt idx="444">
                  <c:v>43801</c:v>
                </c:pt>
                <c:pt idx="445">
                  <c:v>43808</c:v>
                </c:pt>
                <c:pt idx="446">
                  <c:v>43815</c:v>
                </c:pt>
                <c:pt idx="447">
                  <c:v>43822</c:v>
                </c:pt>
                <c:pt idx="448">
                  <c:v>43830</c:v>
                </c:pt>
                <c:pt idx="449">
                  <c:v>43837</c:v>
                </c:pt>
                <c:pt idx="450">
                  <c:v>43844</c:v>
                </c:pt>
                <c:pt idx="451">
                  <c:v>43851</c:v>
                </c:pt>
                <c:pt idx="452">
                  <c:v>43858</c:v>
                </c:pt>
                <c:pt idx="453">
                  <c:v>43865</c:v>
                </c:pt>
                <c:pt idx="454">
                  <c:v>43872</c:v>
                </c:pt>
                <c:pt idx="455">
                  <c:v>43879</c:v>
                </c:pt>
                <c:pt idx="456">
                  <c:v>43886</c:v>
                </c:pt>
                <c:pt idx="457">
                  <c:v>43893</c:v>
                </c:pt>
                <c:pt idx="458">
                  <c:v>43900</c:v>
                </c:pt>
                <c:pt idx="459">
                  <c:v>43907</c:v>
                </c:pt>
                <c:pt idx="460">
                  <c:v>43914</c:v>
                </c:pt>
                <c:pt idx="461">
                  <c:v>43921</c:v>
                </c:pt>
                <c:pt idx="462">
                  <c:v>43928</c:v>
                </c:pt>
                <c:pt idx="463">
                  <c:v>43937</c:v>
                </c:pt>
                <c:pt idx="464">
                  <c:v>43944</c:v>
                </c:pt>
                <c:pt idx="465">
                  <c:v>43951</c:v>
                </c:pt>
                <c:pt idx="466">
                  <c:v>43958</c:v>
                </c:pt>
                <c:pt idx="467">
                  <c:v>43965</c:v>
                </c:pt>
                <c:pt idx="468">
                  <c:v>43972</c:v>
                </c:pt>
                <c:pt idx="469">
                  <c:v>43979</c:v>
                </c:pt>
                <c:pt idx="470">
                  <c:v>43986</c:v>
                </c:pt>
                <c:pt idx="471">
                  <c:v>43993</c:v>
                </c:pt>
                <c:pt idx="472">
                  <c:v>44000</c:v>
                </c:pt>
                <c:pt idx="473">
                  <c:v>44007</c:v>
                </c:pt>
                <c:pt idx="474">
                  <c:v>44014</c:v>
                </c:pt>
                <c:pt idx="475">
                  <c:v>44021</c:v>
                </c:pt>
                <c:pt idx="476">
                  <c:v>44028</c:v>
                </c:pt>
                <c:pt idx="477">
                  <c:v>44035</c:v>
                </c:pt>
                <c:pt idx="478">
                  <c:v>44042</c:v>
                </c:pt>
                <c:pt idx="479">
                  <c:v>44049</c:v>
                </c:pt>
                <c:pt idx="480">
                  <c:v>44056</c:v>
                </c:pt>
                <c:pt idx="481">
                  <c:v>44063</c:v>
                </c:pt>
                <c:pt idx="482">
                  <c:v>44070</c:v>
                </c:pt>
                <c:pt idx="483">
                  <c:v>44077</c:v>
                </c:pt>
                <c:pt idx="484">
                  <c:v>44084</c:v>
                </c:pt>
                <c:pt idx="485">
                  <c:v>44091</c:v>
                </c:pt>
                <c:pt idx="486">
                  <c:v>44098</c:v>
                </c:pt>
                <c:pt idx="487">
                  <c:v>44105</c:v>
                </c:pt>
                <c:pt idx="488">
                  <c:v>44112</c:v>
                </c:pt>
                <c:pt idx="489">
                  <c:v>44119</c:v>
                </c:pt>
                <c:pt idx="490">
                  <c:v>44126</c:v>
                </c:pt>
                <c:pt idx="491">
                  <c:v>44133</c:v>
                </c:pt>
                <c:pt idx="492">
                  <c:v>44140</c:v>
                </c:pt>
                <c:pt idx="493">
                  <c:v>44147</c:v>
                </c:pt>
                <c:pt idx="494">
                  <c:v>44154</c:v>
                </c:pt>
                <c:pt idx="495">
                  <c:v>44161</c:v>
                </c:pt>
                <c:pt idx="496">
                  <c:v>44168</c:v>
                </c:pt>
                <c:pt idx="497">
                  <c:v>44175</c:v>
                </c:pt>
                <c:pt idx="498">
                  <c:v>44182</c:v>
                </c:pt>
                <c:pt idx="499">
                  <c:v>44189</c:v>
                </c:pt>
                <c:pt idx="500">
                  <c:v>44196</c:v>
                </c:pt>
                <c:pt idx="501">
                  <c:v>44203</c:v>
                </c:pt>
                <c:pt idx="502">
                  <c:v>44210</c:v>
                </c:pt>
                <c:pt idx="503">
                  <c:v>44217</c:v>
                </c:pt>
                <c:pt idx="504">
                  <c:v>44224</c:v>
                </c:pt>
                <c:pt idx="505">
                  <c:v>44231</c:v>
                </c:pt>
                <c:pt idx="506">
                  <c:v>44238</c:v>
                </c:pt>
                <c:pt idx="507">
                  <c:v>44245</c:v>
                </c:pt>
                <c:pt idx="508">
                  <c:v>44252</c:v>
                </c:pt>
                <c:pt idx="509">
                  <c:v>44259</c:v>
                </c:pt>
                <c:pt idx="510">
                  <c:v>44266</c:v>
                </c:pt>
                <c:pt idx="511">
                  <c:v>44273</c:v>
                </c:pt>
                <c:pt idx="512">
                  <c:v>44280</c:v>
                </c:pt>
                <c:pt idx="513">
                  <c:v>44287</c:v>
                </c:pt>
                <c:pt idx="514">
                  <c:v>44294</c:v>
                </c:pt>
                <c:pt idx="515">
                  <c:v>44301</c:v>
                </c:pt>
                <c:pt idx="516">
                  <c:v>44308</c:v>
                </c:pt>
                <c:pt idx="517">
                  <c:v>44315</c:v>
                </c:pt>
                <c:pt idx="518">
                  <c:v>44322</c:v>
                </c:pt>
                <c:pt idx="519">
                  <c:v>44329</c:v>
                </c:pt>
                <c:pt idx="520">
                  <c:v>44336</c:v>
                </c:pt>
                <c:pt idx="521">
                  <c:v>44343</c:v>
                </c:pt>
                <c:pt idx="522">
                  <c:v>44350</c:v>
                </c:pt>
                <c:pt idx="523">
                  <c:v>44357</c:v>
                </c:pt>
                <c:pt idx="524">
                  <c:v>44364</c:v>
                </c:pt>
                <c:pt idx="525">
                  <c:v>44371</c:v>
                </c:pt>
                <c:pt idx="526">
                  <c:v>44378</c:v>
                </c:pt>
                <c:pt idx="527">
                  <c:v>44385</c:v>
                </c:pt>
                <c:pt idx="528">
                  <c:v>44392</c:v>
                </c:pt>
                <c:pt idx="529">
                  <c:v>44399</c:v>
                </c:pt>
                <c:pt idx="530">
                  <c:v>44406</c:v>
                </c:pt>
                <c:pt idx="531">
                  <c:v>44413</c:v>
                </c:pt>
                <c:pt idx="532">
                  <c:v>44420</c:v>
                </c:pt>
                <c:pt idx="533">
                  <c:v>44427</c:v>
                </c:pt>
                <c:pt idx="534">
                  <c:v>44434</c:v>
                </c:pt>
                <c:pt idx="535">
                  <c:v>44441</c:v>
                </c:pt>
                <c:pt idx="536">
                  <c:v>44448</c:v>
                </c:pt>
                <c:pt idx="537">
                  <c:v>44455</c:v>
                </c:pt>
                <c:pt idx="538">
                  <c:v>44462</c:v>
                </c:pt>
                <c:pt idx="539">
                  <c:v>44469</c:v>
                </c:pt>
                <c:pt idx="540">
                  <c:v>44476</c:v>
                </c:pt>
                <c:pt idx="541">
                  <c:v>44483</c:v>
                </c:pt>
                <c:pt idx="542">
                  <c:v>44490</c:v>
                </c:pt>
                <c:pt idx="543">
                  <c:v>44497</c:v>
                </c:pt>
                <c:pt idx="544">
                  <c:v>44504</c:v>
                </c:pt>
                <c:pt idx="545">
                  <c:v>44511</c:v>
                </c:pt>
                <c:pt idx="546">
                  <c:v>44518</c:v>
                </c:pt>
                <c:pt idx="547">
                  <c:v>44525</c:v>
                </c:pt>
                <c:pt idx="548">
                  <c:v>44532</c:v>
                </c:pt>
                <c:pt idx="549">
                  <c:v>44539</c:v>
                </c:pt>
                <c:pt idx="550">
                  <c:v>44546</c:v>
                </c:pt>
                <c:pt idx="551">
                  <c:v>44553</c:v>
                </c:pt>
                <c:pt idx="552">
                  <c:v>44560</c:v>
                </c:pt>
                <c:pt idx="553">
                  <c:v>44567</c:v>
                </c:pt>
                <c:pt idx="554">
                  <c:v>44574</c:v>
                </c:pt>
                <c:pt idx="555">
                  <c:v>44581</c:v>
                </c:pt>
                <c:pt idx="556">
                  <c:v>44588</c:v>
                </c:pt>
                <c:pt idx="557">
                  <c:v>44595</c:v>
                </c:pt>
                <c:pt idx="558">
                  <c:v>44602</c:v>
                </c:pt>
                <c:pt idx="559">
                  <c:v>44609</c:v>
                </c:pt>
                <c:pt idx="560">
                  <c:v>44616</c:v>
                </c:pt>
                <c:pt idx="561">
                  <c:v>44623</c:v>
                </c:pt>
                <c:pt idx="562">
                  <c:v>44630</c:v>
                </c:pt>
                <c:pt idx="563">
                  <c:v>44637</c:v>
                </c:pt>
                <c:pt idx="564">
                  <c:v>44644</c:v>
                </c:pt>
                <c:pt idx="565">
                  <c:v>44651</c:v>
                </c:pt>
                <c:pt idx="566">
                  <c:v>44658</c:v>
                </c:pt>
                <c:pt idx="567">
                  <c:v>44665</c:v>
                </c:pt>
                <c:pt idx="568">
                  <c:v>44672</c:v>
                </c:pt>
                <c:pt idx="569">
                  <c:v>44679</c:v>
                </c:pt>
                <c:pt idx="570">
                  <c:v>44686</c:v>
                </c:pt>
                <c:pt idx="571">
                  <c:v>44693</c:v>
                </c:pt>
                <c:pt idx="572">
                  <c:v>44700</c:v>
                </c:pt>
                <c:pt idx="573">
                  <c:v>44707</c:v>
                </c:pt>
                <c:pt idx="574">
                  <c:v>44714</c:v>
                </c:pt>
                <c:pt idx="575">
                  <c:v>44721</c:v>
                </c:pt>
                <c:pt idx="576">
                  <c:v>44728</c:v>
                </c:pt>
                <c:pt idx="577">
                  <c:v>44735</c:v>
                </c:pt>
                <c:pt idx="578">
                  <c:v>44742</c:v>
                </c:pt>
                <c:pt idx="579">
                  <c:v>44749</c:v>
                </c:pt>
                <c:pt idx="580">
                  <c:v>44756</c:v>
                </c:pt>
                <c:pt idx="581">
                  <c:v>44763</c:v>
                </c:pt>
                <c:pt idx="582">
                  <c:v>44770</c:v>
                </c:pt>
                <c:pt idx="583">
                  <c:v>44777</c:v>
                </c:pt>
                <c:pt idx="584">
                  <c:v>44784</c:v>
                </c:pt>
                <c:pt idx="585">
                  <c:v>44791</c:v>
                </c:pt>
                <c:pt idx="586">
                  <c:v>44798</c:v>
                </c:pt>
                <c:pt idx="587">
                  <c:v>44805</c:v>
                </c:pt>
                <c:pt idx="588">
                  <c:v>44812</c:v>
                </c:pt>
                <c:pt idx="589">
                  <c:v>44819</c:v>
                </c:pt>
                <c:pt idx="590">
                  <c:v>44826</c:v>
                </c:pt>
                <c:pt idx="591">
                  <c:v>44833</c:v>
                </c:pt>
                <c:pt idx="592">
                  <c:v>44840</c:v>
                </c:pt>
                <c:pt idx="593">
                  <c:v>44847</c:v>
                </c:pt>
                <c:pt idx="594">
                  <c:v>44854</c:v>
                </c:pt>
                <c:pt idx="595">
                  <c:v>44861</c:v>
                </c:pt>
                <c:pt idx="596">
                  <c:v>44868</c:v>
                </c:pt>
                <c:pt idx="597">
                  <c:v>44875</c:v>
                </c:pt>
                <c:pt idx="598">
                  <c:v>44882</c:v>
                </c:pt>
                <c:pt idx="599">
                  <c:v>44889</c:v>
                </c:pt>
                <c:pt idx="600">
                  <c:v>44896</c:v>
                </c:pt>
                <c:pt idx="601">
                  <c:v>44903</c:v>
                </c:pt>
                <c:pt idx="602">
                  <c:v>44910</c:v>
                </c:pt>
                <c:pt idx="603">
                  <c:v>44917</c:v>
                </c:pt>
                <c:pt idx="604">
                  <c:v>44924</c:v>
                </c:pt>
                <c:pt idx="605">
                  <c:v>44931</c:v>
                </c:pt>
                <c:pt idx="606">
                  <c:v>44938</c:v>
                </c:pt>
                <c:pt idx="607">
                  <c:v>44945</c:v>
                </c:pt>
                <c:pt idx="608">
                  <c:v>44952</c:v>
                </c:pt>
                <c:pt idx="609">
                  <c:v>44959</c:v>
                </c:pt>
                <c:pt idx="610">
                  <c:v>44966</c:v>
                </c:pt>
                <c:pt idx="611">
                  <c:v>44973</c:v>
                </c:pt>
                <c:pt idx="612">
                  <c:v>44980</c:v>
                </c:pt>
                <c:pt idx="613">
                  <c:v>44987</c:v>
                </c:pt>
                <c:pt idx="614">
                  <c:v>44994</c:v>
                </c:pt>
                <c:pt idx="615">
                  <c:v>45001</c:v>
                </c:pt>
                <c:pt idx="616">
                  <c:v>45008</c:v>
                </c:pt>
                <c:pt idx="617">
                  <c:v>45015</c:v>
                </c:pt>
                <c:pt idx="618">
                  <c:v>45022</c:v>
                </c:pt>
                <c:pt idx="619">
                  <c:v>45029</c:v>
                </c:pt>
                <c:pt idx="620">
                  <c:v>45036</c:v>
                </c:pt>
                <c:pt idx="621">
                  <c:v>45043</c:v>
                </c:pt>
                <c:pt idx="622">
                  <c:v>45050</c:v>
                </c:pt>
                <c:pt idx="623">
                  <c:v>45057</c:v>
                </c:pt>
                <c:pt idx="624">
                  <c:v>45064</c:v>
                </c:pt>
                <c:pt idx="625">
                  <c:v>45071</c:v>
                </c:pt>
                <c:pt idx="626">
                  <c:v>45078</c:v>
                </c:pt>
                <c:pt idx="627">
                  <c:v>45085</c:v>
                </c:pt>
                <c:pt idx="628">
                  <c:v>45092</c:v>
                </c:pt>
                <c:pt idx="629">
                  <c:v>45099</c:v>
                </c:pt>
                <c:pt idx="630">
                  <c:v>45106</c:v>
                </c:pt>
                <c:pt idx="631">
                  <c:v>45113</c:v>
                </c:pt>
                <c:pt idx="632">
                  <c:v>45120</c:v>
                </c:pt>
                <c:pt idx="633">
                  <c:v>45127</c:v>
                </c:pt>
                <c:pt idx="634">
                  <c:v>45134</c:v>
                </c:pt>
                <c:pt idx="635">
                  <c:v>45141</c:v>
                </c:pt>
                <c:pt idx="636">
                  <c:v>45148</c:v>
                </c:pt>
                <c:pt idx="637">
                  <c:v>45155</c:v>
                </c:pt>
                <c:pt idx="638">
                  <c:v>45162</c:v>
                </c:pt>
                <c:pt idx="639">
                  <c:v>45169</c:v>
                </c:pt>
                <c:pt idx="640">
                  <c:v>45176</c:v>
                </c:pt>
                <c:pt idx="641">
                  <c:v>45183</c:v>
                </c:pt>
                <c:pt idx="642">
                  <c:v>45190</c:v>
                </c:pt>
                <c:pt idx="643">
                  <c:v>45197</c:v>
                </c:pt>
                <c:pt idx="644">
                  <c:v>45204</c:v>
                </c:pt>
                <c:pt idx="645">
                  <c:v>45211</c:v>
                </c:pt>
                <c:pt idx="646">
                  <c:v>45218</c:v>
                </c:pt>
                <c:pt idx="647">
                  <c:v>45225</c:v>
                </c:pt>
                <c:pt idx="648">
                  <c:v>45232</c:v>
                </c:pt>
                <c:pt idx="649">
                  <c:v>45239</c:v>
                </c:pt>
                <c:pt idx="650">
                  <c:v>45246</c:v>
                </c:pt>
                <c:pt idx="651">
                  <c:v>45253</c:v>
                </c:pt>
                <c:pt idx="652">
                  <c:v>45260</c:v>
                </c:pt>
                <c:pt idx="653">
                  <c:v>45267</c:v>
                </c:pt>
                <c:pt idx="654">
                  <c:v>45274</c:v>
                </c:pt>
                <c:pt idx="655">
                  <c:v>45281</c:v>
                </c:pt>
                <c:pt idx="656">
                  <c:v>45289</c:v>
                </c:pt>
                <c:pt idx="657">
                  <c:v>45296</c:v>
                </c:pt>
                <c:pt idx="658">
                  <c:v>45303</c:v>
                </c:pt>
                <c:pt idx="659">
                  <c:v>45310</c:v>
                </c:pt>
                <c:pt idx="660">
                  <c:v>45317</c:v>
                </c:pt>
                <c:pt idx="661">
                  <c:v>45324</c:v>
                </c:pt>
                <c:pt idx="662">
                  <c:v>45331</c:v>
                </c:pt>
                <c:pt idx="663">
                  <c:v>45338</c:v>
                </c:pt>
                <c:pt idx="664">
                  <c:v>45345</c:v>
                </c:pt>
                <c:pt idx="665">
                  <c:v>45352</c:v>
                </c:pt>
                <c:pt idx="666">
                  <c:v>45359</c:v>
                </c:pt>
                <c:pt idx="667">
                  <c:v>45366</c:v>
                </c:pt>
                <c:pt idx="668">
                  <c:v>45373</c:v>
                </c:pt>
                <c:pt idx="669">
                  <c:v>45384</c:v>
                </c:pt>
                <c:pt idx="670">
                  <c:v>45387</c:v>
                </c:pt>
                <c:pt idx="671">
                  <c:v>45394</c:v>
                </c:pt>
                <c:pt idx="672">
                  <c:v>45401</c:v>
                </c:pt>
                <c:pt idx="673">
                  <c:v>45408</c:v>
                </c:pt>
                <c:pt idx="674">
                  <c:v>45418</c:v>
                </c:pt>
                <c:pt idx="675">
                  <c:v>45425</c:v>
                </c:pt>
                <c:pt idx="676">
                  <c:v>45432</c:v>
                </c:pt>
                <c:pt idx="677">
                  <c:v>45439</c:v>
                </c:pt>
                <c:pt idx="678">
                  <c:v>45446</c:v>
                </c:pt>
                <c:pt idx="679">
                  <c:v>45453</c:v>
                </c:pt>
                <c:pt idx="680">
                  <c:v>45460</c:v>
                </c:pt>
                <c:pt idx="681">
                  <c:v>45467</c:v>
                </c:pt>
                <c:pt idx="682">
                  <c:v>45474</c:v>
                </c:pt>
                <c:pt idx="683">
                  <c:v>45481</c:v>
                </c:pt>
                <c:pt idx="684">
                  <c:v>45488</c:v>
                </c:pt>
                <c:pt idx="685">
                  <c:v>45495</c:v>
                </c:pt>
                <c:pt idx="686">
                  <c:v>45502</c:v>
                </c:pt>
                <c:pt idx="687">
                  <c:v>45509</c:v>
                </c:pt>
                <c:pt idx="688">
                  <c:v>45516</c:v>
                </c:pt>
                <c:pt idx="689">
                  <c:v>45523</c:v>
                </c:pt>
                <c:pt idx="690">
                  <c:v>45530</c:v>
                </c:pt>
                <c:pt idx="691">
                  <c:v>45537</c:v>
                </c:pt>
                <c:pt idx="692">
                  <c:v>45544</c:v>
                </c:pt>
                <c:pt idx="693">
                  <c:v>45551</c:v>
                </c:pt>
                <c:pt idx="694">
                  <c:v>45558</c:v>
                </c:pt>
                <c:pt idx="695">
                  <c:v>45565</c:v>
                </c:pt>
                <c:pt idx="696">
                  <c:v>45572</c:v>
                </c:pt>
                <c:pt idx="697">
                  <c:v>45579</c:v>
                </c:pt>
                <c:pt idx="698">
                  <c:v>45586</c:v>
                </c:pt>
                <c:pt idx="699">
                  <c:v>45593</c:v>
                </c:pt>
                <c:pt idx="700">
                  <c:v>45600</c:v>
                </c:pt>
                <c:pt idx="701">
                  <c:v>45607</c:v>
                </c:pt>
                <c:pt idx="702">
                  <c:v>45614</c:v>
                </c:pt>
                <c:pt idx="703">
                  <c:v>45621</c:v>
                </c:pt>
                <c:pt idx="704">
                  <c:v>45628</c:v>
                </c:pt>
                <c:pt idx="705">
                  <c:v>45635</c:v>
                </c:pt>
                <c:pt idx="706">
                  <c:v>45642</c:v>
                </c:pt>
                <c:pt idx="707">
                  <c:v>45649</c:v>
                </c:pt>
                <c:pt idx="708">
                  <c:v>45657</c:v>
                </c:pt>
                <c:pt idx="709">
                  <c:v>45664</c:v>
                </c:pt>
                <c:pt idx="710">
                  <c:v>45671</c:v>
                </c:pt>
                <c:pt idx="711">
                  <c:v>45678</c:v>
                </c:pt>
                <c:pt idx="712">
                  <c:v>45685</c:v>
                </c:pt>
                <c:pt idx="713">
                  <c:v>45692</c:v>
                </c:pt>
                <c:pt idx="714">
                  <c:v>45699</c:v>
                </c:pt>
                <c:pt idx="715">
                  <c:v>45706</c:v>
                </c:pt>
                <c:pt idx="716">
                  <c:v>45713</c:v>
                </c:pt>
                <c:pt idx="717">
                  <c:v>45720</c:v>
                </c:pt>
                <c:pt idx="718">
                  <c:v>45727</c:v>
                </c:pt>
                <c:pt idx="719">
                  <c:v>45734</c:v>
                </c:pt>
                <c:pt idx="720">
                  <c:v>45741</c:v>
                </c:pt>
                <c:pt idx="721">
                  <c:v>45748</c:v>
                </c:pt>
                <c:pt idx="722">
                  <c:v>45755</c:v>
                </c:pt>
                <c:pt idx="723">
                  <c:v>45762</c:v>
                </c:pt>
                <c:pt idx="724">
                  <c:v>45771</c:v>
                </c:pt>
                <c:pt idx="725">
                  <c:v>45779</c:v>
                </c:pt>
                <c:pt idx="726">
                  <c:v>45810</c:v>
                </c:pt>
                <c:pt idx="727">
                  <c:v>45840</c:v>
                </c:pt>
                <c:pt idx="728">
                  <c:v>45870</c:v>
                </c:pt>
                <c:pt idx="729">
                  <c:v>45903</c:v>
                </c:pt>
                <c:pt idx="730">
                  <c:v>45933</c:v>
                </c:pt>
                <c:pt idx="731">
                  <c:v>45966</c:v>
                </c:pt>
                <c:pt idx="732">
                  <c:v>45996</c:v>
                </c:pt>
                <c:pt idx="733">
                  <c:v>46029</c:v>
                </c:pt>
                <c:pt idx="734">
                  <c:v>46062</c:v>
                </c:pt>
                <c:pt idx="735">
                  <c:v>46090</c:v>
                </c:pt>
                <c:pt idx="736">
                  <c:v>46121</c:v>
                </c:pt>
                <c:pt idx="737">
                  <c:v>46153</c:v>
                </c:pt>
                <c:pt idx="738">
                  <c:v>46183</c:v>
                </c:pt>
                <c:pt idx="739">
                  <c:v>46213</c:v>
                </c:pt>
                <c:pt idx="740">
                  <c:v>46246</c:v>
                </c:pt>
                <c:pt idx="741">
                  <c:v>46279</c:v>
                </c:pt>
                <c:pt idx="742">
                  <c:v>46309</c:v>
                </c:pt>
                <c:pt idx="743">
                  <c:v>46342</c:v>
                </c:pt>
                <c:pt idx="744">
                  <c:v>46372</c:v>
                </c:pt>
                <c:pt idx="745">
                  <c:v>46405</c:v>
                </c:pt>
                <c:pt idx="746">
                  <c:v>46435</c:v>
                </c:pt>
                <c:pt idx="747">
                  <c:v>46463</c:v>
                </c:pt>
                <c:pt idx="748">
                  <c:v>46496</c:v>
                </c:pt>
                <c:pt idx="749">
                  <c:v>46526</c:v>
                </c:pt>
                <c:pt idx="750">
                  <c:v>46559</c:v>
                </c:pt>
                <c:pt idx="751">
                  <c:v>46589</c:v>
                </c:pt>
                <c:pt idx="752">
                  <c:v>46622</c:v>
                </c:pt>
                <c:pt idx="753">
                  <c:v>46652</c:v>
                </c:pt>
                <c:pt idx="754">
                  <c:v>46682</c:v>
                </c:pt>
                <c:pt idx="755">
                  <c:v>46715</c:v>
                </c:pt>
                <c:pt idx="756">
                  <c:v>46745</c:v>
                </c:pt>
                <c:pt idx="757">
                  <c:v>46778</c:v>
                </c:pt>
                <c:pt idx="758">
                  <c:v>46811</c:v>
                </c:pt>
                <c:pt idx="759">
                  <c:v>46840</c:v>
                </c:pt>
                <c:pt idx="760">
                  <c:v>46869</c:v>
                </c:pt>
                <c:pt idx="761">
                  <c:v>46899</c:v>
                </c:pt>
                <c:pt idx="762">
                  <c:v>46932</c:v>
                </c:pt>
                <c:pt idx="763">
                  <c:v>46962</c:v>
                </c:pt>
                <c:pt idx="764">
                  <c:v>46995</c:v>
                </c:pt>
                <c:pt idx="765">
                  <c:v>47028</c:v>
                </c:pt>
                <c:pt idx="766">
                  <c:v>47058</c:v>
                </c:pt>
                <c:pt idx="767">
                  <c:v>47091</c:v>
                </c:pt>
                <c:pt idx="768">
                  <c:v>47122</c:v>
                </c:pt>
                <c:pt idx="769">
                  <c:v>47155</c:v>
                </c:pt>
                <c:pt idx="770">
                  <c:v>47183</c:v>
                </c:pt>
                <c:pt idx="771">
                  <c:v>47213</c:v>
                </c:pt>
                <c:pt idx="772">
                  <c:v>47245</c:v>
                </c:pt>
                <c:pt idx="773">
                  <c:v>47275</c:v>
                </c:pt>
                <c:pt idx="774">
                  <c:v>47305</c:v>
                </c:pt>
                <c:pt idx="775">
                  <c:v>47338</c:v>
                </c:pt>
                <c:pt idx="776">
                  <c:v>47371</c:v>
                </c:pt>
                <c:pt idx="777">
                  <c:v>47401</c:v>
                </c:pt>
                <c:pt idx="778">
                  <c:v>47434</c:v>
                </c:pt>
                <c:pt idx="779">
                  <c:v>47464</c:v>
                </c:pt>
                <c:pt idx="780">
                  <c:v>47497</c:v>
                </c:pt>
                <c:pt idx="781">
                  <c:v>47527</c:v>
                </c:pt>
                <c:pt idx="782">
                  <c:v>47555</c:v>
                </c:pt>
                <c:pt idx="783">
                  <c:v>47588</c:v>
                </c:pt>
                <c:pt idx="784">
                  <c:v>47618</c:v>
                </c:pt>
                <c:pt idx="785">
                  <c:v>47651</c:v>
                </c:pt>
                <c:pt idx="786">
                  <c:v>47681</c:v>
                </c:pt>
                <c:pt idx="787">
                  <c:v>47714</c:v>
                </c:pt>
                <c:pt idx="788">
                  <c:v>47744</c:v>
                </c:pt>
                <c:pt idx="789">
                  <c:v>47774</c:v>
                </c:pt>
                <c:pt idx="790">
                  <c:v>47807</c:v>
                </c:pt>
                <c:pt idx="791">
                  <c:v>47837</c:v>
                </c:pt>
                <c:pt idx="792">
                  <c:v>47870</c:v>
                </c:pt>
                <c:pt idx="793">
                  <c:v>47903</c:v>
                </c:pt>
                <c:pt idx="794">
                  <c:v>47931</c:v>
                </c:pt>
                <c:pt idx="795">
                  <c:v>47961</c:v>
                </c:pt>
                <c:pt idx="796">
                  <c:v>47991</c:v>
                </c:pt>
                <c:pt idx="797">
                  <c:v>48024</c:v>
                </c:pt>
                <c:pt idx="798">
                  <c:v>48054</c:v>
                </c:pt>
                <c:pt idx="799">
                  <c:v>48087</c:v>
                </c:pt>
                <c:pt idx="800">
                  <c:v>48120</c:v>
                </c:pt>
                <c:pt idx="801">
                  <c:v>48150</c:v>
                </c:pt>
                <c:pt idx="802">
                  <c:v>48183</c:v>
                </c:pt>
                <c:pt idx="803">
                  <c:v>48213</c:v>
                </c:pt>
                <c:pt idx="804">
                  <c:v>48246</c:v>
                </c:pt>
                <c:pt idx="805">
                  <c:v>48276</c:v>
                </c:pt>
                <c:pt idx="806">
                  <c:v>48309</c:v>
                </c:pt>
                <c:pt idx="807">
                  <c:v>48339</c:v>
                </c:pt>
                <c:pt idx="808">
                  <c:v>48372</c:v>
                </c:pt>
                <c:pt idx="809">
                  <c:v>48402</c:v>
                </c:pt>
                <c:pt idx="810">
                  <c:v>48435</c:v>
                </c:pt>
                <c:pt idx="811">
                  <c:v>48465</c:v>
                </c:pt>
                <c:pt idx="812">
                  <c:v>48495</c:v>
                </c:pt>
                <c:pt idx="813">
                  <c:v>48528</c:v>
                </c:pt>
                <c:pt idx="814">
                  <c:v>48558</c:v>
                </c:pt>
                <c:pt idx="815">
                  <c:v>48591</c:v>
                </c:pt>
                <c:pt idx="816">
                  <c:v>48624</c:v>
                </c:pt>
                <c:pt idx="817">
                  <c:v>48652</c:v>
                </c:pt>
                <c:pt idx="818">
                  <c:v>48682</c:v>
                </c:pt>
                <c:pt idx="819">
                  <c:v>48712</c:v>
                </c:pt>
                <c:pt idx="820">
                  <c:v>48745</c:v>
                </c:pt>
                <c:pt idx="821">
                  <c:v>48775</c:v>
                </c:pt>
                <c:pt idx="822">
                  <c:v>48808</c:v>
                </c:pt>
                <c:pt idx="823">
                  <c:v>48841</c:v>
                </c:pt>
                <c:pt idx="824">
                  <c:v>48871</c:v>
                </c:pt>
                <c:pt idx="825">
                  <c:v>48904</c:v>
                </c:pt>
                <c:pt idx="826">
                  <c:v>48934</c:v>
                </c:pt>
                <c:pt idx="827">
                  <c:v>48967</c:v>
                </c:pt>
                <c:pt idx="828">
                  <c:v>48997</c:v>
                </c:pt>
                <c:pt idx="829">
                  <c:v>49025</c:v>
                </c:pt>
                <c:pt idx="830">
                  <c:v>49058</c:v>
                </c:pt>
                <c:pt idx="831">
                  <c:v>49088</c:v>
                </c:pt>
                <c:pt idx="832">
                  <c:v>49121</c:v>
                </c:pt>
                <c:pt idx="833">
                  <c:v>49151</c:v>
                </c:pt>
                <c:pt idx="834">
                  <c:v>49184</c:v>
                </c:pt>
                <c:pt idx="835">
                  <c:v>49214</c:v>
                </c:pt>
                <c:pt idx="836">
                  <c:v>49244</c:v>
                </c:pt>
                <c:pt idx="837">
                  <c:v>49277</c:v>
                </c:pt>
                <c:pt idx="838">
                  <c:v>49307</c:v>
                </c:pt>
                <c:pt idx="839">
                  <c:v>49340</c:v>
                </c:pt>
                <c:pt idx="840">
                  <c:v>49370</c:v>
                </c:pt>
                <c:pt idx="841">
                  <c:v>49398</c:v>
                </c:pt>
                <c:pt idx="842">
                  <c:v>49432</c:v>
                </c:pt>
                <c:pt idx="843">
                  <c:v>49461</c:v>
                </c:pt>
                <c:pt idx="844">
                  <c:v>49494</c:v>
                </c:pt>
                <c:pt idx="845">
                  <c:v>49527</c:v>
                </c:pt>
                <c:pt idx="846">
                  <c:v>49557</c:v>
                </c:pt>
                <c:pt idx="847">
                  <c:v>49587</c:v>
                </c:pt>
                <c:pt idx="848">
                  <c:v>49620</c:v>
                </c:pt>
                <c:pt idx="849">
                  <c:v>49650</c:v>
                </c:pt>
                <c:pt idx="850">
                  <c:v>49683</c:v>
                </c:pt>
                <c:pt idx="851">
                  <c:v>49716</c:v>
                </c:pt>
                <c:pt idx="852">
                  <c:v>49745</c:v>
                </c:pt>
                <c:pt idx="853">
                  <c:v>49774</c:v>
                </c:pt>
                <c:pt idx="854">
                  <c:v>49804</c:v>
                </c:pt>
                <c:pt idx="855">
                  <c:v>49837</c:v>
                </c:pt>
                <c:pt idx="856">
                  <c:v>49867</c:v>
                </c:pt>
                <c:pt idx="857">
                  <c:v>49900</c:v>
                </c:pt>
                <c:pt idx="858">
                  <c:v>49933</c:v>
                </c:pt>
                <c:pt idx="859">
                  <c:v>49963</c:v>
                </c:pt>
                <c:pt idx="860">
                  <c:v>49996</c:v>
                </c:pt>
                <c:pt idx="861">
                  <c:v>50026</c:v>
                </c:pt>
                <c:pt idx="862">
                  <c:v>50059</c:v>
                </c:pt>
                <c:pt idx="863">
                  <c:v>50089</c:v>
                </c:pt>
                <c:pt idx="864">
                  <c:v>50117</c:v>
                </c:pt>
                <c:pt idx="865">
                  <c:v>50150</c:v>
                </c:pt>
                <c:pt idx="866">
                  <c:v>50180</c:v>
                </c:pt>
                <c:pt idx="867">
                  <c:v>50213</c:v>
                </c:pt>
                <c:pt idx="868">
                  <c:v>50243</c:v>
                </c:pt>
                <c:pt idx="869">
                  <c:v>50276</c:v>
                </c:pt>
                <c:pt idx="870">
                  <c:v>50306</c:v>
                </c:pt>
                <c:pt idx="871">
                  <c:v>50336</c:v>
                </c:pt>
                <c:pt idx="872">
                  <c:v>50369</c:v>
                </c:pt>
                <c:pt idx="873">
                  <c:v>50402</c:v>
                </c:pt>
                <c:pt idx="874">
                  <c:v>50432</c:v>
                </c:pt>
                <c:pt idx="875">
                  <c:v>50465</c:v>
                </c:pt>
                <c:pt idx="876">
                  <c:v>50493</c:v>
                </c:pt>
                <c:pt idx="877">
                  <c:v>50524</c:v>
                </c:pt>
                <c:pt idx="878">
                  <c:v>50556</c:v>
                </c:pt>
                <c:pt idx="879">
                  <c:v>50586</c:v>
                </c:pt>
                <c:pt idx="880">
                  <c:v>50616</c:v>
                </c:pt>
                <c:pt idx="881">
                  <c:v>50649</c:v>
                </c:pt>
                <c:pt idx="882">
                  <c:v>50682</c:v>
                </c:pt>
                <c:pt idx="883">
                  <c:v>50712</c:v>
                </c:pt>
                <c:pt idx="884">
                  <c:v>50742</c:v>
                </c:pt>
                <c:pt idx="885">
                  <c:v>50775</c:v>
                </c:pt>
                <c:pt idx="886">
                  <c:v>50808</c:v>
                </c:pt>
                <c:pt idx="887">
                  <c:v>50836</c:v>
                </c:pt>
                <c:pt idx="888">
                  <c:v>50866</c:v>
                </c:pt>
                <c:pt idx="889">
                  <c:v>50896</c:v>
                </c:pt>
                <c:pt idx="890">
                  <c:v>50929</c:v>
                </c:pt>
                <c:pt idx="891">
                  <c:v>50959</c:v>
                </c:pt>
                <c:pt idx="892">
                  <c:v>50992</c:v>
                </c:pt>
                <c:pt idx="893">
                  <c:v>51025</c:v>
                </c:pt>
                <c:pt idx="894">
                  <c:v>51055</c:v>
                </c:pt>
                <c:pt idx="895">
                  <c:v>51088</c:v>
                </c:pt>
                <c:pt idx="896">
                  <c:v>51118</c:v>
                </c:pt>
                <c:pt idx="897">
                  <c:v>51151</c:v>
                </c:pt>
                <c:pt idx="898">
                  <c:v>51181</c:v>
                </c:pt>
                <c:pt idx="899">
                  <c:v>51210</c:v>
                </c:pt>
                <c:pt idx="900">
                  <c:v>51243</c:v>
                </c:pt>
                <c:pt idx="901">
                  <c:v>51272</c:v>
                </c:pt>
                <c:pt idx="902">
                  <c:v>51305</c:v>
                </c:pt>
                <c:pt idx="903">
                  <c:v>51335</c:v>
                </c:pt>
                <c:pt idx="904">
                  <c:v>51368</c:v>
                </c:pt>
                <c:pt idx="905">
                  <c:v>51398</c:v>
                </c:pt>
                <c:pt idx="906">
                  <c:v>51428</c:v>
                </c:pt>
                <c:pt idx="907">
                  <c:v>51461</c:v>
                </c:pt>
                <c:pt idx="908">
                  <c:v>51491</c:v>
                </c:pt>
                <c:pt idx="909">
                  <c:v>51524</c:v>
                </c:pt>
                <c:pt idx="910">
                  <c:v>51557</c:v>
                </c:pt>
                <c:pt idx="911">
                  <c:v>51585</c:v>
                </c:pt>
                <c:pt idx="912">
                  <c:v>51616</c:v>
                </c:pt>
                <c:pt idx="913">
                  <c:v>51648</c:v>
                </c:pt>
                <c:pt idx="914">
                  <c:v>51678</c:v>
                </c:pt>
                <c:pt idx="915">
                  <c:v>51708</c:v>
                </c:pt>
                <c:pt idx="916">
                  <c:v>51741</c:v>
                </c:pt>
                <c:pt idx="917">
                  <c:v>51774</c:v>
                </c:pt>
                <c:pt idx="918">
                  <c:v>51804</c:v>
                </c:pt>
                <c:pt idx="919">
                  <c:v>51837</c:v>
                </c:pt>
                <c:pt idx="920">
                  <c:v>51868</c:v>
                </c:pt>
                <c:pt idx="921">
                  <c:v>51900</c:v>
                </c:pt>
                <c:pt idx="922">
                  <c:v>51929</c:v>
                </c:pt>
                <c:pt idx="923">
                  <c:v>51957</c:v>
                </c:pt>
                <c:pt idx="924">
                  <c:v>51986</c:v>
                </c:pt>
                <c:pt idx="925">
                  <c:v>52016</c:v>
                </c:pt>
                <c:pt idx="926">
                  <c:v>52049</c:v>
                </c:pt>
                <c:pt idx="927">
                  <c:v>52079</c:v>
                </c:pt>
                <c:pt idx="928">
                  <c:v>52112</c:v>
                </c:pt>
                <c:pt idx="929">
                  <c:v>52142</c:v>
                </c:pt>
                <c:pt idx="930">
                  <c:v>52175</c:v>
                </c:pt>
                <c:pt idx="931">
                  <c:v>52205</c:v>
                </c:pt>
                <c:pt idx="932">
                  <c:v>52238</c:v>
                </c:pt>
                <c:pt idx="933">
                  <c:v>52271</c:v>
                </c:pt>
                <c:pt idx="934">
                  <c:v>52299</c:v>
                </c:pt>
                <c:pt idx="935">
                  <c:v>52329</c:v>
                </c:pt>
                <c:pt idx="936">
                  <c:v>52359</c:v>
                </c:pt>
                <c:pt idx="937">
                  <c:v>52392</c:v>
                </c:pt>
                <c:pt idx="938">
                  <c:v>52422</c:v>
                </c:pt>
                <c:pt idx="939">
                  <c:v>52455</c:v>
                </c:pt>
                <c:pt idx="940">
                  <c:v>52488</c:v>
                </c:pt>
                <c:pt idx="941">
                  <c:v>52518</c:v>
                </c:pt>
                <c:pt idx="942">
                  <c:v>52551</c:v>
                </c:pt>
                <c:pt idx="943">
                  <c:v>52581</c:v>
                </c:pt>
                <c:pt idx="944">
                  <c:v>52614</c:v>
                </c:pt>
                <c:pt idx="945">
                  <c:v>52644</c:v>
                </c:pt>
                <c:pt idx="946">
                  <c:v>52673</c:v>
                </c:pt>
                <c:pt idx="947">
                  <c:v>52708</c:v>
                </c:pt>
                <c:pt idx="948">
                  <c:v>52740</c:v>
                </c:pt>
                <c:pt idx="949">
                  <c:v>52770</c:v>
                </c:pt>
                <c:pt idx="950">
                  <c:v>52800</c:v>
                </c:pt>
                <c:pt idx="951">
                  <c:v>52833</c:v>
                </c:pt>
                <c:pt idx="952">
                  <c:v>52866</c:v>
                </c:pt>
                <c:pt idx="953">
                  <c:v>52896</c:v>
                </c:pt>
                <c:pt idx="954">
                  <c:v>52929</c:v>
                </c:pt>
                <c:pt idx="955">
                  <c:v>52960</c:v>
                </c:pt>
                <c:pt idx="956">
                  <c:v>52993</c:v>
                </c:pt>
                <c:pt idx="957">
                  <c:v>53022</c:v>
                </c:pt>
                <c:pt idx="958">
                  <c:v>53050</c:v>
                </c:pt>
                <c:pt idx="959">
                  <c:v>53084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Delta'!$Y$3:$Y$1310</c:f>
              <c:numCache>
                <c:formatCode>0.0000%</c:formatCode>
                <c:ptCount val="1308"/>
                <c:pt idx="0">
                  <c:v>1.1046905546691155E-3</c:v>
                </c:pt>
                <c:pt idx="1">
                  <c:v>1.2185018479380751E-3</c:v>
                </c:pt>
                <c:pt idx="2">
                  <c:v>1.2201681428616548E-3</c:v>
                </c:pt>
                <c:pt idx="3">
                  <c:v>1.2218109881131404E-3</c:v>
                </c:pt>
                <c:pt idx="4">
                  <c:v>1.2250338184977732E-3</c:v>
                </c:pt>
                <c:pt idx="5">
                  <c:v>1.2597979191459499E-3</c:v>
                </c:pt>
                <c:pt idx="6">
                  <c:v>1.2607044567809092E-3</c:v>
                </c:pt>
                <c:pt idx="7">
                  <c:v>1.2614799168653157E-3</c:v>
                </c:pt>
                <c:pt idx="8">
                  <c:v>1.2622137068410543E-3</c:v>
                </c:pt>
                <c:pt idx="9">
                  <c:v>1.266874410724162E-3</c:v>
                </c:pt>
                <c:pt idx="10">
                  <c:v>1.2660808388448056E-3</c:v>
                </c:pt>
                <c:pt idx="11">
                  <c:v>1.2673451527905166E-3</c:v>
                </c:pt>
                <c:pt idx="12">
                  <c:v>1.2687136034858857E-3</c:v>
                </c:pt>
                <c:pt idx="13">
                  <c:v>1.2701779393966743E-3</c:v>
                </c:pt>
                <c:pt idx="14">
                  <c:v>1.2762641333584788E-3</c:v>
                </c:pt>
                <c:pt idx="15">
                  <c:v>1.2768551279917569E-3</c:v>
                </c:pt>
                <c:pt idx="16">
                  <c:v>1.2787107779636999E-3</c:v>
                </c:pt>
                <c:pt idx="17">
                  <c:v>1.2806359352160097E-3</c:v>
                </c:pt>
                <c:pt idx="18">
                  <c:v>1.2826281310560435E-3</c:v>
                </c:pt>
                <c:pt idx="19">
                  <c:v>1.2895477218280969E-3</c:v>
                </c:pt>
                <c:pt idx="20">
                  <c:v>1.2912179274450065E-3</c:v>
                </c:pt>
                <c:pt idx="21">
                  <c:v>1.2935027572160407E-3</c:v>
                </c:pt>
                <c:pt idx="22">
                  <c:v>1.2958294751061351E-3</c:v>
                </c:pt>
                <c:pt idx="23">
                  <c:v>1.2981966930651805E-3</c:v>
                </c:pt>
                <c:pt idx="24">
                  <c:v>1.3054947702630605E-3</c:v>
                </c:pt>
                <c:pt idx="25">
                  <c:v>1.3373805748361849E-3</c:v>
                </c:pt>
                <c:pt idx="26">
                  <c:v>1.3399294511088394E-3</c:v>
                </c:pt>
                <c:pt idx="27">
                  <c:v>1.3425104999078756E-3</c:v>
                </c:pt>
                <c:pt idx="28">
                  <c:v>1.3451223331762336E-3</c:v>
                </c:pt>
                <c:pt idx="29">
                  <c:v>1.3517826413191548E-3</c:v>
                </c:pt>
                <c:pt idx="30">
                  <c:v>1.3558497496430997E-3</c:v>
                </c:pt>
                <c:pt idx="31">
                  <c:v>1.3585946842574893E-3</c:v>
                </c:pt>
                <c:pt idx="32">
                  <c:v>1.3613619864362016E-3</c:v>
                </c:pt>
                <c:pt idx="33">
                  <c:v>1.3641498256782678E-3</c:v>
                </c:pt>
                <c:pt idx="34">
                  <c:v>1.370452857226913E-3</c:v>
                </c:pt>
                <c:pt idx="35">
                  <c:v>1.3754681734998526E-3</c:v>
                </c:pt>
                <c:pt idx="36">
                  <c:v>1.3783299131694359E-3</c:v>
                </c:pt>
                <c:pt idx="37">
                  <c:v>1.3812006759004471E-3</c:v>
                </c:pt>
                <c:pt idx="38">
                  <c:v>1.3840838629799652E-3</c:v>
                </c:pt>
                <c:pt idx="39">
                  <c:v>1.3897459175668712E-3</c:v>
                </c:pt>
                <c:pt idx="40">
                  <c:v>1.3958130324986458E-3</c:v>
                </c:pt>
                <c:pt idx="41">
                  <c:v>1.3988020415736779E-3</c:v>
                </c:pt>
                <c:pt idx="42">
                  <c:v>1.4018167818780312E-3</c:v>
                </c:pt>
                <c:pt idx="43">
                  <c:v>1.4048563481588764E-3</c:v>
                </c:pt>
                <c:pt idx="44">
                  <c:v>1.4099834804957353E-3</c:v>
                </c:pt>
                <c:pt idx="45">
                  <c:v>1.4171713734883777E-3</c:v>
                </c:pt>
                <c:pt idx="46">
                  <c:v>1.4202676301868005E-3</c:v>
                </c:pt>
                <c:pt idx="47">
                  <c:v>1.4069333465008876E-3</c:v>
                </c:pt>
                <c:pt idx="48">
                  <c:v>1.410021918299203E-3</c:v>
                </c:pt>
                <c:pt idx="49">
                  <c:v>1.4148521534720017E-3</c:v>
                </c:pt>
                <c:pt idx="50">
                  <c:v>1.4222293065377248E-3</c:v>
                </c:pt>
                <c:pt idx="51">
                  <c:v>1.4252227386829278E-3</c:v>
                </c:pt>
                <c:pt idx="52">
                  <c:v>1.4281841287356735E-3</c:v>
                </c:pt>
                <c:pt idx="53">
                  <c:v>1.4311091386052053E-3</c:v>
                </c:pt>
                <c:pt idx="54">
                  <c:v>1.4351380286988578E-3</c:v>
                </c:pt>
                <c:pt idx="55">
                  <c:v>1.4423586139629709E-3</c:v>
                </c:pt>
                <c:pt idx="56">
                  <c:v>1.4450366510772126E-3</c:v>
                </c:pt>
                <c:pt idx="57">
                  <c:v>1.4476522791830582E-3</c:v>
                </c:pt>
                <c:pt idx="58">
                  <c:v>1.4502011600989546E-3</c:v>
                </c:pt>
                <c:pt idx="59">
                  <c:v>1.4533055934535751E-3</c:v>
                </c:pt>
                <c:pt idx="60">
                  <c:v>1.4596424479943518E-3</c:v>
                </c:pt>
                <c:pt idx="61">
                  <c:v>1.4617925200043494E-3</c:v>
                </c:pt>
                <c:pt idx="62">
                  <c:v>1.4638498156021417E-3</c:v>
                </c:pt>
                <c:pt idx="63">
                  <c:v>1.4658095512758815E-3</c:v>
                </c:pt>
                <c:pt idx="64">
                  <c:v>1.4678950260322086E-3</c:v>
                </c:pt>
                <c:pt idx="65">
                  <c:v>1.4725685309774604E-3</c:v>
                </c:pt>
                <c:pt idx="66">
                  <c:v>1.4739884071753814E-3</c:v>
                </c:pt>
                <c:pt idx="67">
                  <c:v>1.475305890582969E-3</c:v>
                </c:pt>
                <c:pt idx="68">
                  <c:v>1.4765241241947835E-3</c:v>
                </c:pt>
                <c:pt idx="69">
                  <c:v>1.4776525539803114E-3</c:v>
                </c:pt>
                <c:pt idx="70">
                  <c:v>1.4542604552185605E-3</c:v>
                </c:pt>
                <c:pt idx="71">
                  <c:v>1.4550302910075899E-3</c:v>
                </c:pt>
                <c:pt idx="72">
                  <c:v>1.4557200143412539E-3</c:v>
                </c:pt>
                <c:pt idx="73">
                  <c:v>1.4563328147781701E-3</c:v>
                </c:pt>
                <c:pt idx="74">
                  <c:v>1.4573363386707477E-3</c:v>
                </c:pt>
                <c:pt idx="75">
                  <c:v>1.4580785789718106E-3</c:v>
                </c:pt>
                <c:pt idx="76">
                  <c:v>1.4583546084997409E-3</c:v>
                </c:pt>
                <c:pt idx="77">
                  <c:v>1.458572852576899E-3</c:v>
                </c:pt>
                <c:pt idx="78">
                  <c:v>1.4587365007749352E-3</c:v>
                </c:pt>
                <c:pt idx="79">
                  <c:v>1.4593760971065219E-3</c:v>
                </c:pt>
                <c:pt idx="80">
                  <c:v>1.4589089263344179E-3</c:v>
                </c:pt>
                <c:pt idx="81">
                  <c:v>1.4588474387828457E-3</c:v>
                </c:pt>
                <c:pt idx="82">
                  <c:v>1.4587504927955207E-3</c:v>
                </c:pt>
                <c:pt idx="83">
                  <c:v>1.4586212779362736E-3</c:v>
                </c:pt>
                <c:pt idx="84">
                  <c:v>1.4591727490498305E-3</c:v>
                </c:pt>
                <c:pt idx="85">
                  <c:v>1.4578455209180851E-3</c:v>
                </c:pt>
                <c:pt idx="86">
                  <c:v>1.4576028050172292E-3</c:v>
                </c:pt>
                <c:pt idx="87">
                  <c:v>1.4573469575418498E-3</c:v>
                </c:pt>
                <c:pt idx="88">
                  <c:v>1.4570811680236289E-3</c:v>
                </c:pt>
                <c:pt idx="89">
                  <c:v>1.4577970381582431E-3</c:v>
                </c:pt>
                <c:pt idx="90">
                  <c:v>1.455431193623687E-3</c:v>
                </c:pt>
                <c:pt idx="91">
                  <c:v>1.4464385052306271E-3</c:v>
                </c:pt>
                <c:pt idx="92">
                  <c:v>1.4461544996063342E-3</c:v>
                </c:pt>
                <c:pt idx="93">
                  <c:v>1.4458822847455716E-3</c:v>
                </c:pt>
                <c:pt idx="94">
                  <c:v>1.4456250851806293E-3</c:v>
                </c:pt>
                <c:pt idx="95">
                  <c:v>1.4449758235445267E-3</c:v>
                </c:pt>
                <c:pt idx="96">
                  <c:v>1.4448109304141677E-3</c:v>
                </c:pt>
                <c:pt idx="97">
                  <c:v>1.4446771751773914E-3</c:v>
                </c:pt>
                <c:pt idx="98">
                  <c:v>1.4445778117992067E-3</c:v>
                </c:pt>
                <c:pt idx="99">
                  <c:v>1.444516212096725E-3</c:v>
                </c:pt>
                <c:pt idx="100">
                  <c:v>1.4445920077996259E-3</c:v>
                </c:pt>
                <c:pt idx="101">
                  <c:v>1.4447154755292924E-3</c:v>
                </c:pt>
                <c:pt idx="102">
                  <c:v>1.4448937132808834E-3</c:v>
                </c:pt>
                <c:pt idx="103">
                  <c:v>1.4451309169310118E-3</c:v>
                </c:pt>
                <c:pt idx="104">
                  <c:v>1.4454254415207837E-3</c:v>
                </c:pt>
                <c:pt idx="105">
                  <c:v>1.4466199169430923E-3</c:v>
                </c:pt>
                <c:pt idx="106">
                  <c:v>1.4471191394512598E-3</c:v>
                </c:pt>
                <c:pt idx="107">
                  <c:v>1.4476676090603303E-3</c:v>
                </c:pt>
                <c:pt idx="108">
                  <c:v>1.4482645548212843E-3</c:v>
                </c:pt>
                <c:pt idx="109">
                  <c:v>1.4528680673433396E-3</c:v>
                </c:pt>
                <c:pt idx="110">
                  <c:v>1.451121680537959E-3</c:v>
                </c:pt>
                <c:pt idx="111">
                  <c:v>1.4519494429407567E-3</c:v>
                </c:pt>
                <c:pt idx="112">
                  <c:v>1.4542385406444921E-3</c:v>
                </c:pt>
                <c:pt idx="113">
                  <c:v>1.4120963861810523E-3</c:v>
                </c:pt>
                <c:pt idx="114">
                  <c:v>1.4111757905064578E-3</c:v>
                </c:pt>
                <c:pt idx="115">
                  <c:v>1.4104102673121502E-3</c:v>
                </c:pt>
                <c:pt idx="116">
                  <c:v>1.4115421383186367E-3</c:v>
                </c:pt>
                <c:pt idx="117">
                  <c:v>1.4127117257572745E-3</c:v>
                </c:pt>
                <c:pt idx="118">
                  <c:v>1.4139182670880324E-3</c:v>
                </c:pt>
                <c:pt idx="119">
                  <c:v>1.4192624546311699E-3</c:v>
                </c:pt>
                <c:pt idx="120">
                  <c:v>1.4190987205672681E-3</c:v>
                </c:pt>
                <c:pt idx="121">
                  <c:v>1.4204785932937841E-3</c:v>
                </c:pt>
                <c:pt idx="122">
                  <c:v>1.4218908446965621E-3</c:v>
                </c:pt>
                <c:pt idx="123">
                  <c:v>1.4233347122429563E-3</c:v>
                </c:pt>
                <c:pt idx="124">
                  <c:v>1.4290175361596892E-3</c:v>
                </c:pt>
                <c:pt idx="125">
                  <c:v>1.4294110932504449E-3</c:v>
                </c:pt>
                <c:pt idx="126">
                  <c:v>1.43100160356303E-3</c:v>
                </c:pt>
                <c:pt idx="127">
                  <c:v>1.4326191548433408E-3</c:v>
                </c:pt>
                <c:pt idx="128">
                  <c:v>1.4342629845691584E-3</c:v>
                </c:pt>
                <c:pt idx="129">
                  <c:v>1.4401850515091744E-3</c:v>
                </c:pt>
                <c:pt idx="130">
                  <c:v>1.4410858373884018E-3</c:v>
                </c:pt>
                <c:pt idx="131">
                  <c:v>1.4428495200005302E-3</c:v>
                </c:pt>
                <c:pt idx="132">
                  <c:v>1.4446342971874415E-3</c:v>
                </c:pt>
                <c:pt idx="133">
                  <c:v>1.4464387511975672E-3</c:v>
                </c:pt>
                <c:pt idx="134">
                  <c:v>1.4461009036070473E-3</c:v>
                </c:pt>
                <c:pt idx="135">
                  <c:v>1.453820794545475E-3</c:v>
                </c:pt>
                <c:pt idx="136">
                  <c:v>1.455699110714598E-3</c:v>
                </c:pt>
                <c:pt idx="137">
                  <c:v>1.4575872484207833E-3</c:v>
                </c:pt>
                <c:pt idx="138">
                  <c:v>1.4594835573732571E-3</c:v>
                </c:pt>
                <c:pt idx="139">
                  <c:v>1.4654821266434051E-3</c:v>
                </c:pt>
                <c:pt idx="140">
                  <c:v>1.4671174998309965E-3</c:v>
                </c:pt>
                <c:pt idx="141">
                  <c:v>1.4690299106628649E-3</c:v>
                </c:pt>
                <c:pt idx="142">
                  <c:v>1.4709405910107165E-3</c:v>
                </c:pt>
                <c:pt idx="143">
                  <c:v>1.4728478905881219E-3</c:v>
                </c:pt>
                <c:pt idx="144">
                  <c:v>1.4786215943219773E-3</c:v>
                </c:pt>
                <c:pt idx="145">
                  <c:v>1.4804102755741743E-3</c:v>
                </c:pt>
                <c:pt idx="146">
                  <c:v>1.4822759170845837E-3</c:v>
                </c:pt>
                <c:pt idx="147">
                  <c:v>1.4841282761459396E-3</c:v>
                </c:pt>
                <c:pt idx="148">
                  <c:v>1.4859657024800666E-3</c:v>
                </c:pt>
                <c:pt idx="149">
                  <c:v>1.4913516098262558E-3</c:v>
                </c:pt>
                <c:pt idx="150">
                  <c:v>1.493133075010765E-3</c:v>
                </c:pt>
                <c:pt idx="151">
                  <c:v>1.4948710835687067E-3</c:v>
                </c:pt>
                <c:pt idx="152">
                  <c:v>1.4965842577490504E-3</c:v>
                </c:pt>
                <c:pt idx="153">
                  <c:v>1.4982709472744905E-3</c:v>
                </c:pt>
                <c:pt idx="154">
                  <c:v>1.5031181747027457E-3</c:v>
                </c:pt>
                <c:pt idx="155">
                  <c:v>1.5031444064949064E-3</c:v>
                </c:pt>
                <c:pt idx="156">
                  <c:v>1.5047045962090324E-3</c:v>
                </c:pt>
                <c:pt idx="157">
                  <c:v>1.5062289381491782E-3</c:v>
                </c:pt>
                <c:pt idx="158">
                  <c:v>1.5077157639031226E-3</c:v>
                </c:pt>
                <c:pt idx="159">
                  <c:v>1.5091634050551301E-3</c:v>
                </c:pt>
                <c:pt idx="160">
                  <c:v>1.5132545367720455E-3</c:v>
                </c:pt>
                <c:pt idx="161">
                  <c:v>1.5145287553809139E-3</c:v>
                </c:pt>
                <c:pt idx="162">
                  <c:v>1.5157554473175141E-3</c:v>
                </c:pt>
                <c:pt idx="163">
                  <c:v>1.5169330041515344E-3</c:v>
                </c:pt>
                <c:pt idx="164">
                  <c:v>1.518060057410167E-3</c:v>
                </c:pt>
                <c:pt idx="165">
                  <c:v>1.5211251108462795E-3</c:v>
                </c:pt>
                <c:pt idx="166">
                  <c:v>1.5220370649159023E-3</c:v>
                </c:pt>
                <c:pt idx="167">
                  <c:v>1.5228919729582825E-3</c:v>
                </c:pt>
                <c:pt idx="168">
                  <c:v>1.5236879370625802E-3</c:v>
                </c:pt>
                <c:pt idx="169">
                  <c:v>1.5244243421845168E-3</c:v>
                </c:pt>
                <c:pt idx="170">
                  <c:v>1.5262823618009218E-3</c:v>
                </c:pt>
                <c:pt idx="171">
                  <c:v>1.526786689131588E-3</c:v>
                </c:pt>
                <c:pt idx="172">
                  <c:v>1.5272345365390982E-3</c:v>
                </c:pt>
                <c:pt idx="173">
                  <c:v>1.5276265198359085E-3</c:v>
                </c:pt>
                <c:pt idx="174">
                  <c:v>1.5293065863883713E-3</c:v>
                </c:pt>
                <c:pt idx="175">
                  <c:v>1.528770027824867E-3</c:v>
                </c:pt>
                <c:pt idx="176">
                  <c:v>1.5288397583499572E-3</c:v>
                </c:pt>
                <c:pt idx="177">
                  <c:v>1.5288579353847796E-3</c:v>
                </c:pt>
                <c:pt idx="178">
                  <c:v>1.5778588252768344E-3</c:v>
                </c:pt>
                <c:pt idx="179">
                  <c:v>1.5776284764691141E-3</c:v>
                </c:pt>
                <c:pt idx="180">
                  <c:v>1.5773502694218244E-3</c:v>
                </c:pt>
                <c:pt idx="181">
                  <c:v>1.5770248199228258E-3</c:v>
                </c:pt>
                <c:pt idx="182">
                  <c:v>1.5766527437586612E-3</c:v>
                </c:pt>
                <c:pt idx="183">
                  <c:v>1.5752629131537722E-3</c:v>
                </c:pt>
                <c:pt idx="184">
                  <c:v>1.5747104882027139E-3</c:v>
                </c:pt>
                <c:pt idx="185">
                  <c:v>1.5741145155156889E-3</c:v>
                </c:pt>
                <c:pt idx="186">
                  <c:v>1.5734756108796791E-3</c:v>
                </c:pt>
                <c:pt idx="187">
                  <c:v>1.5727943900759563E-3</c:v>
                </c:pt>
                <c:pt idx="188">
                  <c:v>1.5705029884949507E-3</c:v>
                </c:pt>
                <c:pt idx="189">
                  <c:v>1.569658660853302E-3</c:v>
                </c:pt>
                <c:pt idx="190">
                  <c:v>1.5687750959546933E-3</c:v>
                </c:pt>
                <c:pt idx="191">
                  <c:v>1.5678529095825926E-3</c:v>
                </c:pt>
                <c:pt idx="192">
                  <c:v>1.5668927175160764E-3</c:v>
                </c:pt>
                <c:pt idx="193">
                  <c:v>1.5637902649605581E-3</c:v>
                </c:pt>
                <c:pt idx="194">
                  <c:v>1.56268420792339E-3</c:v>
                </c:pt>
                <c:pt idx="195">
                  <c:v>1.5615433266583255E-3</c:v>
                </c:pt>
                <c:pt idx="196">
                  <c:v>1.5603688659524941E-3</c:v>
                </c:pt>
                <c:pt idx="197">
                  <c:v>1.5591626378513551E-3</c:v>
                </c:pt>
                <c:pt idx="198">
                  <c:v>1.581867574488976E-3</c:v>
                </c:pt>
                <c:pt idx="199">
                  <c:v>1.5811247924837346E-3</c:v>
                </c:pt>
                <c:pt idx="200">
                  <c:v>1.5797836275170951E-3</c:v>
                </c:pt>
                <c:pt idx="201">
                  <c:v>1.5784210394191867E-3</c:v>
                </c:pt>
                <c:pt idx="202">
                  <c:v>1.5770389778397842E-3</c:v>
                </c:pt>
                <c:pt idx="203">
                  <c:v>1.572272362820248E-3</c:v>
                </c:pt>
                <c:pt idx="204">
                  <c:v>1.5713549898386248E-3</c:v>
                </c:pt>
                <c:pt idx="205">
                  <c:v>1.5699048057182807E-3</c:v>
                </c:pt>
                <c:pt idx="206">
                  <c:v>1.5684468460790413E-3</c:v>
                </c:pt>
                <c:pt idx="207">
                  <c:v>1.5669830605884449E-3</c:v>
                </c:pt>
                <c:pt idx="208">
                  <c:v>1.5621598680459392E-3</c:v>
                </c:pt>
                <c:pt idx="209">
                  <c:v>1.5611086535538554E-3</c:v>
                </c:pt>
                <c:pt idx="210">
                  <c:v>1.5596449839092585E-3</c:v>
                </c:pt>
                <c:pt idx="211">
                  <c:v>1.5581871864727148E-3</c:v>
                </c:pt>
                <c:pt idx="212">
                  <c:v>1.5567372109259736E-3</c:v>
                </c:pt>
                <c:pt idx="213">
                  <c:v>1.5521914761537849E-3</c:v>
                </c:pt>
                <c:pt idx="214">
                  <c:v>1.5510545214114657E-3</c:v>
                </c:pt>
                <c:pt idx="215">
                  <c:v>1.5496729006616583E-3</c:v>
                </c:pt>
                <c:pt idx="216">
                  <c:v>1.5483107999512136E-3</c:v>
                </c:pt>
                <c:pt idx="217">
                  <c:v>1.5469701689814208E-3</c:v>
                </c:pt>
                <c:pt idx="218">
                  <c:v>1.5429787956074924E-3</c:v>
                </c:pt>
                <c:pt idx="219">
                  <c:v>1.5504102864384644E-3</c:v>
                </c:pt>
                <c:pt idx="220">
                  <c:v>1.549269023831003E-3</c:v>
                </c:pt>
                <c:pt idx="221">
                  <c:v>1.5481621657323485E-3</c:v>
                </c:pt>
                <c:pt idx="222">
                  <c:v>1.547123101797307E-3</c:v>
                </c:pt>
                <c:pt idx="223">
                  <c:v>1.5441169245590104E-3</c:v>
                </c:pt>
                <c:pt idx="224">
                  <c:v>1.5432106986008223E-3</c:v>
                </c:pt>
                <c:pt idx="225">
                  <c:v>1.5423499455346082E-3</c:v>
                </c:pt>
                <c:pt idx="226">
                  <c:v>1.5415346953937346E-3</c:v>
                </c:pt>
                <c:pt idx="227">
                  <c:v>1.5412527127411685E-3</c:v>
                </c:pt>
                <c:pt idx="228">
                  <c:v>1.5387218155234015E-3</c:v>
                </c:pt>
                <c:pt idx="229">
                  <c:v>1.5381288985787294E-3</c:v>
                </c:pt>
                <c:pt idx="230">
                  <c:v>1.537579411977292E-3</c:v>
                </c:pt>
                <c:pt idx="231">
                  <c:v>1.5370707577650636E-3</c:v>
                </c:pt>
                <c:pt idx="232">
                  <c:v>1.5373733551851262E-3</c:v>
                </c:pt>
                <c:pt idx="233">
                  <c:v>1.5353963795780943E-3</c:v>
                </c:pt>
                <c:pt idx="234">
                  <c:v>1.535060522115818E-3</c:v>
                </c:pt>
                <c:pt idx="235">
                  <c:v>1.5347548304542689E-3</c:v>
                </c:pt>
                <c:pt idx="236">
                  <c:v>1.534477840068858E-3</c:v>
                </c:pt>
                <c:pt idx="237">
                  <c:v>1.5334721490336256E-3</c:v>
                </c:pt>
                <c:pt idx="238">
                  <c:v>1.5333366113429896E-3</c:v>
                </c:pt>
                <c:pt idx="239">
                  <c:v>1.532770463382628E-3</c:v>
                </c:pt>
                <c:pt idx="240">
                  <c:v>1.5492844763076686E-3</c:v>
                </c:pt>
                <c:pt idx="241">
                  <c:v>1.5490953612596514E-3</c:v>
                </c:pt>
                <c:pt idx="242">
                  <c:v>1.5490591714889107E-3</c:v>
                </c:pt>
                <c:pt idx="243">
                  <c:v>1.5490339383050168E-3</c:v>
                </c:pt>
                <c:pt idx="244">
                  <c:v>1.5490181810914607E-3</c:v>
                </c:pt>
                <c:pt idx="245">
                  <c:v>1.5490104192282207E-3</c:v>
                </c:pt>
                <c:pt idx="246">
                  <c:v>1.5490202995436877E-3</c:v>
                </c:pt>
                <c:pt idx="247">
                  <c:v>1.5490297128850029E-3</c:v>
                </c:pt>
                <c:pt idx="248">
                  <c:v>1.5490397184831112E-3</c:v>
                </c:pt>
                <c:pt idx="249">
                  <c:v>1.5490488357144767E-3</c:v>
                </c:pt>
                <c:pt idx="250">
                  <c:v>1.5490555839639084E-3</c:v>
                </c:pt>
                <c:pt idx="251">
                  <c:v>1.54904680862565E-3</c:v>
                </c:pt>
                <c:pt idx="252">
                  <c:v>1.549029274756788E-3</c:v>
                </c:pt>
                <c:pt idx="253">
                  <c:v>1.5490019688151042E-3</c:v>
                </c:pt>
                <c:pt idx="254">
                  <c:v>1.5489634101783813E-3</c:v>
                </c:pt>
                <c:pt idx="255">
                  <c:v>1.5489121182309883E-3</c:v>
                </c:pt>
                <c:pt idx="256">
                  <c:v>1.5486670363324766E-3</c:v>
                </c:pt>
                <c:pt idx="257">
                  <c:v>1.5470387711684535E-3</c:v>
                </c:pt>
                <c:pt idx="258">
                  <c:v>1.5448120231329274E-3</c:v>
                </c:pt>
                <c:pt idx="259">
                  <c:v>1.5417166207589417E-3</c:v>
                </c:pt>
                <c:pt idx="260">
                  <c:v>1.5377152301353167E-3</c:v>
                </c:pt>
                <c:pt idx="261">
                  <c:v>1.5327705160801495E-3</c:v>
                </c:pt>
                <c:pt idx="262">
                  <c:v>1.5268451419483604E-3</c:v>
                </c:pt>
                <c:pt idx="263">
                  <c:v>1.5199487015582975E-3</c:v>
                </c:pt>
                <c:pt idx="264">
                  <c:v>1.5124933069175241E-3</c:v>
                </c:pt>
                <c:pt idx="265">
                  <c:v>1.5050945127693047E-3</c:v>
                </c:pt>
                <c:pt idx="266">
                  <c:v>1.4984604466745752E-3</c:v>
                </c:pt>
                <c:pt idx="267">
                  <c:v>1.4932947201076381E-3</c:v>
                </c:pt>
                <c:pt idx="268">
                  <c:v>1.49030094934113E-3</c:v>
                </c:pt>
                <c:pt idx="269">
                  <c:v>1.4901824888049668E-3</c:v>
                </c:pt>
                <c:pt idx="270">
                  <c:v>1.4933917368444561E-3</c:v>
                </c:pt>
                <c:pt idx="271">
                  <c:v>1.4995617035467904E-3</c:v>
                </c:pt>
                <c:pt idx="272">
                  <c:v>1.5081514854925241E-3</c:v>
                </c:pt>
                <c:pt idx="273">
                  <c:v>1.5186201777460326E-3</c:v>
                </c:pt>
                <c:pt idx="274">
                  <c:v>1.5304268764399667E-3</c:v>
                </c:pt>
                <c:pt idx="275">
                  <c:v>1.5420290608014753E-3</c:v>
                </c:pt>
                <c:pt idx="276">
                  <c:v>1.5549940394969394E-3</c:v>
                </c:pt>
                <c:pt idx="277">
                  <c:v>1.5677648210022065E-3</c:v>
                </c:pt>
                <c:pt idx="278">
                  <c:v>1.5812204125605865E-3</c:v>
                </c:pt>
                <c:pt idx="279">
                  <c:v>1.5618632898489024E-3</c:v>
                </c:pt>
                <c:pt idx="280">
                  <c:v>1.5746803160927197E-3</c:v>
                </c:pt>
                <c:pt idx="281">
                  <c:v>1.5864859046668316E-3</c:v>
                </c:pt>
                <c:pt idx="282">
                  <c:v>1.5965601227739487E-3</c:v>
                </c:pt>
                <c:pt idx="283">
                  <c:v>1.6043387541429751E-3</c:v>
                </c:pt>
                <c:pt idx="284">
                  <c:v>1.6098804768193771E-3</c:v>
                </c:pt>
                <c:pt idx="285">
                  <c:v>1.6133996878015702E-3</c:v>
                </c:pt>
                <c:pt idx="286">
                  <c:v>1.615110779631535E-3</c:v>
                </c:pt>
                <c:pt idx="287">
                  <c:v>1.6152281428428584E-3</c:v>
                </c:pt>
                <c:pt idx="288">
                  <c:v>1.6140110976310578E-3</c:v>
                </c:pt>
                <c:pt idx="289">
                  <c:v>1.6116709945180141E-3</c:v>
                </c:pt>
                <c:pt idx="290">
                  <c:v>1.6083739423996583E-3</c:v>
                </c:pt>
                <c:pt idx="291">
                  <c:v>1.6036094719620309E-3</c:v>
                </c:pt>
                <c:pt idx="292">
                  <c:v>1.631342658164611E-3</c:v>
                </c:pt>
                <c:pt idx="293">
                  <c:v>1.62486218576283E-3</c:v>
                </c:pt>
                <c:pt idx="294">
                  <c:v>1.6176406524866542E-3</c:v>
                </c:pt>
                <c:pt idx="295">
                  <c:v>1.6114338559762439E-3</c:v>
                </c:pt>
                <c:pt idx="296">
                  <c:v>1.6062239352603921E-3</c:v>
                </c:pt>
                <c:pt idx="297">
                  <c:v>1.600392348861912E-3</c:v>
                </c:pt>
                <c:pt idx="298">
                  <c:v>1.5961184025692111E-3</c:v>
                </c:pt>
                <c:pt idx="299">
                  <c:v>1.5927000175401038E-3</c:v>
                </c:pt>
                <c:pt idx="300">
                  <c:v>1.5901554118772207E-3</c:v>
                </c:pt>
                <c:pt idx="301">
                  <c:v>1.5885757796494661E-3</c:v>
                </c:pt>
                <c:pt idx="302">
                  <c:v>1.5878592581412532E-3</c:v>
                </c:pt>
                <c:pt idx="303">
                  <c:v>1.5880606587887168E-3</c:v>
                </c:pt>
                <c:pt idx="304">
                  <c:v>1.5890239723975984E-3</c:v>
                </c:pt>
                <c:pt idx="305">
                  <c:v>1.5902634429088138E-3</c:v>
                </c:pt>
                <c:pt idx="306">
                  <c:v>1.591914246005671E-3</c:v>
                </c:pt>
                <c:pt idx="307">
                  <c:v>1.5942874304374977E-3</c:v>
                </c:pt>
                <c:pt idx="308">
                  <c:v>1.595649654829247E-3</c:v>
                </c:pt>
                <c:pt idx="309">
                  <c:v>1.5979343017428255E-3</c:v>
                </c:pt>
                <c:pt idx="310">
                  <c:v>1.5995358315568087E-3</c:v>
                </c:pt>
                <c:pt idx="311">
                  <c:v>1.6014024027074961E-3</c:v>
                </c:pt>
                <c:pt idx="312">
                  <c:v>1.6032828663214501E-3</c:v>
                </c:pt>
                <c:pt idx="313">
                  <c:v>1.6051939359922234E-3</c:v>
                </c:pt>
                <c:pt idx="314">
                  <c:v>1.6071523256574413E-3</c:v>
                </c:pt>
                <c:pt idx="315">
                  <c:v>1.6091747496209579E-3</c:v>
                </c:pt>
                <c:pt idx="316">
                  <c:v>1.6112774028116494E-3</c:v>
                </c:pt>
                <c:pt idx="317">
                  <c:v>1.6134677503406533E-3</c:v>
                </c:pt>
                <c:pt idx="318">
                  <c:v>1.6157460134496907E-3</c:v>
                </c:pt>
                <c:pt idx="319">
                  <c:v>1.6181121941649668E-3</c:v>
                </c:pt>
                <c:pt idx="320">
                  <c:v>1.6205662945622127E-3</c:v>
                </c:pt>
                <c:pt idx="321">
                  <c:v>1.6231083167658152E-3</c:v>
                </c:pt>
                <c:pt idx="322">
                  <c:v>1.6257382629509918E-3</c:v>
                </c:pt>
                <c:pt idx="323">
                  <c:v>1.628456135348566E-3</c:v>
                </c:pt>
                <c:pt idx="324">
                  <c:v>1.6312619362297651E-3</c:v>
                </c:pt>
                <c:pt idx="325">
                  <c:v>1.6341556679227262E-3</c:v>
                </c:pt>
                <c:pt idx="326">
                  <c:v>1.6371373328072855E-3</c:v>
                </c:pt>
                <c:pt idx="327">
                  <c:v>1.6399705718768802E-3</c:v>
                </c:pt>
                <c:pt idx="328">
                  <c:v>1.6431217179765404E-3</c:v>
                </c:pt>
                <c:pt idx="329">
                  <c:v>1.6463608023434182E-3</c:v>
                </c:pt>
                <c:pt idx="330">
                  <c:v>1.6501995350395242E-3</c:v>
                </c:pt>
                <c:pt idx="331">
                  <c:v>1.6533647418316279E-3</c:v>
                </c:pt>
                <c:pt idx="332">
                  <c:v>1.6568740586079317E-3</c:v>
                </c:pt>
                <c:pt idx="333">
                  <c:v>1.6604713266305214E-3</c:v>
                </c:pt>
                <c:pt idx="334">
                  <c:v>1.6641565486776094E-3</c:v>
                </c:pt>
                <c:pt idx="335">
                  <c:v>1.6679297275782371E-3</c:v>
                </c:pt>
                <c:pt idx="336">
                  <c:v>1.6717908662174882E-3</c:v>
                </c:pt>
                <c:pt idx="337">
                  <c:v>1.6757399675238894E-3</c:v>
                </c:pt>
                <c:pt idx="338">
                  <c:v>1.6797770344833133E-3</c:v>
                </c:pt>
                <c:pt idx="339">
                  <c:v>1.6839020701255097E-3</c:v>
                </c:pt>
                <c:pt idx="340">
                  <c:v>1.6877954203872939E-3</c:v>
                </c:pt>
                <c:pt idx="341">
                  <c:v>1.6920899769446985E-3</c:v>
                </c:pt>
                <c:pt idx="342">
                  <c:v>1.6964725087779584E-3</c:v>
                </c:pt>
                <c:pt idx="343">
                  <c:v>1.7018963068462512E-3</c:v>
                </c:pt>
                <c:pt idx="344">
                  <c:v>1.7061599066139576E-3</c:v>
                </c:pt>
                <c:pt idx="345">
                  <c:v>1.7101479881242634E-3</c:v>
                </c:pt>
                <c:pt idx="346">
                  <c:v>1.7148824535062003E-3</c:v>
                </c:pt>
                <c:pt idx="347">
                  <c:v>1.7197049106400439E-3</c:v>
                </c:pt>
                <c:pt idx="348">
                  <c:v>1.7246140628860759E-3</c:v>
                </c:pt>
                <c:pt idx="349">
                  <c:v>1.7296005902867429E-3</c:v>
                </c:pt>
                <c:pt idx="350">
                  <c:v>1.7346521147527222E-3</c:v>
                </c:pt>
                <c:pt idx="351">
                  <c:v>1.7397562515415515E-3</c:v>
                </c:pt>
                <c:pt idx="352">
                  <c:v>1.7449006152638134E-3</c:v>
                </c:pt>
                <c:pt idx="353">
                  <c:v>1.7504499777017909E-3</c:v>
                </c:pt>
                <c:pt idx="354">
                  <c:v>1.7556355688560946E-3</c:v>
                </c:pt>
                <c:pt idx="355">
                  <c:v>1.7608234006298272E-3</c:v>
                </c:pt>
                <c:pt idx="356">
                  <c:v>1.7660012192914814E-3</c:v>
                </c:pt>
                <c:pt idx="357">
                  <c:v>1.7722607797152159E-3</c:v>
                </c:pt>
                <c:pt idx="358">
                  <c:v>1.7759178974781247E-3</c:v>
                </c:pt>
                <c:pt idx="359">
                  <c:v>1.7809970027235227E-3</c:v>
                </c:pt>
                <c:pt idx="360">
                  <c:v>1.7860172276915635E-3</c:v>
                </c:pt>
                <c:pt idx="361">
                  <c:v>1.7913124742130473E-3</c:v>
                </c:pt>
                <c:pt idx="362">
                  <c:v>1.7961846446332024E-3</c:v>
                </c:pt>
                <c:pt idx="363">
                  <c:v>1.8009837669136462E-3</c:v>
                </c:pt>
                <c:pt idx="364">
                  <c:v>1.8057098382444528E-3</c:v>
                </c:pt>
                <c:pt idx="365">
                  <c:v>1.8103628558452378E-3</c:v>
                </c:pt>
                <c:pt idx="366">
                  <c:v>1.814942816966896E-3</c:v>
                </c:pt>
                <c:pt idx="367">
                  <c:v>1.8194497188924695E-3</c:v>
                </c:pt>
                <c:pt idx="368">
                  <c:v>1.8238835589397566E-3</c:v>
                </c:pt>
                <c:pt idx="369">
                  <c:v>1.8282443344560962E-3</c:v>
                </c:pt>
                <c:pt idx="370">
                  <c:v>1.8325320428218455E-3</c:v>
                </c:pt>
                <c:pt idx="371">
                  <c:v>1.8367466814529839E-3</c:v>
                </c:pt>
                <c:pt idx="372">
                  <c:v>1.8408882477924263E-3</c:v>
                </c:pt>
                <c:pt idx="373">
                  <c:v>1.8449567393178426E-3</c:v>
                </c:pt>
                <c:pt idx="374">
                  <c:v>1.8489521535399202E-3</c:v>
                </c:pt>
                <c:pt idx="375">
                  <c:v>1.8528744880023629E-3</c:v>
                </c:pt>
                <c:pt idx="376">
                  <c:v>1.856723740277547E-3</c:v>
                </c:pt>
                <c:pt idx="377">
                  <c:v>1.8604999079726038E-3</c:v>
                </c:pt>
                <c:pt idx="378">
                  <c:v>1.8642029887268139E-3</c:v>
                </c:pt>
                <c:pt idx="379">
                  <c:v>1.8675789752724012E-3</c:v>
                </c:pt>
                <c:pt idx="380">
                  <c:v>1.8711409426677248E-3</c:v>
                </c:pt>
                <c:pt idx="381">
                  <c:v>1.8746298177159287E-3</c:v>
                </c:pt>
                <c:pt idx="382">
                  <c:v>1.8780455982104261E-3</c:v>
                </c:pt>
                <c:pt idx="383">
                  <c:v>1.8818552574261633E-3</c:v>
                </c:pt>
                <c:pt idx="384">
                  <c:v>1.8848865193741584E-3</c:v>
                </c:pt>
                <c:pt idx="385">
                  <c:v>1.8880779281583572E-3</c:v>
                </c:pt>
                <c:pt idx="386">
                  <c:v>1.8911962322767568E-3</c:v>
                </c:pt>
                <c:pt idx="387">
                  <c:v>1.8942414296623149E-3</c:v>
                </c:pt>
                <c:pt idx="388">
                  <c:v>1.8972135182749243E-3</c:v>
                </c:pt>
                <c:pt idx="389">
                  <c:v>1.9001124961118398E-3</c:v>
                </c:pt>
                <c:pt idx="390">
                  <c:v>1.902938361198119E-3</c:v>
                </c:pt>
                <c:pt idx="391">
                  <c:v>1.9056911115927055E-3</c:v>
                </c:pt>
                <c:pt idx="392">
                  <c:v>1.9081827393939111E-3</c:v>
                </c:pt>
                <c:pt idx="393">
                  <c:v>1.9107943430955595E-3</c:v>
                </c:pt>
                <c:pt idx="394">
                  <c:v>1.9133328282187633E-3</c:v>
                </c:pt>
                <c:pt idx="395">
                  <c:v>1.9157981929724271E-3</c:v>
                </c:pt>
                <c:pt idx="396">
                  <c:v>1.917684632081196E-3</c:v>
                </c:pt>
                <c:pt idx="397">
                  <c:v>1.9205095543508189E-3</c:v>
                </c:pt>
                <c:pt idx="398">
                  <c:v>1.9227555475462013E-3</c:v>
                </c:pt>
                <c:pt idx="399">
                  <c:v>1.9250807636470868E-3</c:v>
                </c:pt>
                <c:pt idx="400">
                  <c:v>1.927027869966437E-3</c:v>
                </c:pt>
                <c:pt idx="401">
                  <c:v>1.9290508775002362E-3</c:v>
                </c:pt>
                <c:pt idx="402">
                  <c:v>1.9309928317872832E-3</c:v>
                </c:pt>
                <c:pt idx="403">
                  <c:v>1.9328491105364575E-3</c:v>
                </c:pt>
                <c:pt idx="404">
                  <c:v>1.9346150914522457E-3</c:v>
                </c:pt>
                <c:pt idx="405">
                  <c:v>1.9363985062640899E-3</c:v>
                </c:pt>
                <c:pt idx="406">
                  <c:v>1.9379617827202007E-3</c:v>
                </c:pt>
                <c:pt idx="407">
                  <c:v>1.939420577607697E-3</c:v>
                </c:pt>
                <c:pt idx="408">
                  <c:v>1.9407703188768837E-3</c:v>
                </c:pt>
                <c:pt idx="409">
                  <c:v>1.9419287468003987E-3</c:v>
                </c:pt>
                <c:pt idx="410">
                  <c:v>1.9430558712882076E-3</c:v>
                </c:pt>
                <c:pt idx="411">
                  <c:v>1.9440603411379222E-3</c:v>
                </c:pt>
                <c:pt idx="412">
                  <c:v>1.9451641358700213E-3</c:v>
                </c:pt>
                <c:pt idx="413">
                  <c:v>1.9456831071456456E-3</c:v>
                </c:pt>
                <c:pt idx="414">
                  <c:v>1.9463264376758406E-3</c:v>
                </c:pt>
                <c:pt idx="415">
                  <c:v>1.9467961771848703E-3</c:v>
                </c:pt>
                <c:pt idx="416">
                  <c:v>1.9471326903708827E-3</c:v>
                </c:pt>
                <c:pt idx="417">
                  <c:v>1.9473359752250499E-3</c:v>
                </c:pt>
                <c:pt idx="418">
                  <c:v>1.9474060297185603E-3</c:v>
                </c:pt>
                <c:pt idx="419">
                  <c:v>1.9473428517930607E-3</c:v>
                </c:pt>
                <c:pt idx="420">
                  <c:v>1.9471464393719508E-3</c:v>
                </c:pt>
                <c:pt idx="421">
                  <c:v>1.9468167903543025E-3</c:v>
                </c:pt>
                <c:pt idx="422">
                  <c:v>1.9463539026157283E-3</c:v>
                </c:pt>
                <c:pt idx="423">
                  <c:v>1.9457577740092501E-3</c:v>
                </c:pt>
                <c:pt idx="424">
                  <c:v>1.945028402365299E-3</c:v>
                </c:pt>
                <c:pt idx="425">
                  <c:v>1.9441657854847643E-3</c:v>
                </c:pt>
                <c:pt idx="426">
                  <c:v>1.9431699211546339E-3</c:v>
                </c:pt>
                <c:pt idx="427">
                  <c:v>1.942040807131485E-3</c:v>
                </c:pt>
                <c:pt idx="428">
                  <c:v>1.9407784411527792E-3</c:v>
                </c:pt>
                <c:pt idx="429">
                  <c:v>1.9393828209307814E-3</c:v>
                </c:pt>
                <c:pt idx="430">
                  <c:v>1.9378539441534284E-3</c:v>
                </c:pt>
                <c:pt idx="431">
                  <c:v>1.9363208148530117E-3</c:v>
                </c:pt>
                <c:pt idx="432">
                  <c:v>1.9345348336369066E-3</c:v>
                </c:pt>
                <c:pt idx="433">
                  <c:v>1.9326155896125408E-3</c:v>
                </c:pt>
                <c:pt idx="434">
                  <c:v>1.9305630804029143E-3</c:v>
                </c:pt>
                <c:pt idx="435">
                  <c:v>1.9282106294570907E-3</c:v>
                </c:pt>
                <c:pt idx="436">
                  <c:v>1.9258821635283257E-3</c:v>
                </c:pt>
                <c:pt idx="437">
                  <c:v>1.9234204242185341E-3</c:v>
                </c:pt>
                <c:pt idx="438">
                  <c:v>1.9208254090314516E-3</c:v>
                </c:pt>
                <c:pt idx="439">
                  <c:v>1.918097115448224E-3</c:v>
                </c:pt>
                <c:pt idx="440">
                  <c:v>1.915235540922192E-3</c:v>
                </c:pt>
                <c:pt idx="441">
                  <c:v>1.9122406828875824E-3</c:v>
                </c:pt>
                <c:pt idx="442">
                  <c:v>1.9091125387560299E-3</c:v>
                </c:pt>
                <c:pt idx="443">
                  <c:v>1.9058511059131065E-3</c:v>
                </c:pt>
                <c:pt idx="444">
                  <c:v>1.9027078639301575E-3</c:v>
                </c:pt>
                <c:pt idx="445">
                  <c:v>1.8991892742784289E-3</c:v>
                </c:pt>
                <c:pt idx="446">
                  <c:v>1.8955373891333758E-3</c:v>
                </c:pt>
                <c:pt idx="447">
                  <c:v>1.8917522058202146E-3</c:v>
                </c:pt>
                <c:pt idx="448">
                  <c:v>1.8872630563206106E-3</c:v>
                </c:pt>
                <c:pt idx="449">
                  <c:v>1.8831922249563024E-3</c:v>
                </c:pt>
                <c:pt idx="450">
                  <c:v>1.87898808686458E-3</c:v>
                </c:pt>
                <c:pt idx="451">
                  <c:v>1.8746506392731538E-3</c:v>
                </c:pt>
                <c:pt idx="452">
                  <c:v>1.87018042938387E-3</c:v>
                </c:pt>
                <c:pt idx="453">
                  <c:v>1.8659213319951462E-3</c:v>
                </c:pt>
                <c:pt idx="454">
                  <c:v>1.8612273805791446E-3</c:v>
                </c:pt>
                <c:pt idx="455">
                  <c:v>1.8564435394159418E-3</c:v>
                </c:pt>
                <c:pt idx="456">
                  <c:v>1.8515876892548633E-3</c:v>
                </c:pt>
                <c:pt idx="457">
                  <c:v>1.8459948313067341E-3</c:v>
                </c:pt>
                <c:pt idx="458">
                  <c:v>1.8410532177605471E-3</c:v>
                </c:pt>
                <c:pt idx="459">
                  <c:v>1.836095738344003E-3</c:v>
                </c:pt>
                <c:pt idx="460">
                  <c:v>1.8311398872762194E-3</c:v>
                </c:pt>
                <c:pt idx="461">
                  <c:v>1.8265283414948866E-3</c:v>
                </c:pt>
                <c:pt idx="462">
                  <c:v>1.8216220868000651E-3</c:v>
                </c:pt>
                <c:pt idx="463">
                  <c:v>1.8153953488308692E-3</c:v>
                </c:pt>
                <c:pt idx="464">
                  <c:v>1.8106377072429234E-3</c:v>
                </c:pt>
                <c:pt idx="465">
                  <c:v>1.8056757174217644E-3</c:v>
                </c:pt>
                <c:pt idx="466">
                  <c:v>1.8011138740899836E-3</c:v>
                </c:pt>
                <c:pt idx="467">
                  <c:v>1.7966486399162668E-3</c:v>
                </c:pt>
                <c:pt idx="468">
                  <c:v>1.792280016824294E-3</c:v>
                </c:pt>
                <c:pt idx="469">
                  <c:v>1.7880080067333996E-3</c:v>
                </c:pt>
                <c:pt idx="470">
                  <c:v>1.783832611558572E-3</c:v>
                </c:pt>
                <c:pt idx="471">
                  <c:v>1.7797538332095884E-3</c:v>
                </c:pt>
                <c:pt idx="472">
                  <c:v>1.7757716735892748E-3</c:v>
                </c:pt>
                <c:pt idx="473">
                  <c:v>1.7718861346013252E-3</c:v>
                </c:pt>
                <c:pt idx="474">
                  <c:v>1.7680972181372714E-3</c:v>
                </c:pt>
                <c:pt idx="475">
                  <c:v>1.7644049260877735E-3</c:v>
                </c:pt>
                <c:pt idx="476">
                  <c:v>1.7608092603417563E-3</c:v>
                </c:pt>
                <c:pt idx="477">
                  <c:v>1.7573102227785857E-3</c:v>
                </c:pt>
                <c:pt idx="478">
                  <c:v>1.753907815277627E-3</c:v>
                </c:pt>
                <c:pt idx="479">
                  <c:v>1.7506020397069521E-3</c:v>
                </c:pt>
                <c:pt idx="480">
                  <c:v>1.7473928979372388E-3</c:v>
                </c:pt>
                <c:pt idx="481">
                  <c:v>1.7442803918296061E-3</c:v>
                </c:pt>
                <c:pt idx="482">
                  <c:v>1.7412645232425684E-3</c:v>
                </c:pt>
                <c:pt idx="483">
                  <c:v>1.738516192457123E-3</c:v>
                </c:pt>
                <c:pt idx="484">
                  <c:v>1.7356866173993454E-3</c:v>
                </c:pt>
                <c:pt idx="485">
                  <c:v>1.7329536847165497E-3</c:v>
                </c:pt>
                <c:pt idx="486">
                  <c:v>1.7303173962288174E-3</c:v>
                </c:pt>
                <c:pt idx="487">
                  <c:v>1.7272099922187477E-3</c:v>
                </c:pt>
                <c:pt idx="488">
                  <c:v>1.7251988031031155E-3</c:v>
                </c:pt>
                <c:pt idx="489">
                  <c:v>1.7228594487876366E-3</c:v>
                </c:pt>
                <c:pt idx="490">
                  <c:v>1.720616746687954E-3</c:v>
                </c:pt>
                <c:pt idx="491">
                  <c:v>1.7184706986191367E-3</c:v>
                </c:pt>
                <c:pt idx="492">
                  <c:v>1.7164213063936493E-3</c:v>
                </c:pt>
                <c:pt idx="493">
                  <c:v>1.7144685718161333E-3</c:v>
                </c:pt>
                <c:pt idx="494">
                  <c:v>1.7126124966903651E-3</c:v>
                </c:pt>
                <c:pt idx="495">
                  <c:v>1.7108530828114296E-3</c:v>
                </c:pt>
                <c:pt idx="496">
                  <c:v>1.7093510174452931E-3</c:v>
                </c:pt>
                <c:pt idx="497">
                  <c:v>1.7077709364148319E-3</c:v>
                </c:pt>
                <c:pt idx="498">
                  <c:v>1.706287520109484E-3</c:v>
                </c:pt>
                <c:pt idx="499">
                  <c:v>1.7049007702718555E-3</c:v>
                </c:pt>
                <c:pt idx="500">
                  <c:v>1.7036106886374469E-3</c:v>
                </c:pt>
                <c:pt idx="501">
                  <c:v>1.702417276937318E-3</c:v>
                </c:pt>
                <c:pt idx="502">
                  <c:v>1.7013205368971995E-3</c:v>
                </c:pt>
                <c:pt idx="503">
                  <c:v>1.7003204702392694E-3</c:v>
                </c:pt>
                <c:pt idx="504">
                  <c:v>1.6994170562867339E-3</c:v>
                </c:pt>
                <c:pt idx="505">
                  <c:v>1.698627253209962E-3</c:v>
                </c:pt>
                <c:pt idx="506">
                  <c:v>1.6979021061565465E-3</c:v>
                </c:pt>
                <c:pt idx="507">
                  <c:v>1.6972611545232044E-3</c:v>
                </c:pt>
                <c:pt idx="508">
                  <c:v>1.6966985740520081E-3</c:v>
                </c:pt>
                <c:pt idx="509">
                  <c:v>1.6962092694138911E-3</c:v>
                </c:pt>
                <c:pt idx="510">
                  <c:v>1.6957958753887931E-3</c:v>
                </c:pt>
                <c:pt idx="511">
                  <c:v>1.6954421334921485E-3</c:v>
                </c:pt>
                <c:pt idx="512">
                  <c:v>1.695142408834012E-3</c:v>
                </c:pt>
                <c:pt idx="513">
                  <c:v>1.6948796572920834E-3</c:v>
                </c:pt>
                <c:pt idx="514">
                  <c:v>1.6946690433042948E-3</c:v>
                </c:pt>
                <c:pt idx="515">
                  <c:v>1.694495699419994E-3</c:v>
                </c:pt>
                <c:pt idx="516">
                  <c:v>1.6943539283020715E-3</c:v>
                </c:pt>
                <c:pt idx="517">
                  <c:v>1.6942381072341701E-3</c:v>
                </c:pt>
                <c:pt idx="518">
                  <c:v>1.6941655909978297E-3</c:v>
                </c:pt>
                <c:pt idx="519">
                  <c:v>1.694096915364823E-3</c:v>
                </c:pt>
                <c:pt idx="520">
                  <c:v>1.6940508611495986E-3</c:v>
                </c:pt>
                <c:pt idx="521">
                  <c:v>1.6940274287700835E-3</c:v>
                </c:pt>
                <c:pt idx="522">
                  <c:v>1.6940266186450731E-3</c:v>
                </c:pt>
                <c:pt idx="523">
                  <c:v>1.6940484311994443E-3</c:v>
                </c:pt>
                <c:pt idx="524">
                  <c:v>1.6940928668606817E-3</c:v>
                </c:pt>
                <c:pt idx="525">
                  <c:v>1.6941599260588769E-3</c:v>
                </c:pt>
                <c:pt idx="526">
                  <c:v>1.6942496092319384E-3</c:v>
                </c:pt>
                <c:pt idx="527">
                  <c:v>1.6943619168221227E-3</c:v>
                </c:pt>
                <c:pt idx="528">
                  <c:v>1.6944968492716836E-3</c:v>
                </c:pt>
                <c:pt idx="529">
                  <c:v>1.6946544070289603E-3</c:v>
                </c:pt>
                <c:pt idx="530">
                  <c:v>1.6948345905492372E-3</c:v>
                </c:pt>
                <c:pt idx="531">
                  <c:v>1.6950374002886754E-3</c:v>
                </c:pt>
                <c:pt idx="532">
                  <c:v>1.6952628367086411E-3</c:v>
                </c:pt>
                <c:pt idx="533">
                  <c:v>1.695510900273982E-3</c:v>
                </c:pt>
                <c:pt idx="534">
                  <c:v>1.6957815914556262E-3</c:v>
                </c:pt>
                <c:pt idx="535">
                  <c:v>1.6960248950358423E-3</c:v>
                </c:pt>
                <c:pt idx="536">
                  <c:v>1.6963390985904455E-3</c:v>
                </c:pt>
                <c:pt idx="537">
                  <c:v>1.6966759302132596E-3</c:v>
                </c:pt>
                <c:pt idx="538">
                  <c:v>1.6970353903856556E-3</c:v>
                </c:pt>
                <c:pt idx="539">
                  <c:v>1.6974744783332628E-3</c:v>
                </c:pt>
                <c:pt idx="540">
                  <c:v>1.6978809453072549E-3</c:v>
                </c:pt>
                <c:pt idx="541">
                  <c:v>1.6983100433026511E-3</c:v>
                </c:pt>
                <c:pt idx="542">
                  <c:v>1.69876177282166E-3</c:v>
                </c:pt>
                <c:pt idx="543">
                  <c:v>1.6992361343734375E-3</c:v>
                </c:pt>
                <c:pt idx="544">
                  <c:v>1.6997331284671425E-3</c:v>
                </c:pt>
                <c:pt idx="545">
                  <c:v>1.7002527556197536E-3</c:v>
                </c:pt>
                <c:pt idx="546">
                  <c:v>1.7007950163517235E-3</c:v>
                </c:pt>
                <c:pt idx="547">
                  <c:v>1.7013599111852422E-3</c:v>
                </c:pt>
                <c:pt idx="548">
                  <c:v>1.7018020760914965E-3</c:v>
                </c:pt>
                <c:pt idx="549">
                  <c:v>1.7024087258707965E-3</c:v>
                </c:pt>
                <c:pt idx="550">
                  <c:v>1.7030380092339925E-3</c:v>
                </c:pt>
                <c:pt idx="551">
                  <c:v>1.7036899267068861E-3</c:v>
                </c:pt>
                <c:pt idx="552">
                  <c:v>1.7043644788268253E-3</c:v>
                </c:pt>
                <c:pt idx="553">
                  <c:v>1.7050616661276052E-3</c:v>
                </c:pt>
                <c:pt idx="554">
                  <c:v>1.7057814891501266E-3</c:v>
                </c:pt>
                <c:pt idx="555">
                  <c:v>1.7065239484406192E-3</c:v>
                </c:pt>
                <c:pt idx="556">
                  <c:v>1.7072890130407359E-3</c:v>
                </c:pt>
                <c:pt idx="557">
                  <c:v>1.7079864654735814E-3</c:v>
                </c:pt>
                <c:pt idx="558">
                  <c:v>1.7087836684172401E-3</c:v>
                </c:pt>
                <c:pt idx="559">
                  <c:v>1.7095859461859538E-3</c:v>
                </c:pt>
                <c:pt idx="560">
                  <c:v>1.7103851030839138E-3</c:v>
                </c:pt>
                <c:pt idx="561">
                  <c:v>1.7114167660801866E-3</c:v>
                </c:pt>
                <c:pt idx="562">
                  <c:v>1.7121747550231025E-3</c:v>
                </c:pt>
                <c:pt idx="563">
                  <c:v>1.7129032755704692E-3</c:v>
                </c:pt>
                <c:pt idx="564">
                  <c:v>1.713594397332029E-3</c:v>
                </c:pt>
                <c:pt idx="565">
                  <c:v>1.7141763816072297E-3</c:v>
                </c:pt>
                <c:pt idx="566">
                  <c:v>1.7147741818578505E-3</c:v>
                </c:pt>
                <c:pt idx="567">
                  <c:v>1.7153110168545262E-3</c:v>
                </c:pt>
                <c:pt idx="568">
                  <c:v>1.715778868434421E-3</c:v>
                </c:pt>
                <c:pt idx="569">
                  <c:v>1.7161698233898624E-3</c:v>
                </c:pt>
                <c:pt idx="570">
                  <c:v>1.7165154746016636E-3</c:v>
                </c:pt>
                <c:pt idx="571">
                  <c:v>1.7167378121439539E-3</c:v>
                </c:pt>
                <c:pt idx="572">
                  <c:v>1.7168785587374632E-3</c:v>
                </c:pt>
                <c:pt idx="573">
                  <c:v>1.7169377126905038E-3</c:v>
                </c:pt>
                <c:pt idx="574">
                  <c:v>1.7169152723487454E-3</c:v>
                </c:pt>
                <c:pt idx="575">
                  <c:v>1.7168112360960884E-3</c:v>
                </c:pt>
                <c:pt idx="576">
                  <c:v>1.71662560235293E-3</c:v>
                </c:pt>
                <c:pt idx="577">
                  <c:v>1.7163583695787594E-3</c:v>
                </c:pt>
                <c:pt idx="578">
                  <c:v>1.7160095362643507E-3</c:v>
                </c:pt>
                <c:pt idx="579">
                  <c:v>1.7155791009430517E-3</c:v>
                </c:pt>
                <c:pt idx="580">
                  <c:v>1.7150670621829643E-3</c:v>
                </c:pt>
                <c:pt idx="581">
                  <c:v>1.7144734185886813E-3</c:v>
                </c:pt>
                <c:pt idx="582">
                  <c:v>1.7137981688047678E-3</c:v>
                </c:pt>
                <c:pt idx="583">
                  <c:v>1.7130413115079325E-3</c:v>
                </c:pt>
                <c:pt idx="584">
                  <c:v>1.712202845416593E-3</c:v>
                </c:pt>
                <c:pt idx="585">
                  <c:v>1.7112827692830511E-3</c:v>
                </c:pt>
                <c:pt idx="586">
                  <c:v>1.7102810818969694E-3</c:v>
                </c:pt>
                <c:pt idx="587">
                  <c:v>1.7092589872359744E-3</c:v>
                </c:pt>
                <c:pt idx="588">
                  <c:v>1.7080998212824208E-3</c:v>
                </c:pt>
                <c:pt idx="589">
                  <c:v>1.7068590438095669E-3</c:v>
                </c:pt>
                <c:pt idx="590">
                  <c:v>1.7055366537624319E-3</c:v>
                </c:pt>
                <c:pt idx="591">
                  <c:v>1.704132650126442E-3</c:v>
                </c:pt>
                <c:pt idx="592">
                  <c:v>1.702557058228478E-3</c:v>
                </c:pt>
                <c:pt idx="593">
                  <c:v>1.7009840613218365E-3</c:v>
                </c:pt>
                <c:pt idx="594">
                  <c:v>1.6993294448197646E-3</c:v>
                </c:pt>
                <c:pt idx="595">
                  <c:v>1.697593207843834E-3</c:v>
                </c:pt>
                <c:pt idx="596">
                  <c:v>1.6957753495581923E-3</c:v>
                </c:pt>
                <c:pt idx="597">
                  <c:v>1.6938758691565289E-3</c:v>
                </c:pt>
                <c:pt idx="598">
                  <c:v>1.6918947658751057E-3</c:v>
                </c:pt>
                <c:pt idx="599">
                  <c:v>1.6898320389875481E-3</c:v>
                </c:pt>
                <c:pt idx="600">
                  <c:v>1.6879594756114003E-3</c:v>
                </c:pt>
                <c:pt idx="601">
                  <c:v>1.6857450765925819E-3</c:v>
                </c:pt>
                <c:pt idx="602">
                  <c:v>1.6834490584480832E-3</c:v>
                </c:pt>
                <c:pt idx="603">
                  <c:v>1.6810714206050292E-3</c:v>
                </c:pt>
                <c:pt idx="604">
                  <c:v>1.6786121625260719E-3</c:v>
                </c:pt>
                <c:pt idx="605">
                  <c:v>1.6760712837102787E-3</c:v>
                </c:pt>
                <c:pt idx="606">
                  <c:v>1.6734487836931322E-3</c:v>
                </c:pt>
                <c:pt idx="607">
                  <c:v>1.670744662049195E-3</c:v>
                </c:pt>
                <c:pt idx="608">
                  <c:v>1.6679589727708333E-3</c:v>
                </c:pt>
                <c:pt idx="609">
                  <c:v>1.6652823492097372E-3</c:v>
                </c:pt>
                <c:pt idx="610">
                  <c:v>1.6623588592948662E-3</c:v>
                </c:pt>
                <c:pt idx="611">
                  <c:v>1.6593840666228963E-3</c:v>
                </c:pt>
                <c:pt idx="612">
                  <c:v>1.6563721191332767E-3</c:v>
                </c:pt>
                <c:pt idx="613">
                  <c:v>1.652777589161665E-3</c:v>
                </c:pt>
                <c:pt idx="614">
                  <c:v>1.6497432954740519E-3</c:v>
                </c:pt>
                <c:pt idx="615">
                  <c:v>1.6467173204461122E-3</c:v>
                </c:pt>
                <c:pt idx="616">
                  <c:v>1.6437133523909382E-3</c:v>
                </c:pt>
                <c:pt idx="617">
                  <c:v>1.6407450797806256E-3</c:v>
                </c:pt>
                <c:pt idx="618">
                  <c:v>1.6379876307596394E-3</c:v>
                </c:pt>
                <c:pt idx="619">
                  <c:v>1.6351251214452214E-3</c:v>
                </c:pt>
                <c:pt idx="620">
                  <c:v>1.6323391368769031E-3</c:v>
                </c:pt>
                <c:pt idx="621">
                  <c:v>1.6296433346185569E-3</c:v>
                </c:pt>
                <c:pt idx="622">
                  <c:v>1.6269116039253715E-3</c:v>
                </c:pt>
                <c:pt idx="623">
                  <c:v>1.6244189440807535E-3</c:v>
                </c:pt>
                <c:pt idx="624">
                  <c:v>1.6220245604450434E-3</c:v>
                </c:pt>
                <c:pt idx="625">
                  <c:v>1.619728454247695E-3</c:v>
                </c:pt>
                <c:pt idx="626">
                  <c:v>1.6175306267007814E-3</c:v>
                </c:pt>
                <c:pt idx="627">
                  <c:v>1.6154310789842285E-3</c:v>
                </c:pt>
                <c:pt idx="628">
                  <c:v>1.6134298122597156E-3</c:v>
                </c:pt>
                <c:pt idx="629">
                  <c:v>1.6115268276637252E-3</c:v>
                </c:pt>
                <c:pt idx="630">
                  <c:v>1.609722126305807E-3</c:v>
                </c:pt>
                <c:pt idx="631">
                  <c:v>1.6080157092746494E-3</c:v>
                </c:pt>
                <c:pt idx="632">
                  <c:v>1.6064075776354931E-3</c:v>
                </c:pt>
                <c:pt idx="633">
                  <c:v>1.6048977324266359E-3</c:v>
                </c:pt>
                <c:pt idx="634">
                  <c:v>1.6034861746663919E-3</c:v>
                </c:pt>
                <c:pt idx="635">
                  <c:v>1.6021729053418005E-3</c:v>
                </c:pt>
                <c:pt idx="636">
                  <c:v>1.6009579254251246E-3</c:v>
                </c:pt>
                <c:pt idx="637">
                  <c:v>1.5998412358590912E-3</c:v>
                </c:pt>
                <c:pt idx="638">
                  <c:v>1.5988228375620932E-3</c:v>
                </c:pt>
                <c:pt idx="639">
                  <c:v>1.5979168847451448E-3</c:v>
                </c:pt>
                <c:pt idx="640">
                  <c:v>1.5970880237424533E-3</c:v>
                </c:pt>
                <c:pt idx="641">
                  <c:v>1.5963574552830982E-3</c:v>
                </c:pt>
                <c:pt idx="642">
                  <c:v>1.5957251801831307E-3</c:v>
                </c:pt>
                <c:pt idx="643">
                  <c:v>1.5951911992340018E-3</c:v>
                </c:pt>
                <c:pt idx="644">
                  <c:v>1.5947766129441269E-3</c:v>
                </c:pt>
                <c:pt idx="645">
                  <c:v>1.594446277278349E-3</c:v>
                </c:pt>
                <c:pt idx="646">
                  <c:v>1.5942142393790193E-3</c:v>
                </c:pt>
                <c:pt idx="647">
                  <c:v>1.5940804999473156E-3</c:v>
                </c:pt>
                <c:pt idx="648">
                  <c:v>1.5940450596644336E-3</c:v>
                </c:pt>
                <c:pt idx="649">
                  <c:v>1.5941079191863685E-3</c:v>
                </c:pt>
                <c:pt idx="650">
                  <c:v>1.5942690791465285E-3</c:v>
                </c:pt>
                <c:pt idx="651">
                  <c:v>1.5945285401487768E-3</c:v>
                </c:pt>
                <c:pt idx="652">
                  <c:v>1.5948087266195428E-3</c:v>
                </c:pt>
                <c:pt idx="653">
                  <c:v>1.5952577255779962E-3</c:v>
                </c:pt>
                <c:pt idx="654">
                  <c:v>1.5958050258428839E-3</c:v>
                </c:pt>
                <c:pt idx="655">
                  <c:v>1.596450627922812E-3</c:v>
                </c:pt>
                <c:pt idx="656">
                  <c:v>1.5972026477042434E-3</c:v>
                </c:pt>
                <c:pt idx="657">
                  <c:v>1.5981650794890225E-3</c:v>
                </c:pt>
                <c:pt idx="658">
                  <c:v>1.5991196331717117E-3</c:v>
                </c:pt>
                <c:pt idx="659">
                  <c:v>1.6001724905211475E-3</c:v>
                </c:pt>
                <c:pt idx="660">
                  <c:v>1.6013235915633252E-3</c:v>
                </c:pt>
                <c:pt idx="661">
                  <c:v>1.6024276584190034E-3</c:v>
                </c:pt>
                <c:pt idx="662">
                  <c:v>1.6037465093985404E-3</c:v>
                </c:pt>
                <c:pt idx="663">
                  <c:v>1.6051300215371711E-3</c:v>
                </c:pt>
                <c:pt idx="664">
                  <c:v>1.6065624952261714E-3</c:v>
                </c:pt>
                <c:pt idx="665">
                  <c:v>1.6086002504023264E-3</c:v>
                </c:pt>
                <c:pt idx="666">
                  <c:v>1.6100716118443723E-3</c:v>
                </c:pt>
                <c:pt idx="667">
                  <c:v>1.6115403501931859E-3</c:v>
                </c:pt>
                <c:pt idx="668">
                  <c:v>1.6129914328446718E-3</c:v>
                </c:pt>
                <c:pt idx="669">
                  <c:v>1.6148367614474959E-3</c:v>
                </c:pt>
                <c:pt idx="670">
                  <c:v>1.6154259082649808E-3</c:v>
                </c:pt>
                <c:pt idx="671">
                  <c:v>1.616754609781266E-3</c:v>
                </c:pt>
                <c:pt idx="672">
                  <c:v>1.618006377011795E-3</c:v>
                </c:pt>
                <c:pt idx="673">
                  <c:v>1.6191657424242589E-3</c:v>
                </c:pt>
                <c:pt idx="674">
                  <c:v>1.6207306255379954E-3</c:v>
                </c:pt>
                <c:pt idx="675">
                  <c:v>1.6216321013398285E-3</c:v>
                </c:pt>
                <c:pt idx="676">
                  <c:v>1.6224300210649035E-3</c:v>
                </c:pt>
                <c:pt idx="677">
                  <c:v>1.6231243842318695E-3</c:v>
                </c:pt>
                <c:pt idx="678">
                  <c:v>1.6237151903298252E-3</c:v>
                </c:pt>
                <c:pt idx="679">
                  <c:v>1.6242024388183384E-3</c:v>
                </c:pt>
                <c:pt idx="680">
                  <c:v>1.6245861291248227E-3</c:v>
                </c:pt>
                <c:pt idx="681">
                  <c:v>1.6248662606514926E-3</c:v>
                </c:pt>
                <c:pt idx="682">
                  <c:v>1.6250428327632075E-3</c:v>
                </c:pt>
                <c:pt idx="683">
                  <c:v>1.6251158448004933E-3</c:v>
                </c:pt>
                <c:pt idx="684">
                  <c:v>1.6250852960699915E-3</c:v>
                </c:pt>
                <c:pt idx="685">
                  <c:v>1.6249511858505402E-3</c:v>
                </c:pt>
                <c:pt idx="686">
                  <c:v>1.6247135133879596E-3</c:v>
                </c:pt>
                <c:pt idx="687">
                  <c:v>1.6243722779002668E-3</c:v>
                </c:pt>
                <c:pt idx="688">
                  <c:v>1.6239274785750692E-3</c:v>
                </c:pt>
                <c:pt idx="689">
                  <c:v>1.6233791145669552E-3</c:v>
                </c:pt>
                <c:pt idx="690">
                  <c:v>1.6227271850053166E-3</c:v>
                </c:pt>
                <c:pt idx="691">
                  <c:v>1.6220098027635819E-3</c:v>
                </c:pt>
                <c:pt idx="692">
                  <c:v>1.6211581082104572E-3</c:v>
                </c:pt>
                <c:pt idx="693">
                  <c:v>1.6202028468301297E-3</c:v>
                </c:pt>
                <c:pt idx="694">
                  <c:v>1.6191440176422864E-3</c:v>
                </c:pt>
                <c:pt idx="695">
                  <c:v>1.6179140211804227E-3</c:v>
                </c:pt>
                <c:pt idx="696">
                  <c:v>1.6166406782501955E-3</c:v>
                </c:pt>
                <c:pt idx="697">
                  <c:v>1.6152637628050557E-3</c:v>
                </c:pt>
                <c:pt idx="698">
                  <c:v>1.6137832737276366E-3</c:v>
                </c:pt>
                <c:pt idx="699">
                  <c:v>1.6121992098718984E-3</c:v>
                </c:pt>
                <c:pt idx="700">
                  <c:v>1.6105115700639971E-3</c:v>
                </c:pt>
                <c:pt idx="701">
                  <c:v>1.6087203530953335E-3</c:v>
                </c:pt>
                <c:pt idx="702">
                  <c:v>1.6068255577295076E-3</c:v>
                </c:pt>
                <c:pt idx="703">
                  <c:v>1.6048271827023121E-3</c:v>
                </c:pt>
                <c:pt idx="704">
                  <c:v>1.6028592590360703E-3</c:v>
                </c:pt>
                <c:pt idx="705">
                  <c:v>1.6006611106290387E-3</c:v>
                </c:pt>
                <c:pt idx="706">
                  <c:v>1.5983593803044578E-3</c:v>
                </c:pt>
                <c:pt idx="707">
                  <c:v>1.5959540666893625E-3</c:v>
                </c:pt>
                <c:pt idx="708">
                  <c:v>1.5932422532891621E-3</c:v>
                </c:pt>
                <c:pt idx="709">
                  <c:v>1.5906223676083187E-3</c:v>
                </c:pt>
                <c:pt idx="710">
                  <c:v>1.5878988959325824E-3</c:v>
                </c:pt>
                <c:pt idx="711">
                  <c:v>1.5848856858094E-3</c:v>
                </c:pt>
                <c:pt idx="712">
                  <c:v>1.5821418243620045E-3</c:v>
                </c:pt>
                <c:pt idx="713">
                  <c:v>1.5791201706916169E-3</c:v>
                </c:pt>
                <c:pt idx="714">
                  <c:v>1.5760270481637306E-3</c:v>
                </c:pt>
                <c:pt idx="715">
                  <c:v>1.5728828977286113E-3</c:v>
                </c:pt>
                <c:pt idx="716">
                  <c:v>1.5697081607140007E-3</c:v>
                </c:pt>
                <c:pt idx="717">
                  <c:v>1.5661419038698081E-3</c:v>
                </c:pt>
                <c:pt idx="718">
                  <c:v>1.5629798030295083E-3</c:v>
                </c:pt>
                <c:pt idx="719">
                  <c:v>1.5598512364419738E-3</c:v>
                </c:pt>
                <c:pt idx="720">
                  <c:v>1.556776203350335E-3</c:v>
                </c:pt>
                <c:pt idx="721">
                  <c:v>1.5539323996360821E-3</c:v>
                </c:pt>
                <c:pt idx="722">
                  <c:v>1.5510139232919719E-3</c:v>
                </c:pt>
                <c:pt idx="723">
                  <c:v>1.5482084761953624E-3</c:v>
                </c:pt>
                <c:pt idx="724">
                  <c:v>1.544800097522437E-3</c:v>
                </c:pt>
                <c:pt idx="725">
                  <c:v>1.5416624579206563E-3</c:v>
                </c:pt>
                <c:pt idx="726">
                  <c:v>1.5329832350312982E-3</c:v>
                </c:pt>
                <c:pt idx="727">
                  <c:v>1.5273508644987194E-3</c:v>
                </c:pt>
                <c:pt idx="728">
                  <c:v>1.5247262729810749E-3</c:v>
                </c:pt>
                <c:pt idx="729">
                  <c:v>1.5249515732881271E-3</c:v>
                </c:pt>
                <c:pt idx="730">
                  <c:v>1.5287698458695126E-3</c:v>
                </c:pt>
                <c:pt idx="731">
                  <c:v>1.5356409884677603E-3</c:v>
                </c:pt>
                <c:pt idx="732">
                  <c:v>1.5447313983703026E-3</c:v>
                </c:pt>
                <c:pt idx="733">
                  <c:v>1.5585410873297789E-3</c:v>
                </c:pt>
                <c:pt idx="734">
                  <c:v>1.5761902045565573E-3</c:v>
                </c:pt>
                <c:pt idx="735">
                  <c:v>1.59313679545885E-3</c:v>
                </c:pt>
                <c:pt idx="736">
                  <c:v>1.6113939883646133E-3</c:v>
                </c:pt>
                <c:pt idx="737">
                  <c:v>1.6291600169767665E-3</c:v>
                </c:pt>
                <c:pt idx="738">
                  <c:v>1.6430392595850173E-3</c:v>
                </c:pt>
                <c:pt idx="739">
                  <c:v>1.6548620711909455E-3</c:v>
                </c:pt>
                <c:pt idx="740">
                  <c:v>1.6642581694767764E-3</c:v>
                </c:pt>
                <c:pt idx="741">
                  <c:v>1.6709840940224516E-3</c:v>
                </c:pt>
                <c:pt idx="742">
                  <c:v>1.6747362441360061E-3</c:v>
                </c:pt>
                <c:pt idx="743">
                  <c:v>1.6759380381637795E-3</c:v>
                </c:pt>
                <c:pt idx="744">
                  <c:v>1.6745188101809916E-3</c:v>
                </c:pt>
                <c:pt idx="745">
                  <c:v>1.6701163933998901E-3</c:v>
                </c:pt>
                <c:pt idx="746">
                  <c:v>1.6638385822520651E-3</c:v>
                </c:pt>
                <c:pt idx="747">
                  <c:v>1.6558183166062845E-3</c:v>
                </c:pt>
                <c:pt idx="748">
                  <c:v>1.6457044548009482E-3</c:v>
                </c:pt>
                <c:pt idx="749">
                  <c:v>1.6359999365483692E-3</c:v>
                </c:pt>
                <c:pt idx="750">
                  <c:v>1.6254511316822293E-3</c:v>
                </c:pt>
                <c:pt idx="751">
                  <c:v>1.6158592151941913E-3</c:v>
                </c:pt>
                <c:pt idx="752">
                  <c:v>1.6053058073891516E-3</c:v>
                </c:pt>
                <c:pt idx="753">
                  <c:v>1.5958292982528998E-3</c:v>
                </c:pt>
                <c:pt idx="754">
                  <c:v>1.5858720082442164E-3</c:v>
                </c:pt>
                <c:pt idx="755">
                  <c:v>1.5755514566293816E-3</c:v>
                </c:pt>
                <c:pt idx="756">
                  <c:v>1.5660694878883129E-3</c:v>
                </c:pt>
                <c:pt idx="757">
                  <c:v>1.5555049918209076E-3</c:v>
                </c:pt>
                <c:pt idx="758">
                  <c:v>1.5449381116192911E-3</c:v>
                </c:pt>
                <c:pt idx="759">
                  <c:v>1.5355291077005003E-3</c:v>
                </c:pt>
                <c:pt idx="760">
                  <c:v>1.5263602533284355E-3</c:v>
                </c:pt>
                <c:pt idx="761">
                  <c:v>1.516383759219567E-3</c:v>
                </c:pt>
                <c:pt idx="762">
                  <c:v>1.506050834644038E-3</c:v>
                </c:pt>
                <c:pt idx="763">
                  <c:v>1.4961904410564272E-3</c:v>
                </c:pt>
                <c:pt idx="764">
                  <c:v>1.4858540005501884E-3</c:v>
                </c:pt>
                <c:pt idx="765">
                  <c:v>1.4752712701764283E-3</c:v>
                </c:pt>
                <c:pt idx="766">
                  <c:v>1.4656485604413044E-3</c:v>
                </c:pt>
                <c:pt idx="767">
                  <c:v>1.4551843427828195E-3</c:v>
                </c:pt>
                <c:pt idx="768">
                  <c:v>1.4453601461239529E-3</c:v>
                </c:pt>
                <c:pt idx="769">
                  <c:v>1.434768921546592E-3</c:v>
                </c:pt>
                <c:pt idx="770">
                  <c:v>1.4255330309691418E-3</c:v>
                </c:pt>
                <c:pt idx="771">
                  <c:v>1.4160243445593534E-3</c:v>
                </c:pt>
                <c:pt idx="772">
                  <c:v>1.4056232641852136E-3</c:v>
                </c:pt>
                <c:pt idx="773">
                  <c:v>1.3959865498109035E-3</c:v>
                </c:pt>
                <c:pt idx="774">
                  <c:v>1.3860982052699734E-3</c:v>
                </c:pt>
                <c:pt idx="775">
                  <c:v>1.3757431905515923E-3</c:v>
                </c:pt>
                <c:pt idx="776">
                  <c:v>1.3652615748397708E-3</c:v>
                </c:pt>
                <c:pt idx="777">
                  <c:v>1.3554913738193005E-3</c:v>
                </c:pt>
                <c:pt idx="778">
                  <c:v>1.3448799132064829E-3</c:v>
                </c:pt>
                <c:pt idx="779">
                  <c:v>1.3354836441559215E-3</c:v>
                </c:pt>
                <c:pt idx="780">
                  <c:v>1.3247418247421313E-3</c:v>
                </c:pt>
                <c:pt idx="781">
                  <c:v>1.3153442262742853E-3</c:v>
                </c:pt>
                <c:pt idx="782">
                  <c:v>1.3059736789626224E-3</c:v>
                </c:pt>
                <c:pt idx="783">
                  <c:v>1.2955556070058816E-3</c:v>
                </c:pt>
                <c:pt idx="784">
                  <c:v>1.2859251483487016E-3</c:v>
                </c:pt>
                <c:pt idx="785">
                  <c:v>1.2755684728454186E-3</c:v>
                </c:pt>
                <c:pt idx="786">
                  <c:v>1.2662438933316745E-3</c:v>
                </c:pt>
                <c:pt idx="787">
                  <c:v>1.256086497533301E-3</c:v>
                </c:pt>
                <c:pt idx="788">
                  <c:v>1.2470617261907471E-3</c:v>
                </c:pt>
                <c:pt idx="789">
                  <c:v>1.2376511472410277E-3</c:v>
                </c:pt>
                <c:pt idx="790">
                  <c:v>1.2280227583025636E-3</c:v>
                </c:pt>
                <c:pt idx="791">
                  <c:v>1.2193766811430251E-3</c:v>
                </c:pt>
                <c:pt idx="792">
                  <c:v>1.2097101569743529E-3</c:v>
                </c:pt>
                <c:pt idx="793">
                  <c:v>1.2000357340082347E-3</c:v>
                </c:pt>
                <c:pt idx="794">
                  <c:v>1.1918942650611334E-3</c:v>
                </c:pt>
                <c:pt idx="795">
                  <c:v>1.1834849285954577E-3</c:v>
                </c:pt>
                <c:pt idx="796">
                  <c:v>1.1747245660152748E-3</c:v>
                </c:pt>
                <c:pt idx="797">
                  <c:v>1.1657653638210887E-3</c:v>
                </c:pt>
                <c:pt idx="798">
                  <c:v>1.1573012490354567E-3</c:v>
                </c:pt>
                <c:pt idx="799">
                  <c:v>1.1485363314229398E-3</c:v>
                </c:pt>
                <c:pt idx="800">
                  <c:v>1.1397670445177574E-3</c:v>
                </c:pt>
                <c:pt idx="801">
                  <c:v>1.1316879004916545E-3</c:v>
                </c:pt>
                <c:pt idx="802">
                  <c:v>1.1231154383394421E-3</c:v>
                </c:pt>
                <c:pt idx="803">
                  <c:v>1.1153198807992912E-3</c:v>
                </c:pt>
                <c:pt idx="804">
                  <c:v>1.1068444574155196E-3</c:v>
                </c:pt>
                <c:pt idx="805">
                  <c:v>1.0991329203869291E-3</c:v>
                </c:pt>
                <c:pt idx="806">
                  <c:v>1.0909541195357111E-3</c:v>
                </c:pt>
                <c:pt idx="807">
                  <c:v>1.0834264072185993E-3</c:v>
                </c:pt>
                <c:pt idx="808">
                  <c:v>1.075351109149237E-3</c:v>
                </c:pt>
                <c:pt idx="809">
                  <c:v>1.0681005675317046E-3</c:v>
                </c:pt>
                <c:pt idx="810">
                  <c:v>1.0602246760448922E-3</c:v>
                </c:pt>
                <c:pt idx="811">
                  <c:v>1.0532449535973262E-3</c:v>
                </c:pt>
                <c:pt idx="812">
                  <c:v>1.0459959420914371E-3</c:v>
                </c:pt>
                <c:pt idx="813">
                  <c:v>1.0385909688687862E-3</c:v>
                </c:pt>
                <c:pt idx="814">
                  <c:v>1.0319608095814559E-3</c:v>
                </c:pt>
                <c:pt idx="815">
                  <c:v>1.0245760081044608E-3</c:v>
                </c:pt>
                <c:pt idx="816">
                  <c:v>1.0172126245331266E-3</c:v>
                </c:pt>
                <c:pt idx="817">
                  <c:v>1.0110365732496837E-3</c:v>
                </c:pt>
                <c:pt idx="818">
                  <c:v>1.0046724043240689E-3</c:v>
                </c:pt>
                <c:pt idx="819">
                  <c:v>9.9807462188663404E-4</c:v>
                </c:pt>
                <c:pt idx="820">
                  <c:v>9.9133873542274834E-4</c:v>
                </c:pt>
                <c:pt idx="821">
                  <c:v>9.8500810001447836E-4</c:v>
                </c:pt>
                <c:pt idx="822">
                  <c:v>9.7846644615607638E-4</c:v>
                </c:pt>
                <c:pt idx="823">
                  <c:v>9.7194982317824231E-4</c:v>
                </c:pt>
                <c:pt idx="824">
                  <c:v>9.6597491889915434E-4</c:v>
                </c:pt>
                <c:pt idx="825">
                  <c:v>9.5958369991814771E-4</c:v>
                </c:pt>
                <c:pt idx="826">
                  <c:v>9.5400453977134703E-4</c:v>
                </c:pt>
                <c:pt idx="827">
                  <c:v>9.4774119468826919E-4</c:v>
                </c:pt>
                <c:pt idx="828">
                  <c:v>9.4233689629261673E-4</c:v>
                </c:pt>
                <c:pt idx="829">
                  <c:v>9.3704307918561318E-4</c:v>
                </c:pt>
                <c:pt idx="830">
                  <c:v>9.3120441002752206E-4</c:v>
                </c:pt>
                <c:pt idx="831">
                  <c:v>9.2586311536220316E-4</c:v>
                </c:pt>
                <c:pt idx="832">
                  <c:v>9.2015891291703095E-4</c:v>
                </c:pt>
                <c:pt idx="833">
                  <c:v>9.1506393818448564E-4</c:v>
                </c:pt>
                <c:pt idx="834">
                  <c:v>9.0955919652893798E-4</c:v>
                </c:pt>
                <c:pt idx="835">
                  <c:v>9.0470398171422703E-4</c:v>
                </c:pt>
                <c:pt idx="836">
                  <c:v>8.9970400248578532E-4</c:v>
                </c:pt>
                <c:pt idx="837">
                  <c:v>8.9466372234834127E-4</c:v>
                </c:pt>
                <c:pt idx="838">
                  <c:v>8.9001648214249648E-4</c:v>
                </c:pt>
                <c:pt idx="839">
                  <c:v>8.8511050276040767E-4</c:v>
                </c:pt>
                <c:pt idx="840">
                  <c:v>8.8037560285688515E-4</c:v>
                </c:pt>
                <c:pt idx="841">
                  <c:v>8.7641644742827117E-4</c:v>
                </c:pt>
                <c:pt idx="842">
                  <c:v>8.7142126867054658E-4</c:v>
                </c:pt>
                <c:pt idx="843">
                  <c:v>8.6713724942043269E-4</c:v>
                </c:pt>
                <c:pt idx="844">
                  <c:v>8.6251675460010183E-4</c:v>
                </c:pt>
                <c:pt idx="845">
                  <c:v>8.5783355842402632E-4</c:v>
                </c:pt>
                <c:pt idx="846">
                  <c:v>8.536597336349025E-4</c:v>
                </c:pt>
                <c:pt idx="847">
                  <c:v>8.493202915870815E-4</c:v>
                </c:pt>
                <c:pt idx="848">
                  <c:v>8.4484588214002281E-4</c:v>
                </c:pt>
                <c:pt idx="849">
                  <c:v>8.4077103185960234E-4</c:v>
                </c:pt>
                <c:pt idx="850">
                  <c:v>8.362722692347585E-4</c:v>
                </c:pt>
                <c:pt idx="851">
                  <c:v>8.3181260361071471E-4</c:v>
                </c:pt>
                <c:pt idx="852">
                  <c:v>8.2787857566194063E-4</c:v>
                </c:pt>
                <c:pt idx="853">
                  <c:v>8.2406914041873933E-4</c:v>
                </c:pt>
                <c:pt idx="854">
                  <c:v>8.1997209660391104E-4</c:v>
                </c:pt>
                <c:pt idx="855">
                  <c:v>8.1574899824207563E-4</c:v>
                </c:pt>
                <c:pt idx="856">
                  <c:v>8.1176832835280245E-4</c:v>
                </c:pt>
                <c:pt idx="857">
                  <c:v>8.0761812780339934E-4</c:v>
                </c:pt>
                <c:pt idx="858">
                  <c:v>8.0346058054033866E-4</c:v>
                </c:pt>
                <c:pt idx="859">
                  <c:v>7.9962970197213455E-4</c:v>
                </c:pt>
                <c:pt idx="860">
                  <c:v>7.9550213161880094E-4</c:v>
                </c:pt>
                <c:pt idx="861">
                  <c:v>7.9187036900041363E-4</c:v>
                </c:pt>
                <c:pt idx="862">
                  <c:v>7.8777359424928722E-4</c:v>
                </c:pt>
                <c:pt idx="863">
                  <c:v>7.8420744930616376E-4</c:v>
                </c:pt>
                <c:pt idx="864">
                  <c:v>7.8070201285956615E-4</c:v>
                </c:pt>
                <c:pt idx="865">
                  <c:v>7.7679834248517259E-4</c:v>
                </c:pt>
                <c:pt idx="866">
                  <c:v>7.7320410818156483E-4</c:v>
                </c:pt>
                <c:pt idx="867">
                  <c:v>7.6933345645721109E-4</c:v>
                </c:pt>
                <c:pt idx="868">
                  <c:v>7.6584857945893436E-4</c:v>
                </c:pt>
                <c:pt idx="869">
                  <c:v>7.6205249991518568E-4</c:v>
                </c:pt>
                <c:pt idx="870">
                  <c:v>7.5867470319167501E-4</c:v>
                </c:pt>
                <c:pt idx="871">
                  <c:v>7.5517293468934862E-4</c:v>
                </c:pt>
                <c:pt idx="872">
                  <c:v>7.5156459348664235E-4</c:v>
                </c:pt>
                <c:pt idx="873">
                  <c:v>7.4795550499096811E-4</c:v>
                </c:pt>
                <c:pt idx="874">
                  <c:v>7.4471095828876344E-4</c:v>
                </c:pt>
                <c:pt idx="875">
                  <c:v>7.4106370354470614E-4</c:v>
                </c:pt>
                <c:pt idx="876">
                  <c:v>7.3806319318974606E-4</c:v>
                </c:pt>
                <c:pt idx="877">
                  <c:v>7.3481002280949975E-4</c:v>
                </c:pt>
                <c:pt idx="878">
                  <c:v>7.31414822571364E-4</c:v>
                </c:pt>
                <c:pt idx="879">
                  <c:v>7.2829894650724373E-4</c:v>
                </c:pt>
                <c:pt idx="880">
                  <c:v>7.252499669205964E-4</c:v>
                </c:pt>
                <c:pt idx="881">
                  <c:v>7.218947540183606E-4</c:v>
                </c:pt>
                <c:pt idx="882">
                  <c:v>7.1854496342862138E-4</c:v>
                </c:pt>
                <c:pt idx="883">
                  <c:v>7.1556459568037408E-4</c:v>
                </c:pt>
                <c:pt idx="884">
                  <c:v>7.1268186462702943E-4</c:v>
                </c:pt>
                <c:pt idx="885">
                  <c:v>7.0947517686903439E-4</c:v>
                </c:pt>
                <c:pt idx="886">
                  <c:v>7.0627585685373306E-4</c:v>
                </c:pt>
                <c:pt idx="887">
                  <c:v>7.0358798126885641E-4</c:v>
                </c:pt>
                <c:pt idx="888">
                  <c:v>7.0080394453092033E-4</c:v>
                </c:pt>
                <c:pt idx="889">
                  <c:v>6.9793019459751804E-4</c:v>
                </c:pt>
                <c:pt idx="890">
                  <c:v>6.9496717142461095E-4</c:v>
                </c:pt>
                <c:pt idx="891">
                  <c:v>6.9219389709498577E-4</c:v>
                </c:pt>
                <c:pt idx="892">
                  <c:v>6.8930337196213866E-4</c:v>
                </c:pt>
                <c:pt idx="893">
                  <c:v>6.8642158418999889E-4</c:v>
                </c:pt>
                <c:pt idx="894">
                  <c:v>6.8378180004940396E-4</c:v>
                </c:pt>
                <c:pt idx="895">
                  <c:v>6.8094630728620775E-4</c:v>
                </c:pt>
                <c:pt idx="896">
                  <c:v>6.784291454457617E-4</c:v>
                </c:pt>
                <c:pt idx="897">
                  <c:v>6.7566760811727921E-4</c:v>
                </c:pt>
                <c:pt idx="898">
                  <c:v>6.732165983764915E-4</c:v>
                </c:pt>
                <c:pt idx="899">
                  <c:v>6.7080145725834355E-4</c:v>
                </c:pt>
                <c:pt idx="900">
                  <c:v>6.6817096306222377E-4</c:v>
                </c:pt>
                <c:pt idx="901">
                  <c:v>6.6584221579737719E-4</c:v>
                </c:pt>
                <c:pt idx="902">
                  <c:v>6.6325347881781259E-4</c:v>
                </c:pt>
                <c:pt idx="903">
                  <c:v>6.6093061232822166E-4</c:v>
                </c:pt>
                <c:pt idx="904">
                  <c:v>6.5840904316952827E-4</c:v>
                </c:pt>
                <c:pt idx="905">
                  <c:v>6.561697082318645E-4</c:v>
                </c:pt>
                <c:pt idx="906">
                  <c:v>6.5387048749264171E-4</c:v>
                </c:pt>
                <c:pt idx="907">
                  <c:v>6.5149209563131107E-4</c:v>
                </c:pt>
                <c:pt idx="908">
                  <c:v>6.4936262872272721E-4</c:v>
                </c:pt>
                <c:pt idx="909">
                  <c:v>6.470064032839673E-4</c:v>
                </c:pt>
                <c:pt idx="910">
                  <c:v>6.4466523641008421E-4</c:v>
                </c:pt>
                <c:pt idx="911">
                  <c:v>6.4270417604363195E-4</c:v>
                </c:pt>
                <c:pt idx="912">
                  <c:v>6.4060405391473153E-4</c:v>
                </c:pt>
                <c:pt idx="913">
                  <c:v>6.3842966083227891E-4</c:v>
                </c:pt>
                <c:pt idx="914">
                  <c:v>6.3643924857639464E-4</c:v>
                </c:pt>
                <c:pt idx="915">
                  <c:v>6.3444222051700985E-4</c:v>
                </c:pt>
                <c:pt idx="916">
                  <c:v>6.3235403294713624E-4</c:v>
                </c:pt>
                <c:pt idx="917">
                  <c:v>6.3026533630801233E-4</c:v>
                </c:pt>
                <c:pt idx="918">
                  <c:v>6.2839705380539519E-4</c:v>
                </c:pt>
                <c:pt idx="919">
                  <c:v>6.2639145481272092E-4</c:v>
                </c:pt>
                <c:pt idx="920">
                  <c:v>6.2453950001639669E-4</c:v>
                </c:pt>
                <c:pt idx="921">
                  <c:v>6.2262893598786888E-4</c:v>
                </c:pt>
                <c:pt idx="922">
                  <c:v>6.2092554564627603E-4</c:v>
                </c:pt>
                <c:pt idx="923">
                  <c:v>6.1933525075738051E-4</c:v>
                </c:pt>
                <c:pt idx="924">
                  <c:v>6.1768613094892108E-4</c:v>
                </c:pt>
                <c:pt idx="925">
                  <c:v>6.1603656153846019E-4</c:v>
                </c:pt>
                <c:pt idx="926">
                  <c:v>6.1422785906353923E-4</c:v>
                </c:pt>
                <c:pt idx="927">
                  <c:v>6.1260164049418454E-4</c:v>
                </c:pt>
                <c:pt idx="928">
                  <c:v>6.1090958936593602E-4</c:v>
                </c:pt>
                <c:pt idx="929">
                  <c:v>6.093345980150832E-4</c:v>
                </c:pt>
                <c:pt idx="930">
                  <c:v>6.0769604084419393E-4</c:v>
                </c:pt>
                <c:pt idx="931">
                  <c:v>6.0623714531526929E-4</c:v>
                </c:pt>
                <c:pt idx="932">
                  <c:v>6.0464217695166411E-4</c:v>
                </c:pt>
                <c:pt idx="933">
                  <c:v>6.0307305513736947E-4</c:v>
                </c:pt>
                <c:pt idx="934">
                  <c:v>6.0176872735459921E-4</c:v>
                </c:pt>
                <c:pt idx="935">
                  <c:v>6.0041777740254057E-4</c:v>
                </c:pt>
                <c:pt idx="936">
                  <c:v>5.9906311301976753E-4</c:v>
                </c:pt>
                <c:pt idx="937">
                  <c:v>5.9764928401337229E-4</c:v>
                </c:pt>
                <c:pt idx="938">
                  <c:v>5.963660715836254E-4</c:v>
                </c:pt>
                <c:pt idx="939">
                  <c:v>5.9501747516860562E-4</c:v>
                </c:pt>
                <c:pt idx="940">
                  <c:v>5.9369607333095535E-4</c:v>
                </c:pt>
                <c:pt idx="941">
                  <c:v>5.925139143256198E-4</c:v>
                </c:pt>
                <c:pt idx="942">
                  <c:v>5.9125370851982433E-4</c:v>
                </c:pt>
                <c:pt idx="943">
                  <c:v>5.9014313982574951E-4</c:v>
                </c:pt>
                <c:pt idx="944">
                  <c:v>5.8894557510759914E-4</c:v>
                </c:pt>
                <c:pt idx="945">
                  <c:v>5.8789866181552242E-4</c:v>
                </c:pt>
                <c:pt idx="946">
                  <c:v>5.8690028450028749E-4</c:v>
                </c:pt>
                <c:pt idx="947">
                  <c:v>5.8574268665730587E-4</c:v>
                </c:pt>
                <c:pt idx="948">
                  <c:v>5.8471406076259121E-4</c:v>
                </c:pt>
                <c:pt idx="949">
                  <c:v>5.8378217074961034E-4</c:v>
                </c:pt>
                <c:pt idx="950">
                  <c:v>5.8287717191575147E-4</c:v>
                </c:pt>
                <c:pt idx="951">
                  <c:v>5.8191986472369735E-4</c:v>
                </c:pt>
                <c:pt idx="952">
                  <c:v>5.809955562591472E-4</c:v>
                </c:pt>
                <c:pt idx="953">
                  <c:v>5.8018581259919842E-4</c:v>
                </c:pt>
                <c:pt idx="954">
                  <c:v>5.7932868513714715E-4</c:v>
                </c:pt>
                <c:pt idx="955">
                  <c:v>5.7855274538631818E-4</c:v>
                </c:pt>
                <c:pt idx="956">
                  <c:v>5.7775710422857708E-4</c:v>
                </c:pt>
                <c:pt idx="957">
                  <c:v>5.7709844176803346E-4</c:v>
                </c:pt>
                <c:pt idx="958">
                  <c:v>5.7646583156641812E-4</c:v>
                </c:pt>
                <c:pt idx="959">
                  <c:v>5.7570015936946918E-4</c:v>
                </c:pt>
                <c:pt idx="960">
                  <c:v>5.7504065335532185E-4</c:v>
                </c:pt>
                <c:pt idx="961">
                  <c:v>5.7428174377579383E-4</c:v>
                </c:pt>
                <c:pt idx="962">
                  <c:v>5.7358403223334124E-4</c:v>
                </c:pt>
                <c:pt idx="963">
                  <c:v>5.7280655742048686E-4</c:v>
                </c:pt>
                <c:pt idx="964">
                  <c:v>5.7209467812720932E-4</c:v>
                </c:pt>
                <c:pt idx="965">
                  <c:v>5.713014772726465E-4</c:v>
                </c:pt>
                <c:pt idx="966">
                  <c:v>5.7057060177001517E-4</c:v>
                </c:pt>
                <c:pt idx="967">
                  <c:v>5.6976140590844077E-4</c:v>
                </c:pt>
                <c:pt idx="968">
                  <c:v>5.6901566219296623E-4</c:v>
                </c:pt>
                <c:pt idx="969">
                  <c:v>5.6831624269398223E-4</c:v>
                </c:pt>
                <c:pt idx="970">
                  <c:v>5.674807184242979E-4</c:v>
                </c:pt>
                <c:pt idx="971">
                  <c:v>5.6671415387411252E-4</c:v>
                </c:pt>
                <c:pt idx="972">
                  <c:v>5.6586190382531924E-4</c:v>
                </c:pt>
                <c:pt idx="973">
                  <c:v>5.6507933947026398E-4</c:v>
                </c:pt>
                <c:pt idx="974">
                  <c:v>5.6420994818608128E-4</c:v>
                </c:pt>
                <c:pt idx="975">
                  <c:v>5.6341212829136463E-4</c:v>
                </c:pt>
                <c:pt idx="976">
                  <c:v>5.6260528098984845E-4</c:v>
                </c:pt>
                <c:pt idx="977">
                  <c:v>5.6171154143329523E-4</c:v>
                </c:pt>
                <c:pt idx="978">
                  <c:v>5.6089194817232624E-4</c:v>
                </c:pt>
                <c:pt idx="979">
                  <c:v>5.5998044018501503E-4</c:v>
                </c:pt>
                <c:pt idx="980">
                  <c:v>5.5905885654740188E-4</c:v>
                </c:pt>
                <c:pt idx="981">
                  <c:v>5.582694210845441E-4</c:v>
                </c:pt>
                <c:pt idx="982">
                  <c:v>5.5739048365262105E-4</c:v>
                </c:pt>
                <c:pt idx="983">
                  <c:v>5.5647204673692739E-4</c:v>
                </c:pt>
                <c:pt idx="984">
                  <c:v>5.556046561540906E-4</c:v>
                </c:pt>
                <c:pt idx="985">
                  <c:v>5.5472612049983598E-4</c:v>
                </c:pt>
                <c:pt idx="986">
                  <c:v>5.537589914425909E-4</c:v>
                </c:pt>
                <c:pt idx="987">
                  <c:v>5.527813540164208E-4</c:v>
                </c:pt>
                <c:pt idx="988">
                  <c:v>5.5188061678329743E-4</c:v>
                </c:pt>
                <c:pt idx="989">
                  <c:v>5.5088365274327811E-4</c:v>
                </c:pt>
                <c:pt idx="990">
                  <c:v>5.4991101150241896E-4</c:v>
                </c:pt>
                <c:pt idx="991">
                  <c:v>5.4895828147040991E-4</c:v>
                </c:pt>
                <c:pt idx="992">
                  <c:v>5.4803174090167772E-4</c:v>
                </c:pt>
                <c:pt idx="993">
                  <c:v>5.4711999650009641E-4</c:v>
                </c:pt>
                <c:pt idx="994">
                  <c:v>5.4608420904157101E-4</c:v>
                </c:pt>
                <c:pt idx="995">
                  <c:v>5.451603212840838E-4</c:v>
                </c:pt>
                <c:pt idx="996">
                  <c:v>5.4410435430500732E-4</c:v>
                </c:pt>
                <c:pt idx="997">
                  <c:v>5.4313659925412858E-4</c:v>
                </c:pt>
                <c:pt idx="998">
                  <c:v>5.4206749128228766E-4</c:v>
                </c:pt>
                <c:pt idx="999">
                  <c:v>5.4108018128517545E-4</c:v>
                </c:pt>
                <c:pt idx="1000">
                  <c:v>5.4009375131873136E-4</c:v>
                </c:pt>
                <c:pt idx="1001">
                  <c:v>5.3900003780782413E-4</c:v>
                </c:pt>
                <c:pt idx="1002">
                  <c:v>5.3788839173586796E-4</c:v>
                </c:pt>
                <c:pt idx="1003">
                  <c:v>5.3688374030120764E-4</c:v>
                </c:pt>
                <c:pt idx="1004">
                  <c:v>5.3591575361792293E-4</c:v>
                </c:pt>
                <c:pt idx="1005">
                  <c:v>5.3478884021756178E-4</c:v>
                </c:pt>
                <c:pt idx="1006">
                  <c:v>5.3374673825842649E-4</c:v>
                </c:pt>
                <c:pt idx="1007">
                  <c:v>5.3259754364504489E-4</c:v>
                </c:pt>
                <c:pt idx="1008">
                  <c:v>5.3154504000428072E-4</c:v>
                </c:pt>
                <c:pt idx="1009">
                  <c:v>5.3037872702504235E-4</c:v>
                </c:pt>
                <c:pt idx="1010">
                  <c:v>5.2931668728194506E-4</c:v>
                </c:pt>
                <c:pt idx="1011">
                  <c:v>5.2822278887346662E-4</c:v>
                </c:pt>
                <c:pt idx="1012">
                  <c:v>5.2704360741933926E-4</c:v>
                </c:pt>
                <c:pt idx="1013">
                  <c:v>5.2596566511908804E-4</c:v>
                </c:pt>
                <c:pt idx="1014">
                  <c:v>5.2475734442403166E-4</c:v>
                </c:pt>
                <c:pt idx="1015">
                  <c:v>5.2353314347895231E-4</c:v>
                </c:pt>
                <c:pt idx="1016">
                  <c:v>5.2248602827047966E-4</c:v>
                </c:pt>
                <c:pt idx="1017">
                  <c:v>5.2133411723433686E-4</c:v>
                </c:pt>
                <c:pt idx="1018">
                  <c:v>5.201220010008856E-4</c:v>
                </c:pt>
                <c:pt idx="1019">
                  <c:v>5.1898479328506275E-4</c:v>
                </c:pt>
                <c:pt idx="1020">
                  <c:v>5.1782459201246949E-4</c:v>
                </c:pt>
                <c:pt idx="1021">
                  <c:v>5.1657255030665341E-4</c:v>
                </c:pt>
                <c:pt idx="1022">
                  <c:v>5.1530413071807293E-4</c:v>
                </c:pt>
                <c:pt idx="1023">
                  <c:v>5.1412764952482592E-4</c:v>
                </c:pt>
                <c:pt idx="1024">
                  <c:v>5.1283395494293015E-4</c:v>
                </c:pt>
                <c:pt idx="1025">
                  <c:v>5.1166751693809687E-4</c:v>
                </c:pt>
                <c:pt idx="1026">
                  <c:v>5.1034820423569074E-4</c:v>
                </c:pt>
                <c:pt idx="1027">
                  <c:v>5.0916712869672302E-4</c:v>
                </c:pt>
                <c:pt idx="1028">
                  <c:v>5.0801376318241123E-4</c:v>
                </c:pt>
                <c:pt idx="1029">
                  <c:v>5.0668770986828961E-4</c:v>
                </c:pt>
                <c:pt idx="1030">
                  <c:v>5.0545640303093983E-4</c:v>
                </c:pt>
                <c:pt idx="1031">
                  <c:v>5.0410380642491696E-4</c:v>
                </c:pt>
                <c:pt idx="1032">
                  <c:v>5.0286640198687199E-4</c:v>
                </c:pt>
                <c:pt idx="1033">
                  <c:v>5.0149670936580886E-4</c:v>
                </c:pt>
                <c:pt idx="1034">
                  <c:v>5.0025414170216942E-4</c:v>
                </c:pt>
                <c:pt idx="1035">
                  <c:v>4.9896228885392552E-4</c:v>
                </c:pt>
                <c:pt idx="1036">
                  <c:v>4.9758849331936819E-4</c:v>
                </c:pt>
                <c:pt idx="1037">
                  <c:v>4.9632354977902082E-4</c:v>
                </c:pt>
                <c:pt idx="1038">
                  <c:v>4.9492286915153727E-4</c:v>
                </c:pt>
                <c:pt idx="1039">
                  <c:v>4.9347962617023785E-4</c:v>
                </c:pt>
                <c:pt idx="1040">
                  <c:v>4.9223502558816933E-4</c:v>
                </c:pt>
                <c:pt idx="1041">
                  <c:v>4.9091680142998584E-4</c:v>
                </c:pt>
                <c:pt idx="1042">
                  <c:v>4.8965850034094795E-4</c:v>
                </c:pt>
                <c:pt idx="1043">
                  <c:v>4.8819283707069328E-4</c:v>
                </c:pt>
                <c:pt idx="1044">
                  <c:v>4.8673010444697309E-4</c:v>
                </c:pt>
                <c:pt idx="1045">
                  <c:v>4.8540505331338881E-4</c:v>
                </c:pt>
                <c:pt idx="1046">
                  <c:v>4.8402234078291639E-4</c:v>
                </c:pt>
                <c:pt idx="1047">
                  <c:v>4.8255971933320804E-4</c:v>
                </c:pt>
                <c:pt idx="1048">
                  <c:v>4.8122536645855973E-4</c:v>
                </c:pt>
                <c:pt idx="1049">
                  <c:v>4.7972075188429386E-4</c:v>
                </c:pt>
                <c:pt idx="1050">
                  <c:v>4.7819373942713413E-4</c:v>
                </c:pt>
                <c:pt idx="1051">
                  <c:v>4.7688868572353955E-4</c:v>
                </c:pt>
                <c:pt idx="1052">
                  <c:v>4.7546502348206655E-4</c:v>
                </c:pt>
                <c:pt idx="1053">
                  <c:v>4.7395905650606061E-4</c:v>
                </c:pt>
                <c:pt idx="1054">
                  <c:v>4.7255253984552874E-4</c:v>
                </c:pt>
                <c:pt idx="1055">
                  <c:v>4.7110980511667466E-4</c:v>
                </c:pt>
                <c:pt idx="1056">
                  <c:v>4.6957480202920558E-4</c:v>
                </c:pt>
                <c:pt idx="1057">
                  <c:v>4.6801685463818653E-4</c:v>
                </c:pt>
                <c:pt idx="1058">
                  <c:v>4.6656448053625579E-4</c:v>
                </c:pt>
                <c:pt idx="1059">
                  <c:v>4.6497464321011966E-4</c:v>
                </c:pt>
                <c:pt idx="1060">
                  <c:v>4.6355240521389618E-4</c:v>
                </c:pt>
                <c:pt idx="1061">
                  <c:v>4.619303051021607E-4</c:v>
                </c:pt>
                <c:pt idx="1062">
                  <c:v>4.6049354177936028E-4</c:v>
                </c:pt>
                <c:pt idx="1063">
                  <c:v>4.5906877464549183E-4</c:v>
                </c:pt>
                <c:pt idx="1064">
                  <c:v>4.5745343930013276E-4</c:v>
                </c:pt>
                <c:pt idx="1065">
                  <c:v>4.5594625880568656E-4</c:v>
                </c:pt>
                <c:pt idx="1066">
                  <c:v>4.5429766001776721E-4</c:v>
                </c:pt>
                <c:pt idx="1067">
                  <c:v>4.5279118183035299E-4</c:v>
                </c:pt>
                <c:pt idx="1068">
                  <c:v>4.5112552931009502E-4</c:v>
                </c:pt>
                <c:pt idx="1069">
                  <c:v>4.4962075931771935E-4</c:v>
                </c:pt>
                <c:pt idx="1070">
                  <c:v>4.4803936454513096E-4</c:v>
                </c:pt>
                <c:pt idx="1071">
                  <c:v>4.4638336563444011E-4</c:v>
                </c:pt>
                <c:pt idx="1072">
                  <c:v>4.4470144529081945E-4</c:v>
                </c:pt>
                <c:pt idx="1073">
                  <c:v>4.4316668374833057E-4</c:v>
                </c:pt>
                <c:pt idx="1074">
                  <c:v>4.4141511293736748E-4</c:v>
                </c:pt>
                <c:pt idx="1075">
                  <c:v>4.3995731342148271E-4</c:v>
                </c:pt>
                <c:pt idx="1076">
                  <c:v>4.3841560105097738E-4</c:v>
                </c:pt>
                <c:pt idx="1077">
                  <c:v>4.3680696377648102E-4</c:v>
                </c:pt>
                <c:pt idx="1078">
                  <c:v>4.3514059878911517E-4</c:v>
                </c:pt>
                <c:pt idx="1079">
                  <c:v>4.3361731276910821E-4</c:v>
                </c:pt>
                <c:pt idx="1080">
                  <c:v>4.3192894494114512E-4</c:v>
                </c:pt>
                <c:pt idx="1081">
                  <c:v>4.3023008423587455E-4</c:v>
                </c:pt>
                <c:pt idx="1082">
                  <c:v>4.2870850238318527E-4</c:v>
                </c:pt>
                <c:pt idx="1083">
                  <c:v>4.2721096730092938E-4</c:v>
                </c:pt>
                <c:pt idx="1084">
                  <c:v>4.2555109016321341E-4</c:v>
                </c:pt>
                <c:pt idx="1085">
                  <c:v>4.2389867271111319E-4</c:v>
                </c:pt>
                <c:pt idx="1086">
                  <c:v>4.2243495496945178E-4</c:v>
                </c:pt>
                <c:pt idx="1087">
                  <c:v>4.2096293880634732E-4</c:v>
                </c:pt>
                <c:pt idx="1088">
                  <c:v>4.1936298497193946E-4</c:v>
                </c:pt>
                <c:pt idx="1089">
                  <c:v>4.178859984362562E-4</c:v>
                </c:pt>
                <c:pt idx="1090">
                  <c:v>4.1638003056008056E-4</c:v>
                </c:pt>
                <c:pt idx="1091">
                  <c:v>4.1480438493361922E-4</c:v>
                </c:pt>
                <c:pt idx="1092">
                  <c:v>4.1321852086512612E-4</c:v>
                </c:pt>
                <c:pt idx="1093">
                  <c:v>4.1174994214622593E-4</c:v>
                </c:pt>
                <c:pt idx="1094">
                  <c:v>4.1016083757394739E-4</c:v>
                </c:pt>
                <c:pt idx="1095">
                  <c:v>4.0875730370704133E-4</c:v>
                </c:pt>
                <c:pt idx="1096">
                  <c:v>4.0716505042460733E-4</c:v>
                </c:pt>
                <c:pt idx="1097">
                  <c:v>4.0577418538773318E-4</c:v>
                </c:pt>
                <c:pt idx="1098">
                  <c:v>4.0439787507021759E-4</c:v>
                </c:pt>
                <c:pt idx="1099">
                  <c:v>4.0286064792599725E-4</c:v>
                </c:pt>
                <c:pt idx="1100">
                  <c:v>4.0143697552206484E-4</c:v>
                </c:pt>
                <c:pt idx="1101">
                  <c:v>3.9989686189326277E-4</c:v>
                </c:pt>
                <c:pt idx="1102">
                  <c:v>3.9850322102707482E-4</c:v>
                </c:pt>
                <c:pt idx="1103">
                  <c:v>3.9697732401659021E-4</c:v>
                </c:pt>
                <c:pt idx="1104">
                  <c:v>3.9561342446025639E-4</c:v>
                </c:pt>
                <c:pt idx="1105">
                  <c:v>3.9418852211051385E-4</c:v>
                </c:pt>
                <c:pt idx="1106">
                  <c:v>3.9271712509860498E-4</c:v>
                </c:pt>
                <c:pt idx="1107">
                  <c:v>3.9138875438560206E-4</c:v>
                </c:pt>
                <c:pt idx="1108">
                  <c:v>3.8989791616295122E-4</c:v>
                </c:pt>
                <c:pt idx="1109">
                  <c:v>3.8839801290410647E-4</c:v>
                </c:pt>
                <c:pt idx="1110">
                  <c:v>3.871288169197901E-4</c:v>
                </c:pt>
                <c:pt idx="1111">
                  <c:v>3.8580897613363883E-4</c:v>
                </c:pt>
                <c:pt idx="1112">
                  <c:v>3.8442987478029805E-4</c:v>
                </c:pt>
                <c:pt idx="1113">
                  <c:v>3.8300653165968934E-4</c:v>
                </c:pt>
                <c:pt idx="1114">
                  <c:v>3.8165699454508709E-4</c:v>
                </c:pt>
                <c:pt idx="1115">
                  <c:v>3.80247582566157E-4</c:v>
                </c:pt>
                <c:pt idx="1116">
                  <c:v>3.7881323679356781E-4</c:v>
                </c:pt>
                <c:pt idx="1117">
                  <c:v>3.7751573924590335E-4</c:v>
                </c:pt>
                <c:pt idx="1118">
                  <c:v>3.7611149208269939E-4</c:v>
                </c:pt>
                <c:pt idx="1119">
                  <c:v>3.7479994807654293E-4</c:v>
                </c:pt>
                <c:pt idx="1120">
                  <c:v>3.7342079973508909E-4</c:v>
                </c:pt>
                <c:pt idx="1121">
                  <c:v>3.7217564103532094E-4</c:v>
                </c:pt>
                <c:pt idx="1122">
                  <c:v>3.7092551024972206E-4</c:v>
                </c:pt>
                <c:pt idx="1123">
                  <c:v>3.6952465585003615E-4</c:v>
                </c:pt>
                <c:pt idx="1124">
                  <c:v>3.6831346531695109E-4</c:v>
                </c:pt>
                <c:pt idx="1125">
                  <c:v>3.6703574738909759E-4</c:v>
                </c:pt>
                <c:pt idx="1126">
                  <c:v>3.6570203369817606E-4</c:v>
                </c:pt>
                <c:pt idx="1127">
                  <c:v>3.6436019081173034E-4</c:v>
                </c:pt>
                <c:pt idx="1128">
                  <c:v>3.6311768205853079E-4</c:v>
                </c:pt>
                <c:pt idx="1129">
                  <c:v>3.6177477998203429E-4</c:v>
                </c:pt>
                <c:pt idx="1130">
                  <c:v>3.605754167035468E-4</c:v>
                </c:pt>
                <c:pt idx="1131">
                  <c:v>3.592466117833832E-4</c:v>
                </c:pt>
                <c:pt idx="1132">
                  <c:v>3.5805990391324372E-4</c:v>
                </c:pt>
                <c:pt idx="1133">
                  <c:v>3.5687460092994391E-4</c:v>
                </c:pt>
                <c:pt idx="1134">
                  <c:v>3.5558127441525852E-4</c:v>
                </c:pt>
                <c:pt idx="1135">
                  <c:v>3.5442324389519178E-4</c:v>
                </c:pt>
                <c:pt idx="1136">
                  <c:v>3.5312917685470947E-4</c:v>
                </c:pt>
                <c:pt idx="1137">
                  <c:v>3.5195919481042018E-4</c:v>
                </c:pt>
                <c:pt idx="1138">
                  <c:v>3.5067930081007087E-4</c:v>
                </c:pt>
                <c:pt idx="1139">
                  <c:v>3.4953648223197322E-4</c:v>
                </c:pt>
                <c:pt idx="1140">
                  <c:v>3.4834284613072079E-4</c:v>
                </c:pt>
                <c:pt idx="1141">
                  <c:v>3.4711226259917863E-4</c:v>
                </c:pt>
                <c:pt idx="1142">
                  <c:v>3.4600223340763847E-4</c:v>
                </c:pt>
                <c:pt idx="1143">
                  <c:v>3.4475724301952226E-4</c:v>
                </c:pt>
                <c:pt idx="1144">
                  <c:v>3.4350582710592718E-4</c:v>
                </c:pt>
                <c:pt idx="1145">
                  <c:v>3.4244789847032945E-4</c:v>
                </c:pt>
                <c:pt idx="1146">
                  <c:v>3.4134884247282327E-4</c:v>
                </c:pt>
                <c:pt idx="1147">
                  <c:v>3.4020137419410196E-4</c:v>
                </c:pt>
                <c:pt idx="1148">
                  <c:v>3.3901837461151624E-4</c:v>
                </c:pt>
                <c:pt idx="1149">
                  <c:v>3.3789782191241246E-4</c:v>
                </c:pt>
                <c:pt idx="1150">
                  <c:v>3.3672862239238037E-4</c:v>
                </c:pt>
                <c:pt idx="1151">
                  <c:v>3.355400169748118E-4</c:v>
                </c:pt>
                <c:pt idx="1152">
                  <c:v>3.3446590242098943E-4</c:v>
                </c:pt>
                <c:pt idx="1153">
                  <c:v>3.3329145535964701E-4</c:v>
                </c:pt>
                <c:pt idx="1154">
                  <c:v>3.322208353262468E-4</c:v>
                </c:pt>
                <c:pt idx="1155">
                  <c:v>3.3109913220888323E-4</c:v>
                </c:pt>
                <c:pt idx="1156">
                  <c:v>3.3002154539597817E-4</c:v>
                </c:pt>
                <c:pt idx="1157">
                  <c:v>3.2901394039654228E-4</c:v>
                </c:pt>
                <c:pt idx="1158">
                  <c:v>3.2783990163815641E-4</c:v>
                </c:pt>
                <c:pt idx="1159">
                  <c:v>3.2687895509234208E-4</c:v>
                </c:pt>
                <c:pt idx="1160">
                  <c:v>3.2575326228554725E-4</c:v>
                </c:pt>
                <c:pt idx="1161">
                  <c:v>3.2473633752897087E-4</c:v>
                </c:pt>
                <c:pt idx="1162">
                  <c:v>3.2363698462782586E-4</c:v>
                </c:pt>
                <c:pt idx="1163">
                  <c:v>3.2262073428941922E-4</c:v>
                </c:pt>
                <c:pt idx="1164">
                  <c:v>3.2152334137288113E-4</c:v>
                </c:pt>
                <c:pt idx="1165">
                  <c:v>3.2055594115476538E-4</c:v>
                </c:pt>
                <c:pt idx="1166">
                  <c:v>3.1946069115589958E-4</c:v>
                </c:pt>
                <c:pt idx="1167">
                  <c:v>3.1850566183679735E-4</c:v>
                </c:pt>
                <c:pt idx="1168">
                  <c:v>3.175629679984188E-4</c:v>
                </c:pt>
                <c:pt idx="1169">
                  <c:v>3.1651165936702128E-4</c:v>
                </c:pt>
                <c:pt idx="1170">
                  <c:v>3.1554039146607527E-4</c:v>
                </c:pt>
                <c:pt idx="1171">
                  <c:v>3.1449172290365368E-4</c:v>
                </c:pt>
                <c:pt idx="1172">
                  <c:v>3.1354481645475083E-4</c:v>
                </c:pt>
                <c:pt idx="1173">
                  <c:v>3.1251029048203708E-4</c:v>
                </c:pt>
                <c:pt idx="1174">
                  <c:v>3.1158723745853233E-4</c:v>
                </c:pt>
                <c:pt idx="1175">
                  <c:v>3.1062652171645437E-4</c:v>
                </c:pt>
                <c:pt idx="1176">
                  <c:v>3.0963466046445183E-4</c:v>
                </c:pt>
                <c:pt idx="1177">
                  <c:v>3.0873027600255079E-4</c:v>
                </c:pt>
                <c:pt idx="1178">
                  <c:v>3.0773065394269772E-4</c:v>
                </c:pt>
                <c:pt idx="1179">
                  <c:v>3.0673843719261715E-4</c:v>
                </c:pt>
                <c:pt idx="1180">
                  <c:v>3.058622308044932E-4</c:v>
                </c:pt>
                <c:pt idx="1181">
                  <c:v>3.050124855455208E-4</c:v>
                </c:pt>
                <c:pt idx="1182">
                  <c:v>3.0409821906394758E-4</c:v>
                </c:pt>
                <c:pt idx="1183">
                  <c:v>3.0315360101446781E-4</c:v>
                </c:pt>
                <c:pt idx="1184">
                  <c:v>3.0226288854659673E-4</c:v>
                </c:pt>
                <c:pt idx="1185">
                  <c:v>3.0133197576643223E-4</c:v>
                </c:pt>
                <c:pt idx="1186">
                  <c:v>3.0039829002490633E-4</c:v>
                </c:pt>
                <c:pt idx="1187">
                  <c:v>2.9953733428144703E-4</c:v>
                </c:pt>
                <c:pt idx="1188">
                  <c:v>2.9860805232136915E-4</c:v>
                </c:pt>
                <c:pt idx="1189">
                  <c:v>2.9778849035633215E-4</c:v>
                </c:pt>
                <c:pt idx="1190">
                  <c:v>2.9686381628265049E-4</c:v>
                </c:pt>
                <c:pt idx="1191">
                  <c:v>2.9605659719542359E-4</c:v>
                </c:pt>
                <c:pt idx="1192">
                  <c:v>2.9526431162834373E-4</c:v>
                </c:pt>
                <c:pt idx="1193">
                  <c:v>2.9437928461741297E-4</c:v>
                </c:pt>
                <c:pt idx="1194">
                  <c:v>2.9356466390664891E-4</c:v>
                </c:pt>
                <c:pt idx="1195">
                  <c:v>2.926861968901278E-4</c:v>
                </c:pt>
                <c:pt idx="1196">
                  <c:v>2.9189465565496349E-4</c:v>
                </c:pt>
                <c:pt idx="1197">
                  <c:v>2.9104019645188536E-4</c:v>
                </c:pt>
                <c:pt idx="1198">
                  <c:v>2.9025432189222922E-4</c:v>
                </c:pt>
                <c:pt idx="1199">
                  <c:v>2.8949187480956009E-4</c:v>
                </c:pt>
                <c:pt idx="1200">
                  <c:v>2.8865988182680269E-4</c:v>
                </c:pt>
                <c:pt idx="1201">
                  <c:v>2.8781981185904519E-4</c:v>
                </c:pt>
                <c:pt idx="1202">
                  <c:v>2.8708629143161732E-4</c:v>
                </c:pt>
                <c:pt idx="1203">
                  <c:v>2.8636955422294171E-4</c:v>
                </c:pt>
                <c:pt idx="1204">
                  <c:v>2.8556780980607509E-4</c:v>
                </c:pt>
                <c:pt idx="1205">
                  <c:v>2.8483144615507397E-4</c:v>
                </c:pt>
                <c:pt idx="1206">
                  <c:v>2.8403761636534505E-4</c:v>
                </c:pt>
                <c:pt idx="1207">
                  <c:v>2.8332302032039926E-4</c:v>
                </c:pt>
                <c:pt idx="1208">
                  <c:v>2.8254473902881213E-4</c:v>
                </c:pt>
                <c:pt idx="1209">
                  <c:v>2.818513167683603E-4</c:v>
                </c:pt>
                <c:pt idx="1210">
                  <c:v>2.8113670839920082E-4</c:v>
                </c:pt>
                <c:pt idx="1211">
                  <c:v>2.8039522193666535E-4</c:v>
                </c:pt>
                <c:pt idx="1212">
                  <c:v>2.7972900177886117E-4</c:v>
                </c:pt>
                <c:pt idx="1213">
                  <c:v>2.789889747063512E-4</c:v>
                </c:pt>
                <c:pt idx="1214">
                  <c:v>2.7825065645779076E-4</c:v>
                </c:pt>
                <c:pt idx="1215">
                  <c:v>2.7762983245404119E-4</c:v>
                </c:pt>
                <c:pt idx="1216">
                  <c:v>2.7698428100493729E-4</c:v>
                </c:pt>
                <c:pt idx="1217">
                  <c:v>2.7632083766721341E-4</c:v>
                </c:pt>
                <c:pt idx="1218">
                  <c:v>2.7563127174581002E-4</c:v>
                </c:pt>
                <c:pt idx="1219">
                  <c:v>2.7498865879276545E-4</c:v>
                </c:pt>
                <c:pt idx="1220">
                  <c:v>2.7431416967231732E-4</c:v>
                </c:pt>
                <c:pt idx="1221">
                  <c:v>2.7364172328948801E-4</c:v>
                </c:pt>
                <c:pt idx="1222">
                  <c:v>2.7302676136540128E-4</c:v>
                </c:pt>
                <c:pt idx="1223">
                  <c:v>2.7236425567856836E-4</c:v>
                </c:pt>
                <c:pt idx="1224">
                  <c:v>2.7177431116213926E-4</c:v>
                </c:pt>
                <c:pt idx="1225">
                  <c:v>2.7112209771512456E-4</c:v>
                </c:pt>
                <c:pt idx="1226">
                  <c:v>2.7055108541151895E-4</c:v>
                </c:pt>
                <c:pt idx="1227">
                  <c:v>2.6998573571062907E-4</c:v>
                </c:pt>
                <c:pt idx="1228">
                  <c:v>2.6932871618813407E-4</c:v>
                </c:pt>
                <c:pt idx="1229">
                  <c:v>2.687268749132863E-4</c:v>
                </c:pt>
                <c:pt idx="1230">
                  <c:v>2.6817409352132213E-4</c:v>
                </c:pt>
                <c:pt idx="1231">
                  <c:v>2.6761917711850148E-4</c:v>
                </c:pt>
                <c:pt idx="1232">
                  <c:v>2.670351745587031E-4</c:v>
                </c:pt>
                <c:pt idx="1233">
                  <c:v>2.6644626332810416E-4</c:v>
                </c:pt>
                <c:pt idx="1234">
                  <c:v>2.6592595734323352E-4</c:v>
                </c:pt>
                <c:pt idx="1235">
                  <c:v>2.6536074742050837E-4</c:v>
                </c:pt>
                <c:pt idx="1236">
                  <c:v>2.6483722634207396E-4</c:v>
                </c:pt>
                <c:pt idx="1237">
                  <c:v>2.6429655605339237E-4</c:v>
                </c:pt>
                <c:pt idx="1238">
                  <c:v>2.6382950374729316E-4</c:v>
                </c:pt>
                <c:pt idx="1239">
                  <c:v>2.6337554558550098E-4</c:v>
                </c:pt>
                <c:pt idx="1240">
                  <c:v>2.6287240115706757E-4</c:v>
                </c:pt>
                <c:pt idx="1241">
                  <c:v>2.624147946693146E-4</c:v>
                </c:pt>
                <c:pt idx="1242">
                  <c:v>2.6189470702098205E-4</c:v>
                </c:pt>
                <c:pt idx="1243">
                  <c:v>2.6138605387442289E-4</c:v>
                </c:pt>
                <c:pt idx="1244">
                  <c:v>2.6093363934257506E-4</c:v>
                </c:pt>
                <c:pt idx="1245">
                  <c:v>2.6047649724030529E-4</c:v>
                </c:pt>
                <c:pt idx="1246">
                  <c:v>2.5999643189606684E-4</c:v>
                </c:pt>
                <c:pt idx="1247">
                  <c:v>2.5956713204866588E-4</c:v>
                </c:pt>
                <c:pt idx="1248">
                  <c:v>2.5909676615665234E-4</c:v>
                </c:pt>
                <c:pt idx="1249">
                  <c:v>2.586322201827149E-4</c:v>
                </c:pt>
                <c:pt idx="1250">
                  <c:v>2.5824431140128792E-4</c:v>
                </c:pt>
                <c:pt idx="1251">
                  <c:v>2.5783981596399011E-4</c:v>
                </c:pt>
                <c:pt idx="1252">
                  <c:v>2.5743383935466178E-4</c:v>
                </c:pt>
                <c:pt idx="1253">
                  <c:v>2.5700575670943755E-4</c:v>
                </c:pt>
                <c:pt idx="1254">
                  <c:v>2.5661651227375324E-4</c:v>
                </c:pt>
                <c:pt idx="1255">
                  <c:v>2.5620352281447139E-4</c:v>
                </c:pt>
                <c:pt idx="1256">
                  <c:v>2.5579668212780821E-4</c:v>
                </c:pt>
                <c:pt idx="1257">
                  <c:v>2.5543100254410943E-4</c:v>
                </c:pt>
                <c:pt idx="1258">
                  <c:v>2.5503820785168461E-4</c:v>
                </c:pt>
                <c:pt idx="1259">
                  <c:v>2.5469054201820995E-4</c:v>
                </c:pt>
                <c:pt idx="1260">
                  <c:v>2.5431096709711137E-4</c:v>
                </c:pt>
                <c:pt idx="1261">
                  <c:v>2.5397792240277814E-4</c:v>
                </c:pt>
                <c:pt idx="1262">
                  <c:v>2.5366771554682574E-4</c:v>
                </c:pt>
                <c:pt idx="1263">
                  <c:v>2.5329243276432656E-4</c:v>
                </c:pt>
                <c:pt idx="1264">
                  <c:v>2.5299754847716172E-4</c:v>
                </c:pt>
                <c:pt idx="1265">
                  <c:v>2.5265836844006167E-4</c:v>
                </c:pt>
                <c:pt idx="1266">
                  <c:v>2.5235709854668029E-4</c:v>
                </c:pt>
                <c:pt idx="1267">
                  <c:v>2.5203348491079254E-4</c:v>
                </c:pt>
                <c:pt idx="1268">
                  <c:v>2.5174649268332183E-4</c:v>
                </c:pt>
                <c:pt idx="1269">
                  <c:v>2.5146596604593875E-4</c:v>
                </c:pt>
                <c:pt idx="1270">
                  <c:v>2.5116535286888713E-4</c:v>
                </c:pt>
                <c:pt idx="1271">
                  <c:v>2.508726410443609E-4</c:v>
                </c:pt>
                <c:pt idx="1272">
                  <c:v>2.5061371443058436E-4</c:v>
                </c:pt>
                <c:pt idx="1273">
                  <c:v>2.503371460631414E-4</c:v>
                </c:pt>
                <c:pt idx="1274">
                  <c:v>2.5010053058028246E-4</c:v>
                </c:pt>
                <c:pt idx="1275">
                  <c:v>2.4986952896919809E-4</c:v>
                </c:pt>
                <c:pt idx="1276">
                  <c:v>2.4964017856643744E-4</c:v>
                </c:pt>
                <c:pt idx="1277">
                  <c:v>2.4939156744512719E-4</c:v>
                </c:pt>
                <c:pt idx="1278">
                  <c:v>2.4917615656093635E-4</c:v>
                </c:pt>
                <c:pt idx="1279">
                  <c:v>2.489414894356265E-4</c:v>
                </c:pt>
                <c:pt idx="1280">
                  <c:v>2.4871935432691471E-4</c:v>
                </c:pt>
                <c:pt idx="1281">
                  <c:v>2.4852344090230041E-4</c:v>
                </c:pt>
                <c:pt idx="1282">
                  <c:v>2.4833126744017164E-4</c:v>
                </c:pt>
                <c:pt idx="1283">
                  <c:v>2.4813667185075161E-4</c:v>
                </c:pt>
                <c:pt idx="1284">
                  <c:v>2.4796694329420887E-4</c:v>
                </c:pt>
                <c:pt idx="1285">
                  <c:v>2.4780718459325481E-4</c:v>
                </c:pt>
                <c:pt idx="1286">
                  <c:v>2.476555747007881E-4</c:v>
                </c:pt>
                <c:pt idx="1287">
                  <c:v>2.474793701585272E-4</c:v>
                </c:pt>
                <c:pt idx="1288">
                  <c:v>2.4734076084406611E-4</c:v>
                </c:pt>
                <c:pt idx="1289">
                  <c:v>2.4718493741946769E-4</c:v>
                </c:pt>
                <c:pt idx="1290">
                  <c:v>2.4705035678761113E-4</c:v>
                </c:pt>
                <c:pt idx="1291">
                  <c:v>2.469075708223141E-4</c:v>
                </c:pt>
                <c:pt idx="1292">
                  <c:v>2.4678967638947467E-4</c:v>
                </c:pt>
                <c:pt idx="1293">
                  <c:v>2.4666499211526468E-4</c:v>
                </c:pt>
                <c:pt idx="1294">
                  <c:v>2.4655296329889609E-4</c:v>
                </c:pt>
                <c:pt idx="1295">
                  <c:v>2.4644660248716258E-4</c:v>
                </c:pt>
                <c:pt idx="1296">
                  <c:v>2.4634815004819215E-4</c:v>
                </c:pt>
                <c:pt idx="1297">
                  <c:v>2.4627759228218297E-4</c:v>
                </c:pt>
                <c:pt idx="1298">
                  <c:v>2.4618762448767786E-4</c:v>
                </c:pt>
                <c:pt idx="1299">
                  <c:v>2.4611929535965551E-4</c:v>
                </c:pt>
                <c:pt idx="1300">
                  <c:v>2.4604824082609389E-4</c:v>
                </c:pt>
                <c:pt idx="1301">
                  <c:v>2.4599072311810681E-4</c:v>
                </c:pt>
                <c:pt idx="1302">
                  <c:v>2.4593523871147254E-4</c:v>
                </c:pt>
                <c:pt idx="1303">
                  <c:v>2.4588794893034161E-4</c:v>
                </c:pt>
                <c:pt idx="1304">
                  <c:v>2.4586333882165631E-4</c:v>
                </c:pt>
                <c:pt idx="1305">
                  <c:v>2.458227532036077E-4</c:v>
                </c:pt>
                <c:pt idx="1306">
                  <c:v>2.4579173820882261E-4</c:v>
                </c:pt>
                <c:pt idx="1307">
                  <c:v>2.4577456155583377E-4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044800"/>
        <c:axId val="742046336"/>
      </c:lineChart>
      <c:dateAx>
        <c:axId val="742044800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42046336"/>
        <c:crosses val="autoZero"/>
        <c:auto val="1"/>
        <c:lblOffset val="100"/>
        <c:baseTimeUnit val="days"/>
        <c:majorUnit val="6"/>
        <c:majorTimeUnit val="months"/>
      </c:dateAx>
      <c:valAx>
        <c:axId val="742046336"/>
        <c:scaling>
          <c:orientation val="minMax"/>
          <c:max val="3.0000000000000001E-3"/>
          <c:min val="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4204480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Delta'!$Y$2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Delta'!$R$3:$R$1310</c:f>
              <c:numCache>
                <c:formatCode>ddd\,\ dd\-mmm\-yyyy</c:formatCode>
                <c:ptCount val="1308"/>
                <c:pt idx="0">
                  <c:v>42118</c:v>
                </c:pt>
                <c:pt idx="1">
                  <c:v>42151</c:v>
                </c:pt>
                <c:pt idx="2">
                  <c:v>42181</c:v>
                </c:pt>
                <c:pt idx="3">
                  <c:v>42213</c:v>
                </c:pt>
                <c:pt idx="4">
                  <c:v>42242</c:v>
                </c:pt>
                <c:pt idx="5">
                  <c:v>42275</c:v>
                </c:pt>
                <c:pt idx="6">
                  <c:v>42305</c:v>
                </c:pt>
                <c:pt idx="7">
                  <c:v>42334</c:v>
                </c:pt>
                <c:pt idx="8">
                  <c:v>42367</c:v>
                </c:pt>
                <c:pt idx="9">
                  <c:v>42396</c:v>
                </c:pt>
                <c:pt idx="10">
                  <c:v>42426</c:v>
                </c:pt>
                <c:pt idx="11">
                  <c:v>42459</c:v>
                </c:pt>
                <c:pt idx="12">
                  <c:v>42487</c:v>
                </c:pt>
                <c:pt idx="13">
                  <c:v>42516</c:v>
                </c:pt>
                <c:pt idx="14">
                  <c:v>42549</c:v>
                </c:pt>
                <c:pt idx="15">
                  <c:v>42578</c:v>
                </c:pt>
                <c:pt idx="16">
                  <c:v>42608</c:v>
                </c:pt>
                <c:pt idx="17">
                  <c:v>42641</c:v>
                </c:pt>
                <c:pt idx="18">
                  <c:v>42669</c:v>
                </c:pt>
                <c:pt idx="19">
                  <c:v>42851</c:v>
                </c:pt>
                <c:pt idx="20">
                  <c:v>43034</c:v>
                </c:pt>
                <c:pt idx="21">
                  <c:v>43216</c:v>
                </c:pt>
                <c:pt idx="22">
                  <c:v>43399</c:v>
                </c:pt>
                <c:pt idx="23">
                  <c:v>43581</c:v>
                </c:pt>
                <c:pt idx="24">
                  <c:v>43766</c:v>
                </c:pt>
                <c:pt idx="25">
                  <c:v>43949</c:v>
                </c:pt>
                <c:pt idx="26">
                  <c:v>44132</c:v>
                </c:pt>
                <c:pt idx="27">
                  <c:v>44314</c:v>
                </c:pt>
                <c:pt idx="28">
                  <c:v>44496</c:v>
                </c:pt>
                <c:pt idx="29">
                  <c:v>44678</c:v>
                </c:pt>
                <c:pt idx="30">
                  <c:v>44860</c:v>
                </c:pt>
                <c:pt idx="31">
                  <c:v>45042</c:v>
                </c:pt>
                <c:pt idx="32">
                  <c:v>45225</c:v>
                </c:pt>
                <c:pt idx="33">
                  <c:v>45408</c:v>
                </c:pt>
                <c:pt idx="34">
                  <c:v>45593</c:v>
                </c:pt>
                <c:pt idx="35">
                  <c:v>45775</c:v>
                </c:pt>
                <c:pt idx="36">
                  <c:v>45958</c:v>
                </c:pt>
                <c:pt idx="37">
                  <c:v>46140</c:v>
                </c:pt>
                <c:pt idx="38">
                  <c:v>46323</c:v>
                </c:pt>
                <c:pt idx="39">
                  <c:v>46505</c:v>
                </c:pt>
                <c:pt idx="40">
                  <c:v>46687</c:v>
                </c:pt>
                <c:pt idx="41">
                  <c:v>46869</c:v>
                </c:pt>
                <c:pt idx="42">
                  <c:v>47052</c:v>
                </c:pt>
                <c:pt idx="43">
                  <c:v>47234</c:v>
                </c:pt>
                <c:pt idx="44">
                  <c:v>47417</c:v>
                </c:pt>
                <c:pt idx="45">
                  <c:v>47599</c:v>
                </c:pt>
                <c:pt idx="46">
                  <c:v>47784</c:v>
                </c:pt>
                <c:pt idx="47">
                  <c:v>47966</c:v>
                </c:pt>
                <c:pt idx="48">
                  <c:v>48149</c:v>
                </c:pt>
                <c:pt idx="49">
                  <c:v>48332</c:v>
                </c:pt>
                <c:pt idx="50">
                  <c:v>48514</c:v>
                </c:pt>
                <c:pt idx="51">
                  <c:v>48696</c:v>
                </c:pt>
                <c:pt idx="52">
                  <c:v>48878</c:v>
                </c:pt>
                <c:pt idx="53">
                  <c:v>49060</c:v>
                </c:pt>
                <c:pt idx="54">
                  <c:v>49243</c:v>
                </c:pt>
                <c:pt idx="55">
                  <c:v>49425</c:v>
                </c:pt>
                <c:pt idx="56">
                  <c:v>49608</c:v>
                </c:pt>
                <c:pt idx="57">
                  <c:v>49793</c:v>
                </c:pt>
                <c:pt idx="58">
                  <c:v>49976</c:v>
                </c:pt>
                <c:pt idx="59">
                  <c:v>50158</c:v>
                </c:pt>
                <c:pt idx="60">
                  <c:v>50341</c:v>
                </c:pt>
                <c:pt idx="61">
                  <c:v>50524</c:v>
                </c:pt>
                <c:pt idx="62">
                  <c:v>50705</c:v>
                </c:pt>
                <c:pt idx="63">
                  <c:v>50887</c:v>
                </c:pt>
                <c:pt idx="64">
                  <c:v>51069</c:v>
                </c:pt>
                <c:pt idx="65">
                  <c:v>51252</c:v>
                </c:pt>
                <c:pt idx="66">
                  <c:v>51435</c:v>
                </c:pt>
                <c:pt idx="67">
                  <c:v>51617</c:v>
                </c:pt>
                <c:pt idx="68">
                  <c:v>51802</c:v>
                </c:pt>
                <c:pt idx="69">
                  <c:v>51984</c:v>
                </c:pt>
                <c:pt idx="70">
                  <c:v>52167</c:v>
                </c:pt>
                <c:pt idx="71">
                  <c:v>52349</c:v>
                </c:pt>
                <c:pt idx="72">
                  <c:v>52532</c:v>
                </c:pt>
                <c:pt idx="73">
                  <c:v>52714</c:v>
                </c:pt>
                <c:pt idx="74">
                  <c:v>52896</c:v>
                </c:pt>
                <c:pt idx="75">
                  <c:v>53078</c:v>
                </c:pt>
                <c:pt idx="76">
                  <c:v>53261</c:v>
                </c:pt>
                <c:pt idx="77">
                  <c:v>53443</c:v>
                </c:pt>
                <c:pt idx="78">
                  <c:v>53626</c:v>
                </c:pt>
                <c:pt idx="79">
                  <c:v>53808</c:v>
                </c:pt>
                <c:pt idx="80">
                  <c:v>53993</c:v>
                </c:pt>
                <c:pt idx="81">
                  <c:v>54176</c:v>
                </c:pt>
                <c:pt idx="82">
                  <c:v>54359</c:v>
                </c:pt>
                <c:pt idx="83">
                  <c:v>54541</c:v>
                </c:pt>
                <c:pt idx="84">
                  <c:v>54723</c:v>
                </c:pt>
                <c:pt idx="85">
                  <c:v>54905</c:v>
                </c:pt>
                <c:pt idx="86">
                  <c:v>55087</c:v>
                </c:pt>
                <c:pt idx="87">
                  <c:v>55269</c:v>
                </c:pt>
                <c:pt idx="88">
                  <c:v>55452</c:v>
                </c:pt>
                <c:pt idx="89">
                  <c:v>55635</c:v>
                </c:pt>
                <c:pt idx="90">
                  <c:v>55820</c:v>
                </c:pt>
                <c:pt idx="91">
                  <c:v>56002</c:v>
                </c:pt>
                <c:pt idx="92">
                  <c:v>56185</c:v>
                </c:pt>
                <c:pt idx="93">
                  <c:v>56367</c:v>
                </c:pt>
                <c:pt idx="94">
                  <c:v>56550</c:v>
                </c:pt>
                <c:pt idx="95">
                  <c:v>56732</c:v>
                </c:pt>
                <c:pt idx="96">
                  <c:v>56914</c:v>
                </c:pt>
                <c:pt idx="97">
                  <c:v>57096</c:v>
                </c:pt>
                <c:pt idx="98">
                  <c:v>57279</c:v>
                </c:pt>
                <c:pt idx="99">
                  <c:v>57461</c:v>
                </c:pt>
                <c:pt idx="100">
                  <c:v>57644</c:v>
                </c:pt>
                <c:pt idx="101">
                  <c:v>57826</c:v>
                </c:pt>
                <c:pt idx="102">
                  <c:v>58011</c:v>
                </c:pt>
                <c:pt idx="103">
                  <c:v>58193</c:v>
                </c:pt>
                <c:pt idx="104">
                  <c:v>58376</c:v>
                </c:pt>
                <c:pt idx="105">
                  <c:v>58559</c:v>
                </c:pt>
                <c:pt idx="106">
                  <c:v>58741</c:v>
                </c:pt>
                <c:pt idx="107">
                  <c:v>58923</c:v>
                </c:pt>
                <c:pt idx="108">
                  <c:v>59105</c:v>
                </c:pt>
                <c:pt idx="109">
                  <c:v>59287</c:v>
                </c:pt>
                <c:pt idx="110">
                  <c:v>59470</c:v>
                </c:pt>
                <c:pt idx="111">
                  <c:v>59652</c:v>
                </c:pt>
                <c:pt idx="112">
                  <c:v>59835</c:v>
                </c:pt>
                <c:pt idx="113">
                  <c:v>60020</c:v>
                </c:pt>
                <c:pt idx="114">
                  <c:v>60203</c:v>
                </c:pt>
                <c:pt idx="115">
                  <c:v>60385</c:v>
                </c:pt>
                <c:pt idx="116">
                  <c:v>60568</c:v>
                </c:pt>
                <c:pt idx="117">
                  <c:v>60750</c:v>
                </c:pt>
                <c:pt idx="118">
                  <c:v>60932</c:v>
                </c:pt>
                <c:pt idx="119">
                  <c:v>61114</c:v>
                </c:pt>
                <c:pt idx="120">
                  <c:v>61296</c:v>
                </c:pt>
                <c:pt idx="121">
                  <c:v>61479</c:v>
                </c:pt>
                <c:pt idx="122">
                  <c:v>61662</c:v>
                </c:pt>
                <c:pt idx="123">
                  <c:v>61844</c:v>
                </c:pt>
                <c:pt idx="124">
                  <c:v>62029</c:v>
                </c:pt>
                <c:pt idx="125">
                  <c:v>62211</c:v>
                </c:pt>
                <c:pt idx="126">
                  <c:v>62394</c:v>
                </c:pt>
                <c:pt idx="127">
                  <c:v>62576</c:v>
                </c:pt>
                <c:pt idx="128">
                  <c:v>62759</c:v>
                </c:pt>
                <c:pt idx="129">
                  <c:v>62941</c:v>
                </c:pt>
                <c:pt idx="130">
                  <c:v>63123</c:v>
                </c:pt>
                <c:pt idx="131">
                  <c:v>63305</c:v>
                </c:pt>
                <c:pt idx="132">
                  <c:v>63488</c:v>
                </c:pt>
              </c:numCache>
            </c:numRef>
          </c:cat>
          <c:val>
            <c:numRef>
              <c:f>'6M Delta'!$Y$3:$Y$1310</c:f>
              <c:numCache>
                <c:formatCode>0.0000%</c:formatCode>
                <c:ptCount val="1308"/>
                <c:pt idx="0">
                  <c:v>1.9614869571547714E-3</c:v>
                </c:pt>
                <c:pt idx="1">
                  <c:v>2.0269456485720533E-3</c:v>
                </c:pt>
                <c:pt idx="2">
                  <c:v>2.102120133445168E-3</c:v>
                </c:pt>
                <c:pt idx="3">
                  <c:v>2.0989355175956765E-3</c:v>
                </c:pt>
                <c:pt idx="4">
                  <c:v>2.1194569373989246E-3</c:v>
                </c:pt>
                <c:pt idx="5">
                  <c:v>2.1477626415471757E-3</c:v>
                </c:pt>
                <c:pt idx="6">
                  <c:v>2.1544086294044886E-3</c:v>
                </c:pt>
                <c:pt idx="7">
                  <c:v>2.17121845955974E-3</c:v>
                </c:pt>
                <c:pt idx="8">
                  <c:v>2.1895550143891471E-3</c:v>
                </c:pt>
                <c:pt idx="9">
                  <c:v>2.2211207906710469E-3</c:v>
                </c:pt>
                <c:pt idx="10">
                  <c:v>2.2171322276294432E-3</c:v>
                </c:pt>
                <c:pt idx="11">
                  <c:v>2.2065592226155652E-3</c:v>
                </c:pt>
                <c:pt idx="12">
                  <c:v>2.2305600865018095E-3</c:v>
                </c:pt>
                <c:pt idx="13">
                  <c:v>2.2556912536250604E-3</c:v>
                </c:pt>
                <c:pt idx="14">
                  <c:v>2.2803026648423015E-3</c:v>
                </c:pt>
                <c:pt idx="15">
                  <c:v>2.3119816230422812E-3</c:v>
                </c:pt>
                <c:pt idx="16">
                  <c:v>2.3300669403579386E-3</c:v>
                </c:pt>
                <c:pt idx="17">
                  <c:v>2.348342993037468E-3</c:v>
                </c:pt>
                <c:pt idx="18">
                  <c:v>2.3729249715246578E-3</c:v>
                </c:pt>
                <c:pt idx="19">
                  <c:v>2.4704724964482601E-3</c:v>
                </c:pt>
                <c:pt idx="20">
                  <c:v>2.5250161068839198E-3</c:v>
                </c:pt>
                <c:pt idx="21">
                  <c:v>2.6644581459988976E-3</c:v>
                </c:pt>
                <c:pt idx="22">
                  <c:v>2.7994223475294243E-3</c:v>
                </c:pt>
                <c:pt idx="23">
                  <c:v>2.881543126531493E-3</c:v>
                </c:pt>
                <c:pt idx="24">
                  <c:v>2.8054093866238775E-3</c:v>
                </c:pt>
                <c:pt idx="25">
                  <c:v>2.6054537884721953E-3</c:v>
                </c:pt>
                <c:pt idx="26">
                  <c:v>2.5008346830621355E-3</c:v>
                </c:pt>
                <c:pt idx="27">
                  <c:v>2.5095696099809422E-3</c:v>
                </c:pt>
                <c:pt idx="28">
                  <c:v>2.5053980241785453E-3</c:v>
                </c:pt>
                <c:pt idx="29">
                  <c:v>2.4617043912931033E-3</c:v>
                </c:pt>
                <c:pt idx="30">
                  <c:v>2.3931387582866647E-3</c:v>
                </c:pt>
                <c:pt idx="31">
                  <c:v>2.3198517899225201E-3</c:v>
                </c:pt>
                <c:pt idx="32">
                  <c:v>2.3086265100182267E-3</c:v>
                </c:pt>
                <c:pt idx="33">
                  <c:v>2.3374273307366373E-3</c:v>
                </c:pt>
                <c:pt idx="34">
                  <c:v>2.2564290196564474E-3</c:v>
                </c:pt>
                <c:pt idx="35">
                  <c:v>2.0807407363669303E-3</c:v>
                </c:pt>
                <c:pt idx="36">
                  <c:v>1.9937524129961439E-3</c:v>
                </c:pt>
                <c:pt idx="37">
                  <c:v>2.0031524344358963E-3</c:v>
                </c:pt>
                <c:pt idx="38">
                  <c:v>1.9762672679012588E-3</c:v>
                </c:pt>
                <c:pt idx="39">
                  <c:v>1.8947396583077064E-3</c:v>
                </c:pt>
                <c:pt idx="40">
                  <c:v>1.8064524777879221E-3</c:v>
                </c:pt>
                <c:pt idx="41">
                  <c:v>1.7226838146015486E-3</c:v>
                </c:pt>
                <c:pt idx="42">
                  <c:v>1.6431793654317003E-3</c:v>
                </c:pt>
                <c:pt idx="43">
                  <c:v>1.5683116344264846E-3</c:v>
                </c:pt>
                <c:pt idx="44">
                  <c:v>1.4979067173496504E-3</c:v>
                </c:pt>
                <c:pt idx="45">
                  <c:v>1.4316144785590287E-3</c:v>
                </c:pt>
                <c:pt idx="46">
                  <c:v>1.3684843645043587E-3</c:v>
                </c:pt>
                <c:pt idx="47">
                  <c:v>1.3089929451103339E-3</c:v>
                </c:pt>
                <c:pt idx="48">
                  <c:v>1.2524501951632627E-3</c:v>
                </c:pt>
                <c:pt idx="49">
                  <c:v>1.1990617833419724E-3</c:v>
                </c:pt>
                <c:pt idx="50">
                  <c:v>1.1491968250838223E-3</c:v>
                </c:pt>
                <c:pt idx="51">
                  <c:v>1.1022491886783642E-3</c:v>
                </c:pt>
                <c:pt idx="52">
                  <c:v>1.0586141168159677E-3</c:v>
                </c:pt>
                <c:pt idx="53">
                  <c:v>1.0179261274204966E-3</c:v>
                </c:pt>
                <c:pt idx="54">
                  <c:v>9.8032548109623641E-4</c:v>
                </c:pt>
                <c:pt idx="55">
                  <c:v>9.4590882164434509E-4</c:v>
                </c:pt>
                <c:pt idx="56">
                  <c:v>9.1437296531139516E-4</c:v>
                </c:pt>
                <c:pt idx="57">
                  <c:v>8.858931431470693E-4</c:v>
                </c:pt>
                <c:pt idx="58">
                  <c:v>8.6077794772778694E-4</c:v>
                </c:pt>
                <c:pt idx="59">
                  <c:v>8.3879935887022639E-4</c:v>
                </c:pt>
                <c:pt idx="60">
                  <c:v>8.1987291620536085E-4</c:v>
                </c:pt>
                <c:pt idx="61">
                  <c:v>8.0400069468089357E-4</c:v>
                </c:pt>
                <c:pt idx="62">
                  <c:v>7.9139876489691275E-4</c:v>
                </c:pt>
                <c:pt idx="63">
                  <c:v>7.8177021113597176E-4</c:v>
                </c:pt>
                <c:pt idx="64">
                  <c:v>7.7522734619673087E-4</c:v>
                </c:pt>
                <c:pt idx="65">
                  <c:v>7.7076735834665736E-4</c:v>
                </c:pt>
                <c:pt idx="66">
                  <c:v>7.6464265680912125E-4</c:v>
                </c:pt>
                <c:pt idx="67">
                  <c:v>7.5595439285407531E-4</c:v>
                </c:pt>
                <c:pt idx="68">
                  <c:v>7.4456851083725371E-4</c:v>
                </c:pt>
                <c:pt idx="69">
                  <c:v>7.3072762749032578E-4</c:v>
                </c:pt>
                <c:pt idx="70">
                  <c:v>7.1428222053258189E-4</c:v>
                </c:pt>
                <c:pt idx="71">
                  <c:v>6.9529376469907971E-4</c:v>
                </c:pt>
                <c:pt idx="72">
                  <c:v>6.7365387478717127E-4</c:v>
                </c:pt>
                <c:pt idx="73">
                  <c:v>6.4956571944662159E-4</c:v>
                </c:pt>
                <c:pt idx="74">
                  <c:v>6.2298151794622399E-4</c:v>
                </c:pt>
                <c:pt idx="75">
                  <c:v>5.9507103184353385E-4</c:v>
                </c:pt>
                <c:pt idx="76">
                  <c:v>5.7115051939202015E-4</c:v>
                </c:pt>
                <c:pt idx="77">
                  <c:v>5.5254391111323603E-4</c:v>
                </c:pt>
                <c:pt idx="78">
                  <c:v>5.3918945205996133E-4</c:v>
                </c:pt>
                <c:pt idx="79">
                  <c:v>5.3114752761402803E-4</c:v>
                </c:pt>
                <c:pt idx="80">
                  <c:v>5.2837244576636397E-4</c:v>
                </c:pt>
                <c:pt idx="81">
                  <c:v>5.3096777351535791E-4</c:v>
                </c:pt>
                <c:pt idx="82">
                  <c:v>5.388307293618215E-4</c:v>
                </c:pt>
                <c:pt idx="83">
                  <c:v>5.5200469827011711E-4</c:v>
                </c:pt>
                <c:pt idx="84">
                  <c:v>5.7031430378317628E-4</c:v>
                </c:pt>
                <c:pt idx="85">
                  <c:v>5.922310439326799E-4</c:v>
                </c:pt>
                <c:pt idx="86">
                  <c:v>6.1063794989106752E-4</c:v>
                </c:pt>
                <c:pt idx="87">
                  <c:v>6.2412425341545983E-4</c:v>
                </c:pt>
                <c:pt idx="88">
                  <c:v>6.325580375774317E-4</c:v>
                </c:pt>
                <c:pt idx="89">
                  <c:v>6.3593353682546514E-4</c:v>
                </c:pt>
                <c:pt idx="90">
                  <c:v>6.3412714711922301E-4</c:v>
                </c:pt>
                <c:pt idx="91">
                  <c:v>6.27305263612132E-4</c:v>
                </c:pt>
                <c:pt idx="92">
                  <c:v>6.154099473194858E-4</c:v>
                </c:pt>
                <c:pt idx="93">
                  <c:v>5.9848257516241336E-4</c:v>
                </c:pt>
                <c:pt idx="94">
                  <c:v>5.7648775374188367E-4</c:v>
                </c:pt>
                <c:pt idx="95">
                  <c:v>5.5076136251925884E-4</c:v>
                </c:pt>
                <c:pt idx="96">
                  <c:v>5.2634150644014117E-4</c:v>
                </c:pt>
                <c:pt idx="97">
                  <c:v>5.0436481003384489E-4</c:v>
                </c:pt>
                <c:pt idx="98">
                  <c:v>4.8477072074801317E-4</c:v>
                </c:pt>
                <c:pt idx="99">
                  <c:v>4.676486108560144E-4</c:v>
                </c:pt>
                <c:pt idx="100">
                  <c:v>4.5296255558863359E-4</c:v>
                </c:pt>
                <c:pt idx="101">
                  <c:v>4.4069998184186054E-4</c:v>
                </c:pt>
                <c:pt idx="102">
                  <c:v>4.3086925391127434E-4</c:v>
                </c:pt>
                <c:pt idx="103">
                  <c:v>4.2357977119702236E-4</c:v>
                </c:pt>
                <c:pt idx="104">
                  <c:v>4.1872311539250823E-4</c:v>
                </c:pt>
                <c:pt idx="105">
                  <c:v>4.1589672697084183E-4</c:v>
                </c:pt>
                <c:pt idx="106">
                  <c:v>4.1343896353891133E-4</c:v>
                </c:pt>
                <c:pt idx="107">
                  <c:v>4.1092807622011493E-4</c:v>
                </c:pt>
                <c:pt idx="108">
                  <c:v>4.0836846709553596E-4</c:v>
                </c:pt>
                <c:pt idx="109">
                  <c:v>4.0575487965434798E-4</c:v>
                </c:pt>
                <c:pt idx="110">
                  <c:v>4.0307831590502292E-4</c:v>
                </c:pt>
                <c:pt idx="111">
                  <c:v>4.0036154396503893E-4</c:v>
                </c:pt>
                <c:pt idx="112">
                  <c:v>3.9757588624359831E-4</c:v>
                </c:pt>
                <c:pt idx="113">
                  <c:v>3.9471452945876156E-4</c:v>
                </c:pt>
                <c:pt idx="114">
                  <c:v>3.9182997586232476E-4</c:v>
                </c:pt>
                <c:pt idx="115">
                  <c:v>3.8874757967071773E-4</c:v>
                </c:pt>
                <c:pt idx="116">
                  <c:v>3.8485685141303495E-4</c:v>
                </c:pt>
                <c:pt idx="117">
                  <c:v>3.8004330870770181E-4</c:v>
                </c:pt>
                <c:pt idx="118">
                  <c:v>3.7431833255897624E-4</c:v>
                </c:pt>
                <c:pt idx="119">
                  <c:v>3.6764150101892355E-4</c:v>
                </c:pt>
                <c:pt idx="120">
                  <c:v>3.6004679039721744E-4</c:v>
                </c:pt>
                <c:pt idx="121">
                  <c:v>3.5147340259337502E-4</c:v>
                </c:pt>
                <c:pt idx="122">
                  <c:v>3.4198226330465261E-4</c:v>
                </c:pt>
                <c:pt idx="123">
                  <c:v>3.3151869436885868E-4</c:v>
                </c:pt>
                <c:pt idx="124">
                  <c:v>3.2007831796757209E-4</c:v>
                </c:pt>
                <c:pt idx="125">
                  <c:v>3.0817075353649533E-4</c:v>
                </c:pt>
                <c:pt idx="126">
                  <c:v>2.9714253158930927E-4</c:v>
                </c:pt>
                <c:pt idx="127">
                  <c:v>2.8735274572488749E-4</c:v>
                </c:pt>
                <c:pt idx="128">
                  <c:v>2.7876211561291692E-4</c:v>
                </c:pt>
                <c:pt idx="129">
                  <c:v>2.7144204276646506E-4</c:v>
                </c:pt>
                <c:pt idx="130">
                  <c:v>2.6535201932489927E-4</c:v>
                </c:pt>
                <c:pt idx="131">
                  <c:v>2.6046315155522741E-4</c:v>
                </c:pt>
                <c:pt idx="132">
                  <c:v>2.5679085583512219E-4</c:v>
                </c:pt>
              </c:numCache>
            </c:numRef>
          </c:val>
          <c:smooth val="0"/>
        </c:ser>
        <c:ser>
          <c:idx val="1"/>
          <c:order val="1"/>
          <c:tx>
            <c:v>SimpleFromCont</c:v>
          </c:tx>
          <c:spPr>
            <a:ln w="28575">
              <a:noFill/>
            </a:ln>
          </c:spPr>
          <c:marker>
            <c:symbol val="square"/>
            <c:size val="2"/>
          </c:marker>
          <c:val>
            <c:numRef>
              <c:f>'6M Delta'!$Z$3:$Z$135</c:f>
              <c:numCache>
                <c:formatCode>0.0000%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Simple</c:v>
          </c:tx>
          <c:spPr>
            <a:ln w="28575">
              <a:noFill/>
            </a:ln>
          </c:spPr>
          <c:marker>
            <c:symbol val="triangle"/>
            <c:size val="2"/>
          </c:marker>
          <c:val>
            <c:numRef>
              <c:f>'6M Delta'!$AC$3:$AC$135</c:f>
              <c:numCache>
                <c:formatCode>0.0000%</c:formatCode>
                <c:ptCount val="133"/>
                <c:pt idx="0">
                  <c:v>1.9614869571547714E-3</c:v>
                </c:pt>
                <c:pt idx="1">
                  <c:v>1.9994504731733714E-3</c:v>
                </c:pt>
                <c:pt idx="2">
                  <c:v>2.0327434333145661E-3</c:v>
                </c:pt>
                <c:pt idx="3">
                  <c:v>2.0670042861298654E-3</c:v>
                </c:pt>
                <c:pt idx="4">
                  <c:v>2.0969609323898608E-3</c:v>
                </c:pt>
                <c:pt idx="5">
                  <c:v>2.1298140953519081E-3</c:v>
                </c:pt>
                <c:pt idx="6">
                  <c:v>2.1585640792515094E-3</c:v>
                </c:pt>
                <c:pt idx="7">
                  <c:v>2.185366910272006E-3</c:v>
                </c:pt>
                <c:pt idx="8">
                  <c:v>2.2147100294799553E-3</c:v>
                </c:pt>
                <c:pt idx="9">
                  <c:v>2.2395019445828925E-3</c:v>
                </c:pt>
                <c:pt idx="10">
                  <c:v>2.2641912646488792E-3</c:v>
                </c:pt>
                <c:pt idx="11">
                  <c:v>2.2902496350507891E-3</c:v>
                </c:pt>
                <c:pt idx="12">
                  <c:v>2.3114759175628555E-3</c:v>
                </c:pt>
                <c:pt idx="13">
                  <c:v>2.3326234591813841E-3</c:v>
                </c:pt>
                <c:pt idx="14">
                  <c:v>2.3556746781126692E-3</c:v>
                </c:pt>
                <c:pt idx="15">
                  <c:v>2.3750610758817362E-3</c:v>
                </c:pt>
                <c:pt idx="16">
                  <c:v>2.3942780174902932E-3</c:v>
                </c:pt>
                <c:pt idx="17">
                  <c:v>2.4144545610364247E-3</c:v>
                </c:pt>
                <c:pt idx="18">
                  <c:v>2.4308013140987212E-3</c:v>
                </c:pt>
                <c:pt idx="19">
                  <c:v>2.5207759554078581E-3</c:v>
                </c:pt>
                <c:pt idx="20">
                  <c:v>2.585474331494475E-3</c:v>
                </c:pt>
                <c:pt idx="21">
                  <c:v>2.6275818696345843E-3</c:v>
                </c:pt>
                <c:pt idx="22">
                  <c:v>2.6506067487369325E-3</c:v>
                </c:pt>
                <c:pt idx="23">
                  <c:v>2.6569880192188547E-3</c:v>
                </c:pt>
                <c:pt idx="24">
                  <c:v>2.6490490825176144E-3</c:v>
                </c:pt>
                <c:pt idx="25">
                  <c:v>2.6290488644469165E-3</c:v>
                </c:pt>
                <c:pt idx="26">
                  <c:v>2.5988742598867841E-3</c:v>
                </c:pt>
                <c:pt idx="27">
                  <c:v>2.5604357031753936E-3</c:v>
                </c:pt>
                <c:pt idx="28">
                  <c:v>2.5150517501103184E-3</c:v>
                </c:pt>
                <c:pt idx="29">
                  <c:v>2.4640063163405986E-3</c:v>
                </c:pt>
                <c:pt idx="30">
                  <c:v>2.4084278052637961E-3</c:v>
                </c:pt>
                <c:pt idx="31">
                  <c:v>2.3493053662140672E-3</c:v>
                </c:pt>
                <c:pt idx="32">
                  <c:v>2.2871580439890924E-3</c:v>
                </c:pt>
                <c:pt idx="33">
                  <c:v>2.2230672102775159E-3</c:v>
                </c:pt>
                <c:pt idx="34">
                  <c:v>2.1569775290238274E-3</c:v>
                </c:pt>
                <c:pt idx="35">
                  <c:v>2.0912583479730201E-3</c:v>
                </c:pt>
                <c:pt idx="36">
                  <c:v>2.0249690343481686E-3</c:v>
                </c:pt>
                <c:pt idx="37">
                  <c:v>1.9592502823918743E-3</c:v>
                </c:pt>
                <c:pt idx="38">
                  <c:v>1.8937362475399972E-3</c:v>
                </c:pt>
                <c:pt idx="39">
                  <c:v>1.8294413207371471E-3</c:v>
                </c:pt>
                <c:pt idx="40">
                  <c:v>1.7662539584148112E-3</c:v>
                </c:pt>
                <c:pt idx="41">
                  <c:v>1.7043795554977964E-3</c:v>
                </c:pt>
                <c:pt idx="42">
                  <c:v>1.6436582254946031E-3</c:v>
                </c:pt>
                <c:pt idx="43">
                  <c:v>1.584888491566567E-3</c:v>
                </c:pt>
                <c:pt idx="44">
                  <c:v>1.5275308805578524E-3</c:v>
                </c:pt>
                <c:pt idx="45">
                  <c:v>1.4722921938699414E-3</c:v>
                </c:pt>
                <c:pt idx="46">
                  <c:v>1.418047445334465E-3</c:v>
                </c:pt>
                <c:pt idx="47">
                  <c:v>1.3665944154178629E-3</c:v>
                </c:pt>
                <c:pt idx="48">
                  <c:v>1.3167923774795921E-3</c:v>
                </c:pt>
                <c:pt idx="49">
                  <c:v>1.2689363223707527E-3</c:v>
                </c:pt>
                <c:pt idx="50">
                  <c:v>1.2232664344484963E-3</c:v>
                </c:pt>
                <c:pt idx="51">
                  <c:v>1.1795001179508244E-3</c:v>
                </c:pt>
                <c:pt idx="52">
                  <c:v>1.137612807158515E-3</c:v>
                </c:pt>
                <c:pt idx="53">
                  <c:v>1.0975725997698499E-3</c:v>
                </c:pt>
                <c:pt idx="54">
                  <c:v>1.0591363789963517E-3</c:v>
                </c:pt>
                <c:pt idx="55">
                  <c:v>1.0226810672757636E-3</c:v>
                </c:pt>
                <c:pt idx="56">
                  <c:v>9.8775855757223668E-4</c:v>
                </c:pt>
                <c:pt idx="57">
                  <c:v>9.5416898996219103E-4</c:v>
                </c:pt>
                <c:pt idx="58">
                  <c:v>9.2258481306174049E-4</c:v>
                </c:pt>
                <c:pt idx="59">
                  <c:v>8.9273847639163633E-4</c:v>
                </c:pt>
                <c:pt idx="60">
                  <c:v>8.6424601605422538E-4</c:v>
                </c:pt>
                <c:pt idx="61">
                  <c:v>8.3721878806571103E-4</c:v>
                </c:pt>
                <c:pt idx="62">
                  <c:v>8.1187225198182131E-4</c:v>
                </c:pt>
                <c:pt idx="63">
                  <c:v>7.877189159973707E-4</c:v>
                </c:pt>
                <c:pt idx="64">
                  <c:v>7.648469771988776E-4</c:v>
                </c:pt>
                <c:pt idx="65">
                  <c:v>7.4308587973624532E-4</c:v>
                </c:pt>
                <c:pt idx="66">
                  <c:v>7.2250989679926427E-4</c:v>
                </c:pt>
                <c:pt idx="67">
                  <c:v>7.0316854195917329E-4</c:v>
                </c:pt>
                <c:pt idx="68">
                  <c:v>6.8460200869367065E-4</c:v>
                </c:pt>
                <c:pt idx="69">
                  <c:v>6.6736150178552903E-4</c:v>
                </c:pt>
                <c:pt idx="70">
                  <c:v>6.5100167145813671E-4</c:v>
                </c:pt>
                <c:pt idx="71">
                  <c:v>6.3565383865669413E-4</c:v>
                </c:pt>
                <c:pt idx="72">
                  <c:v>6.2110312522562926E-4</c:v>
                </c:pt>
                <c:pt idx="73">
                  <c:v>6.0746429646098255E-4</c:v>
                </c:pt>
                <c:pt idx="74">
                  <c:v>5.9461306061649871E-4</c:v>
                </c:pt>
                <c:pt idx="75">
                  <c:v>5.8250863898511712E-4</c:v>
                </c:pt>
                <c:pt idx="76">
                  <c:v>5.7105115535681806E-4</c:v>
                </c:pt>
                <c:pt idx="77">
                  <c:v>5.6032814387097353E-4</c:v>
                </c:pt>
                <c:pt idx="78">
                  <c:v>5.5018543692763721E-4</c:v>
                </c:pt>
                <c:pt idx="79">
                  <c:v>5.4069940565197464E-4</c:v>
                </c:pt>
                <c:pt idx="80">
                  <c:v>5.3163769503512901E-4</c:v>
                </c:pt>
                <c:pt idx="81">
                  <c:v>5.2321792450433461E-4</c:v>
                </c:pt>
                <c:pt idx="82">
                  <c:v>5.1530880359825556E-4</c:v>
                </c:pt>
                <c:pt idx="83">
                  <c:v>5.0792086263021154E-4</c:v>
                </c:pt>
                <c:pt idx="84">
                  <c:v>5.0098258079459338E-4</c:v>
                </c:pt>
                <c:pt idx="85">
                  <c:v>4.9446835353748452E-4</c:v>
                </c:pt>
                <c:pt idx="86">
                  <c:v>4.8835386554511862E-4</c:v>
                </c:pt>
                <c:pt idx="87">
                  <c:v>4.8261604308582538E-4</c:v>
                </c:pt>
                <c:pt idx="88">
                  <c:v>4.7720437023111753E-4</c:v>
                </c:pt>
                <c:pt idx="89">
                  <c:v>4.7213031863190707E-4</c:v>
                </c:pt>
                <c:pt idx="90">
                  <c:v>4.6732363770450017E-4</c:v>
                </c:pt>
                <c:pt idx="91">
                  <c:v>4.6289277359330282E-4</c:v>
                </c:pt>
                <c:pt idx="92">
                  <c:v>4.587176098994875E-4</c:v>
                </c:pt>
                <c:pt idx="93">
                  <c:v>4.5482711037203019E-4</c:v>
                </c:pt>
                <c:pt idx="94">
                  <c:v>4.5116266167605093E-4</c:v>
                </c:pt>
                <c:pt idx="95">
                  <c:v>4.477494452171862E-4</c:v>
                </c:pt>
                <c:pt idx="96">
                  <c:v>4.4455280910577909E-4</c:v>
                </c:pt>
                <c:pt idx="97">
                  <c:v>4.4155957507160167E-4</c:v>
                </c:pt>
                <c:pt idx="98">
                  <c:v>4.3874242344348996E-4</c:v>
                </c:pt>
                <c:pt idx="99">
                  <c:v>4.3612037505188253E-4</c:v>
                </c:pt>
                <c:pt idx="100">
                  <c:v>4.3365344795471704E-4</c:v>
                </c:pt>
                <c:pt idx="101">
                  <c:v>4.313581616950584E-4</c:v>
                </c:pt>
                <c:pt idx="102">
                  <c:v>4.2917658935039279E-4</c:v>
                </c:pt>
                <c:pt idx="103">
                  <c:v>4.2717015239400447E-4</c:v>
                </c:pt>
                <c:pt idx="104">
                  <c:v>4.2528365775548532E-4</c:v>
                </c:pt>
                <c:pt idx="105">
                  <c:v>4.2352022813662123E-4</c:v>
                </c:pt>
                <c:pt idx="106">
                  <c:v>4.2188079051516669E-4</c:v>
                </c:pt>
                <c:pt idx="107">
                  <c:v>4.2034818946747721E-4</c:v>
                </c:pt>
                <c:pt idx="108">
                  <c:v>4.1891566653067501E-4</c:v>
                </c:pt>
                <c:pt idx="109">
                  <c:v>4.175768725756926E-4</c:v>
                </c:pt>
                <c:pt idx="110">
                  <c:v>4.163192028523281E-4</c:v>
                </c:pt>
                <c:pt idx="111">
                  <c:v>4.1515077902169831E-4</c:v>
                </c:pt>
                <c:pt idx="112">
                  <c:v>4.1405344501144154E-4</c:v>
                </c:pt>
                <c:pt idx="113">
                  <c:v>4.1301801790502856E-4</c:v>
                </c:pt>
                <c:pt idx="114">
                  <c:v>4.1206214456690731E-4</c:v>
                </c:pt>
                <c:pt idx="115">
                  <c:v>4.1117455033293319E-4</c:v>
                </c:pt>
                <c:pt idx="116">
                  <c:v>4.1034137172440255E-4</c:v>
                </c:pt>
                <c:pt idx="117">
                  <c:v>4.0956789025652036E-4</c:v>
                </c:pt>
                <c:pt idx="118">
                  <c:v>4.0884582749908859E-4</c:v>
                </c:pt>
                <c:pt idx="119">
                  <c:v>4.0817184013464987E-4</c:v>
                </c:pt>
                <c:pt idx="120">
                  <c:v>4.0754279567629085E-4</c:v>
                </c:pt>
                <c:pt idx="121">
                  <c:v>4.0695264517276507E-4</c:v>
                </c:pt>
                <c:pt idx="122">
                  <c:v>4.0640217298489186E-4</c:v>
                </c:pt>
                <c:pt idx="123">
                  <c:v>4.0589147372592526E-4</c:v>
                </c:pt>
                <c:pt idx="124">
                  <c:v>4.0540744697041846E-4</c:v>
                </c:pt>
                <c:pt idx="125">
                  <c:v>4.0496350746588148E-4</c:v>
                </c:pt>
                <c:pt idx="126">
                  <c:v>4.0454722722130839E-4</c:v>
                </c:pt>
                <c:pt idx="127">
                  <c:v>4.0416117568085013E-4</c:v>
                </c:pt>
                <c:pt idx="128">
                  <c:v>4.0379924478384607E-4</c:v>
                </c:pt>
                <c:pt idx="129">
                  <c:v>4.0346365783853154E-4</c:v>
                </c:pt>
                <c:pt idx="130">
                  <c:v>4.0315075481535623E-4</c:v>
                </c:pt>
                <c:pt idx="131">
                  <c:v>4.0285902791111291E-4</c:v>
                </c:pt>
                <c:pt idx="132">
                  <c:v>4.0258562518692681E-4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92032"/>
        <c:axId val="766093568"/>
      </c:lineChart>
      <c:dateAx>
        <c:axId val="766092032"/>
        <c:scaling>
          <c:orientation val="minMax"/>
          <c:max val="64031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66093568"/>
        <c:crosses val="autoZero"/>
        <c:auto val="1"/>
        <c:lblOffset val="100"/>
        <c:baseTimeUnit val="days"/>
        <c:majorUnit val="60"/>
        <c:majorTimeUnit val="months"/>
      </c:dateAx>
      <c:valAx>
        <c:axId val="766093568"/>
        <c:scaling>
          <c:orientation val="minMax"/>
          <c:max val="3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609203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'6M Calibration'!$F$2:$F$44</c:f>
              <c:numCache>
                <c:formatCode>ddd\,\ dd\-mmm\-yyyy</c:formatCode>
                <c:ptCount val="43"/>
                <c:pt idx="0">
                  <c:v>42118</c:v>
                </c:pt>
                <c:pt idx="1">
                  <c:v>42149</c:v>
                </c:pt>
                <c:pt idx="2">
                  <c:v>42180</c:v>
                </c:pt>
                <c:pt idx="3">
                  <c:v>42212</c:v>
                </c:pt>
                <c:pt idx="4">
                  <c:v>42243</c:v>
                </c:pt>
                <c:pt idx="5">
                  <c:v>42275</c:v>
                </c:pt>
                <c:pt idx="6">
                  <c:v>42305</c:v>
                </c:pt>
                <c:pt idx="7">
                  <c:v>42338</c:v>
                </c:pt>
                <c:pt idx="8">
                  <c:v>42368</c:v>
                </c:pt>
                <c:pt idx="9">
                  <c:v>42401</c:v>
                </c:pt>
                <c:pt idx="10">
                  <c:v>42430</c:v>
                </c:pt>
                <c:pt idx="11">
                  <c:v>42461</c:v>
                </c:pt>
                <c:pt idx="12">
                  <c:v>42492</c:v>
                </c:pt>
                <c:pt idx="13">
                  <c:v>42523</c:v>
                </c:pt>
                <c:pt idx="14">
                  <c:v>42555</c:v>
                </c:pt>
                <c:pt idx="15">
                  <c:v>42586</c:v>
                </c:pt>
                <c:pt idx="16">
                  <c:v>42618</c:v>
                </c:pt>
                <c:pt idx="17">
                  <c:v>42648</c:v>
                </c:pt>
                <c:pt idx="18">
                  <c:v>42681</c:v>
                </c:pt>
                <c:pt idx="19">
                  <c:v>42711</c:v>
                </c:pt>
                <c:pt idx="20">
                  <c:v>42744</c:v>
                </c:pt>
                <c:pt idx="21">
                  <c:v>42775</c:v>
                </c:pt>
                <c:pt idx="22">
                  <c:v>42803</c:v>
                </c:pt>
                <c:pt idx="23">
                  <c:v>42835</c:v>
                </c:pt>
                <c:pt idx="24">
                  <c:v>42865</c:v>
                </c:pt>
                <c:pt idx="25">
                  <c:v>43049</c:v>
                </c:pt>
                <c:pt idx="26">
                  <c:v>43230</c:v>
                </c:pt>
                <c:pt idx="27">
                  <c:v>43595</c:v>
                </c:pt>
                <c:pt idx="28">
                  <c:v>43962</c:v>
                </c:pt>
                <c:pt idx="29">
                  <c:v>44327</c:v>
                </c:pt>
                <c:pt idx="30">
                  <c:v>44692</c:v>
                </c:pt>
                <c:pt idx="31">
                  <c:v>45057</c:v>
                </c:pt>
                <c:pt idx="32">
                  <c:v>45425</c:v>
                </c:pt>
                <c:pt idx="33">
                  <c:v>45790</c:v>
                </c:pt>
                <c:pt idx="34">
                  <c:v>46520</c:v>
                </c:pt>
                <c:pt idx="35">
                  <c:v>47616</c:v>
                </c:pt>
                <c:pt idx="36">
                  <c:v>49443</c:v>
                </c:pt>
                <c:pt idx="37">
                  <c:v>51270</c:v>
                </c:pt>
                <c:pt idx="38">
                  <c:v>53097</c:v>
                </c:pt>
                <c:pt idx="39">
                  <c:v>54924</c:v>
                </c:pt>
                <c:pt idx="40">
                  <c:v>56751</c:v>
                </c:pt>
                <c:pt idx="41">
                  <c:v>58578</c:v>
                </c:pt>
                <c:pt idx="42">
                  <c:v>60405</c:v>
                </c:pt>
              </c:numCache>
            </c:numRef>
          </c:xVal>
          <c:yVal>
            <c:numRef>
              <c:f>'6M Calibration'!$N$2:$N$44</c:f>
              <c:numCache>
                <c:formatCode>0.0000%</c:formatCode>
                <c:ptCount val="43"/>
                <c:pt idx="0">
                  <c:v>1.9614869571547714E-3</c:v>
                </c:pt>
                <c:pt idx="1">
                  <c:v>2.0220664962285985E-3</c:v>
                </c:pt>
                <c:pt idx="2">
                  <c:v>2.1012184309582831E-3</c:v>
                </c:pt>
                <c:pt idx="3">
                  <c:v>2.0989202490399091E-3</c:v>
                </c:pt>
                <c:pt idx="4">
                  <c:v>2.1216678209241696E-3</c:v>
                </c:pt>
                <c:pt idx="5">
                  <c:v>2.1477626415471757E-3</c:v>
                </c:pt>
                <c:pt idx="6">
                  <c:v>2.1544086294044886E-3</c:v>
                </c:pt>
                <c:pt idx="7">
                  <c:v>2.174364093372752E-3</c:v>
                </c:pt>
                <c:pt idx="8">
                  <c:v>2.1906092201341414E-3</c:v>
                </c:pt>
                <c:pt idx="9">
                  <c:v>2.2232622748836433E-3</c:v>
                </c:pt>
                <c:pt idx="10">
                  <c:v>2.213361886867252E-3</c:v>
                </c:pt>
                <c:pt idx="11">
                  <c:v>2.2079224505854463E-3</c:v>
                </c:pt>
                <c:pt idx="12">
                  <c:v>2.2349945217226483E-3</c:v>
                </c:pt>
                <c:pt idx="13">
                  <c:v>2.255388722377607E-3</c:v>
                </c:pt>
                <c:pt idx="14">
                  <c:v>2.2882481991454637E-3</c:v>
                </c:pt>
                <c:pt idx="15">
                  <c:v>2.3173107372776247E-3</c:v>
                </c:pt>
                <c:pt idx="16">
                  <c:v>2.3367917798088225E-3</c:v>
                </c:pt>
                <c:pt idx="17">
                  <c:v>2.3534949437427847E-3</c:v>
                </c:pt>
                <c:pt idx="18">
                  <c:v>2.3843662851258081E-3</c:v>
                </c:pt>
                <c:pt idx="19">
                  <c:v>2.3797501148665797E-3</c:v>
                </c:pt>
                <c:pt idx="20">
                  <c:v>2.3652605362358059E-3</c:v>
                </c:pt>
                <c:pt idx="21">
                  <c:v>2.400523283834651E-3</c:v>
                </c:pt>
                <c:pt idx="22">
                  <c:v>2.4426682674753971E-3</c:v>
                </c:pt>
                <c:pt idx="23">
                  <c:v>2.4698084025355027E-3</c:v>
                </c:pt>
                <c:pt idx="24">
                  <c:v>2.4709163793561139E-3</c:v>
                </c:pt>
                <c:pt idx="25">
                  <c:v>2.5339116078447383E-3</c:v>
                </c:pt>
                <c:pt idx="26">
                  <c:v>2.6769348482712898E-3</c:v>
                </c:pt>
                <c:pt idx="27">
                  <c:v>2.8822084053771275E-3</c:v>
                </c:pt>
                <c:pt idx="28">
                  <c:v>2.5928235952066277E-3</c:v>
                </c:pt>
                <c:pt idx="29">
                  <c:v>2.510756150476255E-3</c:v>
                </c:pt>
                <c:pt idx="30">
                  <c:v>2.4570573229438395E-3</c:v>
                </c:pt>
                <c:pt idx="31">
                  <c:v>2.315875577796906E-3</c:v>
                </c:pt>
                <c:pt idx="32">
                  <c:v>2.3361078950133868E-3</c:v>
                </c:pt>
                <c:pt idx="33">
                  <c:v>2.0683551774175225E-3</c:v>
                </c:pt>
                <c:pt idx="34">
                  <c:v>1.8867003333133247E-3</c:v>
                </c:pt>
                <c:pt idx="35">
                  <c:v>1.4257796180724858E-3</c:v>
                </c:pt>
                <c:pt idx="36">
                  <c:v>9.4261502245413138E-4</c:v>
                </c:pt>
                <c:pt idx="37">
                  <c:v>7.7028154542106882E-4</c:v>
                </c:pt>
                <c:pt idx="38">
                  <c:v>5.9228095363487998E-4</c:v>
                </c:pt>
                <c:pt idx="39">
                  <c:v>5.9446057340911424E-4</c:v>
                </c:pt>
                <c:pt idx="40">
                  <c:v>5.4803884825347596E-4</c:v>
                </c:pt>
                <c:pt idx="41">
                  <c:v>4.1564158621365966E-4</c:v>
                </c:pt>
                <c:pt idx="42">
                  <c:v>3.8836331452175854E-4</c:v>
                </c:pt>
              </c:numCache>
            </c:numRef>
          </c:yVal>
          <c:smooth val="0"/>
        </c:ser>
        <c:ser>
          <c:idx val="1"/>
          <c:order val="1"/>
          <c:tx>
            <c:v>interpolated</c:v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'6M Calibration'!$F$2:$F$44</c:f>
              <c:numCache>
                <c:formatCode>ddd\,\ dd\-mmm\-yyyy</c:formatCode>
                <c:ptCount val="43"/>
                <c:pt idx="0">
                  <c:v>42118</c:v>
                </c:pt>
                <c:pt idx="1">
                  <c:v>42149</c:v>
                </c:pt>
                <c:pt idx="2">
                  <c:v>42180</c:v>
                </c:pt>
                <c:pt idx="3">
                  <c:v>42212</c:v>
                </c:pt>
                <c:pt idx="4">
                  <c:v>42243</c:v>
                </c:pt>
                <c:pt idx="5">
                  <c:v>42275</c:v>
                </c:pt>
                <c:pt idx="6">
                  <c:v>42305</c:v>
                </c:pt>
                <c:pt idx="7">
                  <c:v>42338</c:v>
                </c:pt>
                <c:pt idx="8">
                  <c:v>42368</c:v>
                </c:pt>
                <c:pt idx="9">
                  <c:v>42401</c:v>
                </c:pt>
                <c:pt idx="10">
                  <c:v>42430</c:v>
                </c:pt>
                <c:pt idx="11">
                  <c:v>42461</c:v>
                </c:pt>
                <c:pt idx="12">
                  <c:v>42492</c:v>
                </c:pt>
                <c:pt idx="13">
                  <c:v>42523</c:v>
                </c:pt>
                <c:pt idx="14">
                  <c:v>42555</c:v>
                </c:pt>
                <c:pt idx="15">
                  <c:v>42586</c:v>
                </c:pt>
                <c:pt idx="16">
                  <c:v>42618</c:v>
                </c:pt>
                <c:pt idx="17">
                  <c:v>42648</c:v>
                </c:pt>
                <c:pt idx="18">
                  <c:v>42681</c:v>
                </c:pt>
                <c:pt idx="19">
                  <c:v>42711</c:v>
                </c:pt>
                <c:pt idx="20">
                  <c:v>42744</c:v>
                </c:pt>
                <c:pt idx="21">
                  <c:v>42775</c:v>
                </c:pt>
                <c:pt idx="22">
                  <c:v>42803</c:v>
                </c:pt>
                <c:pt idx="23">
                  <c:v>42835</c:v>
                </c:pt>
                <c:pt idx="24">
                  <c:v>42865</c:v>
                </c:pt>
                <c:pt idx="25">
                  <c:v>43049</c:v>
                </c:pt>
                <c:pt idx="26">
                  <c:v>43230</c:v>
                </c:pt>
                <c:pt idx="27">
                  <c:v>43595</c:v>
                </c:pt>
                <c:pt idx="28">
                  <c:v>43962</c:v>
                </c:pt>
                <c:pt idx="29">
                  <c:v>44327</c:v>
                </c:pt>
                <c:pt idx="30">
                  <c:v>44692</c:v>
                </c:pt>
                <c:pt idx="31">
                  <c:v>45057</c:v>
                </c:pt>
                <c:pt idx="32">
                  <c:v>45425</c:v>
                </c:pt>
                <c:pt idx="33">
                  <c:v>45790</c:v>
                </c:pt>
                <c:pt idx="34">
                  <c:v>46520</c:v>
                </c:pt>
                <c:pt idx="35">
                  <c:v>47616</c:v>
                </c:pt>
                <c:pt idx="36">
                  <c:v>49443</c:v>
                </c:pt>
                <c:pt idx="37">
                  <c:v>51270</c:v>
                </c:pt>
                <c:pt idx="38">
                  <c:v>53097</c:v>
                </c:pt>
                <c:pt idx="39">
                  <c:v>54924</c:v>
                </c:pt>
                <c:pt idx="40">
                  <c:v>56751</c:v>
                </c:pt>
                <c:pt idx="41">
                  <c:v>58578</c:v>
                </c:pt>
                <c:pt idx="42">
                  <c:v>60405</c:v>
                </c:pt>
              </c:numCache>
            </c:numRef>
          </c:xVal>
          <c:yVal>
            <c:numRef>
              <c:f>'6M Calibration'!$P$2:$P$44</c:f>
              <c:numCache>
                <c:formatCode>0.0000%</c:formatCode>
                <c:ptCount val="43"/>
                <c:pt idx="0">
                  <c:v>2.373026947998666E-3</c:v>
                </c:pt>
                <c:pt idx="1">
                  <c:v>2.2020625328181159E-3</c:v>
                </c:pt>
                <c:pt idx="2">
                  <c:v>2.0606909928667307E-3</c:v>
                </c:pt>
                <c:pt idx="3">
                  <c:v>1.9722605005690471E-3</c:v>
                </c:pt>
                <c:pt idx="4">
                  <c:v>1.9147871928324226E-3</c:v>
                </c:pt>
                <c:pt idx="5">
                  <c:v>1.8939785391196718E-3</c:v>
                </c:pt>
                <c:pt idx="6">
                  <c:v>1.896385639453259E-3</c:v>
                </c:pt>
                <c:pt idx="7">
                  <c:v>1.9208232171091923E-3</c:v>
                </c:pt>
                <c:pt idx="8">
                  <c:v>1.9574785183349552E-3</c:v>
                </c:pt>
                <c:pt idx="9">
                  <c:v>2.0067994654681966E-3</c:v>
                </c:pt>
                <c:pt idx="10">
                  <c:v>2.0607957295515596E-3</c:v>
                </c:pt>
                <c:pt idx="11">
                  <c:v>2.1198038815070032E-3</c:v>
                </c:pt>
                <c:pt idx="12">
                  <c:v>2.1760076662916718E-3</c:v>
                </c:pt>
                <c:pt idx="13">
                  <c:v>2.2315685220770667E-3</c:v>
                </c:pt>
                <c:pt idx="14">
                  <c:v>2.2907001462724457E-3</c:v>
                </c:pt>
                <c:pt idx="15">
                  <c:v>2.346829139830706E-3</c:v>
                </c:pt>
                <c:pt idx="16">
                  <c:v>2.3916311711922288E-3</c:v>
                </c:pt>
                <c:pt idx="17">
                  <c:v>2.4364740129436597E-3</c:v>
                </c:pt>
                <c:pt idx="18">
                  <c:v>2.481843544660905E-3</c:v>
                </c:pt>
                <c:pt idx="19">
                  <c:v>2.5194253731917705E-3</c:v>
                </c:pt>
                <c:pt idx="20">
                  <c:v>2.5567517060748578E-3</c:v>
                </c:pt>
                <c:pt idx="21">
                  <c:v>2.5871067869120169E-3</c:v>
                </c:pt>
                <c:pt idx="22">
                  <c:v>2.616687261791898E-3</c:v>
                </c:pt>
                <c:pt idx="23">
                  <c:v>2.6395167095021313E-3</c:v>
                </c:pt>
                <c:pt idx="24">
                  <c:v>2.6607986556812183E-3</c:v>
                </c:pt>
                <c:pt idx="25">
                  <c:v>2.7295692032980514E-3</c:v>
                </c:pt>
                <c:pt idx="26">
                  <c:v>2.7267000620038221E-3</c:v>
                </c:pt>
                <c:pt idx="27">
                  <c:v>2.6092009780151835E-3</c:v>
                </c:pt>
                <c:pt idx="28">
                  <c:v>2.4412154577933436E-3</c:v>
                </c:pt>
                <c:pt idx="29">
                  <c:v>2.2767971722330452E-3</c:v>
                </c:pt>
                <c:pt idx="30">
                  <c:v>2.1313357627378861E-3</c:v>
                </c:pt>
                <c:pt idx="31">
                  <c:v>2.0059310011949862E-3</c:v>
                </c:pt>
                <c:pt idx="32">
                  <c:v>1.8990884918915051E-3</c:v>
                </c:pt>
                <c:pt idx="33">
                  <c:v>1.8073724062996938E-3</c:v>
                </c:pt>
                <c:pt idx="34">
                  <c:v>1.6570961981336888E-3</c:v>
                </c:pt>
                <c:pt idx="35">
                  <c:v>1.4890654751014501E-3</c:v>
                </c:pt>
                <c:pt idx="36">
                  <c:v>1.2953094100345598E-3</c:v>
                </c:pt>
                <c:pt idx="37">
                  <c:v>1.161673685028916E-3</c:v>
                </c:pt>
                <c:pt idx="38">
                  <c:v>1.0623658719186256E-3</c:v>
                </c:pt>
                <c:pt idx="39">
                  <c:v>9.8482711533540916E-4</c:v>
                </c:pt>
                <c:pt idx="40">
                  <c:v>9.2211361126933291E-4</c:v>
                </c:pt>
                <c:pt idx="41">
                  <c:v>8.7003298801135813E-4</c:v>
                </c:pt>
                <c:pt idx="42">
                  <c:v>8.258846017834869E-4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628992"/>
        <c:axId val="744630528"/>
      </c:scatterChart>
      <c:valAx>
        <c:axId val="744628992"/>
        <c:scaling>
          <c:orientation val="minMax"/>
          <c:max val="52597"/>
          <c:min val="42017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44630528"/>
        <c:crosses val="autoZero"/>
        <c:crossBetween val="midCat"/>
      </c:valAx>
      <c:valAx>
        <c:axId val="744630528"/>
        <c:scaling>
          <c:orientation val="minMax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446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0</xdr:row>
      <xdr:rowOff>0</xdr:rowOff>
    </xdr:from>
    <xdr:to>
      <xdr:col>39</xdr:col>
      <xdr:colOff>285750</xdr:colOff>
      <xdr:row>20</xdr:row>
      <xdr:rowOff>9524</xdr:rowOff>
    </xdr:to>
    <xdr:graphicFrame macro="">
      <xdr:nvGraphicFramePr>
        <xdr:cNvPr id="4" name="Del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123825</xdr:rowOff>
        </xdr:from>
        <xdr:to>
          <xdr:col>28</xdr:col>
          <xdr:colOff>361950</xdr:colOff>
          <xdr:row>11</xdr:row>
          <xdr:rowOff>19050</xdr:rowOff>
        </xdr:to>
        <xdr:sp macro="" textlink="">
          <xdr:nvSpPr>
            <xdr:cNvPr id="3075" name="Length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</xdr:row>
          <xdr:rowOff>276225</xdr:rowOff>
        </xdr:from>
        <xdr:to>
          <xdr:col>28</xdr:col>
          <xdr:colOff>361950</xdr:colOff>
          <xdr:row>2</xdr:row>
          <xdr:rowOff>171450</xdr:rowOff>
        </xdr:to>
        <xdr:sp macro="" textlink="">
          <xdr:nvSpPr>
            <xdr:cNvPr id="3076" name="Length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17</xdr:row>
          <xdr:rowOff>152400</xdr:rowOff>
        </xdr:from>
        <xdr:to>
          <xdr:col>28</xdr:col>
          <xdr:colOff>361950</xdr:colOff>
          <xdr:row>19</xdr:row>
          <xdr:rowOff>47625</xdr:rowOff>
        </xdr:to>
        <xdr:sp macro="" textlink="">
          <xdr:nvSpPr>
            <xdr:cNvPr id="3077" name="Length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4</xdr:row>
          <xdr:rowOff>38100</xdr:rowOff>
        </xdr:from>
        <xdr:to>
          <xdr:col>28</xdr:col>
          <xdr:colOff>361950</xdr:colOff>
          <xdr:row>5</xdr:row>
          <xdr:rowOff>123825</xdr:rowOff>
        </xdr:to>
        <xdr:sp macro="" textlink="">
          <xdr:nvSpPr>
            <xdr:cNvPr id="3078" name="Length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6</xdr:row>
          <xdr:rowOff>171450</xdr:rowOff>
        </xdr:from>
        <xdr:to>
          <xdr:col>28</xdr:col>
          <xdr:colOff>361950</xdr:colOff>
          <xdr:row>8</xdr:row>
          <xdr:rowOff>66675</xdr:rowOff>
        </xdr:to>
        <xdr:sp macro="" textlink="">
          <xdr:nvSpPr>
            <xdr:cNvPr id="3079" name="Length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12</xdr:row>
          <xdr:rowOff>66675</xdr:rowOff>
        </xdr:from>
        <xdr:to>
          <xdr:col>28</xdr:col>
          <xdr:colOff>361950</xdr:colOff>
          <xdr:row>13</xdr:row>
          <xdr:rowOff>152400</xdr:rowOff>
        </xdr:to>
        <xdr:sp macro="" textlink="">
          <xdr:nvSpPr>
            <xdr:cNvPr id="3080" name="Length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15</xdr:row>
          <xdr:rowOff>19050</xdr:rowOff>
        </xdr:from>
        <xdr:to>
          <xdr:col>28</xdr:col>
          <xdr:colOff>361950</xdr:colOff>
          <xdr:row>16</xdr:row>
          <xdr:rowOff>104775</xdr:rowOff>
        </xdr:to>
        <xdr:sp macro="" textlink="">
          <xdr:nvSpPr>
            <xdr:cNvPr id="3081" name="Length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495300</xdr:colOff>
      <xdr:row>20</xdr:row>
      <xdr:rowOff>66675</xdr:rowOff>
    </xdr:from>
    <xdr:to>
      <xdr:col>39</xdr:col>
      <xdr:colOff>304800</xdr:colOff>
      <xdr:row>41</xdr:row>
      <xdr:rowOff>76199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9</xdr:row>
          <xdr:rowOff>123825</xdr:rowOff>
        </xdr:from>
        <xdr:to>
          <xdr:col>32</xdr:col>
          <xdr:colOff>361950</xdr:colOff>
          <xdr:row>11</xdr:row>
          <xdr:rowOff>114300</xdr:rowOff>
        </xdr:to>
        <xdr:sp macro="" textlink="">
          <xdr:nvSpPr>
            <xdr:cNvPr id="5121" name="Length4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</xdr:row>
          <xdr:rowOff>276225</xdr:rowOff>
        </xdr:from>
        <xdr:to>
          <xdr:col>32</xdr:col>
          <xdr:colOff>361950</xdr:colOff>
          <xdr:row>3</xdr:row>
          <xdr:rowOff>123825</xdr:rowOff>
        </xdr:to>
        <xdr:sp macro="" textlink="">
          <xdr:nvSpPr>
            <xdr:cNvPr id="5122" name="Length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17</xdr:row>
          <xdr:rowOff>152400</xdr:rowOff>
        </xdr:from>
        <xdr:to>
          <xdr:col>32</xdr:col>
          <xdr:colOff>361950</xdr:colOff>
          <xdr:row>19</xdr:row>
          <xdr:rowOff>133350</xdr:rowOff>
        </xdr:to>
        <xdr:sp macro="" textlink="">
          <xdr:nvSpPr>
            <xdr:cNvPr id="5123" name="Length7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4</xdr:row>
          <xdr:rowOff>38100</xdr:rowOff>
        </xdr:from>
        <xdr:to>
          <xdr:col>32</xdr:col>
          <xdr:colOff>361950</xdr:colOff>
          <xdr:row>6</xdr:row>
          <xdr:rowOff>28575</xdr:rowOff>
        </xdr:to>
        <xdr:sp macro="" textlink="">
          <xdr:nvSpPr>
            <xdr:cNvPr id="5124" name="Length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6</xdr:row>
          <xdr:rowOff>171450</xdr:rowOff>
        </xdr:from>
        <xdr:to>
          <xdr:col>32</xdr:col>
          <xdr:colOff>361950</xdr:colOff>
          <xdr:row>8</xdr:row>
          <xdr:rowOff>133350</xdr:rowOff>
        </xdr:to>
        <xdr:sp macro="" textlink="">
          <xdr:nvSpPr>
            <xdr:cNvPr id="5125" name="Length3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12</xdr:row>
          <xdr:rowOff>66675</xdr:rowOff>
        </xdr:from>
        <xdr:to>
          <xdr:col>32</xdr:col>
          <xdr:colOff>361950</xdr:colOff>
          <xdr:row>14</xdr:row>
          <xdr:rowOff>57150</xdr:rowOff>
        </xdr:to>
        <xdr:sp macro="" textlink="">
          <xdr:nvSpPr>
            <xdr:cNvPr id="5126" name="Length5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15</xdr:row>
          <xdr:rowOff>19050</xdr:rowOff>
        </xdr:from>
        <xdr:to>
          <xdr:col>32</xdr:col>
          <xdr:colOff>361950</xdr:colOff>
          <xdr:row>17</xdr:row>
          <xdr:rowOff>9525</xdr:rowOff>
        </xdr:to>
        <xdr:sp macro="" textlink="">
          <xdr:nvSpPr>
            <xdr:cNvPr id="5127" name="Length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9525</xdr:colOff>
      <xdr:row>1</xdr:row>
      <xdr:rowOff>238125</xdr:rowOff>
    </xdr:from>
    <xdr:to>
      <xdr:col>43</xdr:col>
      <xdr:colOff>428625</xdr:colOff>
      <xdr:row>22</xdr:row>
      <xdr:rowOff>104774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466725</xdr:colOff>
      <xdr:row>0</xdr:row>
      <xdr:rowOff>242886</xdr:rowOff>
    </xdr:from>
    <xdr:to>
      <xdr:col>29</xdr:col>
      <xdr:colOff>142875</xdr:colOff>
      <xdr:row>23</xdr:row>
      <xdr:rowOff>114299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quantlib/QuantLibXL/Data2/XLS/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OIS ECB"/>
      <sheetName val="Swaps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  <sheetName val="Mx_Deposits"/>
      <sheetName val="EUR_Market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860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EURTOM3F1_Quote</v>
          </cell>
        </row>
        <row r="7">
          <cell r="D7" t="str">
            <v>EUR1x4F_Quote</v>
          </cell>
        </row>
      </sheetData>
      <sheetData sheetId="9">
        <row r="6">
          <cell r="D6" t="str">
            <v>F5</v>
          </cell>
        </row>
        <row r="7">
          <cell r="D7" t="str">
            <v>G5</v>
          </cell>
        </row>
      </sheetData>
      <sheetData sheetId="10">
        <row r="6">
          <cell r="D6" t="str">
            <v>Future Code</v>
          </cell>
        </row>
        <row r="7">
          <cell r="D7" t="str">
            <v>F5</v>
          </cell>
        </row>
      </sheetData>
      <sheetData sheetId="11">
        <row r="6">
          <cell r="D6" t="str">
            <v>F5</v>
          </cell>
        </row>
        <row r="7">
          <cell r="D7" t="str">
            <v>G5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APR15</v>
          </cell>
        </row>
        <row r="7">
          <cell r="D7" t="str">
            <v>JUN15</v>
          </cell>
        </row>
      </sheetData>
      <sheetData sheetId="15">
        <row r="6">
          <cell r="D6" t="str">
            <v>X1S</v>
          </cell>
        </row>
        <row r="7">
          <cell r="D7" t="str">
            <v>X1S</v>
          </cell>
        </row>
      </sheetData>
      <sheetData sheetId="16">
        <row r="6">
          <cell r="D6">
            <v>12</v>
          </cell>
        </row>
        <row r="7">
          <cell r="D7">
            <v>12</v>
          </cell>
        </row>
      </sheetData>
      <sheetData sheetId="17">
        <row r="6">
          <cell r="D6" t="str">
            <v>3E</v>
          </cell>
        </row>
        <row r="7">
          <cell r="D7" t="str">
            <v>3E</v>
          </cell>
        </row>
      </sheetData>
      <sheetData sheetId="18"/>
      <sheetData sheetId="19">
        <row r="6">
          <cell r="D6" t="str">
            <v>6E</v>
          </cell>
        </row>
        <row r="7">
          <cell r="D7" t="str">
            <v>6E</v>
          </cell>
        </row>
      </sheetData>
      <sheetData sheetId="20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1">
        <row r="6">
          <cell r="D6" t="str">
            <v>1E</v>
          </cell>
        </row>
        <row r="7">
          <cell r="D7" t="str">
            <v>1E</v>
          </cell>
        </row>
      </sheetData>
      <sheetData sheetId="22">
        <row r="6">
          <cell r="D6" t="str">
            <v>3E</v>
          </cell>
        </row>
        <row r="7">
          <cell r="D7" t="str">
            <v>3E</v>
          </cell>
        </row>
      </sheetData>
      <sheetData sheetId="23">
        <row r="6">
          <cell r="D6" t="str">
            <v>3E</v>
          </cell>
        </row>
        <row r="7">
          <cell r="D7" t="str">
            <v>3E</v>
          </cell>
        </row>
      </sheetData>
      <sheetData sheetId="24">
        <row r="6">
          <cell r="D6" t="str">
            <v>6E</v>
          </cell>
        </row>
        <row r="7">
          <cell r="D7" t="str">
            <v>6E</v>
          </cell>
        </row>
      </sheetData>
      <sheetData sheetId="25">
        <row r="6">
          <cell r="D6" t="str">
            <v>12E</v>
          </cell>
        </row>
        <row r="7">
          <cell r="D7" t="str">
            <v>12E</v>
          </cell>
        </row>
      </sheetData>
      <sheetData sheetId="26">
        <row r="6">
          <cell r="D6">
            <v>42012</v>
          </cell>
        </row>
        <row r="7">
          <cell r="D7">
            <v>42011</v>
          </cell>
        </row>
      </sheetData>
      <sheetData sheetId="27">
        <row r="6">
          <cell r="D6">
            <v>42012</v>
          </cell>
        </row>
        <row r="7">
          <cell r="D7">
            <v>42011</v>
          </cell>
        </row>
      </sheetData>
      <sheetData sheetId="28">
        <row r="6">
          <cell r="D6">
            <v>42013</v>
          </cell>
        </row>
        <row r="7">
          <cell r="D7">
            <v>42012</v>
          </cell>
        </row>
      </sheetData>
      <sheetData sheetId="29">
        <row r="6">
          <cell r="D6" t="str">
            <v>EURSWD_Mx_Quote#0000</v>
          </cell>
        </row>
        <row r="7">
          <cell r="D7" t="str">
            <v>EUR2WD_Mx_Quote#0000</v>
          </cell>
        </row>
      </sheetData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2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1" customWidth="1"/>
    <col min="3" max="3" width="20.85546875" style="1" customWidth="1"/>
    <col min="4" max="4" width="30.7109375" style="1" customWidth="1"/>
    <col min="5" max="7" width="2.42578125" style="1" customWidth="1"/>
    <col min="8" max="8" width="23.5703125" style="1" bestFit="1" customWidth="1"/>
    <col min="9" max="9" width="33.7109375" style="1" bestFit="1" customWidth="1"/>
    <col min="10" max="10" width="2.42578125" style="1" customWidth="1"/>
    <col min="11" max="16384" width="9.140625" style="1"/>
  </cols>
  <sheetData>
    <row r="1" spans="1:34" ht="12" thickBot="1" x14ac:dyDescent="0.25">
      <c r="B1" s="1" t="str">
        <f>_xll.qlxlVersion(TRUE,EvaluationDate)</f>
        <v>QuantLibXL 1.6.0 - MS VC++ (version unknown) - Multithreaded Dynamic Runtime library - Release Configuration - Apr 22 2015 09:39:09</v>
      </c>
    </row>
    <row r="2" spans="1:34" ht="19.5" thickBot="1" x14ac:dyDescent="0.25">
      <c r="B2" s="2" t="s">
        <v>3</v>
      </c>
      <c r="C2" s="2"/>
      <c r="D2" s="2"/>
      <c r="E2" s="3"/>
      <c r="G2" s="2" t="s">
        <v>15</v>
      </c>
      <c r="H2" s="2"/>
      <c r="I2" s="2"/>
      <c r="J2" s="3"/>
    </row>
    <row r="3" spans="1:34" x14ac:dyDescent="0.2">
      <c r="B3" s="4"/>
      <c r="C3" s="5"/>
      <c r="D3" s="5"/>
      <c r="E3" s="6"/>
      <c r="G3" s="30"/>
      <c r="H3" s="31"/>
      <c r="I3" s="31"/>
      <c r="J3" s="32"/>
    </row>
    <row r="4" spans="1:34" x14ac:dyDescent="0.2">
      <c r="B4" s="4"/>
      <c r="C4" s="7" t="s">
        <v>4</v>
      </c>
      <c r="D4" s="8" t="s">
        <v>1</v>
      </c>
      <c r="E4" s="6"/>
      <c r="G4" s="23"/>
      <c r="H4" s="7" t="s">
        <v>17</v>
      </c>
      <c r="I4" s="27"/>
      <c r="J4" s="24"/>
    </row>
    <row r="5" spans="1:34" s="10" customFormat="1" x14ac:dyDescent="0.2">
      <c r="A5" s="1"/>
      <c r="B5" s="4"/>
      <c r="C5" s="7" t="s">
        <v>5</v>
      </c>
      <c r="D5" s="9" t="s">
        <v>6</v>
      </c>
      <c r="E5" s="6"/>
      <c r="F5" s="1"/>
      <c r="G5" s="23"/>
      <c r="H5" s="7" t="s">
        <v>18</v>
      </c>
      <c r="I5" s="27">
        <f>_xll.qlSettingsEvaluationDate(Trigger)</f>
        <v>42116</v>
      </c>
      <c r="J5" s="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s="10" customFormat="1" x14ac:dyDescent="0.2">
      <c r="A6" s="1"/>
      <c r="B6" s="4"/>
      <c r="C6" s="7" t="s">
        <v>2</v>
      </c>
      <c r="D6" s="9" t="str">
        <f>IF(UPPER(Currency)&lt;&gt;"EUR","L","")&amp;"ibor"</f>
        <v>ibor</v>
      </c>
      <c r="E6" s="6"/>
      <c r="F6" s="1"/>
      <c r="G6" s="23"/>
      <c r="H6" s="25" t="s">
        <v>16</v>
      </c>
      <c r="I6" s="26">
        <f>_xll.qlCalendarAdvance(Calendar,EvaluationDate,"2D","f")</f>
        <v>42118</v>
      </c>
      <c r="J6" s="2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">
      <c r="B7" s="4"/>
      <c r="C7" s="7" t="s">
        <v>7</v>
      </c>
      <c r="D7" s="11" t="s">
        <v>8</v>
      </c>
      <c r="E7" s="6"/>
      <c r="G7" s="23"/>
      <c r="H7" s="7" t="s">
        <v>19</v>
      </c>
      <c r="I7" s="28">
        <f>[1]!TriggerCounter</f>
        <v>860</v>
      </c>
      <c r="J7" s="24"/>
    </row>
    <row r="8" spans="1:34" x14ac:dyDescent="0.2">
      <c r="B8" s="4"/>
      <c r="C8" s="7" t="s">
        <v>9</v>
      </c>
      <c r="D8" s="12" t="s">
        <v>10</v>
      </c>
      <c r="E8" s="6"/>
      <c r="G8" s="23"/>
      <c r="H8" s="7" t="s">
        <v>20</v>
      </c>
      <c r="I8" s="29">
        <f>[1]!LastFixingsTrigger</f>
        <v>1</v>
      </c>
      <c r="J8" s="24"/>
    </row>
    <row r="9" spans="1:34" ht="12" thickBot="1" x14ac:dyDescent="0.25">
      <c r="B9" s="4"/>
      <c r="C9" s="7" t="s">
        <v>11</v>
      </c>
      <c r="D9" s="12" t="s">
        <v>12</v>
      </c>
      <c r="E9" s="6"/>
      <c r="G9" s="33"/>
      <c r="H9" s="34"/>
      <c r="I9" s="34"/>
      <c r="J9" s="35"/>
    </row>
    <row r="10" spans="1:34" x14ac:dyDescent="0.2">
      <c r="B10" s="13"/>
      <c r="C10" s="14"/>
      <c r="D10" s="14"/>
      <c r="E10" s="6"/>
    </row>
    <row r="11" spans="1:34" x14ac:dyDescent="0.2">
      <c r="B11" s="4"/>
      <c r="C11" s="15" t="s">
        <v>13</v>
      </c>
      <c r="D11" s="16">
        <v>41864.862141203703</v>
      </c>
      <c r="E11" s="6"/>
    </row>
    <row r="12" spans="1:34" x14ac:dyDescent="0.2">
      <c r="B12" s="4"/>
      <c r="C12" s="15" t="s">
        <v>14</v>
      </c>
      <c r="D12" s="17" t="b">
        <v>1</v>
      </c>
      <c r="E12" s="6"/>
    </row>
    <row r="13" spans="1:34" ht="12" thickBot="1" x14ac:dyDescent="0.25">
      <c r="B13" s="18"/>
      <c r="C13" s="19"/>
      <c r="D13" s="20"/>
      <c r="E13" s="21"/>
    </row>
    <row r="14" spans="1:34" x14ac:dyDescent="0.2">
      <c r="C14" s="22"/>
      <c r="D14" s="22"/>
      <c r="E14" s="22"/>
    </row>
    <row r="15" spans="1:34" x14ac:dyDescent="0.2">
      <c r="C15" s="22"/>
      <c r="D15" s="22"/>
      <c r="E15" s="22"/>
    </row>
    <row r="16" spans="1:34" x14ac:dyDescent="0.2">
      <c r="C16" s="22"/>
      <c r="D16" s="22"/>
      <c r="E16" s="22"/>
    </row>
    <row r="17" spans="3:5" x14ac:dyDescent="0.2">
      <c r="C17" s="22"/>
      <c r="D17" s="22"/>
      <c r="E17" s="22"/>
    </row>
    <row r="18" spans="3:5" x14ac:dyDescent="0.2">
      <c r="C18" s="22"/>
      <c r="D18" s="22"/>
      <c r="E18" s="22"/>
    </row>
    <row r="19" spans="3:5" x14ac:dyDescent="0.2">
      <c r="C19" s="22"/>
      <c r="D19" s="22"/>
      <c r="E19" s="22"/>
    </row>
    <row r="20" spans="3:5" x14ac:dyDescent="0.2">
      <c r="C20" s="22"/>
      <c r="D20" s="22"/>
      <c r="E20" s="22"/>
    </row>
    <row r="21" spans="3:5" x14ac:dyDescent="0.2">
      <c r="C21" s="22"/>
      <c r="D21" s="22"/>
      <c r="E21" s="22"/>
    </row>
    <row r="22" spans="3:5" x14ac:dyDescent="0.2">
      <c r="C22" s="22"/>
      <c r="D22" s="22"/>
      <c r="E22" s="22"/>
    </row>
  </sheetData>
  <conditionalFormatting sqref="D12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74"/>
  <sheetViews>
    <sheetView showGridLines="0" topLeftCell="K1" workbookViewId="0">
      <selection activeCell="K1" sqref="K1"/>
    </sheetView>
  </sheetViews>
  <sheetFormatPr defaultRowHeight="15" outlineLevelCol="1" x14ac:dyDescent="0.25"/>
  <cols>
    <col min="1" max="1" width="6" hidden="1" customWidth="1" outlineLevel="1"/>
    <col min="2" max="2" width="17.28515625" hidden="1" customWidth="1" outlineLevel="1"/>
    <col min="3" max="3" width="7" hidden="1" customWidth="1" outlineLevel="1"/>
    <col min="4" max="4" width="17.28515625" hidden="1" customWidth="1" outlineLevel="1"/>
    <col min="5" max="5" width="9.140625" hidden="1" customWidth="1" outlineLevel="1"/>
    <col min="6" max="6" width="9.42578125" hidden="1" customWidth="1" outlineLevel="1"/>
    <col min="7" max="7" width="6" hidden="1" customWidth="1" outlineLevel="1"/>
    <col min="8" max="8" width="7" hidden="1" customWidth="1" outlineLevel="1"/>
    <col min="9" max="9" width="12" hidden="1" customWidth="1" outlineLevel="1"/>
    <col min="10" max="10" width="9.28515625" hidden="1" customWidth="1" outlineLevel="1"/>
    <col min="11" max="11" width="2.7109375" customWidth="1" collapsed="1"/>
    <col min="13" max="13" width="10.140625" bestFit="1" customWidth="1"/>
    <col min="14" max="14" width="2.7109375" customWidth="1"/>
    <col min="15" max="15" width="3.85546875" bestFit="1" customWidth="1"/>
    <col min="16" max="18" width="17.5703125" bestFit="1" customWidth="1"/>
    <col min="19" max="19" width="6.5703125" bestFit="1" customWidth="1"/>
    <col min="20" max="20" width="8.140625" bestFit="1" customWidth="1"/>
    <col min="21" max="22" width="11.5703125" hidden="1" customWidth="1" outlineLevel="1"/>
    <col min="23" max="23" width="8.85546875" bestFit="1" customWidth="1" collapsed="1"/>
    <col min="24" max="24" width="12" bestFit="1" customWidth="1"/>
    <col min="25" max="25" width="8.85546875" customWidth="1"/>
    <col min="26" max="26" width="15.140625" customWidth="1"/>
  </cols>
  <sheetData>
    <row r="1" spans="1:26" x14ac:dyDescent="0.25">
      <c r="A1" s="50" t="s">
        <v>34</v>
      </c>
      <c r="B1" s="50"/>
      <c r="C1" s="50"/>
      <c r="D1" s="50"/>
      <c r="E1" s="50"/>
      <c r="F1" s="50" t="s">
        <v>35</v>
      </c>
      <c r="G1" s="50"/>
      <c r="H1" s="50"/>
      <c r="I1" s="50"/>
      <c r="J1" s="50"/>
    </row>
    <row r="2" spans="1:26" ht="30" x14ac:dyDescent="0.25">
      <c r="A2" s="51" t="s">
        <v>36</v>
      </c>
      <c r="B2" s="51" t="s">
        <v>37</v>
      </c>
      <c r="C2" s="51" t="s">
        <v>38</v>
      </c>
      <c r="D2" s="51" t="s">
        <v>39</v>
      </c>
      <c r="E2" s="51" t="s">
        <v>40</v>
      </c>
      <c r="F2" s="51" t="s">
        <v>37</v>
      </c>
      <c r="G2" s="51" t="s">
        <v>39</v>
      </c>
      <c r="H2" s="51" t="s">
        <v>40</v>
      </c>
      <c r="I2" s="51" t="s">
        <v>41</v>
      </c>
      <c r="J2" s="51" t="s">
        <v>42</v>
      </c>
      <c r="P2" s="38" t="s">
        <v>24</v>
      </c>
      <c r="Q2" s="38" t="s">
        <v>25</v>
      </c>
      <c r="R2" s="38" t="s">
        <v>26</v>
      </c>
      <c r="S2" s="38" t="s">
        <v>30</v>
      </c>
      <c r="T2" s="38" t="s">
        <v>27</v>
      </c>
      <c r="U2" s="38" t="s">
        <v>28</v>
      </c>
      <c r="V2" s="38" t="str">
        <f>"P(d+"&amp;M3&amp;")"</f>
        <v>P(d+3M)</v>
      </c>
      <c r="W2" s="38" t="s">
        <v>29</v>
      </c>
      <c r="X2" s="38" t="s">
        <v>31</v>
      </c>
      <c r="Y2" s="38" t="s">
        <v>45</v>
      </c>
      <c r="Z2" s="62"/>
    </row>
    <row r="3" spans="1:26" x14ac:dyDescent="0.25">
      <c r="A3" s="54" t="str">
        <f>_xll.qlPeriodEquivalent(C3&amp;"M")</f>
        <v>1Y</v>
      </c>
      <c r="B3" s="46">
        <f>_xll.qlDateEndOfMonth(EDATE(_xll.qlSettingsEvaluationDate(Trigger),-1))</f>
        <v>42094</v>
      </c>
      <c r="C3" s="47">
        <v>12</v>
      </c>
      <c r="D3" s="46">
        <f>EDATE($P$3,C3)</f>
        <v>42482</v>
      </c>
      <c r="E3" s="48">
        <f>IF(C3&lt;=12,1,IF(C3&lt;=24,3,IF(C3&lt;=120,6,IF(C3&lt;=240,12,IF(C3&lt;=360,36,60)))))</f>
        <v>1</v>
      </c>
      <c r="F3" s="52">
        <f>ROUNDDOWN(I3*10,2)/10</f>
        <v>0</v>
      </c>
      <c r="G3" s="53">
        <f>IF(J3-I3&gt;1%,(QUOTIENT(J3*10000,50)+1)*0.5%,(QUOTIENT(J3*10000,10)+1)*0.1%)</f>
        <v>1E-3</v>
      </c>
      <c r="H3" s="48">
        <f>IF(G3-F3&lt;0.5%,0.025%,IF(G3-F3&lt;1%,0.1%,IF(G3-F3&lt;2%,0.25%,0.5%)))</f>
        <v>2.5000000000000001E-4</v>
      </c>
      <c r="I3" s="53">
        <f>MIN(_xll.ohPack($X$3:INDEX($X$3:$X$3536,MATCH(D3+1,$Q$3:$Q$3536,1),1)))</f>
        <v>2.7928163075242244E-4</v>
      </c>
      <c r="J3" s="53">
        <f>MAX(_xll.ohPack($X$3:INDEX($X$3:$X$3536,MATCH(D3+1,$Q$3:$Q$3536,1),1)))</f>
        <v>4.0405513921175921E-4</v>
      </c>
      <c r="L3" s="36" t="s">
        <v>23</v>
      </c>
      <c r="M3" s="37" t="s">
        <v>0</v>
      </c>
      <c r="O3" s="44" t="s">
        <v>32</v>
      </c>
      <c r="P3" s="39">
        <f>EvaluationDate</f>
        <v>42116</v>
      </c>
      <c r="Q3" s="39">
        <f>_xll.qlInterestRateIndexValueDate(Index,P3,Trigger)</f>
        <v>42118</v>
      </c>
      <c r="R3" s="39">
        <f>_xll.qlInterestRateIndexMaturity(Index,Q3,Trigger)</f>
        <v>42209</v>
      </c>
      <c r="S3" s="40">
        <f>_xll.qlDayCounterYearFraction(DayCounter,Q3,R3,,,Trigger)</f>
        <v>0.25277777777777777</v>
      </c>
      <c r="T3" s="41">
        <f>_xll.qlIndexFixing(Index,P3,,AllTriggers)</f>
        <v>-2.0000000000000002E-5</v>
      </c>
      <c r="U3" s="42">
        <f>_xll.qlYieldTSDiscount(OisCurve,Q3,,AllTriggers)</f>
        <v>1</v>
      </c>
      <c r="V3" s="42">
        <f>_xll.qlYieldTSDiscount(OisCurve,R3,,AllTriggers)</f>
        <v>1.0002843776267403</v>
      </c>
      <c r="W3" s="41">
        <f>(U3/V3-1)/S3</f>
        <v>-1.1246905546691156E-3</v>
      </c>
      <c r="X3" s="43">
        <f>LN((1+T3*S3)/(1+W3*S3))</f>
        <v>2.7928163075242244E-4</v>
      </c>
      <c r="Y3" s="41">
        <f>T3-W3</f>
        <v>1.1046905546691155E-3</v>
      </c>
      <c r="Z3" s="62"/>
    </row>
    <row r="4" spans="1:26" x14ac:dyDescent="0.25">
      <c r="A4" s="54" t="str">
        <f>_xll.qlPeriodEquivalent(C4&amp;"M")</f>
        <v>2Y</v>
      </c>
      <c r="B4" s="46">
        <f>_xll.qlDateEndOfMonth(EDATE(_xll.qlIMMNextDate(_xll.qlSettingsEvaluationDate(Trigger)-1,TRUE),-3))</f>
        <v>42094</v>
      </c>
      <c r="C4" s="47">
        <v>24</v>
      </c>
      <c r="D4" s="46">
        <f t="shared" ref="D4:D9" si="0">EDATE($P$3,C4)</f>
        <v>42847</v>
      </c>
      <c r="E4" s="48">
        <f t="shared" ref="E4:E9" si="1">IF(C4&lt;=12,1,IF(C4&lt;=24,3,IF(C4&lt;=120,6,IF(C4&lt;=240,12,IF(C4&lt;=360,36,60)))))</f>
        <v>3</v>
      </c>
      <c r="F4" s="52">
        <f t="shared" ref="F4:F9" si="2">ROUNDDOWN(I4*10,2)/10</f>
        <v>0</v>
      </c>
      <c r="G4" s="53">
        <f t="shared" ref="G4:G9" si="3">IF(J4-I4&gt;1%,(QUOTIENT(J4*10000,50)+1)*0.5%,(QUOTIENT(J4*10000,10)+1)*0.1%)</f>
        <v>1E-3</v>
      </c>
      <c r="H4" s="48">
        <f t="shared" ref="H4:H9" si="4">IF(G4-F4&lt;0.5%,0.025%,IF(G4-F4&lt;1%,0.1%,IF(G4-F4&lt;2%,0.25%,0.5%)))</f>
        <v>2.5000000000000001E-4</v>
      </c>
      <c r="I4" s="53">
        <f>MIN(_xll.ohPack($X$3:INDEX($X$3:$X$3536,MATCH(D4+1,$Q$3:$Q$3536,1),1)))</f>
        <v>2.7928163075242244E-4</v>
      </c>
      <c r="J4" s="53">
        <f>MAX(_xll.ohPack($X$3:INDEX($X$3:$X$3536,MATCH(D4+1,$Q$3:$Q$3536,1),1)))</f>
        <v>4.1345133935869567E-4</v>
      </c>
      <c r="L4" s="36" t="s">
        <v>22</v>
      </c>
      <c r="M4" s="37" t="str">
        <f>PROPER(Currency)&amp;IborType&amp;M3</f>
        <v>Euribor3M</v>
      </c>
      <c r="O4" s="43" t="s">
        <v>32</v>
      </c>
      <c r="P4" s="39">
        <f>_xll.qlCalendarAdvance(Calendar,P3,O3,"f",,Trigger)</f>
        <v>42117</v>
      </c>
      <c r="Q4" s="39">
        <f>_xll.qlInterestRateIndexValueDate(Index,P4,Trigger)</f>
        <v>42121</v>
      </c>
      <c r="R4" s="39">
        <f>_xll.qlInterestRateIndexMaturity(Index,Q4,Trigger)</f>
        <v>42212</v>
      </c>
      <c r="S4" s="40">
        <f>_xll.qlDayCounterYearFraction(DayCounter,Q4,R4,,,Trigger)</f>
        <v>0.25277777777777777</v>
      </c>
      <c r="T4" s="41">
        <f>_xll.qlIndexFixing(Index,P4,,AllTriggers)</f>
        <v>7.2045768530817564E-5</v>
      </c>
      <c r="U4" s="42">
        <f>_xll.qlYieldTSDiscount(OisCurve,Q4,,AllTriggers)</f>
        <v>1.0000062606480589</v>
      </c>
      <c r="V4" s="42">
        <f>_xll.qlYieldTSDiscount(OisCurve,R4,,AllTriggers)</f>
        <v>1.0002961450905699</v>
      </c>
      <c r="W4" s="41">
        <f t="shared" ref="W4:W67" si="5">(U4/V4-1)/S4</f>
        <v>-1.1464560794072576E-3</v>
      </c>
      <c r="X4" s="43">
        <f t="shared" ref="X4:X67" si="6">LN((1+T4*S4)/(1+W4*S4))</f>
        <v>3.0805202324581202E-4</v>
      </c>
      <c r="Y4" s="41">
        <f t="shared" ref="Y4:Y67" si="7">T4-W4</f>
        <v>1.2185018479380751E-3</v>
      </c>
      <c r="Z4" s="62"/>
    </row>
    <row r="5" spans="1:26" x14ac:dyDescent="0.25">
      <c r="A5" s="54" t="str">
        <f>_xll.qlPeriodEquivalent(C5&amp;"M")</f>
        <v>5Y</v>
      </c>
      <c r="B5" s="4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47">
        <v>60</v>
      </c>
      <c r="D5" s="46">
        <f t="shared" si="0"/>
        <v>43943</v>
      </c>
      <c r="E5" s="48">
        <f t="shared" si="1"/>
        <v>6</v>
      </c>
      <c r="F5" s="52">
        <f t="shared" si="2"/>
        <v>0</v>
      </c>
      <c r="G5" s="53">
        <f t="shared" si="3"/>
        <v>1E-3</v>
      </c>
      <c r="H5" s="48">
        <f t="shared" si="4"/>
        <v>2.5000000000000001E-4</v>
      </c>
      <c r="I5" s="53">
        <f>MIN(_xll.ohPack($X$3:INDEX($X$3:$X$3536,MATCH(D5+1,$Q$3:$Q$3536,1),1)))</f>
        <v>2.7928163075242244E-4</v>
      </c>
      <c r="J5" s="53">
        <f>MAX(_xll.ohPack($X$3:INDEX($X$3:$X$3536,MATCH(D5+1,$Q$3:$Q$3536,1),1)))</f>
        <v>4.9735336033400251E-4</v>
      </c>
      <c r="O5" s="43" t="s">
        <v>32</v>
      </c>
      <c r="P5" s="39">
        <f>_xll.qlCalendarAdvance(Calendar,P4,O4,"f",,Trigger)</f>
        <v>42118</v>
      </c>
      <c r="Q5" s="39">
        <f>_xll.qlInterestRateIndexValueDate(Index,P5,Trigger)</f>
        <v>42122</v>
      </c>
      <c r="R5" s="39">
        <f>_xll.qlInterestRateIndexMaturity(Index,Q5,Trigger)</f>
        <v>42213</v>
      </c>
      <c r="S5" s="40">
        <f>_xll.qlDayCounterYearFraction(DayCounter,Q5,R5,,,Trigger)</f>
        <v>0.25277777777777777</v>
      </c>
      <c r="T5" s="41">
        <f>_xll.qlIndexFixing(Index,P5,,AllTriggers)</f>
        <v>6.6625755929448723E-5</v>
      </c>
      <c r="U5" s="42">
        <f>_xll.qlYieldTSDiscount(OisCurve,Q5,,AllTriggers)</f>
        <v>1.0000083891889477</v>
      </c>
      <c r="V5" s="42">
        <f>_xll.qlYieldTSDiscount(OisCurve,R5,,AllTriggers)</f>
        <v>1.0003000665664634</v>
      </c>
      <c r="W5" s="41">
        <f t="shared" si="5"/>
        <v>-1.1535423869322061E-3</v>
      </c>
      <c r="X5" s="43">
        <f t="shared" si="6"/>
        <v>3.0847377044657462E-4</v>
      </c>
      <c r="Y5" s="41">
        <f t="shared" si="7"/>
        <v>1.2201681428616548E-3</v>
      </c>
      <c r="Z5" s="62"/>
    </row>
    <row r="6" spans="1:26" x14ac:dyDescent="0.25">
      <c r="A6" s="54" t="str">
        <f>_xll.qlPeriodEquivalent(C6&amp;"M")</f>
        <v>10Y</v>
      </c>
      <c r="B6" s="46">
        <f t="shared" ref="B6:B9" si="8">B5</f>
        <v>42004</v>
      </c>
      <c r="C6" s="47">
        <v>120</v>
      </c>
      <c r="D6" s="46">
        <f t="shared" si="0"/>
        <v>45769</v>
      </c>
      <c r="E6" s="48">
        <f t="shared" si="1"/>
        <v>6</v>
      </c>
      <c r="F6" s="52">
        <f t="shared" si="2"/>
        <v>0</v>
      </c>
      <c r="G6" s="53">
        <f t="shared" si="3"/>
        <v>1E-3</v>
      </c>
      <c r="H6" s="48">
        <f t="shared" si="4"/>
        <v>2.5000000000000001E-4</v>
      </c>
      <c r="I6" s="53">
        <f>MIN(_xll.ohPack($X$3:INDEX($X$3:$X$3536,MATCH(D6+1,$Q$3:$Q$3536,1),1)))</f>
        <v>2.7928163075242244E-4</v>
      </c>
      <c r="J6" s="53">
        <f>MAX(_xll.ohPack($X$3:INDEX($X$3:$X$3536,MATCH(D6+1,$Q$3:$Q$3536,1),1)))</f>
        <v>4.9735336033400251E-4</v>
      </c>
      <c r="O6" s="43" t="s">
        <v>32</v>
      </c>
      <c r="P6" s="39">
        <f>_xll.qlCalendarAdvance(Calendar,P5,O5,"f",,Trigger)</f>
        <v>42121</v>
      </c>
      <c r="Q6" s="39">
        <f>_xll.qlInterestRateIndexValueDate(Index,P6,Trigger)</f>
        <v>42123</v>
      </c>
      <c r="R6" s="39">
        <f>_xll.qlInterestRateIndexMaturity(Index,Q6,Trigger)</f>
        <v>42214</v>
      </c>
      <c r="S6" s="40">
        <f>_xll.qlDayCounterYearFraction(DayCounter,Q6,R6,,,Trigger)</f>
        <v>0.25277777777777777</v>
      </c>
      <c r="T6" s="41">
        <f>_xll.qlIndexFixing(Index,P6,,AllTriggers)</f>
        <v>6.1324804625164996E-5</v>
      </c>
      <c r="U6" s="42">
        <f>_xll.qlYieldTSDiscount(OisCurve,Q6,,AllTriggers)</f>
        <v>1.0000105534340098</v>
      </c>
      <c r="V6" s="42">
        <f>_xll.qlYieldTSDiscount(OisCurve,R6,,AllTriggers)</f>
        <v>1.0003039877259292</v>
      </c>
      <c r="W6" s="41">
        <f t="shared" si="5"/>
        <v>-1.1604861834879753E-3</v>
      </c>
      <c r="X6" s="43">
        <f t="shared" si="6"/>
        <v>3.0888958038742265E-4</v>
      </c>
      <c r="Y6" s="41">
        <f t="shared" si="7"/>
        <v>1.2218109881131404E-3</v>
      </c>
      <c r="Z6" s="62"/>
    </row>
    <row r="7" spans="1:26" x14ac:dyDescent="0.25">
      <c r="A7" s="54" t="str">
        <f>_xll.qlPeriodEquivalent(C7&amp;"M")</f>
        <v>20Y</v>
      </c>
      <c r="B7" s="46">
        <f>IF(AND(MONTH(B6)=12),B6,_xll.qlDateEndOfMonth(EDATE(B6,-6)))</f>
        <v>42004</v>
      </c>
      <c r="C7" s="47">
        <v>240</v>
      </c>
      <c r="D7" s="46">
        <f t="shared" si="0"/>
        <v>49421</v>
      </c>
      <c r="E7" s="49">
        <f t="shared" si="1"/>
        <v>12</v>
      </c>
      <c r="F7" s="52">
        <f t="shared" si="2"/>
        <v>0</v>
      </c>
      <c r="G7" s="53">
        <f t="shared" si="3"/>
        <v>1E-3</v>
      </c>
      <c r="H7" s="48">
        <f t="shared" si="4"/>
        <v>2.5000000000000001E-4</v>
      </c>
      <c r="I7" s="53">
        <f>MIN(_xll.ohPack($X$3:INDEX($X$3:$X$3536,MATCH(D7+1,$Q$3:$Q$3536,1),1)))</f>
        <v>2.1835048045655542E-4</v>
      </c>
      <c r="J7" s="53">
        <f>MAX(_xll.ohPack($X$3:INDEX($X$3:$X$3536,MATCH(D7+1,$Q$3:$Q$3536,1),1)))</f>
        <v>4.9735336033400251E-4</v>
      </c>
      <c r="O7" s="43" t="s">
        <v>32</v>
      </c>
      <c r="P7" s="39">
        <f>_xll.qlCalendarAdvance(Calendar,P6,O6,"f",,Trigger)</f>
        <v>42122</v>
      </c>
      <c r="Q7" s="39">
        <f>_xll.qlInterestRateIndexValueDate(Index,P7,Trigger)</f>
        <v>42124</v>
      </c>
      <c r="R7" s="39">
        <f>_xll.qlInterestRateIndexMaturity(Index,Q7,Trigger)</f>
        <v>42216</v>
      </c>
      <c r="S7" s="40">
        <f>_xll.qlDayCounterYearFraction(DayCounter,Q7,R7,,,Trigger)</f>
        <v>0.25555555555555554</v>
      </c>
      <c r="T7" s="41">
        <f>_xll.qlIndexFixing(Index,P7,,AllTriggers)</f>
        <v>5.5135505649757213E-5</v>
      </c>
      <c r="U7" s="42">
        <f>_xll.qlYieldTSDiscount(OisCurve,Q7,,AllTriggers)</f>
        <v>1.0000127623084072</v>
      </c>
      <c r="V7" s="42">
        <f>_xll.qlYieldTSDiscount(OisCurve,R7,,AllTriggers)</f>
        <v>1.0003118295506228</v>
      </c>
      <c r="W7" s="41">
        <f t="shared" si="5"/>
        <v>-1.1698983128480159E-3</v>
      </c>
      <c r="X7" s="43">
        <f t="shared" si="6"/>
        <v>3.131088004351062E-4</v>
      </c>
      <c r="Y7" s="41">
        <f t="shared" si="7"/>
        <v>1.2250338184977732E-3</v>
      </c>
      <c r="Z7" s="62"/>
    </row>
    <row r="8" spans="1:26" x14ac:dyDescent="0.25">
      <c r="A8" s="54" t="str">
        <f>_xll.qlPeriodEquivalent(C8&amp;"M")</f>
        <v>30Y</v>
      </c>
      <c r="B8" s="46">
        <f t="shared" si="8"/>
        <v>42004</v>
      </c>
      <c r="C8" s="47">
        <v>360</v>
      </c>
      <c r="D8" s="46">
        <f t="shared" si="0"/>
        <v>53074</v>
      </c>
      <c r="E8" s="49">
        <f t="shared" si="1"/>
        <v>36</v>
      </c>
      <c r="F8" s="52">
        <f t="shared" si="2"/>
        <v>0</v>
      </c>
      <c r="G8" s="53">
        <f t="shared" si="3"/>
        <v>1E-3</v>
      </c>
      <c r="H8" s="48">
        <f t="shared" si="4"/>
        <v>2.5000000000000001E-4</v>
      </c>
      <c r="I8" s="53">
        <f>MIN(_xll.ohPack($X$3:INDEX($X$3:$X$3536,MATCH(D8+1,$Q$3:$Q$3536,1),1)))</f>
        <v>1.3934362587366916E-4</v>
      </c>
      <c r="J8" s="53">
        <f>MAX(_xll.ohPack($X$3:INDEX($X$3:$X$3536,MATCH(D8+1,$Q$3:$Q$3536,1),1)))</f>
        <v>4.9735336033400251E-4</v>
      </c>
      <c r="O8" s="43" t="s">
        <v>32</v>
      </c>
      <c r="P8" s="39">
        <f>_xll.qlCalendarAdvance(Calendar,P7,O7,"f",,Trigger)</f>
        <v>42123</v>
      </c>
      <c r="Q8" s="39">
        <f>_xll.qlInterestRateIndexValueDate(Index,P8,Trigger)</f>
        <v>42128</v>
      </c>
      <c r="R8" s="39">
        <f>_xll.qlInterestRateIndexMaturity(Index,Q8,Trigger)</f>
        <v>42220</v>
      </c>
      <c r="S8" s="40">
        <f>_xll.qlDayCounterYearFraction(DayCounter,Q8,R8,,,Trigger)</f>
        <v>0.25555555555555554</v>
      </c>
      <c r="T8" s="41">
        <f>_xll.qlIndexFixing(Index,P8,,AllTriggers)</f>
        <v>3.6230078890019541E-5</v>
      </c>
      <c r="U8" s="42">
        <f>_xll.qlYieldTSDiscount(OisCurve,Q8,,AllTriggers)</f>
        <v>1.0000147224389664</v>
      </c>
      <c r="V8" s="42">
        <f>_xll.qlYieldTSDiscount(OisCurve,R8,,AllTriggers)</f>
        <v>1.0003275144084789</v>
      </c>
      <c r="W8" s="41">
        <f t="shared" si="5"/>
        <v>-1.2235678402559304E-3</v>
      </c>
      <c r="X8" s="43">
        <f t="shared" si="6"/>
        <v>3.2199721182631119E-4</v>
      </c>
      <c r="Y8" s="41">
        <f t="shared" si="7"/>
        <v>1.2597979191459499E-3</v>
      </c>
      <c r="Z8" s="62"/>
    </row>
    <row r="9" spans="1:26" x14ac:dyDescent="0.25">
      <c r="A9" s="55" t="str">
        <f>_xll.qlPeriodEquivalent(C9&amp;"M")</f>
        <v>60Y</v>
      </c>
      <c r="B9" s="56">
        <f t="shared" si="8"/>
        <v>42004</v>
      </c>
      <c r="C9" s="57">
        <v>720</v>
      </c>
      <c r="D9" s="56">
        <f t="shared" si="0"/>
        <v>64031</v>
      </c>
      <c r="E9" s="58">
        <f t="shared" si="1"/>
        <v>60</v>
      </c>
      <c r="F9" s="59">
        <f t="shared" si="2"/>
        <v>0</v>
      </c>
      <c r="G9" s="60">
        <f t="shared" si="3"/>
        <v>1E-3</v>
      </c>
      <c r="H9" s="61">
        <f t="shared" si="4"/>
        <v>2.5000000000000001E-4</v>
      </c>
      <c r="I9" s="60">
        <f>MIN(_xll.ohPack($X$3:INDEX($X$3:$X$3536,MATCH(D9+1,$Q$3:$Q$3536,1),1)))</f>
        <v>6.0802973080620847E-5</v>
      </c>
      <c r="J9" s="60">
        <f>MAX(_xll.ohPack($X$3:INDEX($X$3:$X$3536,MATCH(D9+1,$Q$3:$Q$3536,1),1)))</f>
        <v>4.9735336033400251E-4</v>
      </c>
      <c r="O9" s="43" t="s">
        <v>32</v>
      </c>
      <c r="P9" s="39">
        <f>_xll.qlCalendarAdvance(Calendar,P8,O8,"f",,Trigger)</f>
        <v>42124</v>
      </c>
      <c r="Q9" s="39">
        <f>_xll.qlInterestRateIndexValueDate(Index,P9,Trigger)</f>
        <v>42129</v>
      </c>
      <c r="R9" s="39">
        <f>_xll.qlInterestRateIndexMaturity(Index,Q9,Trigger)</f>
        <v>42221</v>
      </c>
      <c r="S9" s="40">
        <f>_xll.qlDayCounterYearFraction(DayCounter,Q9,R9,,,Trigger)</f>
        <v>0.25555555555555554</v>
      </c>
      <c r="T9" s="41">
        <f>_xll.qlIndexFixing(Index,P9,,AllTriggers)</f>
        <v>3.1815803802819246E-5</v>
      </c>
      <c r="U9" s="42">
        <f>_xll.qlYieldTSDiscount(OisCurve,Q9,,AllTriggers)</f>
        <v>1.0000172831285086</v>
      </c>
      <c r="V9" s="42">
        <f>_xll.qlYieldTSDiscount(OisCurve,R9,,AllTriggers)</f>
        <v>1.0003314365383567</v>
      </c>
      <c r="W9" s="41">
        <f t="shared" si="5"/>
        <v>-1.22888865297809E-3</v>
      </c>
      <c r="X9" s="43">
        <f t="shared" si="6"/>
        <v>3.2222931860557735E-4</v>
      </c>
      <c r="Y9" s="41">
        <f t="shared" si="7"/>
        <v>1.2607044567809092E-3</v>
      </c>
      <c r="Z9" s="62"/>
    </row>
    <row r="10" spans="1:26" x14ac:dyDescent="0.25">
      <c r="A10" s="54" t="str">
        <f>_xll.qlPeriodEquivalent(C10&amp;"M")</f>
        <v>1Y</v>
      </c>
      <c r="B10" s="46">
        <f>_xll.qlDateEndOfMonth(EDATE(_xll.qlSettingsEvaluationDate(Trigger),-1))</f>
        <v>42094</v>
      </c>
      <c r="C10" s="47">
        <v>12</v>
      </c>
      <c r="D10" s="46">
        <f>EDATE($P$3,C10)</f>
        <v>42482</v>
      </c>
      <c r="E10" s="48">
        <f>IF(C10&lt;=12,1,IF(C10&lt;=24,3,IF(C10&lt;=120,6,IF(C10&lt;=240,12,IF(C10&lt;=360,36,60)))))</f>
        <v>1</v>
      </c>
      <c r="F10" s="52">
        <f>ROUNDDOWN(I10*10,2)/10</f>
        <v>1E-3</v>
      </c>
      <c r="G10" s="53">
        <f>IF(J10-I10&gt;1%,(QUOTIENT(J10*10000,50)+1)*0.5%,(QUOTIENT(J10*10000,10)+1)*0.1%)</f>
        <v>2E-3</v>
      </c>
      <c r="H10" s="48">
        <f>IF(G10-F10&lt;0.5%,0.025%,IF(G10-F10&lt;1%,0.1%,IF(G10-F10&lt;2%,0.25%,0.5%)))</f>
        <v>2.5000000000000001E-4</v>
      </c>
      <c r="I10" s="53">
        <f>MIN(_xll.ohPack($Y$3:INDEX($Y$3:$Y$3536,MATCH(D10+1,$Q$3:$Q$3536,1),1)))</f>
        <v>1.1046905546691155E-3</v>
      </c>
      <c r="J10" s="53">
        <f>MAX(_xll.ohPack($Y$3:INDEX($Y$3:$Y$3536,MATCH(D10+1,$Q$3:$Q$3536,1),1)))</f>
        <v>1.581867574488976E-3</v>
      </c>
      <c r="O10" s="43" t="s">
        <v>32</v>
      </c>
      <c r="P10" s="39">
        <f>_xll.qlCalendarAdvance(Calendar,P9,O9,"f",,Trigger)</f>
        <v>42128</v>
      </c>
      <c r="Q10" s="39">
        <f>_xll.qlInterestRateIndexValueDate(Index,P10,Trigger)</f>
        <v>42130</v>
      </c>
      <c r="R10" s="39">
        <f>_xll.qlInterestRateIndexMaturity(Index,Q10,Trigger)</f>
        <v>42222</v>
      </c>
      <c r="S10" s="40">
        <f>_xll.qlDayCounterYearFraction(DayCounter,Q10,R10,,,Trigger)</f>
        <v>0.25555555555555554</v>
      </c>
      <c r="T10" s="41">
        <f>_xll.qlIndexFixing(Index,P10,,AllTriggers)</f>
        <v>2.7530352654092169E-5</v>
      </c>
      <c r="U10" s="42">
        <f>_xll.qlYieldTSDiscount(OisCurve,Q10,,AllTriggers)</f>
        <v>1.0000199108424508</v>
      </c>
      <c r="V10" s="42">
        <f>_xll.qlYieldTSDiscount(OisCurve,R10,,AllTriggers)</f>
        <v>1.0003353592619442</v>
      </c>
      <c r="W10" s="41">
        <f t="shared" si="5"/>
        <v>-1.2339495642112236E-3</v>
      </c>
      <c r="X10" s="43">
        <f t="shared" si="6"/>
        <v>3.2242790718129658E-4</v>
      </c>
      <c r="Y10" s="41">
        <f t="shared" si="7"/>
        <v>1.2614799168653157E-3</v>
      </c>
      <c r="Z10" s="62"/>
    </row>
    <row r="11" spans="1:26" x14ac:dyDescent="0.25">
      <c r="A11" s="54" t="str">
        <f>_xll.qlPeriodEquivalent(C11&amp;"M")</f>
        <v>2Y</v>
      </c>
      <c r="B11" s="46">
        <f>_xll.qlDateEndOfMonth(EDATE(_xll.qlIMMNextDate(_xll.qlSettingsEvaluationDate(Trigger)-1,TRUE),-3))</f>
        <v>42094</v>
      </c>
      <c r="C11" s="47">
        <v>24</v>
      </c>
      <c r="D11" s="46">
        <f t="shared" ref="D11:D16" si="9">EDATE($P$3,C11)</f>
        <v>42847</v>
      </c>
      <c r="E11" s="48">
        <f t="shared" ref="E11:E16" si="10">IF(C11&lt;=12,1,IF(C11&lt;=24,3,IF(C11&lt;=120,6,IF(C11&lt;=240,12,IF(C11&lt;=360,36,60)))))</f>
        <v>3</v>
      </c>
      <c r="F11" s="52">
        <f t="shared" ref="F11:F16" si="11">ROUNDDOWN(I11*10,2)/10</f>
        <v>1E-3</v>
      </c>
      <c r="G11" s="53">
        <f t="shared" ref="G11:G16" si="12">IF(J11-I11&gt;1%,(QUOTIENT(J11*10000,50)+1)*0.5%,(QUOTIENT(J11*10000,10)+1)*0.1%)</f>
        <v>2E-3</v>
      </c>
      <c r="H11" s="48">
        <f t="shared" ref="H11:H16" si="13">IF(G11-F11&lt;0.5%,0.025%,IF(G11-F11&lt;1%,0.1%,IF(G11-F11&lt;2%,0.25%,0.5%)))</f>
        <v>2.5000000000000001E-4</v>
      </c>
      <c r="I11" s="53">
        <f>MIN(_xll.ohPack($Y$3:INDEX($Y$3:$Y$3536,MATCH(D11+1,$Q$3:$Q$3536,1),1)))</f>
        <v>1.1046905546691155E-3</v>
      </c>
      <c r="J11" s="53">
        <f>MAX(_xll.ohPack($Y$3:INDEX($Y$3:$Y$3536,MATCH(D11+1,$Q$3:$Q$3536,1),1)))</f>
        <v>1.631342658164611E-3</v>
      </c>
      <c r="O11" s="43" t="s">
        <v>32</v>
      </c>
      <c r="P11" s="39">
        <f>_xll.qlCalendarAdvance(Calendar,P10,O10,"f",,Trigger)</f>
        <v>42129</v>
      </c>
      <c r="Q11" s="39">
        <f>_xll.qlInterestRateIndexValueDate(Index,P11,Trigger)</f>
        <v>42131</v>
      </c>
      <c r="R11" s="39">
        <f>_xll.qlInterestRateIndexMaturity(Index,Q11,Trigger)</f>
        <v>42223</v>
      </c>
      <c r="S11" s="40">
        <f>_xll.qlDayCounterYearFraction(DayCounter,Q11,R11,,,Trigger)</f>
        <v>0.25555555555555554</v>
      </c>
      <c r="T11" s="41">
        <f>_xll.qlIndexFixing(Index,P11,,AllTriggers)</f>
        <v>2.3375721097915072E-5</v>
      </c>
      <c r="U11" s="42">
        <f>_xll.qlYieldTSDiscount(OisCurve,Q11,,AllTriggers)</f>
        <v>1.0000225833491643</v>
      </c>
      <c r="V11" s="42">
        <f>_xll.qlYieldTSDiscount(OisCurve,R11,,AllTriggers)</f>
        <v>1.0003392826930166</v>
      </c>
      <c r="W11" s="41">
        <f t="shared" si="5"/>
        <v>-1.2388379857431393E-3</v>
      </c>
      <c r="X11" s="43">
        <f t="shared" si="6"/>
        <v>3.2261583304347952E-4</v>
      </c>
      <c r="Y11" s="41">
        <f t="shared" si="7"/>
        <v>1.2622137068410543E-3</v>
      </c>
      <c r="Z11" s="62"/>
    </row>
    <row r="12" spans="1:26" x14ac:dyDescent="0.25">
      <c r="A12" s="54" t="str">
        <f>_xll.qlPeriodEquivalent(C12&amp;"M")</f>
        <v>5Y</v>
      </c>
      <c r="B12" s="4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47">
        <v>60</v>
      </c>
      <c r="D12" s="46">
        <f t="shared" si="9"/>
        <v>43943</v>
      </c>
      <c r="E12" s="48">
        <f t="shared" si="10"/>
        <v>6</v>
      </c>
      <c r="F12" s="52">
        <f t="shared" si="11"/>
        <v>1E-3</v>
      </c>
      <c r="G12" s="53">
        <f t="shared" si="12"/>
        <v>2E-3</v>
      </c>
      <c r="H12" s="48">
        <f t="shared" si="13"/>
        <v>2.5000000000000001E-4</v>
      </c>
      <c r="I12" s="53">
        <f>MIN(_xll.ohPack($Y$3:INDEX($Y$3:$Y$3536,MATCH(D12+1,$Q$3:$Q$3536,1),1)))</f>
        <v>1.1046905546691155E-3</v>
      </c>
      <c r="J12" s="53">
        <f>MAX(_xll.ohPack($Y$3:INDEX($Y$3:$Y$3536,MATCH(D12+1,$Q$3:$Q$3536,1),1)))</f>
        <v>1.9474060297185603E-3</v>
      </c>
      <c r="O12" s="43" t="s">
        <v>32</v>
      </c>
      <c r="P12" s="39">
        <f>_xll.qlCalendarAdvance(Calendar,P11,O11,"f",,Trigger)</f>
        <v>42130</v>
      </c>
      <c r="Q12" s="39">
        <f>_xll.qlInterestRateIndexValueDate(Index,P12,Trigger)</f>
        <v>42132</v>
      </c>
      <c r="R12" s="39">
        <f>_xll.qlInterestRateIndexMaturity(Index,Q12,Trigger)</f>
        <v>42226</v>
      </c>
      <c r="S12" s="40">
        <f>_xll.qlDayCounterYearFraction(DayCounter,Q12,R12,,,Trigger)</f>
        <v>0.26111111111111113</v>
      </c>
      <c r="T12" s="41">
        <f>_xll.qlIndexFixing(Index,P12,,AllTriggers)</f>
        <v>1.9644359489728276E-5</v>
      </c>
      <c r="U12" s="42">
        <f>_xll.qlYieldTSDiscount(OisCurve,Q12,,AllTriggers)</f>
        <v>1.0000252784167907</v>
      </c>
      <c r="V12" s="42">
        <f>_xll.qlYieldTSDiscount(OisCurve,R12,,AllTriggers)</f>
        <v>1.0003510583689226</v>
      </c>
      <c r="W12" s="41">
        <f t="shared" si="5"/>
        <v>-1.2472300512344338E-3</v>
      </c>
      <c r="X12" s="43">
        <f t="shared" si="6"/>
        <v>3.3084801243268803E-4</v>
      </c>
      <c r="Y12" s="41">
        <f t="shared" si="7"/>
        <v>1.266874410724162E-3</v>
      </c>
      <c r="Z12" s="62"/>
    </row>
    <row r="13" spans="1:26" x14ac:dyDescent="0.25">
      <c r="A13" s="54" t="str">
        <f>_xll.qlPeriodEquivalent(C13&amp;"M")</f>
        <v>10Y</v>
      </c>
      <c r="B13" s="46">
        <f t="shared" ref="B13:B16" si="14">B12</f>
        <v>42004</v>
      </c>
      <c r="C13" s="47">
        <v>120</v>
      </c>
      <c r="D13" s="46">
        <f t="shared" si="9"/>
        <v>45769</v>
      </c>
      <c r="E13" s="48">
        <f t="shared" si="10"/>
        <v>6</v>
      </c>
      <c r="F13" s="52">
        <f t="shared" si="11"/>
        <v>1E-3</v>
      </c>
      <c r="G13" s="53">
        <f t="shared" si="12"/>
        <v>2E-3</v>
      </c>
      <c r="H13" s="48">
        <f t="shared" si="13"/>
        <v>2.5000000000000001E-4</v>
      </c>
      <c r="I13" s="53">
        <f>MIN(_xll.ohPack($Y$3:INDEX($Y$3:$Y$3536,MATCH(D13+1,$Q$3:$Q$3536,1),1)))</f>
        <v>1.1046905546691155E-3</v>
      </c>
      <c r="J13" s="53">
        <f>MAX(_xll.ohPack($Y$3:INDEX($Y$3:$Y$3536,MATCH(D13+1,$Q$3:$Q$3536,1),1)))</f>
        <v>1.9474060297185603E-3</v>
      </c>
      <c r="O13" s="43" t="s">
        <v>32</v>
      </c>
      <c r="P13" s="39">
        <f>_xll.qlCalendarAdvance(Calendar,P12,O12,"f",,Trigger)</f>
        <v>42131</v>
      </c>
      <c r="Q13" s="39">
        <f>_xll.qlInterestRateIndexValueDate(Index,P13,Trigger)</f>
        <v>42135</v>
      </c>
      <c r="R13" s="39">
        <f>_xll.qlInterestRateIndexMaturity(Index,Q13,Trigger)</f>
        <v>42227</v>
      </c>
      <c r="S13" s="40">
        <f>_xll.qlDayCounterYearFraction(DayCounter,Q13,R13,,,Trigger)</f>
        <v>0.25555555555555554</v>
      </c>
      <c r="T13" s="41">
        <f>_xll.qlIndexFixing(Index,P13,,AllTriggers)</f>
        <v>8.1053040635736337E-6</v>
      </c>
      <c r="U13" s="42">
        <f>_xll.qlYieldTSDiscount(OisCurve,Q13,,AllTriggers)</f>
        <v>1.0000333890092958</v>
      </c>
      <c r="V13" s="42">
        <f>_xll.qlYieldTSDiscount(OisCurve,R13,,AllTriggers)</f>
        <v>1.0003549857677227</v>
      </c>
      <c r="W13" s="41">
        <f t="shared" si="5"/>
        <v>-1.257975534781232E-3</v>
      </c>
      <c r="X13" s="43">
        <f t="shared" si="6"/>
        <v>3.2360567662458631E-4</v>
      </c>
      <c r="Y13" s="41">
        <f t="shared" si="7"/>
        <v>1.2660808388448056E-3</v>
      </c>
      <c r="Z13" s="62"/>
    </row>
    <row r="14" spans="1:26" x14ac:dyDescent="0.25">
      <c r="A14" s="54" t="str">
        <f>_xll.qlPeriodEquivalent(C14&amp;"M")</f>
        <v>20Y</v>
      </c>
      <c r="B14" s="46">
        <f>IF(AND(MONTH(B13)=12),B13,_xll.qlDateEndOfMonth(EDATE(B13,-6)))</f>
        <v>42004</v>
      </c>
      <c r="C14" s="47">
        <v>240</v>
      </c>
      <c r="D14" s="46">
        <f t="shared" si="9"/>
        <v>49421</v>
      </c>
      <c r="E14" s="49">
        <f t="shared" si="10"/>
        <v>12</v>
      </c>
      <c r="F14" s="52">
        <f t="shared" si="11"/>
        <v>0</v>
      </c>
      <c r="G14" s="53">
        <f t="shared" si="12"/>
        <v>2E-3</v>
      </c>
      <c r="H14" s="48">
        <f t="shared" si="13"/>
        <v>2.5000000000000001E-4</v>
      </c>
      <c r="I14" s="53">
        <f>MIN(_xll.ohPack($Y$3:INDEX($Y$3:$Y$3536,MATCH(D14+1,$Q$3:$Q$3536,1),1)))</f>
        <v>8.7641644742827117E-4</v>
      </c>
      <c r="J14" s="53">
        <f>MAX(_xll.ohPack($Y$3:INDEX($Y$3:$Y$3536,MATCH(D14+1,$Q$3:$Q$3536,1),1)))</f>
        <v>1.9474060297185603E-3</v>
      </c>
      <c r="O14" s="43" t="s">
        <v>32</v>
      </c>
      <c r="P14" s="39">
        <f>_xll.qlCalendarAdvance(Calendar,P13,O13,"f",,Trigger)</f>
        <v>42132</v>
      </c>
      <c r="Q14" s="39">
        <f>_xll.qlInterestRateIndexValueDate(Index,P14,Trigger)</f>
        <v>42136</v>
      </c>
      <c r="R14" s="39">
        <f>_xll.qlInterestRateIndexMaturity(Index,Q14,Trigger)</f>
        <v>42228</v>
      </c>
      <c r="S14" s="40">
        <f>_xll.qlDayCounterYearFraction(DayCounter,Q14,R14,,,Trigger)</f>
        <v>0.25555555555555554</v>
      </c>
      <c r="T14" s="41">
        <f>_xll.qlIndexFixing(Index,P14,,AllTriggers)</f>
        <v>4.6347054689740385E-6</v>
      </c>
      <c r="U14" s="42">
        <f>_xll.qlYieldTSDiscount(OisCurve,Q14,,AllTriggers)</f>
        <v>1.0000361059539797</v>
      </c>
      <c r="V14" s="42">
        <f>_xll.qlYieldTSDiscount(OisCurve,R14,,AllTriggers)</f>
        <v>1.0003589144429106</v>
      </c>
      <c r="W14" s="41">
        <f t="shared" si="5"/>
        <v>-1.2627104473215424E-3</v>
      </c>
      <c r="X14" s="43">
        <f t="shared" si="6"/>
        <v>3.2392917038354108E-4</v>
      </c>
      <c r="Y14" s="41">
        <f t="shared" si="7"/>
        <v>1.2673451527905166E-3</v>
      </c>
      <c r="Z14" s="62"/>
    </row>
    <row r="15" spans="1:26" x14ac:dyDescent="0.25">
      <c r="A15" s="54" t="str">
        <f>_xll.qlPeriodEquivalent(C15&amp;"M")</f>
        <v>30Y</v>
      </c>
      <c r="B15" s="46">
        <f t="shared" si="14"/>
        <v>42004</v>
      </c>
      <c r="C15" s="47">
        <v>360</v>
      </c>
      <c r="D15" s="46">
        <f t="shared" si="9"/>
        <v>53074</v>
      </c>
      <c r="E15" s="49">
        <f t="shared" si="10"/>
        <v>36</v>
      </c>
      <c r="F15" s="52">
        <f t="shared" si="11"/>
        <v>0</v>
      </c>
      <c r="G15" s="53">
        <f t="shared" si="12"/>
        <v>2E-3</v>
      </c>
      <c r="H15" s="48">
        <f t="shared" si="13"/>
        <v>2.5000000000000001E-4</v>
      </c>
      <c r="I15" s="53">
        <f>MIN(_xll.ohPack($Y$3:INDEX($Y$3:$Y$3536,MATCH(D15+1,$Q$3:$Q$3536,1),1)))</f>
        <v>5.7646583156641812E-4</v>
      </c>
      <c r="J15" s="53">
        <f>MAX(_xll.ohPack($Y$3:INDEX($Y$3:$Y$3536,MATCH(D15+1,$Q$3:$Q$3536,1),1)))</f>
        <v>1.9474060297185603E-3</v>
      </c>
      <c r="O15" s="43" t="s">
        <v>32</v>
      </c>
      <c r="P15" s="39">
        <f>_xll.qlCalendarAdvance(Calendar,P14,O14,"f",,Trigger)</f>
        <v>42135</v>
      </c>
      <c r="Q15" s="39">
        <f>_xll.qlInterestRateIndexValueDate(Index,P15,Trigger)</f>
        <v>42137</v>
      </c>
      <c r="R15" s="39">
        <f>_xll.qlInterestRateIndexMaturity(Index,Q15,Trigger)</f>
        <v>42229</v>
      </c>
      <c r="S15" s="40">
        <f>_xll.qlDayCounterYearFraction(DayCounter,Q15,R15,,,Trigger)</f>
        <v>0.25555555555555554</v>
      </c>
      <c r="T15" s="41">
        <f>_xll.qlIndexFixing(Index,P15,,AllTriggers)</f>
        <v>1.3069005138957712E-6</v>
      </c>
      <c r="U15" s="42">
        <f>_xll.qlYieldTSDiscount(OisCurve,Q15,,AllTriggers)</f>
        <v>1.0000388341614468</v>
      </c>
      <c r="V15" s="42">
        <f>_xll.qlYieldTSDiscount(OisCurve,R15,,AllTriggers)</f>
        <v>1.0003628445082722</v>
      </c>
      <c r="W15" s="41">
        <f t="shared" si="5"/>
        <v>-1.2674067029719899E-3</v>
      </c>
      <c r="X15" s="43">
        <f t="shared" si="6"/>
        <v>3.2427927433358749E-4</v>
      </c>
      <c r="Y15" s="41">
        <f t="shared" si="7"/>
        <v>1.2687136034858857E-3</v>
      </c>
      <c r="Z15" s="62"/>
    </row>
    <row r="16" spans="1:26" x14ac:dyDescent="0.25">
      <c r="A16" s="55" t="str">
        <f>_xll.qlPeriodEquivalent(C16&amp;"M")</f>
        <v>60Y</v>
      </c>
      <c r="B16" s="56">
        <f t="shared" si="14"/>
        <v>42004</v>
      </c>
      <c r="C16" s="57">
        <v>720</v>
      </c>
      <c r="D16" s="56">
        <f t="shared" si="9"/>
        <v>64031</v>
      </c>
      <c r="E16" s="58">
        <f t="shared" si="10"/>
        <v>60</v>
      </c>
      <c r="F16" s="59">
        <f t="shared" si="11"/>
        <v>0</v>
      </c>
      <c r="G16" s="60">
        <f t="shared" si="12"/>
        <v>2E-3</v>
      </c>
      <c r="H16" s="61">
        <f t="shared" si="13"/>
        <v>2.5000000000000001E-4</v>
      </c>
      <c r="I16" s="60">
        <f>MIN(_xll.ohPack($Y$3:INDEX($Y$3:$Y$3536,MATCH(D16+1,$Q$3:$Q$3536,1),1)))</f>
        <v>2.4577456155583377E-4</v>
      </c>
      <c r="J16" s="60">
        <f>MAX(_xll.ohPack($Y$3:INDEX($Y$3:$Y$3536,MATCH(D16+1,$Q$3:$Q$3536,1),1)))</f>
        <v>1.9474060297185603E-3</v>
      </c>
      <c r="O16" s="43" t="s">
        <v>32</v>
      </c>
      <c r="P16" s="39">
        <f>_xll.qlCalendarAdvance(Calendar,P15,O15,"f",,Trigger)</f>
        <v>42136</v>
      </c>
      <c r="Q16" s="39">
        <f>_xll.qlInterestRateIndexValueDate(Index,P16,Trigger)</f>
        <v>42138</v>
      </c>
      <c r="R16" s="39">
        <f>_xll.qlInterestRateIndexMaturity(Index,Q16,Trigger)</f>
        <v>42230</v>
      </c>
      <c r="S16" s="40">
        <f>_xll.qlDayCounterYearFraction(DayCounter,Q16,R16,,,Trigger)</f>
        <v>0.25555555555555554</v>
      </c>
      <c r="T16" s="41">
        <f>_xll.qlIndexFixing(Index,P16,,AllTriggers)</f>
        <v>-1.8761151028375786E-6</v>
      </c>
      <c r="U16" s="42">
        <f>_xll.qlYieldTSDiscount(OisCurve,Q16,,AllTriggers)</f>
        <v>1.0000415763652575</v>
      </c>
      <c r="V16" s="42">
        <f>_xll.qlYieldTSDiscount(OisCurve,R16,,AllTriggers)</f>
        <v>1.0003667760775954</v>
      </c>
      <c r="W16" s="41">
        <f t="shared" si="5"/>
        <v>-1.272054054499512E-3</v>
      </c>
      <c r="X16" s="43">
        <f t="shared" si="6"/>
        <v>3.2465387895548858E-4</v>
      </c>
      <c r="Y16" s="41">
        <f t="shared" si="7"/>
        <v>1.2701779393966743E-3</v>
      </c>
      <c r="Z16" s="62"/>
    </row>
    <row r="17" spans="15:26" x14ac:dyDescent="0.25">
      <c r="O17" s="43" t="s">
        <v>32</v>
      </c>
      <c r="P17" s="39">
        <f>_xll.qlCalendarAdvance(Calendar,P16,O16,"f",,Trigger)</f>
        <v>42137</v>
      </c>
      <c r="Q17" s="39">
        <f>_xll.qlInterestRateIndexValueDate(Index,P17,Trigger)</f>
        <v>42139</v>
      </c>
      <c r="R17" s="39">
        <f>_xll.qlInterestRateIndexMaturity(Index,Q17,Trigger)</f>
        <v>42233</v>
      </c>
      <c r="S17" s="40">
        <f>_xll.qlDayCounterYearFraction(DayCounter,Q17,R17,,,Trigger)</f>
        <v>0.26111111111111113</v>
      </c>
      <c r="T17" s="41">
        <f>_xll.qlIndexFixing(Index,P17,,AllTriggers)</f>
        <v>-3.3411491075957412E-6</v>
      </c>
      <c r="U17" s="42">
        <f>_xll.qlYieldTSDiscount(OisCurve,Q17,,AllTriggers)</f>
        <v>1.0000443352990025</v>
      </c>
      <c r="V17" s="42">
        <f>_xll.qlYieldTSDiscount(OisCurve,R17,,AllTriggers)</f>
        <v>1.0003785809472379</v>
      </c>
      <c r="W17" s="41">
        <f t="shared" si="5"/>
        <v>-1.2796052824660745E-3</v>
      </c>
      <c r="X17" s="43">
        <f t="shared" si="6"/>
        <v>3.3330257579392941E-4</v>
      </c>
      <c r="Y17" s="41">
        <f t="shared" si="7"/>
        <v>1.2762641333584788E-3</v>
      </c>
      <c r="Z17" s="62"/>
    </row>
    <row r="18" spans="15:26" x14ac:dyDescent="0.25">
      <c r="O18" s="43" t="s">
        <v>32</v>
      </c>
      <c r="P18" s="39">
        <f>_xll.qlCalendarAdvance(Calendar,P17,O17,"f",,Trigger)</f>
        <v>42138</v>
      </c>
      <c r="Q18" s="39">
        <f>_xll.qlInterestRateIndexValueDate(Index,P18,Trigger)</f>
        <v>42142</v>
      </c>
      <c r="R18" s="39">
        <f>_xll.qlInterestRateIndexMaturity(Index,Q18,Trigger)</f>
        <v>42234</v>
      </c>
      <c r="S18" s="40">
        <f>_xll.qlDayCounterYearFraction(DayCounter,Q18,R18,,,Trigger)</f>
        <v>0.25555555555555554</v>
      </c>
      <c r="T18" s="41">
        <f>_xll.qlIndexFixing(Index,P18,,AllTriggers)</f>
        <v>-1.3120369825809389E-5</v>
      </c>
      <c r="U18" s="42">
        <f>_xll.qlYieldTSDiscount(OisCurve,Q18,,AllTriggers)</f>
        <v>1.0000527331637332</v>
      </c>
      <c r="V18" s="42">
        <f>_xll.qlYieldTSDiscount(OisCurve,R18,,AllTriggers)</f>
        <v>1.0003825196703204</v>
      </c>
      <c r="W18" s="41">
        <f t="shared" si="5"/>
        <v>-1.2899754978175663E-3</v>
      </c>
      <c r="X18" s="43">
        <f t="shared" si="6"/>
        <v>3.2636176591285506E-4</v>
      </c>
      <c r="Y18" s="41">
        <f t="shared" si="7"/>
        <v>1.2768551279917569E-3</v>
      </c>
      <c r="Z18" s="62"/>
    </row>
    <row r="19" spans="15:26" x14ac:dyDescent="0.25">
      <c r="O19" s="43" t="s">
        <v>32</v>
      </c>
      <c r="P19" s="39">
        <f>_xll.qlCalendarAdvance(Calendar,P18,O18,"f",,Trigger)</f>
        <v>42139</v>
      </c>
      <c r="Q19" s="39">
        <f>_xll.qlInterestRateIndexValueDate(Index,P19,Trigger)</f>
        <v>42143</v>
      </c>
      <c r="R19" s="39">
        <f>_xll.qlInterestRateIndexMaturity(Index,Q19,Trigger)</f>
        <v>42235</v>
      </c>
      <c r="S19" s="40">
        <f>_xll.qlDayCounterYearFraction(DayCounter,Q19,R19,,,Trigger)</f>
        <v>0.25555555555555554</v>
      </c>
      <c r="T19" s="41">
        <f>_xll.qlIndexFixing(Index,P19,,AllTriggers)</f>
        <v>-1.5549502884858121E-5</v>
      </c>
      <c r="U19" s="42">
        <f>_xll.qlYieldTSDiscount(OisCurve,Q19,,AllTriggers)</f>
        <v>1.0000555772373358</v>
      </c>
      <c r="V19" s="42">
        <f>_xll.qlYieldTSDiscount(OisCurve,R19,,AllTriggers)</f>
        <v>1.0003864604663297</v>
      </c>
      <c r="W19" s="41">
        <f t="shared" si="5"/>
        <v>-1.2942602808485582E-3</v>
      </c>
      <c r="X19" s="43">
        <f t="shared" si="6"/>
        <v>3.2683634699534543E-4</v>
      </c>
      <c r="Y19" s="41">
        <f t="shared" si="7"/>
        <v>1.2787107779636999E-3</v>
      </c>
      <c r="Z19" s="62"/>
    </row>
    <row r="20" spans="15:26" x14ac:dyDescent="0.25">
      <c r="O20" s="43" t="s">
        <v>32</v>
      </c>
      <c r="P20" s="39">
        <f>_xll.qlCalendarAdvance(Calendar,P19,O19,"f",,Trigger)</f>
        <v>42142</v>
      </c>
      <c r="Q20" s="39">
        <f>_xll.qlInterestRateIndexValueDate(Index,P20,Trigger)</f>
        <v>42144</v>
      </c>
      <c r="R20" s="39">
        <f>_xll.qlInterestRateIndexMaturity(Index,Q20,Trigger)</f>
        <v>42236</v>
      </c>
      <c r="S20" s="40">
        <f>_xll.qlDayCounterYearFraction(DayCounter,Q20,R20,,,Trigger)</f>
        <v>0.25555555555555554</v>
      </c>
      <c r="T20" s="41">
        <f>_xll.qlIndexFixing(Index,P20,,AllTriggers)</f>
        <v>-1.7821872177156575E-5</v>
      </c>
      <c r="U20" s="42">
        <f>_xll.qlYieldTSDiscount(OisCurve,Q20,,AllTriggers)</f>
        <v>1.0000584457958939</v>
      </c>
      <c r="V20" s="42">
        <f>_xll.qlYieldTSDiscount(OisCurve,R20,,AllTriggers)</f>
        <v>1.0003904034490649</v>
      </c>
      <c r="W20" s="41">
        <f t="shared" si="5"/>
        <v>-1.2984578073931663E-3</v>
      </c>
      <c r="X20" s="43">
        <f t="shared" si="6"/>
        <v>3.2732868464511615E-4</v>
      </c>
      <c r="Y20" s="41">
        <f t="shared" si="7"/>
        <v>1.2806359352160097E-3</v>
      </c>
      <c r="Z20" s="62"/>
    </row>
    <row r="21" spans="15:26" x14ac:dyDescent="0.25">
      <c r="O21" s="43" t="s">
        <v>32</v>
      </c>
      <c r="P21" s="39">
        <f>_xll.qlCalendarAdvance(Calendar,P20,O20,"f",,Trigger)</f>
        <v>42143</v>
      </c>
      <c r="Q21" s="39">
        <f>_xll.qlInterestRateIndexValueDate(Index,P21,Trigger)</f>
        <v>42145</v>
      </c>
      <c r="R21" s="39">
        <f>_xll.qlInterestRateIndexMaturity(Index,Q21,Trigger)</f>
        <v>42237</v>
      </c>
      <c r="S21" s="40">
        <f>_xll.qlDayCounterYearFraction(DayCounter,Q21,R21,,,Trigger)</f>
        <v>0.25555555555555554</v>
      </c>
      <c r="T21" s="41">
        <f>_xll.qlIndexFixing(Index,P21,,AllTriggers)</f>
        <v>-1.9935481920469627E-5</v>
      </c>
      <c r="U21" s="42">
        <f>_xll.qlYieldTSDiscount(OisCurve,Q21,,AllTriggers)</f>
        <v>1.0000613400947975</v>
      </c>
      <c r="V21" s="42">
        <f>_xll.qlYieldTSDiscount(OisCurve,R21,,AllTriggers)</f>
        <v>1.0003943487323261</v>
      </c>
      <c r="W21" s="41">
        <f t="shared" si="5"/>
        <v>-1.3025636129765132E-3</v>
      </c>
      <c r="X21" s="43">
        <f t="shared" si="6"/>
        <v>3.2783814759469238E-4</v>
      </c>
      <c r="Y21" s="41">
        <f t="shared" si="7"/>
        <v>1.2826281310560435E-3</v>
      </c>
      <c r="Z21" s="62"/>
    </row>
    <row r="22" spans="15:26" x14ac:dyDescent="0.25">
      <c r="O22" s="43" t="s">
        <v>32</v>
      </c>
      <c r="P22" s="39">
        <f>_xll.qlCalendarAdvance(Calendar,P21,O21,"f",,Trigger)</f>
        <v>42144</v>
      </c>
      <c r="Q22" s="39">
        <f>_xll.qlInterestRateIndexValueDate(Index,P22,Trigger)</f>
        <v>42146</v>
      </c>
      <c r="R22" s="39">
        <f>_xll.qlInterestRateIndexMaturity(Index,Q22,Trigger)</f>
        <v>42240</v>
      </c>
      <c r="S22" s="40">
        <f>_xll.qlDayCounterYearFraction(DayCounter,Q22,R22,,,Trigger)</f>
        <v>0.26111111111111113</v>
      </c>
      <c r="T22" s="41">
        <f>_xll.qlIndexFixing(Index,P22,,AllTriggers)</f>
        <v>-1.9470855275753447E-5</v>
      </c>
      <c r="U22" s="42">
        <f>_xll.qlYieldTSDiscount(OisCurve,Q22,,AllTriggers)</f>
        <v>1.000064261389453</v>
      </c>
      <c r="V22" s="42">
        <f>_xll.qlYieldTSDiscount(OisCurve,R22,,AllTriggers)</f>
        <v>1.0004061995232965</v>
      </c>
      <c r="W22" s="41">
        <f t="shared" si="5"/>
        <v>-1.3090185771038503E-3</v>
      </c>
      <c r="X22" s="43">
        <f t="shared" si="6"/>
        <v>3.367736522464789E-4</v>
      </c>
      <c r="Y22" s="41">
        <f t="shared" si="7"/>
        <v>1.2895477218280969E-3</v>
      </c>
      <c r="Z22" s="62"/>
    </row>
    <row r="23" spans="15:26" x14ac:dyDescent="0.25">
      <c r="O23" s="43" t="s">
        <v>32</v>
      </c>
      <c r="P23" s="39">
        <f>_xll.qlCalendarAdvance(Calendar,P22,O22,"f",,Trigger)</f>
        <v>42145</v>
      </c>
      <c r="Q23" s="39">
        <f>_xll.qlInterestRateIndexValueDate(Index,P23,Trigger)</f>
        <v>42149</v>
      </c>
      <c r="R23" s="39">
        <f>_xll.qlInterestRateIndexMaturity(Index,Q23,Trigger)</f>
        <v>42241</v>
      </c>
      <c r="S23" s="40">
        <f>_xll.qlDayCounterYearFraction(DayCounter,Q23,R23,,,Trigger)</f>
        <v>0.25555555555555554</v>
      </c>
      <c r="T23" s="41">
        <f>_xll.qlIndexFixing(Index,P23,,AllTriggers)</f>
        <v>-2.6762409216990228E-5</v>
      </c>
      <c r="U23" s="42">
        <f>_xll.qlYieldTSDiscount(OisCurve,Q23,,AllTriggers)</f>
        <v>1.0000731998022474</v>
      </c>
      <c r="V23" s="42">
        <f>_xll.qlYieldTSDiscount(OisCurve,R23,,AllTriggers)</f>
        <v>1.0004101551467013</v>
      </c>
      <c r="W23" s="41">
        <f t="shared" si="5"/>
        <v>-1.3179803366619967E-3</v>
      </c>
      <c r="X23" s="43">
        <f t="shared" si="6"/>
        <v>3.3003462705566438E-4</v>
      </c>
      <c r="Y23" s="41">
        <f t="shared" si="7"/>
        <v>1.2912179274450065E-3</v>
      </c>
      <c r="Z23" s="62"/>
    </row>
    <row r="24" spans="15:26" x14ac:dyDescent="0.25">
      <c r="O24" s="43" t="s">
        <v>32</v>
      </c>
      <c r="P24" s="39">
        <f>_xll.qlCalendarAdvance(Calendar,P23,O23,"f",,Trigger)</f>
        <v>42146</v>
      </c>
      <c r="Q24" s="39">
        <f>_xll.qlInterestRateIndexValueDate(Index,P24,Trigger)</f>
        <v>42150</v>
      </c>
      <c r="R24" s="39">
        <f>_xll.qlInterestRateIndexMaturity(Index,Q24,Trigger)</f>
        <v>42242</v>
      </c>
      <c r="S24" s="40">
        <f>_xll.qlDayCounterYearFraction(DayCounter,Q24,R24,,,Trigger)</f>
        <v>0.25555555555555554</v>
      </c>
      <c r="T24" s="41">
        <f>_xll.qlIndexFixing(Index,P24,,AllTriggers)</f>
        <v>-2.80590029693548E-5</v>
      </c>
      <c r="U24" s="42">
        <f>_xll.qlYieldTSDiscount(OisCurve,Q24,,AllTriggers)</f>
        <v>1.000076241330222</v>
      </c>
      <c r="V24" s="42">
        <f>_xll.qlYieldTSDiscount(OisCurve,R24,,AllTriggers)</f>
        <v>1.0004141136396612</v>
      </c>
      <c r="W24" s="41">
        <f t="shared" si="5"/>
        <v>-1.3215617601853955E-3</v>
      </c>
      <c r="X24" s="43">
        <f t="shared" si="6"/>
        <v>3.3061883447184549E-4</v>
      </c>
      <c r="Y24" s="41">
        <f t="shared" si="7"/>
        <v>1.2935027572160407E-3</v>
      </c>
      <c r="Z24" s="62"/>
    </row>
    <row r="25" spans="15:26" x14ac:dyDescent="0.25">
      <c r="O25" s="43" t="s">
        <v>32</v>
      </c>
      <c r="P25" s="39">
        <f>_xll.qlCalendarAdvance(Calendar,P24,O24,"f",,Trigger)</f>
        <v>42149</v>
      </c>
      <c r="Q25" s="39">
        <f>_xll.qlInterestRateIndexValueDate(Index,P25,Trigger)</f>
        <v>42151</v>
      </c>
      <c r="R25" s="39">
        <f>_xll.qlInterestRateIndexMaturity(Index,Q25,Trigger)</f>
        <v>42243</v>
      </c>
      <c r="S25" s="40">
        <f>_xll.qlDayCounterYearFraction(DayCounter,Q25,R25,,,Trigger)</f>
        <v>0.25555555555555554</v>
      </c>
      <c r="T25" s="41">
        <f>_xll.qlIndexFixing(Index,P25,,AllTriggers)</f>
        <v>-2.9202337626739283E-5</v>
      </c>
      <c r="U25" s="42">
        <f>_xll.qlYieldTSDiscount(OisCurve,Q25,,AllTriggers)</f>
        <v>1.0000793143066771</v>
      </c>
      <c r="V25" s="42">
        <f>_xll.qlYieldTSDiscount(OisCurve,R25,,AllTriggers)</f>
        <v>1.0004180751159872</v>
      </c>
      <c r="W25" s="41">
        <f t="shared" si="5"/>
        <v>-1.3250318127328744E-3</v>
      </c>
      <c r="X25" s="43">
        <f t="shared" si="6"/>
        <v>3.3121373800981983E-4</v>
      </c>
      <c r="Y25" s="41">
        <f t="shared" si="7"/>
        <v>1.2958294751061351E-3</v>
      </c>
      <c r="Z25" s="62"/>
    </row>
    <row r="26" spans="15:26" x14ac:dyDescent="0.25">
      <c r="O26" s="43" t="s">
        <v>32</v>
      </c>
      <c r="P26" s="39">
        <f>_xll.qlCalendarAdvance(Calendar,P25,O25,"f",,Trigger)</f>
        <v>42150</v>
      </c>
      <c r="Q26" s="39">
        <f>_xll.qlInterestRateIndexValueDate(Index,P26,Trigger)</f>
        <v>42152</v>
      </c>
      <c r="R26" s="39">
        <f>_xll.qlInterestRateIndexMaturity(Index,Q26,Trigger)</f>
        <v>42244</v>
      </c>
      <c r="S26" s="40">
        <f>_xll.qlDayCounterYearFraction(DayCounter,Q26,R26,,,Trigger)</f>
        <v>0.25555555555555554</v>
      </c>
      <c r="T26" s="41">
        <f>_xll.qlIndexFixing(Index,P26,,AllTriggers)</f>
        <v>-3.0196473399572412E-5</v>
      </c>
      <c r="U26" s="42">
        <f>_xll.qlYieldTSDiscount(OisCurve,Q26,,AllTriggers)</f>
        <v>1.0000824181625436</v>
      </c>
      <c r="V26" s="42">
        <f>_xll.qlYieldTSDiscount(OisCurve,R26,,AllTriggers)</f>
        <v>1.0004220396894925</v>
      </c>
      <c r="W26" s="41">
        <f t="shared" si="5"/>
        <v>-1.328393166464753E-3</v>
      </c>
      <c r="X26" s="43">
        <f t="shared" si="6"/>
        <v>3.3181898312828153E-4</v>
      </c>
      <c r="Y26" s="41">
        <f t="shared" si="7"/>
        <v>1.2981966930651805E-3</v>
      </c>
      <c r="Z26" s="62"/>
    </row>
    <row r="27" spans="15:26" x14ac:dyDescent="0.25">
      <c r="O27" s="43" t="s">
        <v>32</v>
      </c>
      <c r="P27" s="39">
        <f>_xll.qlCalendarAdvance(Calendar,P26,O26,"f",,Trigger)</f>
        <v>42151</v>
      </c>
      <c r="Q27" s="39">
        <f>_xll.qlInterestRateIndexValueDate(Index,P27,Trigger)</f>
        <v>42153</v>
      </c>
      <c r="R27" s="39">
        <f>_xll.qlInterestRateIndexMaturity(Index,Q27,Trigger)</f>
        <v>42247</v>
      </c>
      <c r="S27" s="40">
        <f>_xll.qlDayCounterYearFraction(DayCounter,Q27,R27,,,Trigger)</f>
        <v>0.26111111111111113</v>
      </c>
      <c r="T27" s="41">
        <f>_xll.qlIndexFixing(Index,P27,,AllTriggers)</f>
        <v>-2.8227402549417021E-5</v>
      </c>
      <c r="U27" s="42">
        <f>_xll.qlYieldTSDiscount(OisCurve,Q27,,AllTriggers)</f>
        <v>1.0000855523287475</v>
      </c>
      <c r="V27" s="42">
        <f>_xll.qlYieldTSDiscount(OisCurve,R27,,AllTriggers)</f>
        <v>1.0004339531312425</v>
      </c>
      <c r="W27" s="41">
        <f t="shared" si="5"/>
        <v>-1.3337221728124775E-3</v>
      </c>
      <c r="X27" s="43">
        <f t="shared" si="6"/>
        <v>3.4093981585219782E-4</v>
      </c>
      <c r="Y27" s="41">
        <f t="shared" si="7"/>
        <v>1.3054947702630605E-3</v>
      </c>
      <c r="Z27" s="62"/>
    </row>
    <row r="28" spans="15:26" x14ac:dyDescent="0.25">
      <c r="O28" s="43" t="s">
        <v>32</v>
      </c>
      <c r="P28" s="39">
        <f>_xll.qlCalendarAdvance(Calendar,P27,O27,"f",,Trigger)</f>
        <v>42152</v>
      </c>
      <c r="Q28" s="39">
        <f>_xll.qlInterestRateIndexValueDate(Index,P28,Trigger)</f>
        <v>42156</v>
      </c>
      <c r="R28" s="39">
        <f>_xll.qlInterestRateIndexMaturity(Index,Q28,Trigger)</f>
        <v>42248</v>
      </c>
      <c r="S28" s="40">
        <f>_xll.qlDayCounterYearFraction(DayCounter,Q28,R28,,,Trigger)</f>
        <v>0.25555555555555554</v>
      </c>
      <c r="T28" s="41">
        <f>_xll.qlIndexFixing(Index,P28,,AllTriggers)</f>
        <v>-3.2762231106737801E-5</v>
      </c>
      <c r="U28" s="42">
        <f>_xll.qlYieldTSDiscount(OisCurve,Q28,,AllTriggers)</f>
        <v>1.0000876302850967</v>
      </c>
      <c r="V28" s="42">
        <f>_xll.qlYieldTSDiscount(OisCurve,R28,,AllTriggers)</f>
        <v>1.0004379312316323</v>
      </c>
      <c r="W28" s="41">
        <f t="shared" si="5"/>
        <v>-1.3701428059429228E-3</v>
      </c>
      <c r="X28" s="43">
        <f t="shared" si="6"/>
        <v>3.4183631672770313E-4</v>
      </c>
      <c r="Y28" s="41">
        <f t="shared" si="7"/>
        <v>1.3373805748361849E-3</v>
      </c>
      <c r="Z28" s="62"/>
    </row>
    <row r="29" spans="15:26" x14ac:dyDescent="0.25">
      <c r="O29" s="43" t="s">
        <v>32</v>
      </c>
      <c r="P29" s="39">
        <f>_xll.qlCalendarAdvance(Calendar,P28,O28,"f",,Trigger)</f>
        <v>42153</v>
      </c>
      <c r="Q29" s="39">
        <f>_xll.qlInterestRateIndexValueDate(Index,P29,Trigger)</f>
        <v>42157</v>
      </c>
      <c r="R29" s="39">
        <f>_xll.qlInterestRateIndexMaturity(Index,Q29,Trigger)</f>
        <v>42249</v>
      </c>
      <c r="S29" s="40">
        <f>_xll.qlDayCounterYearFraction(DayCounter,Q29,R29,,,Trigger)</f>
        <v>0.25555555555555554</v>
      </c>
      <c r="T29" s="41">
        <f>_xll.qlIndexFixing(Index,P29,,AllTriggers)</f>
        <v>-3.3071274895124034E-5</v>
      </c>
      <c r="U29" s="42">
        <f>_xll.qlYieldTSDiscount(OisCurve,Q29,,AllTriggers)</f>
        <v>1.0000908799774495</v>
      </c>
      <c r="V29" s="42">
        <f>_xll.qlYieldTSDiscount(OisCurve,R29,,AllTriggers)</f>
        <v>1.0004419129982944</v>
      </c>
      <c r="W29" s="41">
        <f t="shared" si="5"/>
        <v>-1.3730007260039634E-3</v>
      </c>
      <c r="X29" s="43">
        <f t="shared" si="6"/>
        <v>3.4248795164462426E-4</v>
      </c>
      <c r="Y29" s="41">
        <f t="shared" si="7"/>
        <v>1.3399294511088394E-3</v>
      </c>
      <c r="Z29" s="62"/>
    </row>
    <row r="30" spans="15:26" x14ac:dyDescent="0.25">
      <c r="O30" s="43" t="s">
        <v>32</v>
      </c>
      <c r="P30" s="39">
        <f>_xll.qlCalendarAdvance(Calendar,P29,O29,"f",,Trigger)</f>
        <v>42156</v>
      </c>
      <c r="Q30" s="39">
        <f>_xll.qlInterestRateIndexValueDate(Index,P30,Trigger)</f>
        <v>42158</v>
      </c>
      <c r="R30" s="39">
        <f>_xll.qlInterestRateIndexMaturity(Index,Q30,Trigger)</f>
        <v>42250</v>
      </c>
      <c r="S30" s="40">
        <f>_xll.qlDayCounterYearFraction(DayCounter,Q30,R30,,,Trigger)</f>
        <v>0.25555555555555554</v>
      </c>
      <c r="T30" s="41">
        <f>_xll.qlIndexFixing(Index,P30,,AllTriggers)</f>
        <v>-3.325548065533453E-5</v>
      </c>
      <c r="U30" s="42">
        <f>_xll.qlYieldTSDiscount(OisCurve,Q30,,AllTriggers)</f>
        <v>1.0000941571344961</v>
      </c>
      <c r="V30" s="42">
        <f>_xll.qlYieldTSDiscount(OisCurve,R30,,AllTriggers)</f>
        <v>1.0004458985450526</v>
      </c>
      <c r="W30" s="41">
        <f t="shared" si="5"/>
        <v>-1.3757659805632102E-3</v>
      </c>
      <c r="X30" s="43">
        <f t="shared" si="6"/>
        <v>3.4314780089953818E-4</v>
      </c>
      <c r="Y30" s="41">
        <f t="shared" si="7"/>
        <v>1.3425104999078756E-3</v>
      </c>
      <c r="Z30" s="62"/>
    </row>
    <row r="31" spans="15:26" x14ac:dyDescent="0.25">
      <c r="O31" s="43" t="s">
        <v>32</v>
      </c>
      <c r="P31" s="39">
        <f>_xll.qlCalendarAdvance(Calendar,P30,O30,"f",,Trigger)</f>
        <v>42157</v>
      </c>
      <c r="Q31" s="39">
        <f>_xll.qlInterestRateIndexValueDate(Index,P31,Trigger)</f>
        <v>42159</v>
      </c>
      <c r="R31" s="39">
        <f>_xll.qlInterestRateIndexMaturity(Index,Q31,Trigger)</f>
        <v>42251</v>
      </c>
      <c r="S31" s="40">
        <f>_xll.qlDayCounterYearFraction(DayCounter,Q31,R31,,,Trigger)</f>
        <v>0.25555555555555554</v>
      </c>
      <c r="T31" s="41">
        <f>_xll.qlIndexFixing(Index,P31,,AllTriggers)</f>
        <v>-3.3318908477459502E-5</v>
      </c>
      <c r="U31" s="42">
        <f>_xll.qlYieldTSDiscount(OisCurve,Q31,,AllTriggers)</f>
        <v>1.0000974611871383</v>
      </c>
      <c r="V31" s="42">
        <f>_xll.qlYieldTSDiscount(OisCurve,R31,,AllTriggers)</f>
        <v>1.0004498879857335</v>
      </c>
      <c r="W31" s="41">
        <f t="shared" si="5"/>
        <v>-1.3784412416536931E-3</v>
      </c>
      <c r="X31" s="43">
        <f t="shared" si="6"/>
        <v>3.4381550995244954E-4</v>
      </c>
      <c r="Y31" s="41">
        <f t="shared" si="7"/>
        <v>1.3451223331762336E-3</v>
      </c>
      <c r="Z31" s="62"/>
    </row>
    <row r="32" spans="15:26" x14ac:dyDescent="0.25">
      <c r="O32" s="43" t="s">
        <v>32</v>
      </c>
      <c r="P32" s="39">
        <f>_xll.qlCalendarAdvance(Calendar,P31,O31,"f",,Trigger)</f>
        <v>42158</v>
      </c>
      <c r="Q32" s="39">
        <f>_xll.qlInterestRateIndexValueDate(Index,P32,Trigger)</f>
        <v>42160</v>
      </c>
      <c r="R32" s="39">
        <f>_xll.qlInterestRateIndexMaturity(Index,Q32,Trigger)</f>
        <v>42254</v>
      </c>
      <c r="S32" s="40">
        <f>_xll.qlDayCounterYearFraction(DayCounter,Q32,R32,,,Trigger)</f>
        <v>0.26111111111111113</v>
      </c>
      <c r="T32" s="41">
        <f>_xll.qlIndexFixing(Index,P32,,AllTriggers)</f>
        <v>-3.0473895346310223E-5</v>
      </c>
      <c r="U32" s="42">
        <f>_xll.qlYieldTSDiscount(OisCurve,Q32,,AllTriggers)</f>
        <v>1.0001007915662725</v>
      </c>
      <c r="V32" s="42">
        <f>_xll.qlYieldTSDiscount(OisCurve,R32,,AllTriggers)</f>
        <v>1.0004618808095969</v>
      </c>
      <c r="W32" s="41">
        <f t="shared" si="5"/>
        <v>-1.382256536665465E-3</v>
      </c>
      <c r="X32" s="43">
        <f t="shared" si="6"/>
        <v>3.5303058401408508E-4</v>
      </c>
      <c r="Y32" s="41">
        <f t="shared" si="7"/>
        <v>1.3517826413191548E-3</v>
      </c>
      <c r="Z32" s="62"/>
    </row>
    <row r="33" spans="15:26" x14ac:dyDescent="0.25">
      <c r="O33" s="43" t="s">
        <v>32</v>
      </c>
      <c r="P33" s="39">
        <f>_xll.qlCalendarAdvance(Calendar,P32,O32,"f",,Trigger)</f>
        <v>42159</v>
      </c>
      <c r="Q33" s="39">
        <f>_xll.qlInterestRateIndexValueDate(Index,P33,Trigger)</f>
        <v>42163</v>
      </c>
      <c r="R33" s="39">
        <f>_xll.qlInterestRateIndexMaturity(Index,Q33,Trigger)</f>
        <v>42255</v>
      </c>
      <c r="S33" s="40">
        <f>_xll.qlDayCounterYearFraction(DayCounter,Q33,R33,,,Trigger)</f>
        <v>0.25555555555555554</v>
      </c>
      <c r="T33" s="41">
        <f>_xll.qlIndexFixing(Index,P33,,AllTriggers)</f>
        <v>-3.2446041784187209E-5</v>
      </c>
      <c r="U33" s="42">
        <f>_xll.qlYieldTSDiscount(OisCurve,Q33,,AllTriggers)</f>
        <v>1.0001109349715107</v>
      </c>
      <c r="V33" s="42">
        <f>_xll.qlYieldTSDiscount(OisCurve,R33,,AllTriggers)</f>
        <v>1.000465886964264</v>
      </c>
      <c r="W33" s="41">
        <f t="shared" si="5"/>
        <v>-1.3882957914272869E-3</v>
      </c>
      <c r="X33" s="43">
        <f t="shared" si="6"/>
        <v>3.4655785333522198E-4</v>
      </c>
      <c r="Y33" s="41">
        <f t="shared" si="7"/>
        <v>1.3558497496430997E-3</v>
      </c>
      <c r="Z33" s="62"/>
    </row>
    <row r="34" spans="15:26" x14ac:dyDescent="0.25">
      <c r="O34" s="43" t="s">
        <v>32</v>
      </c>
      <c r="P34" s="39">
        <f>_xll.qlCalendarAdvance(Calendar,P33,O33,"f",,Trigger)</f>
        <v>42160</v>
      </c>
      <c r="Q34" s="39">
        <f>_xll.qlInterestRateIndexValueDate(Index,P34,Trigger)</f>
        <v>42164</v>
      </c>
      <c r="R34" s="39">
        <f>_xll.qlInterestRateIndexMaturity(Index,Q34,Trigger)</f>
        <v>42256</v>
      </c>
      <c r="S34" s="40">
        <f>_xll.qlDayCounterYearFraction(DayCounter,Q34,R34,,,Trigger)</f>
        <v>0.25555555555555554</v>
      </c>
      <c r="T34" s="41">
        <f>_xll.qlIndexFixing(Index,P34,,AllTriggers)</f>
        <v>-3.1966480887541564E-5</v>
      </c>
      <c r="U34" s="42">
        <f>_xll.qlYieldTSDiscount(OisCurve,Q34,,AllTriggers)</f>
        <v>1.0001143649654674</v>
      </c>
      <c r="V34" s="42">
        <f>_xll.qlYieldTSDiscount(OisCurve,R34,,AllTriggers)</f>
        <v>1.0004698975820108</v>
      </c>
      <c r="W34" s="41">
        <f t="shared" si="5"/>
        <v>-1.3905611651450309E-3</v>
      </c>
      <c r="X34" s="43">
        <f t="shared" si="6"/>
        <v>3.4725954327094553E-4</v>
      </c>
      <c r="Y34" s="41">
        <f t="shared" si="7"/>
        <v>1.3585946842574893E-3</v>
      </c>
      <c r="Z34" s="62"/>
    </row>
    <row r="35" spans="15:26" x14ac:dyDescent="0.25">
      <c r="O35" s="43" t="s">
        <v>32</v>
      </c>
      <c r="P35" s="39">
        <f>_xll.qlCalendarAdvance(Calendar,P34,O34,"f",,Trigger)</f>
        <v>42163</v>
      </c>
      <c r="Q35" s="39">
        <f>_xll.qlInterestRateIndexValueDate(Index,P35,Trigger)</f>
        <v>42165</v>
      </c>
      <c r="R35" s="39">
        <f>_xll.qlInterestRateIndexMaturity(Index,Q35,Trigger)</f>
        <v>42257</v>
      </c>
      <c r="S35" s="40">
        <f>_xll.qlDayCounterYearFraction(DayCounter,Q35,R35,,,Trigger)</f>
        <v>0.25555555555555554</v>
      </c>
      <c r="T35" s="41">
        <f>_xll.qlIndexFixing(Index,P35,,AllTriggers)</f>
        <v>-3.1390502385691725E-5</v>
      </c>
      <c r="U35" s="42">
        <f>_xll.qlYieldTSDiscount(OisCurve,Q35,,AllTriggers)</f>
        <v>1.0001178184403137</v>
      </c>
      <c r="V35" s="42">
        <f>_xll.qlYieldTSDiscount(OisCurve,R35,,AllTriggers)</f>
        <v>1.0004739127540443</v>
      </c>
      <c r="W35" s="41">
        <f t="shared" si="5"/>
        <v>-1.3927524888218933E-3</v>
      </c>
      <c r="X35" s="43">
        <f t="shared" si="6"/>
        <v>3.479669431425826E-4</v>
      </c>
      <c r="Y35" s="41">
        <f t="shared" si="7"/>
        <v>1.3613619864362016E-3</v>
      </c>
      <c r="Z35" s="62"/>
    </row>
    <row r="36" spans="15:26" x14ac:dyDescent="0.25">
      <c r="O36" s="43" t="s">
        <v>32</v>
      </c>
      <c r="P36" s="39">
        <f>_xll.qlCalendarAdvance(Calendar,P35,O35,"f",,Trigger)</f>
        <v>42164</v>
      </c>
      <c r="Q36" s="39">
        <f>_xll.qlInterestRateIndexValueDate(Index,P36,Trigger)</f>
        <v>42166</v>
      </c>
      <c r="R36" s="39">
        <f>_xll.qlInterestRateIndexMaturity(Index,Q36,Trigger)</f>
        <v>42258</v>
      </c>
      <c r="S36" s="40">
        <f>_xll.qlDayCounterYearFraction(DayCounter,Q36,R36,,,Trigger)</f>
        <v>0.25555555555555554</v>
      </c>
      <c r="T36" s="41">
        <f>_xll.qlIndexFixing(Index,P36,,AllTriggers)</f>
        <v>-3.0722166309644734E-5</v>
      </c>
      <c r="U36" s="42">
        <f>_xll.qlYieldTSDiscount(OisCurve,Q36,,AllTriggers)</f>
        <v>1.0001212948269116</v>
      </c>
      <c r="V36" s="42">
        <f>_xll.qlYieldTSDiscount(OisCurve,R36,,AllTriggers)</f>
        <v>1.0004779324810478</v>
      </c>
      <c r="W36" s="41">
        <f t="shared" si="5"/>
        <v>-1.3948719919879126E-3</v>
      </c>
      <c r="X36" s="43">
        <f t="shared" si="6"/>
        <v>3.4867958530729326E-4</v>
      </c>
      <c r="Y36" s="41">
        <f t="shared" si="7"/>
        <v>1.3641498256782678E-3</v>
      </c>
      <c r="Z36" s="62"/>
    </row>
    <row r="37" spans="15:26" x14ac:dyDescent="0.25">
      <c r="O37" s="43" t="s">
        <v>32</v>
      </c>
      <c r="P37" s="39">
        <f>_xll.qlCalendarAdvance(Calendar,P36,O36,"f",,Trigger)</f>
        <v>42165</v>
      </c>
      <c r="Q37" s="39">
        <f>_xll.qlInterestRateIndexValueDate(Index,P37,Trigger)</f>
        <v>42167</v>
      </c>
      <c r="R37" s="39">
        <f>_xll.qlInterestRateIndexMaturity(Index,Q37,Trigger)</f>
        <v>42261</v>
      </c>
      <c r="S37" s="40">
        <f>_xll.qlDayCounterYearFraction(DayCounter,Q37,R37,,,Trigger)</f>
        <v>0.26111111111111113</v>
      </c>
      <c r="T37" s="41">
        <f>_xll.qlIndexFixing(Index,P37,,AllTriggers)</f>
        <v>-2.75969430044213E-5</v>
      </c>
      <c r="U37" s="42">
        <f>_xll.qlYieldTSDiscount(OisCurve,Q37,,AllTriggers)</f>
        <v>1.0001247935561157</v>
      </c>
      <c r="V37" s="42">
        <f>_xll.qlYieldTSDiscount(OisCurve,R37,,AllTriggers)</f>
        <v>1.0004900187724006</v>
      </c>
      <c r="W37" s="41">
        <f t="shared" si="5"/>
        <v>-1.3980498002313343E-3</v>
      </c>
      <c r="X37" s="43">
        <f t="shared" si="6"/>
        <v>3.5790708794724164E-4</v>
      </c>
      <c r="Y37" s="41">
        <f t="shared" si="7"/>
        <v>1.370452857226913E-3</v>
      </c>
      <c r="Z37" s="62"/>
    </row>
    <row r="38" spans="15:26" x14ac:dyDescent="0.25">
      <c r="O38" s="43" t="s">
        <v>32</v>
      </c>
      <c r="P38" s="39">
        <f>_xll.qlCalendarAdvance(Calendar,P37,O37,"f",,Trigger)</f>
        <v>42166</v>
      </c>
      <c r="Q38" s="39">
        <f>_xll.qlInterestRateIndexValueDate(Index,P38,Trigger)</f>
        <v>42170</v>
      </c>
      <c r="R38" s="39">
        <f>_xll.qlInterestRateIndexMaturity(Index,Q38,Trigger)</f>
        <v>42262</v>
      </c>
      <c r="S38" s="40">
        <f>_xll.qlDayCounterYearFraction(DayCounter,Q38,R38,,,Trigger)</f>
        <v>0.25555555555555554</v>
      </c>
      <c r="T38" s="41">
        <f>_xll.qlIndexFixing(Index,P38,,AllTriggers)</f>
        <v>-2.7206446788919298E-5</v>
      </c>
      <c r="U38" s="42">
        <f>_xll.qlYieldTSDiscount(OisCurve,Q38,,AllTriggers)</f>
        <v>1.0001354181078226</v>
      </c>
      <c r="V38" s="42">
        <f>_xll.qlYieldTSDiscount(OisCurve,R38,,AllTriggers)</f>
        <v>1.0004940564998053</v>
      </c>
      <c r="W38" s="41">
        <f t="shared" si="5"/>
        <v>-1.402674620288772E-3</v>
      </c>
      <c r="X38" s="43">
        <f t="shared" si="6"/>
        <v>3.5157277166370096E-4</v>
      </c>
      <c r="Y38" s="41">
        <f t="shared" si="7"/>
        <v>1.3754681734998526E-3</v>
      </c>
      <c r="Z38" s="62"/>
    </row>
    <row r="39" spans="15:26" x14ac:dyDescent="0.25">
      <c r="O39" s="43" t="s">
        <v>32</v>
      </c>
      <c r="P39" s="39">
        <f>_xll.qlCalendarAdvance(Calendar,P38,O38,"f",,Trigger)</f>
        <v>42167</v>
      </c>
      <c r="Q39" s="39">
        <f>_xll.qlInterestRateIndexValueDate(Index,P39,Trigger)</f>
        <v>42171</v>
      </c>
      <c r="R39" s="39">
        <f>_xll.qlInterestRateIndexMaturity(Index,Q39,Trigger)</f>
        <v>42263</v>
      </c>
      <c r="S39" s="40">
        <f>_xll.qlDayCounterYearFraction(DayCounter,Q39,R39,,,Trigger)</f>
        <v>0.25555555555555554</v>
      </c>
      <c r="T39" s="41">
        <f>_xll.qlIndexFixing(Index,P39,,AllTriggers)</f>
        <v>-2.6137223217064147E-5</v>
      </c>
      <c r="U39" s="42">
        <f>_xll.qlYieldTSDiscount(OisCurve,Q39,,AllTriggers)</f>
        <v>1.0001390005158743</v>
      </c>
      <c r="V39" s="42">
        <f>_xll.qlYieldTSDiscount(OisCurve,R39,,AllTriggers)</f>
        <v>1.0004980986724394</v>
      </c>
      <c r="W39" s="41">
        <f t="shared" si="5"/>
        <v>-1.4044671363864999E-3</v>
      </c>
      <c r="X39" s="43">
        <f t="shared" si="6"/>
        <v>3.5230427136764315E-4</v>
      </c>
      <c r="Y39" s="41">
        <f t="shared" si="7"/>
        <v>1.3783299131694359E-3</v>
      </c>
      <c r="Z39" s="62"/>
    </row>
    <row r="40" spans="15:26" x14ac:dyDescent="0.25">
      <c r="O40" s="43" t="s">
        <v>32</v>
      </c>
      <c r="P40" s="39">
        <f>_xll.qlCalendarAdvance(Calendar,P39,O39,"f",,Trigger)</f>
        <v>42170</v>
      </c>
      <c r="Q40" s="39">
        <f>_xll.qlInterestRateIndexValueDate(Index,P40,Trigger)</f>
        <v>42172</v>
      </c>
      <c r="R40" s="39">
        <f>_xll.qlInterestRateIndexMaturity(Index,Q40,Trigger)</f>
        <v>42264</v>
      </c>
      <c r="S40" s="40">
        <f>_xll.qlDayCounterYearFraction(DayCounter,Q40,R40,,,Trigger)</f>
        <v>0.25555555555555554</v>
      </c>
      <c r="T40" s="41">
        <f>_xll.qlIndexFixing(Index,P40,,AllTriggers)</f>
        <v>-2.5000002211872857E-5</v>
      </c>
      <c r="U40" s="42">
        <f>_xll.qlYieldTSDiscount(OisCurve,Q40,,AllTriggers)</f>
        <v>1.0001426024207098</v>
      </c>
      <c r="V40" s="42">
        <f>_xll.qlYieldTSDiscount(OisCurve,R40,,AllTriggers)</f>
        <v>1.000502145268354</v>
      </c>
      <c r="W40" s="41">
        <f t="shared" si="5"/>
        <v>-1.40620067811232E-3</v>
      </c>
      <c r="X40" s="43">
        <f t="shared" si="6"/>
        <v>3.5303807179378984E-4</v>
      </c>
      <c r="Y40" s="41">
        <f t="shared" si="7"/>
        <v>1.3812006759004471E-3</v>
      </c>
      <c r="Z40" s="62"/>
    </row>
    <row r="41" spans="15:26" x14ac:dyDescent="0.25">
      <c r="O41" s="43" t="s">
        <v>32</v>
      </c>
      <c r="P41" s="39">
        <f>_xll.qlCalendarAdvance(Calendar,P40,O40,"f",,Trigger)</f>
        <v>42171</v>
      </c>
      <c r="Q41" s="39">
        <f>_xll.qlInterestRateIndexValueDate(Index,P41,Trigger)</f>
        <v>42173</v>
      </c>
      <c r="R41" s="39">
        <f>_xll.qlInterestRateIndexMaturity(Index,Q41,Trigger)</f>
        <v>42265</v>
      </c>
      <c r="S41" s="40">
        <f>_xll.qlDayCounterYearFraction(DayCounter,Q41,R41,,,Trigger)</f>
        <v>0.25555555555555554</v>
      </c>
      <c r="T41" s="41">
        <f>_xll.qlIndexFixing(Index,P41,,AllTriggers)</f>
        <v>-2.3793523484515614E-5</v>
      </c>
      <c r="U41" s="42">
        <f>_xll.qlYieldTSDiscount(OisCurve,Q41,,AllTriggers)</f>
        <v>1.0001462232531437</v>
      </c>
      <c r="V41" s="42">
        <f>_xll.qlYieldTSDiscount(OisCurve,R41,,AllTriggers)</f>
        <v>1.0005061962655994</v>
      </c>
      <c r="W41" s="41">
        <f t="shared" si="5"/>
        <v>-1.4078773864644807E-3</v>
      </c>
      <c r="X41" s="43">
        <f t="shared" si="6"/>
        <v>3.53775042323105E-4</v>
      </c>
      <c r="Y41" s="41">
        <f t="shared" si="7"/>
        <v>1.3840838629799652E-3</v>
      </c>
      <c r="Z41" s="62"/>
    </row>
    <row r="42" spans="15:26" x14ac:dyDescent="0.25">
      <c r="O42" s="43" t="s">
        <v>32</v>
      </c>
      <c r="P42" s="39">
        <f>_xll.qlCalendarAdvance(Calendar,P41,O41,"f",,Trigger)</f>
        <v>42172</v>
      </c>
      <c r="Q42" s="39">
        <f>_xll.qlInterestRateIndexValueDate(Index,P42,Trigger)</f>
        <v>42174</v>
      </c>
      <c r="R42" s="39">
        <f>_xll.qlInterestRateIndexMaturity(Index,Q42,Trigger)</f>
        <v>42268</v>
      </c>
      <c r="S42" s="40">
        <f>_xll.qlDayCounterYearFraction(DayCounter,Q42,R42,,,Trigger)</f>
        <v>0.26111111111111113</v>
      </c>
      <c r="T42" s="41">
        <f>_xll.qlIndexFixing(Index,P42,,AllTriggers)</f>
        <v>-2.084925456025358E-5</v>
      </c>
      <c r="U42" s="42">
        <f>_xll.qlYieldTSDiscount(OisCurve,Q42,,AllTriggers)</f>
        <v>1.0001498624439831</v>
      </c>
      <c r="V42" s="42">
        <f>_xll.qlYieldTSDiscount(OisCurve,R42,,AllTriggers)</f>
        <v>1.0005183754458238</v>
      </c>
      <c r="W42" s="41">
        <f t="shared" si="5"/>
        <v>-1.4105951721271248E-3</v>
      </c>
      <c r="X42" s="43">
        <f t="shared" si="6"/>
        <v>3.629459331144003E-4</v>
      </c>
      <c r="Y42" s="41">
        <f t="shared" si="7"/>
        <v>1.3897459175668712E-3</v>
      </c>
      <c r="Z42" s="62"/>
    </row>
    <row r="43" spans="15:26" x14ac:dyDescent="0.25">
      <c r="O43" s="43" t="s">
        <v>32</v>
      </c>
      <c r="P43" s="39">
        <f>_xll.qlCalendarAdvance(Calendar,P42,O42,"f",,Trigger)</f>
        <v>42173</v>
      </c>
      <c r="Q43" s="39">
        <f>_xll.qlInterestRateIndexValueDate(Index,P43,Trigger)</f>
        <v>42177</v>
      </c>
      <c r="R43" s="39">
        <f>_xll.qlInterestRateIndexMaturity(Index,Q43,Trigger)</f>
        <v>42269</v>
      </c>
      <c r="S43" s="40">
        <f>_xll.qlDayCounterYearFraction(DayCounter,Q43,R43,,,Trigger)</f>
        <v>0.25555555555555554</v>
      </c>
      <c r="T43" s="41">
        <f>_xll.qlIndexFixing(Index,P43,,AllTriggers)</f>
        <v>-1.8245673393450971E-5</v>
      </c>
      <c r="U43" s="42">
        <f>_xll.qlYieldTSDiscount(OisCurve,Q43,,AllTriggers)</f>
        <v>1.0001608844749035</v>
      </c>
      <c r="V43" s="42">
        <f>_xll.qlYieldTSDiscount(OisCurve,R43,,AllTriggers)</f>
        <v>1.000522443828894</v>
      </c>
      <c r="W43" s="41">
        <f t="shared" si="5"/>
        <v>-1.4140587058920967E-3</v>
      </c>
      <c r="X43" s="43">
        <f t="shared" si="6"/>
        <v>3.567730741757684E-4</v>
      </c>
      <c r="Y43" s="41">
        <f t="shared" si="7"/>
        <v>1.3958130324986458E-3</v>
      </c>
      <c r="Z43" s="62"/>
    </row>
    <row r="44" spans="15:26" x14ac:dyDescent="0.25">
      <c r="O44" s="43" t="s">
        <v>32</v>
      </c>
      <c r="P44" s="39">
        <f>_xll.qlCalendarAdvance(Calendar,P43,O43,"f",,Trigger)</f>
        <v>42174</v>
      </c>
      <c r="Q44" s="39">
        <f>_xll.qlInterestRateIndexValueDate(Index,P44,Trigger)</f>
        <v>42178</v>
      </c>
      <c r="R44" s="39">
        <f>_xll.qlInterestRateIndexMaturity(Index,Q44,Trigger)</f>
        <v>42270</v>
      </c>
      <c r="S44" s="40">
        <f>_xll.qlDayCounterYearFraction(DayCounter,Q44,R44,,,Trigger)</f>
        <v>0.25555555555555554</v>
      </c>
      <c r="T44" s="41">
        <f>_xll.qlIndexFixing(Index,P44,,AllTriggers)</f>
        <v>-1.668132057008404E-5</v>
      </c>
      <c r="U44" s="42">
        <f>_xll.qlYieldTSDiscount(OisCurve,Q44,,AllTriggers)</f>
        <v>1.0001645914072956</v>
      </c>
      <c r="V44" s="42">
        <f>_xll.qlYieldTSDiscount(OisCurve,R44,,AllTriggers)</f>
        <v>1.0005265165035442</v>
      </c>
      <c r="W44" s="41">
        <f t="shared" si="5"/>
        <v>-1.415483362143762E-3</v>
      </c>
      <c r="X44" s="43">
        <f t="shared" si="6"/>
        <v>3.5753706551598354E-4</v>
      </c>
      <c r="Y44" s="41">
        <f t="shared" si="7"/>
        <v>1.3988020415736779E-3</v>
      </c>
      <c r="Z44" s="62"/>
    </row>
    <row r="45" spans="15:26" x14ac:dyDescent="0.25">
      <c r="O45" s="43" t="s">
        <v>32</v>
      </c>
      <c r="P45" s="39">
        <f>_xll.qlCalendarAdvance(Calendar,P44,O44,"f",,Trigger)</f>
        <v>42177</v>
      </c>
      <c r="Q45" s="39">
        <f>_xll.qlInterestRateIndexValueDate(Index,P45,Trigger)</f>
        <v>42179</v>
      </c>
      <c r="R45" s="39">
        <f>_xll.qlInterestRateIndexMaturity(Index,Q45,Trigger)</f>
        <v>42271</v>
      </c>
      <c r="S45" s="40">
        <f>_xll.qlDayCounterYearFraction(DayCounter,Q45,R45,,,Trigger)</f>
        <v>0.25555555555555554</v>
      </c>
      <c r="T45" s="41">
        <f>_xll.qlIndexFixing(Index,P45,,AllTriggers)</f>
        <v>-1.5047249013321958E-5</v>
      </c>
      <c r="U45" s="42">
        <f>_xll.qlYieldTSDiscount(OisCurve,Q45,,AllTriggers)</f>
        <v>1.0001683138520205</v>
      </c>
      <c r="V45" s="42">
        <f>_xll.qlYieldTSDiscount(OisCurve,R45,,AllTriggers)</f>
        <v>1.0005305934478232</v>
      </c>
      <c r="W45" s="41">
        <f t="shared" si="5"/>
        <v>-1.4168640308913532E-3</v>
      </c>
      <c r="X45" s="43">
        <f t="shared" si="6"/>
        <v>3.5830762858446154E-4</v>
      </c>
      <c r="Y45" s="41">
        <f t="shared" si="7"/>
        <v>1.4018167818780312E-3</v>
      </c>
      <c r="Z45" s="62"/>
    </row>
    <row r="46" spans="15:26" x14ac:dyDescent="0.25">
      <c r="O46" s="43" t="s">
        <v>32</v>
      </c>
      <c r="P46" s="39">
        <f>_xll.qlCalendarAdvance(Calendar,P45,O45,"f",,Trigger)</f>
        <v>42178</v>
      </c>
      <c r="Q46" s="39">
        <f>_xll.qlInterestRateIndexValueDate(Index,P46,Trigger)</f>
        <v>42180</v>
      </c>
      <c r="R46" s="39">
        <f>_xll.qlInterestRateIndexMaturity(Index,Q46,Trigger)</f>
        <v>42272</v>
      </c>
      <c r="S46" s="40">
        <f>_xll.qlDayCounterYearFraction(DayCounter,Q46,R46,,,Trigger)</f>
        <v>0.25555555555555554</v>
      </c>
      <c r="T46" s="41">
        <f>_xll.qlIndexFixing(Index,P46,,AllTriggers)</f>
        <v>-1.3346504934708609E-5</v>
      </c>
      <c r="U46" s="42">
        <f>_xll.qlYieldTSDiscount(OisCurve,Q46,,AllTriggers)</f>
        <v>1.0001720512398413</v>
      </c>
      <c r="V46" s="42">
        <f>_xll.qlYieldTSDiscount(OisCurve,R46,,AllTriggers)</f>
        <v>1.0005346746397796</v>
      </c>
      <c r="W46" s="41">
        <f t="shared" si="5"/>
        <v>-1.4182028530935851E-3</v>
      </c>
      <c r="X46" s="43">
        <f t="shared" si="6"/>
        <v>3.590845322000133E-4</v>
      </c>
      <c r="Y46" s="41">
        <f t="shared" si="7"/>
        <v>1.4048563481588764E-3</v>
      </c>
      <c r="Z46" s="62"/>
    </row>
    <row r="47" spans="15:26" x14ac:dyDescent="0.25">
      <c r="O47" s="43" t="s">
        <v>32</v>
      </c>
      <c r="P47" s="39">
        <f>_xll.qlCalendarAdvance(Calendar,P46,O46,"f",,Trigger)</f>
        <v>42179</v>
      </c>
      <c r="Q47" s="39">
        <f>_xll.qlInterestRateIndexValueDate(Index,P47,Trigger)</f>
        <v>42181</v>
      </c>
      <c r="R47" s="39">
        <f>_xll.qlInterestRateIndexMaturity(Index,Q47,Trigger)</f>
        <v>42275</v>
      </c>
      <c r="S47" s="40">
        <f>_xll.qlDayCounterYearFraction(DayCounter,Q47,R47,,,Trigger)</f>
        <v>0.26111111111111113</v>
      </c>
      <c r="T47" s="41">
        <f>_xll.qlIndexFixing(Index,P47,,AllTriggers)</f>
        <v>-1.062859994059082E-5</v>
      </c>
      <c r="U47" s="42">
        <f>_xll.qlYieldTSDiscount(OisCurve,Q47,,AllTriggers)</f>
        <v>1.000175803001512</v>
      </c>
      <c r="V47" s="42">
        <f>_xll.qlYieldTSDiscount(OisCurve,R47,,AllTriggers)</f>
        <v>1.0005469434821945</v>
      </c>
      <c r="W47" s="41">
        <f t="shared" si="5"/>
        <v>-1.4206120804363261E-3</v>
      </c>
      <c r="X47" s="43">
        <f t="shared" si="6"/>
        <v>3.6823116375836901E-4</v>
      </c>
      <c r="Y47" s="41">
        <f t="shared" si="7"/>
        <v>1.4099834804957353E-3</v>
      </c>
      <c r="Z47" s="62"/>
    </row>
    <row r="48" spans="15:26" x14ac:dyDescent="0.25">
      <c r="O48" s="43" t="s">
        <v>32</v>
      </c>
      <c r="P48" s="39">
        <f>_xll.qlCalendarAdvance(Calendar,P47,O47,"f",,Trigger)</f>
        <v>42180</v>
      </c>
      <c r="Q48" s="39">
        <f>_xll.qlInterestRateIndexValueDate(Index,P48,Trigger)</f>
        <v>42184</v>
      </c>
      <c r="R48" s="39">
        <f>_xll.qlInterestRateIndexMaturity(Index,Q48,Trigger)</f>
        <v>42276</v>
      </c>
      <c r="S48" s="40">
        <f>_xll.qlDayCounterYearFraction(DayCounter,Q48,R48,,,Trigger)</f>
        <v>0.25555555555555554</v>
      </c>
      <c r="T48" s="41">
        <f>_xll.qlIndexFixing(Index,P48,,AllTriggers)</f>
        <v>-6.0111220462103061E-6</v>
      </c>
      <c r="U48" s="42">
        <f>_xll.qlYieldTSDiscount(OisCurve,Q48,,AllTriggers)</f>
        <v>1.0001871388370549</v>
      </c>
      <c r="V48" s="42">
        <f>_xll.qlYieldTSDiscount(OisCurve,R48,,AllTriggers)</f>
        <v>1.0005510414453405</v>
      </c>
      <c r="W48" s="41">
        <f t="shared" si="5"/>
        <v>-1.423182495534588E-3</v>
      </c>
      <c r="X48" s="43">
        <f t="shared" si="6"/>
        <v>3.6223217217326857E-4</v>
      </c>
      <c r="Y48" s="41">
        <f t="shared" si="7"/>
        <v>1.4171713734883777E-3</v>
      </c>
      <c r="Z48" s="62"/>
    </row>
    <row r="49" spans="15:26" x14ac:dyDescent="0.25">
      <c r="O49" s="43" t="s">
        <v>32</v>
      </c>
      <c r="P49" s="39">
        <f>_xll.qlCalendarAdvance(Calendar,P48,O48,"f",,Trigger)</f>
        <v>42181</v>
      </c>
      <c r="Q49" s="39">
        <f>_xll.qlInterestRateIndexValueDate(Index,P49,Trigger)</f>
        <v>42185</v>
      </c>
      <c r="R49" s="39">
        <f>_xll.qlInterestRateIndexMaturity(Index,Q49,Trigger)</f>
        <v>42277</v>
      </c>
      <c r="S49" s="40">
        <f>_xll.qlDayCounterYearFraction(DayCounter,Q49,R49,,,Trigger)</f>
        <v>0.25555555555555554</v>
      </c>
      <c r="T49" s="41">
        <f>_xll.qlIndexFixing(Index,P49,,AllTriggers)</f>
        <v>-4.0765690975060362E-6</v>
      </c>
      <c r="U49" s="42">
        <f>_xll.qlYieldTSDiscount(OisCurve,Q49,,AllTriggers)</f>
        <v>1.0001909424015152</v>
      </c>
      <c r="V49" s="42">
        <f>_xll.qlYieldTSDiscount(OisCurve,R49,,AllTriggers)</f>
        <v>1.000555143546402</v>
      </c>
      <c r="W49" s="41">
        <f t="shared" si="5"/>
        <v>-1.4243441992843066E-3</v>
      </c>
      <c r="X49" s="43">
        <f t="shared" si="6"/>
        <v>3.6302354647046949E-4</v>
      </c>
      <c r="Y49" s="41">
        <f t="shared" si="7"/>
        <v>1.4202676301868005E-3</v>
      </c>
      <c r="Z49" s="62"/>
    </row>
    <row r="50" spans="15:26" x14ac:dyDescent="0.25">
      <c r="O50" s="43" t="s">
        <v>32</v>
      </c>
      <c r="P50" s="39">
        <f>_xll.qlCalendarAdvance(Calendar,P49,O49,"f",,Trigger)</f>
        <v>42184</v>
      </c>
      <c r="Q50" s="39">
        <f>_xll.qlInterestRateIndexValueDate(Index,P50,Trigger)</f>
        <v>42186</v>
      </c>
      <c r="R50" s="39">
        <f>_xll.qlInterestRateIndexMaturity(Index,Q50,Trigger)</f>
        <v>42278</v>
      </c>
      <c r="S50" s="40">
        <f>_xll.qlDayCounterYearFraction(DayCounter,Q50,R50,,,Trigger)</f>
        <v>0.25555555555555554</v>
      </c>
      <c r="T50" s="41">
        <f>_xll.qlIndexFixing(Index,P50,,AllTriggers)</f>
        <v>-2.1146910644326522E-6</v>
      </c>
      <c r="U50" s="42">
        <f>_xll.qlYieldTSDiscount(OisCurve,Q50,,AllTriggers)</f>
        <v>1.0001947574934791</v>
      </c>
      <c r="V50" s="42">
        <f>_xll.qlYieldTSDiscount(OisCurve,R50,,AllTriggers)</f>
        <v>1.000555047414577</v>
      </c>
      <c r="W50" s="41">
        <f t="shared" si="5"/>
        <v>-1.4090480375653202E-3</v>
      </c>
      <c r="X50" s="43">
        <f t="shared" si="6"/>
        <v>3.5961448084006483E-4</v>
      </c>
      <c r="Y50" s="41">
        <f t="shared" si="7"/>
        <v>1.4069333465008876E-3</v>
      </c>
      <c r="Z50" s="62"/>
    </row>
    <row r="51" spans="15:26" x14ac:dyDescent="0.25">
      <c r="O51" s="43" t="s">
        <v>32</v>
      </c>
      <c r="P51" s="39">
        <f>_xll.qlCalendarAdvance(Calendar,P50,O50,"f",,Trigger)</f>
        <v>42185</v>
      </c>
      <c r="Q51" s="39">
        <f>_xll.qlInterestRateIndexValueDate(Index,P51,Trigger)</f>
        <v>42187</v>
      </c>
      <c r="R51" s="39">
        <f>_xll.qlInterestRateIndexMaturity(Index,Q51,Trigger)</f>
        <v>42279</v>
      </c>
      <c r="S51" s="40">
        <f>_xll.qlDayCounterYearFraction(DayCounter,Q51,R51,,,Trigger)</f>
        <v>0.25555555555555554</v>
      </c>
      <c r="T51" s="41">
        <f>_xll.qlIndexFixing(Index,P51,,AllTriggers)</f>
        <v>-1.3196687004038543E-7</v>
      </c>
      <c r="U51" s="42">
        <f>_xll.qlYieldTSDiscount(OisCurve,Q51,,AllTriggers)</f>
        <v>1.0001985835436531</v>
      </c>
      <c r="V51" s="42">
        <f>_xll.qlYieldTSDiscount(OisCurve,R51,,AllTriggers)</f>
        <v>1.0005591577083468</v>
      </c>
      <c r="W51" s="41">
        <f t="shared" si="5"/>
        <v>-1.4101538851692434E-3</v>
      </c>
      <c r="X51" s="43">
        <f t="shared" si="6"/>
        <v>3.6040388450739612E-4</v>
      </c>
      <c r="Y51" s="41">
        <f t="shared" si="7"/>
        <v>1.410021918299203E-3</v>
      </c>
      <c r="Z51" s="62"/>
    </row>
    <row r="52" spans="15:26" x14ac:dyDescent="0.25">
      <c r="O52" s="43" t="s">
        <v>32</v>
      </c>
      <c r="P52" s="39">
        <f>_xll.qlCalendarAdvance(Calendar,P51,O51,"f",,Trigger)</f>
        <v>42186</v>
      </c>
      <c r="Q52" s="39">
        <f>_xll.qlInterestRateIndexValueDate(Index,P52,Trigger)</f>
        <v>42188</v>
      </c>
      <c r="R52" s="39">
        <f>_xll.qlInterestRateIndexMaturity(Index,Q52,Trigger)</f>
        <v>42282</v>
      </c>
      <c r="S52" s="40">
        <f>_xll.qlDayCounterYearFraction(DayCounter,Q52,R52,,,Trigger)</f>
        <v>0.26111111111111113</v>
      </c>
      <c r="T52" s="41">
        <f>_xll.qlIndexFixing(Index,P52,,AllTriggers)</f>
        <v>2.1120795138361538E-6</v>
      </c>
      <c r="U52" s="42">
        <f>_xll.qlYieldTSDiscount(OisCurve,Q52,,AllTriggers)</f>
        <v>1.0002024199827353</v>
      </c>
      <c r="V52" s="42">
        <f>_xll.qlYieldTSDiscount(OisCurve,R52,,AllTriggers)</f>
        <v>1.0005715129340664</v>
      </c>
      <c r="W52" s="41">
        <f t="shared" si="5"/>
        <v>-1.4127400739581655E-3</v>
      </c>
      <c r="X52" s="43">
        <f t="shared" si="6"/>
        <v>3.6950167144840984E-4</v>
      </c>
      <c r="Y52" s="41">
        <f t="shared" si="7"/>
        <v>1.4148521534720017E-3</v>
      </c>
      <c r="Z52" s="62"/>
    </row>
    <row r="53" spans="15:26" x14ac:dyDescent="0.25">
      <c r="O53" s="43" t="s">
        <v>32</v>
      </c>
      <c r="P53" s="39">
        <f>_xll.qlCalendarAdvance(Calendar,P52,O52,"f",,Trigger)</f>
        <v>42187</v>
      </c>
      <c r="Q53" s="39">
        <f>_xll.qlInterestRateIndexValueDate(Index,P53,Trigger)</f>
        <v>42191</v>
      </c>
      <c r="R53" s="39">
        <f>_xll.qlInterestRateIndexMaturity(Index,Q53,Trigger)</f>
        <v>42283</v>
      </c>
      <c r="S53" s="40">
        <f>_xll.qlDayCounterYearFraction(DayCounter,Q53,R53,,,Trigger)</f>
        <v>0.25555555555555554</v>
      </c>
      <c r="T53" s="41">
        <f>_xll.qlIndexFixing(Index,P53,,AllTriggers)</f>
        <v>7.8778125970395116E-6</v>
      </c>
      <c r="U53" s="42">
        <f>_xll.qlYieldTSDiscount(OisCurve,Q53,,AllTriggers)</f>
        <v>1.0002139859402801</v>
      </c>
      <c r="V53" s="42">
        <f>_xll.qlYieldTSDiscount(OisCurve,R53,,AllTriggers)</f>
        <v>1.000575639384262</v>
      </c>
      <c r="W53" s="41">
        <f t="shared" si="5"/>
        <v>-1.4143514939406853E-3</v>
      </c>
      <c r="X53" s="43">
        <f t="shared" si="6"/>
        <v>3.6352393565940112E-4</v>
      </c>
      <c r="Y53" s="41">
        <f t="shared" si="7"/>
        <v>1.4222293065377248E-3</v>
      </c>
      <c r="Z53" s="62"/>
    </row>
    <row r="54" spans="15:26" x14ac:dyDescent="0.25">
      <c r="O54" s="43" t="s">
        <v>32</v>
      </c>
      <c r="P54" s="39">
        <f>_xll.qlCalendarAdvance(Calendar,P53,O53,"f",,Trigger)</f>
        <v>42188</v>
      </c>
      <c r="Q54" s="39">
        <f>_xll.qlInterestRateIndexValueDate(Index,P54,Trigger)</f>
        <v>42192</v>
      </c>
      <c r="R54" s="39">
        <f>_xll.qlInterestRateIndexMaturity(Index,Q54,Trigger)</f>
        <v>42284</v>
      </c>
      <c r="S54" s="40">
        <f>_xll.qlDayCounterYearFraction(DayCounter,Q54,R54,,,Trigger)</f>
        <v>0.25555555555555554</v>
      </c>
      <c r="T54" s="41">
        <f>_xll.qlIndexFixing(Index,P54,,AllTriggers)</f>
        <v>9.8675832895993487E-6</v>
      </c>
      <c r="U54" s="42">
        <f>_xll.qlYieldTSDiscount(OisCurve,Q54,,AllTriggers)</f>
        <v>1.0002178582418031</v>
      </c>
      <c r="V54" s="42">
        <f>_xll.qlYieldTSDiscount(OisCurve,R54,,AllTriggers)</f>
        <v>1.0005797698186774</v>
      </c>
      <c r="W54" s="41">
        <f t="shared" si="5"/>
        <v>-1.4153551553933285E-3</v>
      </c>
      <c r="X54" s="43">
        <f t="shared" si="6"/>
        <v>3.6428901549529614E-4</v>
      </c>
      <c r="Y54" s="41">
        <f t="shared" si="7"/>
        <v>1.4252227386829278E-3</v>
      </c>
      <c r="Z54" s="62"/>
    </row>
    <row r="55" spans="15:26" x14ac:dyDescent="0.25">
      <c r="O55" s="43" t="s">
        <v>32</v>
      </c>
      <c r="P55" s="39">
        <f>_xll.qlCalendarAdvance(Calendar,P54,O54,"f",,Trigger)</f>
        <v>42191</v>
      </c>
      <c r="Q55" s="39">
        <f>_xll.qlInterestRateIndexValueDate(Index,P55,Trigger)</f>
        <v>42193</v>
      </c>
      <c r="R55" s="39">
        <f>_xll.qlInterestRateIndexMaturity(Index,Q55,Trigger)</f>
        <v>42285</v>
      </c>
      <c r="S55" s="40">
        <f>_xll.qlDayCounterYearFraction(DayCounter,Q55,R55,,,Trigger)</f>
        <v>0.25555555555555554</v>
      </c>
      <c r="T55" s="41">
        <f>_xll.qlIndexFixing(Index,P55,,AllTriggers)</f>
        <v>1.1839326328007091E-5</v>
      </c>
      <c r="U55" s="42">
        <f>_xll.qlYieldTSDiscount(OisCurve,Q55,,AllTriggers)</f>
        <v>1.0002217380855958</v>
      </c>
      <c r="V55" s="42">
        <f>_xll.qlYieldTSDiscount(OisCurve,R55,,AllTriggers)</f>
        <v>1.0005839042153568</v>
      </c>
      <c r="W55" s="41">
        <f t="shared" si="5"/>
        <v>-1.4163448024076663E-3</v>
      </c>
      <c r="X55" s="43">
        <f t="shared" si="6"/>
        <v>3.6504590532097112E-4</v>
      </c>
      <c r="Y55" s="41">
        <f t="shared" si="7"/>
        <v>1.4281841287356735E-3</v>
      </c>
      <c r="Z55" s="62"/>
    </row>
    <row r="56" spans="15:26" x14ac:dyDescent="0.25">
      <c r="O56" s="43" t="s">
        <v>32</v>
      </c>
      <c r="P56" s="39">
        <f>_xll.qlCalendarAdvance(Calendar,P55,O55,"f",,Trigger)</f>
        <v>42192</v>
      </c>
      <c r="Q56" s="39">
        <f>_xll.qlInterestRateIndexValueDate(Index,P56,Trigger)</f>
        <v>42194</v>
      </c>
      <c r="R56" s="39">
        <f>_xll.qlInterestRateIndexMaturity(Index,Q56,Trigger)</f>
        <v>42286</v>
      </c>
      <c r="S56" s="40">
        <f>_xll.qlDayCounterYearFraction(DayCounter,Q56,R56,,,Trigger)</f>
        <v>0.25555555555555554</v>
      </c>
      <c r="T56" s="41">
        <f>_xll.qlIndexFixing(Index,P56,,AllTriggers)</f>
        <v>1.3786562695808962E-5</v>
      </c>
      <c r="U56" s="42">
        <f>_xll.qlYieldTSDiscount(OisCurve,Q56,,AllTriggers)</f>
        <v>1.0002256249023052</v>
      </c>
      <c r="V56" s="42">
        <f>_xll.qlYieldTSDiscount(OisCurve,R56,,AllTriggers)</f>
        <v>1.0005880425523448</v>
      </c>
      <c r="W56" s="41">
        <f t="shared" si="5"/>
        <v>-1.4173225759093963E-3</v>
      </c>
      <c r="X56" s="43">
        <f t="shared" si="6"/>
        <v>3.6579349672131236E-4</v>
      </c>
      <c r="Y56" s="41">
        <f t="shared" si="7"/>
        <v>1.4311091386052053E-3</v>
      </c>
      <c r="Z56" s="62"/>
    </row>
    <row r="57" spans="15:26" x14ac:dyDescent="0.25">
      <c r="O57" s="43" t="s">
        <v>32</v>
      </c>
      <c r="P57" s="39">
        <f>_xll.qlCalendarAdvance(Calendar,P56,O56,"f",,Trigger)</f>
        <v>42193</v>
      </c>
      <c r="Q57" s="39">
        <f>_xll.qlInterestRateIndexValueDate(Index,P57,Trigger)</f>
        <v>42195</v>
      </c>
      <c r="R57" s="39">
        <f>_xll.qlInterestRateIndexMaturity(Index,Q57,Trigger)</f>
        <v>42289</v>
      </c>
      <c r="S57" s="40">
        <f>_xll.qlDayCounterYearFraction(DayCounter,Q57,R57,,,Trigger)</f>
        <v>0.26111111111111113</v>
      </c>
      <c r="T57" s="41">
        <f>_xll.qlIndexFixing(Index,P57,,AllTriggers)</f>
        <v>1.5281788235694768E-5</v>
      </c>
      <c r="U57" s="42">
        <f>_xll.qlYieldTSDiscount(OisCurve,Q57,,AllTriggers)</f>
        <v>1.0002295181225691</v>
      </c>
      <c r="V57" s="42">
        <f>_xll.qlYieldTSDiscount(OisCurve,R57,,AllTriggers)</f>
        <v>1.0006004809855995</v>
      </c>
      <c r="W57" s="41">
        <f t="shared" si="5"/>
        <v>-1.419856240463163E-3</v>
      </c>
      <c r="X57" s="43">
        <f t="shared" si="6"/>
        <v>3.7479921846388727E-4</v>
      </c>
      <c r="Y57" s="41">
        <f t="shared" si="7"/>
        <v>1.4351380286988578E-3</v>
      </c>
      <c r="Z57" s="62"/>
    </row>
    <row r="58" spans="15:26" x14ac:dyDescent="0.25">
      <c r="O58" s="43" t="s">
        <v>32</v>
      </c>
      <c r="P58" s="39">
        <f>_xll.qlCalendarAdvance(Calendar,P57,O57,"f",,Trigger)</f>
        <v>42194</v>
      </c>
      <c r="Q58" s="39">
        <f>_xll.qlInterestRateIndexValueDate(Index,P58,Trigger)</f>
        <v>42198</v>
      </c>
      <c r="R58" s="39">
        <f>_xll.qlInterestRateIndexMaturity(Index,Q58,Trigger)</f>
        <v>42290</v>
      </c>
      <c r="S58" s="40">
        <f>_xll.qlDayCounterYearFraction(DayCounter,Q58,R58,,,Trigger)</f>
        <v>0.25555555555555554</v>
      </c>
      <c r="T58" s="41">
        <f>_xll.qlIndexFixing(Index,P58,,AllTriggers)</f>
        <v>2.1200860742628343E-5</v>
      </c>
      <c r="U58" s="42">
        <f>_xll.qlYieldTSDiscount(OisCurve,Q58,,AllTriggers)</f>
        <v>1.0002412305109354</v>
      </c>
      <c r="V58" s="42">
        <f>_xll.qlYieldTSDiscount(OisCurve,R58,,AllTriggers)</f>
        <v>1.0006046348642592</v>
      </c>
      <c r="W58" s="41">
        <f t="shared" si="5"/>
        <v>-1.4211577532203426E-3</v>
      </c>
      <c r="X58" s="43">
        <f t="shared" si="6"/>
        <v>3.6866870978173708E-4</v>
      </c>
      <c r="Y58" s="41">
        <f t="shared" si="7"/>
        <v>1.4423586139629709E-3</v>
      </c>
      <c r="Z58" s="62"/>
    </row>
    <row r="59" spans="15:26" x14ac:dyDescent="0.25">
      <c r="O59" s="43" t="s">
        <v>32</v>
      </c>
      <c r="P59" s="39">
        <f>_xll.qlCalendarAdvance(Calendar,P58,O58,"f",,Trigger)</f>
        <v>42195</v>
      </c>
      <c r="Q59" s="39">
        <f>_xll.qlInterestRateIndexValueDate(Index,P59,Trigger)</f>
        <v>42199</v>
      </c>
      <c r="R59" s="39">
        <f>_xll.qlInterestRateIndexMaturity(Index,Q59,Trigger)</f>
        <v>42291</v>
      </c>
      <c r="S59" s="40">
        <f>_xll.qlDayCounterYearFraction(DayCounter,Q59,R59,,,Trigger)</f>
        <v>0.25555555555555554</v>
      </c>
      <c r="T59" s="41">
        <f>_xll.qlIndexFixing(Index,P59,,AllTriggers)</f>
        <v>2.2928378116127138E-5</v>
      </c>
      <c r="U59" s="42">
        <f>_xll.qlYieldTSDiscount(OisCurve,Q59,,AllTriggers)</f>
        <v>1.0002451436516211</v>
      </c>
      <c r="V59" s="42">
        <f>_xll.qlYieldTSDiscount(OisCurve,R59,,AllTriggers)</f>
        <v>1.0006087925734442</v>
      </c>
      <c r="W59" s="41">
        <f t="shared" si="5"/>
        <v>-1.4221082729610854E-3</v>
      </c>
      <c r="X59" s="43">
        <f t="shared" si="6"/>
        <v>3.6935318283790091E-4</v>
      </c>
      <c r="Y59" s="41">
        <f t="shared" si="7"/>
        <v>1.4450366510772126E-3</v>
      </c>
      <c r="Z59" s="62"/>
    </row>
    <row r="60" spans="15:26" x14ac:dyDescent="0.25">
      <c r="O60" s="43" t="s">
        <v>32</v>
      </c>
      <c r="P60" s="39">
        <f>_xll.qlCalendarAdvance(Calendar,P59,O59,"f",,Trigger)</f>
        <v>42198</v>
      </c>
      <c r="Q60" s="39">
        <f>_xll.qlInterestRateIndexValueDate(Index,P60,Trigger)</f>
        <v>42200</v>
      </c>
      <c r="R60" s="39">
        <f>_xll.qlInterestRateIndexMaturity(Index,Q60,Trigger)</f>
        <v>42292</v>
      </c>
      <c r="S60" s="40">
        <f>_xll.qlDayCounterYearFraction(DayCounter,Q60,R60,,,Trigger)</f>
        <v>0.25555555555555554</v>
      </c>
      <c r="T60" s="41">
        <f>_xll.qlIndexFixing(Index,P60,,AllTriggers)</f>
        <v>2.4592514487440184E-5</v>
      </c>
      <c r="U60" s="42">
        <f>_xll.qlYieldTSDiscount(OisCurve,Q60,,AllTriggers)</f>
        <v>1.0002490603489194</v>
      </c>
      <c r="V60" s="42">
        <f>_xll.qlYieldTSDiscount(OisCurve,R60,,AllTriggers)</f>
        <v>1.0006129540911972</v>
      </c>
      <c r="W60" s="41">
        <f t="shared" si="5"/>
        <v>-1.423059764695618E-3</v>
      </c>
      <c r="X60" s="43">
        <f t="shared" si="6"/>
        <v>3.7002170698176274E-4</v>
      </c>
      <c r="Y60" s="41">
        <f t="shared" si="7"/>
        <v>1.4476522791830582E-3</v>
      </c>
      <c r="Z60" s="62"/>
    </row>
    <row r="61" spans="15:26" x14ac:dyDescent="0.25">
      <c r="O61" s="43" t="s">
        <v>32</v>
      </c>
      <c r="P61" s="39">
        <f>_xll.qlCalendarAdvance(Calendar,P60,O60,"f",,Trigger)</f>
        <v>42199</v>
      </c>
      <c r="Q61" s="39">
        <f>_xll.qlInterestRateIndexValueDate(Index,P61,Trigger)</f>
        <v>42201</v>
      </c>
      <c r="R61" s="39">
        <f>_xll.qlInterestRateIndexMaturity(Index,Q61,Trigger)</f>
        <v>42293</v>
      </c>
      <c r="S61" s="40">
        <f>_xll.qlDayCounterYearFraction(DayCounter,Q61,R61,,,Trigger)</f>
        <v>0.25555555555555554</v>
      </c>
      <c r="T61" s="41">
        <f>_xll.qlIndexFixing(Index,P61,,AllTriggers)</f>
        <v>2.6186790766259744E-5</v>
      </c>
      <c r="U61" s="42">
        <f>_xll.qlYieldTSDiscount(OisCurve,Q61,,AllTriggers)</f>
        <v>1.0002529800334152</v>
      </c>
      <c r="V61" s="42">
        <f>_xll.qlYieldTSDiscount(OisCurve,R61,,AllTriggers)</f>
        <v>1.0006171193955602</v>
      </c>
      <c r="W61" s="41">
        <f t="shared" si="5"/>
        <v>-1.424014369332695E-3</v>
      </c>
      <c r="X61" s="43">
        <f t="shared" si="6"/>
        <v>3.7067317379791889E-4</v>
      </c>
      <c r="Y61" s="41">
        <f t="shared" si="7"/>
        <v>1.4502011600989546E-3</v>
      </c>
      <c r="Z61" s="62"/>
    </row>
    <row r="62" spans="15:26" x14ac:dyDescent="0.25">
      <c r="O62" s="43" t="s">
        <v>32</v>
      </c>
      <c r="P62" s="39">
        <f>_xll.qlCalendarAdvance(Calendar,P61,O61,"f",,Trigger)</f>
        <v>42200</v>
      </c>
      <c r="Q62" s="39">
        <f>_xll.qlInterestRateIndexValueDate(Index,P62,Trigger)</f>
        <v>42202</v>
      </c>
      <c r="R62" s="39">
        <f>_xll.qlInterestRateIndexMaturity(Index,Q62,Trigger)</f>
        <v>42296</v>
      </c>
      <c r="S62" s="40">
        <f>_xll.qlDayCounterYearFraction(DayCounter,Q62,R62,,,Trigger)</f>
        <v>0.26111111111111113</v>
      </c>
      <c r="T62" s="41">
        <f>_xll.qlIndexFixing(Index,P62,,AllTriggers)</f>
        <v>2.6705512519673663E-5</v>
      </c>
      <c r="U62" s="42">
        <f>_xll.qlYieldTSDiscount(OisCurve,Q62,,AllTriggers)</f>
        <v>1.0002569021356844</v>
      </c>
      <c r="V62" s="42">
        <f>_xll.qlYieldTSDiscount(OisCurve,R62,,AllTriggers)</f>
        <v>1.0006296378087249</v>
      </c>
      <c r="W62" s="41">
        <f t="shared" si="5"/>
        <v>-1.4266000809339014E-3</v>
      </c>
      <c r="X62" s="43">
        <f t="shared" si="6"/>
        <v>3.7954360975930705E-4</v>
      </c>
      <c r="Y62" s="41">
        <f t="shared" si="7"/>
        <v>1.4533055934535751E-3</v>
      </c>
      <c r="Z62" s="62"/>
    </row>
    <row r="63" spans="15:26" x14ac:dyDescent="0.25">
      <c r="O63" s="43" t="s">
        <v>32</v>
      </c>
      <c r="P63" s="39">
        <f>_xll.qlCalendarAdvance(Calendar,P62,O62,"f",,Trigger)</f>
        <v>42201</v>
      </c>
      <c r="Q63" s="39">
        <f>_xll.qlInterestRateIndexValueDate(Index,P63,Trigger)</f>
        <v>42205</v>
      </c>
      <c r="R63" s="39">
        <f>_xll.qlInterestRateIndexMaturity(Index,Q63,Trigger)</f>
        <v>42297</v>
      </c>
      <c r="S63" s="40">
        <f>_xll.qlDayCounterYearFraction(DayCounter,Q63,R63,,,Trigger)</f>
        <v>0.25555555555555554</v>
      </c>
      <c r="T63" s="41">
        <f>_xll.qlIndexFixing(Index,P63,,AllTriggers)</f>
        <v>3.1735712950608097E-5</v>
      </c>
      <c r="U63" s="42">
        <f>_xll.qlYieldTSDiscount(OisCurve,Q63,,AllTriggers)</f>
        <v>1.0002686772547631</v>
      </c>
      <c r="V63" s="42">
        <f>_xll.qlYieldTSDiscount(OisCurve,R63,,AllTriggers)</f>
        <v>1.0006338180399421</v>
      </c>
      <c r="W63" s="41">
        <f t="shared" si="5"/>
        <v>-1.4279067350437438E-3</v>
      </c>
      <c r="X63" s="43">
        <f t="shared" si="6"/>
        <v>3.7308629949444689E-4</v>
      </c>
      <c r="Y63" s="41">
        <f t="shared" si="7"/>
        <v>1.4596424479943518E-3</v>
      </c>
      <c r="Z63" s="62"/>
    </row>
    <row r="64" spans="15:26" x14ac:dyDescent="0.25">
      <c r="O64" s="43" t="s">
        <v>32</v>
      </c>
      <c r="P64" s="39">
        <f>_xll.qlCalendarAdvance(Calendar,P63,O63,"f",,Trigger)</f>
        <v>42202</v>
      </c>
      <c r="Q64" s="39">
        <f>_xll.qlInterestRateIndexValueDate(Index,P64,Trigger)</f>
        <v>42206</v>
      </c>
      <c r="R64" s="39">
        <f>_xll.qlInterestRateIndexMaturity(Index,Q64,Trigger)</f>
        <v>42298</v>
      </c>
      <c r="S64" s="40">
        <f>_xll.qlDayCounterYearFraction(DayCounter,Q64,R64,,,Trigger)</f>
        <v>0.25555555555555554</v>
      </c>
      <c r="T64" s="41">
        <f>_xll.qlIndexFixing(Index,P64,,AllTriggers)</f>
        <v>3.2883502227274725E-5</v>
      </c>
      <c r="U64" s="42">
        <f>_xll.qlYieldTSDiscount(OisCurve,Q64,,AllTriggers)</f>
        <v>1.0002726033337106</v>
      </c>
      <c r="V64" s="42">
        <f>_xll.qlYieldTSDiscount(OisCurve,R64,,AllTriggers)</f>
        <v>1.0006380019479753</v>
      </c>
      <c r="W64" s="41">
        <f t="shared" si="5"/>
        <v>-1.4289090177770746E-3</v>
      </c>
      <c r="X64" s="43">
        <f t="shared" si="6"/>
        <v>3.7363585345403816E-4</v>
      </c>
      <c r="Y64" s="41">
        <f t="shared" si="7"/>
        <v>1.4617925200043494E-3</v>
      </c>
      <c r="Z64" s="62"/>
    </row>
    <row r="65" spans="15:26" x14ac:dyDescent="0.25">
      <c r="O65" s="43" t="s">
        <v>32</v>
      </c>
      <c r="P65" s="39">
        <f>_xll.qlCalendarAdvance(Calendar,P64,O64,"f",,Trigger)</f>
        <v>42205</v>
      </c>
      <c r="Q65" s="39">
        <f>_xll.qlInterestRateIndexValueDate(Index,P65,Trigger)</f>
        <v>42207</v>
      </c>
      <c r="R65" s="39">
        <f>_xll.qlInterestRateIndexMaturity(Index,Q65,Trigger)</f>
        <v>42299</v>
      </c>
      <c r="S65" s="40">
        <f>_xll.qlDayCounterYearFraction(DayCounter,Q65,R65,,,Trigger)</f>
        <v>0.25555555555555554</v>
      </c>
      <c r="T65" s="41">
        <f>_xll.qlIndexFixing(Index,P65,,AllTriggers)</f>
        <v>3.3922556773156806E-5</v>
      </c>
      <c r="U65" s="42">
        <f>_xll.qlYieldTSDiscount(OisCurve,Q65,,AllTriggers)</f>
        <v>1.0002765289831785</v>
      </c>
      <c r="V65" s="42">
        <f>_xll.qlYieldTSDiscount(OisCurve,R65,,AllTriggers)</f>
        <v>1.0006421895108637</v>
      </c>
      <c r="W65" s="41">
        <f t="shared" si="5"/>
        <v>-1.4299272588289848E-3</v>
      </c>
      <c r="X65" s="43">
        <f t="shared" si="6"/>
        <v>3.7416169959781628E-4</v>
      </c>
      <c r="Y65" s="41">
        <f t="shared" si="7"/>
        <v>1.4638498156021417E-3</v>
      </c>
      <c r="Z65" s="62"/>
    </row>
    <row r="66" spans="15:26" x14ac:dyDescent="0.25">
      <c r="O66" s="43" t="s">
        <v>32</v>
      </c>
      <c r="P66" s="39">
        <f>_xll.qlCalendarAdvance(Calendar,P65,O65,"f",,Trigger)</f>
        <v>42206</v>
      </c>
      <c r="Q66" s="39">
        <f>_xll.qlInterestRateIndexValueDate(Index,P66,Trigger)</f>
        <v>42208</v>
      </c>
      <c r="R66" s="39">
        <f>_xll.qlInterestRateIndexMaturity(Index,Q66,Trigger)</f>
        <v>42300</v>
      </c>
      <c r="S66" s="40">
        <f>_xll.qlDayCounterYearFraction(DayCounter,Q66,R66,,,Trigger)</f>
        <v>0.25555555555555554</v>
      </c>
      <c r="T66" s="41">
        <f>_xll.qlIndexFixing(Index,P66,,AllTriggers)</f>
        <v>3.4846397480569209E-5</v>
      </c>
      <c r="U66" s="42">
        <f>_xll.qlYieldTSDiscount(OisCurve,Q66,,AllTriggers)</f>
        <v>1.0002804537475622</v>
      </c>
      <c r="V66" s="42">
        <f>_xll.qlYieldTSDiscount(OisCurve,R66,,AllTriggers)</f>
        <v>1.0006463807066479</v>
      </c>
      <c r="W66" s="41">
        <f t="shared" si="5"/>
        <v>-1.4309631537953124E-3</v>
      </c>
      <c r="X66" s="43">
        <f t="shared" si="6"/>
        <v>3.7466261567109136E-4</v>
      </c>
      <c r="Y66" s="41">
        <f t="shared" si="7"/>
        <v>1.4658095512758815E-3</v>
      </c>
      <c r="Z66" s="62"/>
    </row>
    <row r="67" spans="15:26" x14ac:dyDescent="0.25">
      <c r="O67" s="43" t="s">
        <v>32</v>
      </c>
      <c r="P67" s="39">
        <f>_xll.qlCalendarAdvance(Calendar,P66,O66,"f",,Trigger)</f>
        <v>42207</v>
      </c>
      <c r="Q67" s="39">
        <f>_xll.qlInterestRateIndexValueDate(Index,P67,Trigger)</f>
        <v>42209</v>
      </c>
      <c r="R67" s="39">
        <f>_xll.qlInterestRateIndexMaturity(Index,Q67,Trigger)</f>
        <v>42303</v>
      </c>
      <c r="S67" s="40">
        <f>_xll.qlDayCounterYearFraction(DayCounter,Q67,R67,,,Trigger)</f>
        <v>0.26111111111111113</v>
      </c>
      <c r="T67" s="41">
        <f>_xll.qlIndexFixing(Index,P67,,AllTriggers)</f>
        <v>3.4208214353947232E-5</v>
      </c>
      <c r="U67" s="42">
        <f>_xll.qlYieldTSDiscount(OisCurve,Q67,,AllTriggers)</f>
        <v>1.0002843776267403</v>
      </c>
      <c r="V67" s="42">
        <f>_xll.qlYieldTSDiscount(OisCurve,R67,,AllTriggers)</f>
        <v>1.0006589758717661</v>
      </c>
      <c r="W67" s="41">
        <f t="shared" si="5"/>
        <v>-1.4336868116782613E-3</v>
      </c>
      <c r="X67" s="43">
        <f t="shared" si="6"/>
        <v>3.8335374838620003E-4</v>
      </c>
      <c r="Y67" s="41">
        <f t="shared" si="7"/>
        <v>1.4678950260322086E-3</v>
      </c>
      <c r="Z67" s="62"/>
    </row>
    <row r="68" spans="15:26" x14ac:dyDescent="0.25">
      <c r="O68" s="43" t="s">
        <v>32</v>
      </c>
      <c r="P68" s="39">
        <f>_xll.qlCalendarAdvance(Calendar,P67,O67,"f",,Trigger)</f>
        <v>42208</v>
      </c>
      <c r="Q68" s="39">
        <f>_xll.qlInterestRateIndexValueDate(Index,P68,Trigger)</f>
        <v>42212</v>
      </c>
      <c r="R68" s="39">
        <f>_xll.qlInterestRateIndexMaturity(Index,Q68,Trigger)</f>
        <v>42304</v>
      </c>
      <c r="S68" s="40">
        <f>_xll.qlDayCounterYearFraction(DayCounter,Q68,R68,,,Trigger)</f>
        <v>0.25555555555555554</v>
      </c>
      <c r="T68" s="41">
        <f>_xll.qlIndexFixing(Index,P68,,AllTriggers)</f>
        <v>3.7291423254588068E-5</v>
      </c>
      <c r="U68" s="42">
        <f>_xll.qlYieldTSDiscount(OisCurve,Q68,,AllTriggers)</f>
        <v>1.0002961450905699</v>
      </c>
      <c r="V68" s="42">
        <f>_xll.qlYieldTSDiscount(OisCurve,R68,,AllTriggers)</f>
        <v>1.0006631813795235</v>
      </c>
      <c r="W68" s="41">
        <f t="shared" ref="W68:W131" si="15">(U68/V68-1)/S68</f>
        <v>-1.4352771077228723E-3</v>
      </c>
      <c r="X68" s="43">
        <f t="shared" ref="X68:X131" si="16">LN((1+T68*S68)/(1+W68*S68))</f>
        <v>3.7639030863732977E-4</v>
      </c>
      <c r="Y68" s="41">
        <f t="shared" ref="Y68:Y131" si="17">T68-W68</f>
        <v>1.4725685309774604E-3</v>
      </c>
      <c r="Z68" s="62"/>
    </row>
    <row r="69" spans="15:26" x14ac:dyDescent="0.25">
      <c r="O69" s="43" t="s">
        <v>32</v>
      </c>
      <c r="P69" s="39">
        <f>_xll.qlCalendarAdvance(Calendar,P68,O68,"f",,Trigger)</f>
        <v>42209</v>
      </c>
      <c r="Q69" s="39">
        <f>_xll.qlInterestRateIndexValueDate(Index,P69,Trigger)</f>
        <v>42213</v>
      </c>
      <c r="R69" s="39">
        <f>_xll.qlInterestRateIndexMaturity(Index,Q69,Trigger)</f>
        <v>42305</v>
      </c>
      <c r="S69" s="40">
        <f>_xll.qlDayCounterYearFraction(DayCounter,Q69,R69,,,Trigger)</f>
        <v>0.25555555555555554</v>
      </c>
      <c r="T69" s="41">
        <f>_xll.qlIndexFixing(Index,P69,,AllTriggers)</f>
        <v>3.7592871970142774E-5</v>
      </c>
      <c r="U69" s="42">
        <f>_xll.qlYieldTSDiscount(OisCurve,Q69,,AllTriggers)</f>
        <v>1.0003000665664634</v>
      </c>
      <c r="V69" s="42">
        <f>_xll.qlYieldTSDiscount(OisCurve,R69,,AllTriggers)</f>
        <v>1.0006673904103707</v>
      </c>
      <c r="W69" s="41">
        <f t="shared" si="15"/>
        <v>-1.4363955352052387E-3</v>
      </c>
      <c r="X69" s="43">
        <f t="shared" si="16"/>
        <v>3.7675327006700301E-4</v>
      </c>
      <c r="Y69" s="41">
        <f t="shared" si="17"/>
        <v>1.4739884071753814E-3</v>
      </c>
      <c r="Z69" s="62"/>
    </row>
    <row r="70" spans="15:26" x14ac:dyDescent="0.25">
      <c r="O70" s="43" t="s">
        <v>32</v>
      </c>
      <c r="P70" s="39">
        <f>_xll.qlCalendarAdvance(Calendar,P69,O69,"f",,Trigger)</f>
        <v>42212</v>
      </c>
      <c r="Q70" s="39">
        <f>_xll.qlInterestRateIndexValueDate(Index,P70,Trigger)</f>
        <v>42214</v>
      </c>
      <c r="R70" s="39">
        <f>_xll.qlInterestRateIndexMaturity(Index,Q70,Trigger)</f>
        <v>42306</v>
      </c>
      <c r="S70" s="40">
        <f>_xll.qlDayCounterYearFraction(DayCounter,Q70,R70,,,Trigger)</f>
        <v>0.25555555555555554</v>
      </c>
      <c r="T70" s="41">
        <f>_xll.qlIndexFixing(Index,P70,,AllTriggers)</f>
        <v>3.7776967588023226E-5</v>
      </c>
      <c r="U70" s="42">
        <f>_xll.qlYieldTSDiscount(OisCurve,Q70,,AllTriggers)</f>
        <v>1.0003039877259292</v>
      </c>
      <c r="V70" s="42">
        <f>_xll.qlYieldTSDiscount(OisCurve,R70,,AllTriggers)</f>
        <v>1.000671602954244</v>
      </c>
      <c r="W70" s="41">
        <f t="shared" si="15"/>
        <v>-1.4375289229949459E-3</v>
      </c>
      <c r="X70" s="43">
        <f t="shared" si="16"/>
        <v>3.7709006622115227E-4</v>
      </c>
      <c r="Y70" s="41">
        <f t="shared" si="17"/>
        <v>1.475305890582969E-3</v>
      </c>
      <c r="Z70" s="62"/>
    </row>
    <row r="71" spans="15:26" x14ac:dyDescent="0.25">
      <c r="O71" s="43" t="s">
        <v>32</v>
      </c>
      <c r="P71" s="39">
        <f>_xll.qlCalendarAdvance(Calendar,P70,O70,"f",,Trigger)</f>
        <v>42213</v>
      </c>
      <c r="Q71" s="39">
        <f>_xll.qlInterestRateIndexValueDate(Index,P71,Trigger)</f>
        <v>42215</v>
      </c>
      <c r="R71" s="39">
        <f>_xll.qlInterestRateIndexMaturity(Index,Q71,Trigger)</f>
        <v>42307</v>
      </c>
      <c r="S71" s="40">
        <f>_xll.qlDayCounterYearFraction(DayCounter,Q71,R71,,,Trigger)</f>
        <v>0.25555555555555554</v>
      </c>
      <c r="T71" s="41">
        <f>_xll.qlIndexFixing(Index,P71,,AllTriggers)</f>
        <v>3.784715145109228E-5</v>
      </c>
      <c r="U71" s="42">
        <f>_xll.qlYieldTSDiscount(OisCurve,Q71,,AllTriggers)</f>
        <v>1.0003079086827282</v>
      </c>
      <c r="V71" s="42">
        <f>_xll.qlYieldTSDiscount(OisCurve,R71,,AllTriggers)</f>
        <v>1.0006758190486735</v>
      </c>
      <c r="W71" s="41">
        <f t="shared" si="15"/>
        <v>-1.4386769727436912E-3</v>
      </c>
      <c r="X71" s="43">
        <f t="shared" si="16"/>
        <v>3.774015002803468E-4</v>
      </c>
      <c r="Y71" s="41">
        <f t="shared" si="17"/>
        <v>1.4765241241947835E-3</v>
      </c>
      <c r="Z71" s="62"/>
    </row>
    <row r="72" spans="15:26" x14ac:dyDescent="0.25">
      <c r="O72" s="43" t="s">
        <v>32</v>
      </c>
      <c r="P72" s="39">
        <f>_xll.qlCalendarAdvance(Calendar,P71,O71,"f",,Trigger)</f>
        <v>42214</v>
      </c>
      <c r="Q72" s="39">
        <f>_xll.qlInterestRateIndexValueDate(Index,P72,Trigger)</f>
        <v>42216</v>
      </c>
      <c r="R72" s="39">
        <f>_xll.qlInterestRateIndexMaturity(Index,Q72,Trigger)</f>
        <v>42307</v>
      </c>
      <c r="S72" s="40">
        <f>_xll.qlDayCounterYearFraction(DayCounter,Q72,R72,,,Trigger)</f>
        <v>0.25277777777777777</v>
      </c>
      <c r="T72" s="41">
        <f>_xll.qlIndexFixing(Index,P72,,AllTriggers)</f>
        <v>3.8666594275438164E-5</v>
      </c>
      <c r="U72" s="42">
        <f>_xll.qlYieldTSDiscount(OisCurve,Q72,,AllTriggers)</f>
        <v>1.0003118295506228</v>
      </c>
      <c r="V72" s="42">
        <f>_xll.qlYieldTSDiscount(OisCurve,R72,,AllTriggers)</f>
        <v>1.0006758190486735</v>
      </c>
      <c r="W72" s="41">
        <f t="shared" si="15"/>
        <v>-1.4389859597048731E-3</v>
      </c>
      <c r="X72" s="43">
        <f t="shared" si="16"/>
        <v>3.7358385193351373E-4</v>
      </c>
      <c r="Y72" s="41">
        <f t="shared" si="17"/>
        <v>1.4776525539803114E-3</v>
      </c>
      <c r="Z72" s="62"/>
    </row>
    <row r="73" spans="15:26" x14ac:dyDescent="0.25">
      <c r="O73" s="43" t="s">
        <v>32</v>
      </c>
      <c r="P73" s="39">
        <f>_xll.qlCalendarAdvance(Calendar,P72,O72,"f",,Trigger)</f>
        <v>42215</v>
      </c>
      <c r="Q73" s="39">
        <f>_xll.qlInterestRateIndexValueDate(Index,P73,Trigger)</f>
        <v>42219</v>
      </c>
      <c r="R73" s="39">
        <f>_xll.qlInterestRateIndexMaturity(Index,Q73,Trigger)</f>
        <v>42311</v>
      </c>
      <c r="S73" s="40">
        <f>_xll.qlDayCounterYearFraction(DayCounter,Q73,R73,,,Trigger)</f>
        <v>0.25555555555555554</v>
      </c>
      <c r="T73" s="41">
        <f>_xll.qlIndexFixing(Index,P73,,AllTriggers)</f>
        <v>3.7057596606978556E-5</v>
      </c>
      <c r="U73" s="42">
        <f>_xll.qlYieldTSDiscount(OisCurve,Q73,,AllTriggers)</f>
        <v>1.0003235927585372</v>
      </c>
      <c r="V73" s="42">
        <f>_xll.qlYieldTSDiscount(OisCurve,R73,,AllTriggers)</f>
        <v>1.0006860152793462</v>
      </c>
      <c r="W73" s="41">
        <f t="shared" si="15"/>
        <v>-1.417202858611582E-3</v>
      </c>
      <c r="X73" s="43">
        <f t="shared" si="16"/>
        <v>3.7170989457918407E-4</v>
      </c>
      <c r="Y73" s="41">
        <f t="shared" si="17"/>
        <v>1.4542604552185605E-3</v>
      </c>
      <c r="Z73" s="62"/>
    </row>
    <row r="74" spans="15:26" x14ac:dyDescent="0.25">
      <c r="O74" s="43" t="s">
        <v>32</v>
      </c>
      <c r="P74" s="39">
        <f>_xll.qlCalendarAdvance(Calendar,P73,O73,"f",,Trigger)</f>
        <v>42216</v>
      </c>
      <c r="Q74" s="39">
        <f>_xll.qlInterestRateIndexValueDate(Index,P74,Trigger)</f>
        <v>42220</v>
      </c>
      <c r="R74" s="39">
        <f>_xll.qlInterestRateIndexMaturity(Index,Q74,Trigger)</f>
        <v>42312</v>
      </c>
      <c r="S74" s="40">
        <f>_xll.qlDayCounterYearFraction(DayCounter,Q74,R74,,,Trigger)</f>
        <v>0.25555555555555554</v>
      </c>
      <c r="T74" s="41">
        <f>_xll.qlIndexFixing(Index,P74,,AllTriggers)</f>
        <v>3.6609842202989966E-5</v>
      </c>
      <c r="U74" s="42">
        <f>_xll.qlYieldTSDiscount(OisCurve,Q74,,AllTriggers)</f>
        <v>1.0003275144084789</v>
      </c>
      <c r="V74" s="42">
        <f>_xll.qlYieldTSDiscount(OisCurve,R74,,AllTriggers)</f>
        <v>1.0006902498396535</v>
      </c>
      <c r="W74" s="41">
        <f t="shared" si="15"/>
        <v>-1.4184204488045999E-3</v>
      </c>
      <c r="X74" s="43">
        <f t="shared" si="16"/>
        <v>3.7190674425301168E-4</v>
      </c>
      <c r="Y74" s="41">
        <f t="shared" si="17"/>
        <v>1.4550302910075899E-3</v>
      </c>
      <c r="Z74" s="62"/>
    </row>
    <row r="75" spans="15:26" x14ac:dyDescent="0.25">
      <c r="O75" s="43" t="s">
        <v>32</v>
      </c>
      <c r="P75" s="39">
        <f>_xll.qlCalendarAdvance(Calendar,P74,O74,"f",,Trigger)</f>
        <v>42219</v>
      </c>
      <c r="Q75" s="39">
        <f>_xll.qlInterestRateIndexValueDate(Index,P75,Trigger)</f>
        <v>42221</v>
      </c>
      <c r="R75" s="39">
        <f>_xll.qlInterestRateIndexMaturity(Index,Q75,Trigger)</f>
        <v>42313</v>
      </c>
      <c r="S75" s="40">
        <f>_xll.qlDayCounterYearFraction(DayCounter,Q75,R75,,,Trigger)</f>
        <v>0.25555555555555554</v>
      </c>
      <c r="T75" s="41">
        <f>_xll.qlIndexFixing(Index,P75,,AllTriggers)</f>
        <v>3.6068824299469476E-5</v>
      </c>
      <c r="U75" s="42">
        <f>_xll.qlYieldTSDiscount(OisCurve,Q75,,AllTriggers)</f>
        <v>1.0003314365383567</v>
      </c>
      <c r="V75" s="42">
        <f>_xll.qlYieldTSDiscount(OisCurve,R75,,AllTriggers)</f>
        <v>1.0006944882470843</v>
      </c>
      <c r="W75" s="41">
        <f t="shared" si="15"/>
        <v>-1.4196511900417845E-3</v>
      </c>
      <c r="X75" s="43">
        <f t="shared" si="16"/>
        <v>3.7208312226744546E-4</v>
      </c>
      <c r="Y75" s="41">
        <f t="shared" si="17"/>
        <v>1.4557200143412539E-3</v>
      </c>
      <c r="Z75" s="62"/>
    </row>
    <row r="76" spans="15:26" x14ac:dyDescent="0.25">
      <c r="O76" s="43" t="s">
        <v>32</v>
      </c>
      <c r="P76" s="39">
        <f>_xll.qlCalendarAdvance(Calendar,P75,O75,"f",,Trigger)</f>
        <v>42220</v>
      </c>
      <c r="Q76" s="39">
        <f>_xll.qlInterestRateIndexValueDate(Index,P76,Trigger)</f>
        <v>42222</v>
      </c>
      <c r="R76" s="39">
        <f>_xll.qlInterestRateIndexMaturity(Index,Q76,Trigger)</f>
        <v>42314</v>
      </c>
      <c r="S76" s="40">
        <f>_xll.qlDayCounterYearFraction(DayCounter,Q76,R76,,,Trigger)</f>
        <v>0.25555555555555554</v>
      </c>
      <c r="T76" s="41">
        <f>_xll.qlIndexFixing(Index,P76,,AllTriggers)</f>
        <v>3.5437984293149888E-5</v>
      </c>
      <c r="U76" s="42">
        <f>_xll.qlYieldTSDiscount(OisCurve,Q76,,AllTriggers)</f>
        <v>1.0003353592619442</v>
      </c>
      <c r="V76" s="42">
        <f>_xll.qlYieldTSDiscount(OisCurve,R76,,AllTriggers)</f>
        <v>1.0006987305510731</v>
      </c>
      <c r="W76" s="41">
        <f t="shared" si="15"/>
        <v>-1.4208948304850202E-3</v>
      </c>
      <c r="X76" s="43">
        <f t="shared" si="16"/>
        <v>3.7223984369364025E-4</v>
      </c>
      <c r="Y76" s="41">
        <f t="shared" si="17"/>
        <v>1.4563328147781701E-3</v>
      </c>
      <c r="Z76" s="62"/>
    </row>
    <row r="77" spans="15:26" x14ac:dyDescent="0.25">
      <c r="O77" s="43" t="s">
        <v>32</v>
      </c>
      <c r="P77" s="39">
        <f>_xll.qlCalendarAdvance(Calendar,P76,O76,"f",,Trigger)</f>
        <v>42221</v>
      </c>
      <c r="Q77" s="39">
        <f>_xll.qlInterestRateIndexValueDate(Index,P77,Trigger)</f>
        <v>42223</v>
      </c>
      <c r="R77" s="39">
        <f>_xll.qlInterestRateIndexMaturity(Index,Q77,Trigger)</f>
        <v>42317</v>
      </c>
      <c r="S77" s="40">
        <f>_xll.qlDayCounterYearFraction(DayCounter,Q77,R77,,,Trigger)</f>
        <v>0.26111111111111113</v>
      </c>
      <c r="T77" s="41">
        <f>_xll.qlIndexFixing(Index,P77,,AllTriggers)</f>
        <v>3.2908178418023191E-5</v>
      </c>
      <c r="U77" s="42">
        <f>_xll.qlYieldTSDiscount(OisCurve,Q77,,AllTriggers)</f>
        <v>1.0003392826930166</v>
      </c>
      <c r="V77" s="42">
        <f>_xll.qlYieldTSDiscount(OisCurve,R77,,AllTriggers)</f>
        <v>1.0007114813367517</v>
      </c>
      <c r="W77" s="41">
        <f t="shared" si="15"/>
        <v>-1.4244281602527247E-3</v>
      </c>
      <c r="X77" s="43">
        <f t="shared" si="16"/>
        <v>3.8059585834863621E-4</v>
      </c>
      <c r="Y77" s="41">
        <f t="shared" si="17"/>
        <v>1.4573363386707477E-3</v>
      </c>
      <c r="Z77" s="62"/>
    </row>
    <row r="78" spans="15:26" x14ac:dyDescent="0.25">
      <c r="O78" s="43" t="s">
        <v>32</v>
      </c>
      <c r="P78" s="39">
        <f>_xll.qlCalendarAdvance(Calendar,P77,O77,"f",,Trigger)</f>
        <v>42222</v>
      </c>
      <c r="Q78" s="39">
        <f>_xll.qlInterestRateIndexValueDate(Index,P78,Trigger)</f>
        <v>42226</v>
      </c>
      <c r="R78" s="39">
        <f>_xll.qlInterestRateIndexMaturity(Index,Q78,Trigger)</f>
        <v>42318</v>
      </c>
      <c r="S78" s="40">
        <f>_xll.qlDayCounterYearFraction(DayCounter,Q78,R78,,,Trigger)</f>
        <v>0.25555555555555554</v>
      </c>
      <c r="T78" s="41">
        <f>_xll.qlIndexFixing(Index,P78,,AllTriggers)</f>
        <v>3.2085231331802078E-5</v>
      </c>
      <c r="U78" s="42">
        <f>_xll.qlYieldTSDiscount(OisCurve,Q78,,AllTriggers)</f>
        <v>1.0003510583689226</v>
      </c>
      <c r="V78" s="42">
        <f>_xll.qlYieldTSDiscount(OisCurve,R78,,AllTriggers)</f>
        <v>1.0007157397213402</v>
      </c>
      <c r="W78" s="41">
        <f t="shared" si="15"/>
        <v>-1.4259933476400085E-3</v>
      </c>
      <c r="X78" s="43">
        <f t="shared" si="16"/>
        <v>3.7268646497155665E-4</v>
      </c>
      <c r="Y78" s="41">
        <f t="shared" si="17"/>
        <v>1.4580785789718106E-3</v>
      </c>
      <c r="Z78" s="62"/>
    </row>
    <row r="79" spans="15:26" x14ac:dyDescent="0.25">
      <c r="O79" s="43" t="s">
        <v>32</v>
      </c>
      <c r="P79" s="39">
        <f>_xll.qlCalendarAdvance(Calendar,P78,O78,"f",,Trigger)</f>
        <v>42223</v>
      </c>
      <c r="Q79" s="39">
        <f>_xll.qlInterestRateIndexValueDate(Index,P79,Trigger)</f>
        <v>42227</v>
      </c>
      <c r="R79" s="39">
        <f>_xll.qlInterestRateIndexMaturity(Index,Q79,Trigger)</f>
        <v>42319</v>
      </c>
      <c r="S79" s="40">
        <f>_xll.qlDayCounterYearFraction(DayCounter,Q79,R79,,,Trigger)</f>
        <v>0.25555555555555554</v>
      </c>
      <c r="T79" s="41">
        <f>_xll.qlIndexFixing(Index,P79,,AllTriggers)</f>
        <v>3.1056901900629384E-5</v>
      </c>
      <c r="U79" s="42">
        <f>_xll.qlYieldTSDiscount(OisCurve,Q79,,AllTriggers)</f>
        <v>1.0003549857677227</v>
      </c>
      <c r="V79" s="42">
        <f>_xll.qlYieldTSDiscount(OisCurve,R79,,AllTriggers)</f>
        <v>1.0007200022496745</v>
      </c>
      <c r="W79" s="41">
        <f t="shared" si="15"/>
        <v>-1.4272977065991116E-3</v>
      </c>
      <c r="X79" s="43">
        <f t="shared" si="16"/>
        <v>3.7275712954554056E-4</v>
      </c>
      <c r="Y79" s="41">
        <f t="shared" si="17"/>
        <v>1.4583546084997409E-3</v>
      </c>
      <c r="Z79" s="62"/>
    </row>
    <row r="80" spans="15:26" x14ac:dyDescent="0.25">
      <c r="O80" s="43" t="s">
        <v>32</v>
      </c>
      <c r="P80" s="39">
        <f>_xll.qlCalendarAdvance(Calendar,P79,O79,"f",,Trigger)</f>
        <v>42226</v>
      </c>
      <c r="Q80" s="39">
        <f>_xll.qlInterestRateIndexValueDate(Index,P80,Trigger)</f>
        <v>42228</v>
      </c>
      <c r="R80" s="39">
        <f>_xll.qlInterestRateIndexMaturity(Index,Q80,Trigger)</f>
        <v>42320</v>
      </c>
      <c r="S80" s="40">
        <f>_xll.qlDayCounterYearFraction(DayCounter,Q80,R80,,,Trigger)</f>
        <v>0.25555555555555554</v>
      </c>
      <c r="T80" s="41">
        <f>_xll.qlIndexFixing(Index,P80,,AllTriggers)</f>
        <v>2.9959398816564008E-5</v>
      </c>
      <c r="U80" s="42">
        <f>_xll.qlYieldTSDiscount(OisCurve,Q80,,AllTriggers)</f>
        <v>1.0003589144429106</v>
      </c>
      <c r="V80" s="42">
        <f>_xll.qlYieldTSDiscount(OisCurve,R80,,AllTriggers)</f>
        <v>1.000724268971195</v>
      </c>
      <c r="W80" s="41">
        <f t="shared" si="15"/>
        <v>-1.4286134537603351E-3</v>
      </c>
      <c r="X80" s="43">
        <f t="shared" si="16"/>
        <v>3.728130279672225E-4</v>
      </c>
      <c r="Y80" s="41">
        <f t="shared" si="17"/>
        <v>1.458572852576899E-3</v>
      </c>
      <c r="Z80" s="62"/>
    </row>
    <row r="81" spans="15:26" x14ac:dyDescent="0.25">
      <c r="O81" s="43" t="s">
        <v>32</v>
      </c>
      <c r="P81" s="39">
        <f>_xll.qlCalendarAdvance(Calendar,P80,O80,"f",,Trigger)</f>
        <v>42227</v>
      </c>
      <c r="Q81" s="39">
        <f>_xll.qlInterestRateIndexValueDate(Index,P81,Trigger)</f>
        <v>42229</v>
      </c>
      <c r="R81" s="39">
        <f>_xll.qlInterestRateIndexMaturity(Index,Q81,Trigger)</f>
        <v>42321</v>
      </c>
      <c r="S81" s="40">
        <f>_xll.qlDayCounterYearFraction(DayCounter,Q81,R81,,,Trigger)</f>
        <v>0.25555555555555554</v>
      </c>
      <c r="T81" s="41">
        <f>_xll.qlIndexFixing(Index,P81,,AllTriggers)</f>
        <v>2.8796163488502945E-5</v>
      </c>
      <c r="U81" s="42">
        <f>_xll.qlYieldTSDiscount(OisCurve,Q81,,AllTriggers)</f>
        <v>1.0003628445082722</v>
      </c>
      <c r="V81" s="42">
        <f>_xll.qlYieldTSDiscount(OisCurve,R81,,AllTriggers)</f>
        <v>1.0007285399353425</v>
      </c>
      <c r="W81" s="41">
        <f t="shared" si="15"/>
        <v>-1.4299403372864323E-3</v>
      </c>
      <c r="X81" s="43">
        <f t="shared" si="16"/>
        <v>3.7285497530711224E-4</v>
      </c>
      <c r="Y81" s="41">
        <f t="shared" si="17"/>
        <v>1.4587365007749352E-3</v>
      </c>
      <c r="Z81" s="62"/>
    </row>
    <row r="82" spans="15:26" x14ac:dyDescent="0.25">
      <c r="O82" s="43" t="s">
        <v>32</v>
      </c>
      <c r="P82" s="39">
        <f>_xll.qlCalendarAdvance(Calendar,P81,O81,"f",,Trigger)</f>
        <v>42228</v>
      </c>
      <c r="Q82" s="39">
        <f>_xll.qlInterestRateIndexValueDate(Index,P82,Trigger)</f>
        <v>42230</v>
      </c>
      <c r="R82" s="39">
        <f>_xll.qlInterestRateIndexMaturity(Index,Q82,Trigger)</f>
        <v>42324</v>
      </c>
      <c r="S82" s="40">
        <f>_xll.qlDayCounterYearFraction(DayCounter,Q82,R82,,,Trigger)</f>
        <v>0.26111111111111113</v>
      </c>
      <c r="T82" s="41">
        <f>_xll.qlIndexFixing(Index,P82,,AllTriggers)</f>
        <v>2.5790287463931621E-5</v>
      </c>
      <c r="U82" s="42">
        <f>_xll.qlYieldTSDiscount(OisCurve,Q82,,AllTriggers)</f>
        <v>1.0003667760775954</v>
      </c>
      <c r="V82" s="42">
        <f>_xll.qlYieldTSDiscount(OisCurve,R82,,AllTriggers)</f>
        <v>1.0007413787779715</v>
      </c>
      <c r="W82" s="41">
        <f t="shared" si="15"/>
        <v>-1.4335858096425902E-3</v>
      </c>
      <c r="X82" s="43">
        <f t="shared" si="16"/>
        <v>3.8112936873019304E-4</v>
      </c>
      <c r="Y82" s="41">
        <f t="shared" si="17"/>
        <v>1.4593760971065219E-3</v>
      </c>
      <c r="Z82" s="62"/>
    </row>
    <row r="83" spans="15:26" x14ac:dyDescent="0.25">
      <c r="O83" s="43" t="s">
        <v>32</v>
      </c>
      <c r="P83" s="39">
        <f>_xll.qlCalendarAdvance(Calendar,P82,O82,"f",,Trigger)</f>
        <v>42229</v>
      </c>
      <c r="Q83" s="39">
        <f>_xll.qlInterestRateIndexValueDate(Index,P83,Trigger)</f>
        <v>42233</v>
      </c>
      <c r="R83" s="39">
        <f>_xll.qlInterestRateIndexMaturity(Index,Q83,Trigger)</f>
        <v>42325</v>
      </c>
      <c r="S83" s="40">
        <f>_xll.qlDayCounterYearFraction(DayCounter,Q83,R83,,,Trigger)</f>
        <v>0.25555555555555554</v>
      </c>
      <c r="T83" s="41">
        <f>_xll.qlIndexFixing(Index,P83,,AllTriggers)</f>
        <v>2.355472794899628E-5</v>
      </c>
      <c r="U83" s="42">
        <f>_xll.qlYieldTSDiscount(OisCurve,Q83,,AllTriggers)</f>
        <v>1.0003785809472379</v>
      </c>
      <c r="V83" s="42">
        <f>_xll.qlYieldTSDiscount(OisCurve,R83,,AllTriggers)</f>
        <v>1.0007456672070563</v>
      </c>
      <c r="W83" s="41">
        <f t="shared" si="15"/>
        <v>-1.4353541983854216E-3</v>
      </c>
      <c r="X83" s="43">
        <f t="shared" si="16"/>
        <v>3.7289955530620412E-4</v>
      </c>
      <c r="Y83" s="41">
        <f t="shared" si="17"/>
        <v>1.4589089263344179E-3</v>
      </c>
      <c r="Z83" s="62"/>
    </row>
    <row r="84" spans="15:26" x14ac:dyDescent="0.25">
      <c r="O84" s="43" t="s">
        <v>32</v>
      </c>
      <c r="P84" s="39">
        <f>_xll.qlCalendarAdvance(Calendar,P83,O83,"f",,Trigger)</f>
        <v>42230</v>
      </c>
      <c r="Q84" s="39">
        <f>_xll.qlInterestRateIndexValueDate(Index,P84,Trigger)</f>
        <v>42234</v>
      </c>
      <c r="R84" s="39">
        <f>_xll.qlInterestRateIndexMaturity(Index,Q84,Trigger)</f>
        <v>42326</v>
      </c>
      <c r="S84" s="40">
        <f>_xll.qlDayCounterYearFraction(DayCounter,Q84,R84,,,Trigger)</f>
        <v>0.25555555555555554</v>
      </c>
      <c r="T84" s="41">
        <f>_xll.qlIndexFixing(Index,P84,,AllTriggers)</f>
        <v>2.2114452539624747E-5</v>
      </c>
      <c r="U84" s="42">
        <f>_xll.qlYieldTSDiscount(OisCurve,Q84,,AllTriggers)</f>
        <v>1.0003825196703204</v>
      </c>
      <c r="V84" s="42">
        <f>_xll.qlYieldTSDiscount(OisCurve,R84,,AllTriggers)</f>
        <v>1.0007499601259868</v>
      </c>
      <c r="W84" s="41">
        <f t="shared" si="15"/>
        <v>-1.436732986243221E-3</v>
      </c>
      <c r="X84" s="43">
        <f t="shared" si="16"/>
        <v>3.7288397332728738E-4</v>
      </c>
      <c r="Y84" s="41">
        <f t="shared" si="17"/>
        <v>1.4588474387828457E-3</v>
      </c>
      <c r="Z84" s="62"/>
    </row>
    <row r="85" spans="15:26" x14ac:dyDescent="0.25">
      <c r="O85" s="43" t="s">
        <v>32</v>
      </c>
      <c r="P85" s="39">
        <f>_xll.qlCalendarAdvance(Calendar,P84,O84,"f",,Trigger)</f>
        <v>42233</v>
      </c>
      <c r="Q85" s="39">
        <f>_xll.qlInterestRateIndexValueDate(Index,P85,Trigger)</f>
        <v>42235</v>
      </c>
      <c r="R85" s="39">
        <f>_xll.qlInterestRateIndexMaturity(Index,Q85,Trigger)</f>
        <v>42327</v>
      </c>
      <c r="S85" s="40">
        <f>_xll.qlDayCounterYearFraction(DayCounter,Q85,R85,,,Trigger)</f>
        <v>0.25555555555555554</v>
      </c>
      <c r="T85" s="41">
        <f>_xll.qlIndexFixing(Index,P85,,AllTriggers)</f>
        <v>2.0629093324868634E-5</v>
      </c>
      <c r="U85" s="42">
        <f>_xll.qlYieldTSDiscount(OisCurve,Q85,,AllTriggers)</f>
        <v>1.0003864604663297</v>
      </c>
      <c r="V85" s="42">
        <f>_xll.qlYieldTSDiscount(OisCurve,R85,,AllTriggers)</f>
        <v>1.0007542575842097</v>
      </c>
      <c r="W85" s="41">
        <f t="shared" si="15"/>
        <v>-1.4381213994706522E-3</v>
      </c>
      <c r="X85" s="43">
        <f t="shared" si="16"/>
        <v>3.7285933070183724E-4</v>
      </c>
      <c r="Y85" s="41">
        <f t="shared" si="17"/>
        <v>1.4587504927955207E-3</v>
      </c>
      <c r="Z85" s="62"/>
    </row>
    <row r="86" spans="15:26" x14ac:dyDescent="0.25">
      <c r="O86" s="43" t="s">
        <v>32</v>
      </c>
      <c r="P86" s="39">
        <f>_xll.qlCalendarAdvance(Calendar,P85,O85,"f",,Trigger)</f>
        <v>42234</v>
      </c>
      <c r="Q86" s="39">
        <f>_xll.qlInterestRateIndexValueDate(Index,P86,Trigger)</f>
        <v>42236</v>
      </c>
      <c r="R86" s="39">
        <f>_xll.qlInterestRateIndexMaturity(Index,Q86,Trigger)</f>
        <v>42328</v>
      </c>
      <c r="S86" s="40">
        <f>_xll.qlDayCounterYearFraction(DayCounter,Q86,R86,,,Trigger)</f>
        <v>0.25555555555555554</v>
      </c>
      <c r="T86" s="41">
        <f>_xll.qlIndexFixing(Index,P86,,AllTriggers)</f>
        <v>1.9102091701460747E-5</v>
      </c>
      <c r="U86" s="42">
        <f>_xll.qlYieldTSDiscount(OisCurve,Q86,,AllTriggers)</f>
        <v>1.0003904034490649</v>
      </c>
      <c r="V86" s="42">
        <f>_xll.qlYieldTSDiscount(OisCurve,R86,,AllTriggers)</f>
        <v>1.0007585596311726</v>
      </c>
      <c r="W86" s="41">
        <f t="shared" si="15"/>
        <v>-1.4395191862348129E-3</v>
      </c>
      <c r="X86" s="43">
        <f t="shared" si="16"/>
        <v>3.7282644250256783E-4</v>
      </c>
      <c r="Y86" s="41">
        <f t="shared" si="17"/>
        <v>1.4586212779362736E-3</v>
      </c>
      <c r="Z86" s="62"/>
    </row>
    <row r="87" spans="15:26" x14ac:dyDescent="0.25">
      <c r="O87" s="43" t="s">
        <v>32</v>
      </c>
      <c r="P87" s="39">
        <f>_xll.qlCalendarAdvance(Calendar,P86,O86,"f",,Trigger)</f>
        <v>42235</v>
      </c>
      <c r="Q87" s="39">
        <f>_xll.qlInterestRateIndexValueDate(Index,P87,Trigger)</f>
        <v>42237</v>
      </c>
      <c r="R87" s="39">
        <f>_xll.qlInterestRateIndexMaturity(Index,Q87,Trigger)</f>
        <v>42331</v>
      </c>
      <c r="S87" s="40">
        <f>_xll.qlDayCounterYearFraction(DayCounter,Q87,R87,,,Trigger)</f>
        <v>0.26111111111111113</v>
      </c>
      <c r="T87" s="41">
        <f>_xll.qlIndexFixing(Index,P87,,AllTriggers)</f>
        <v>1.5900862677617418E-5</v>
      </c>
      <c r="U87" s="42">
        <f>_xll.qlYieldTSDiscount(OisCurve,Q87,,AllTriggers)</f>
        <v>1.0003943487323261</v>
      </c>
      <c r="V87" s="42">
        <f>_xll.qlYieldTSDiscount(OisCurve,R87,,AllTriggers)</f>
        <v>1.0007714937989878</v>
      </c>
      <c r="W87" s="41">
        <f t="shared" si="15"/>
        <v>-1.4432718863722131E-3</v>
      </c>
      <c r="X87" s="43">
        <f t="shared" si="16"/>
        <v>3.8107723662518164E-4</v>
      </c>
      <c r="Y87" s="41">
        <f t="shared" si="17"/>
        <v>1.4591727490498305E-3</v>
      </c>
      <c r="Z87" s="62"/>
    </row>
    <row r="88" spans="15:26" x14ac:dyDescent="0.25">
      <c r="O88" s="43" t="s">
        <v>32</v>
      </c>
      <c r="P88" s="39">
        <f>_xll.qlCalendarAdvance(Calendar,P87,O87,"f",,Trigger)</f>
        <v>42236</v>
      </c>
      <c r="Q88" s="39">
        <f>_xll.qlInterestRateIndexValueDate(Index,P88,Trigger)</f>
        <v>42240</v>
      </c>
      <c r="R88" s="39">
        <f>_xll.qlInterestRateIndexMaturity(Index,Q88,Trigger)</f>
        <v>42332</v>
      </c>
      <c r="S88" s="40">
        <f>_xll.qlDayCounterYearFraction(DayCounter,Q88,R88,,,Trigger)</f>
        <v>0.25555555555555554</v>
      </c>
      <c r="T88" s="41">
        <f>_xll.qlIndexFixing(Index,P88,,AllTriggers)</f>
        <v>1.26464888908821E-5</v>
      </c>
      <c r="U88" s="42">
        <f>_xll.qlYieldTSDiscount(OisCurve,Q88,,AllTriggers)</f>
        <v>1.0004061995232965</v>
      </c>
      <c r="V88" s="42">
        <f>_xll.qlYieldTSDiscount(OisCurve,R88,,AllTriggers)</f>
        <v>1.000775814695402</v>
      </c>
      <c r="W88" s="41">
        <f t="shared" si="15"/>
        <v>-1.445199032027203E-3</v>
      </c>
      <c r="X88" s="43">
        <f t="shared" si="16"/>
        <v>3.7262873540989553E-4</v>
      </c>
      <c r="Y88" s="41">
        <f t="shared" si="17"/>
        <v>1.4578455209180851E-3</v>
      </c>
      <c r="Z88" s="62"/>
    </row>
    <row r="89" spans="15:26" x14ac:dyDescent="0.25">
      <c r="O89" s="43" t="s">
        <v>32</v>
      </c>
      <c r="P89" s="39">
        <f>_xll.qlCalendarAdvance(Calendar,P88,O88,"f",,Trigger)</f>
        <v>42237</v>
      </c>
      <c r="Q89" s="39">
        <f>_xll.qlInterestRateIndexValueDate(Index,P89,Trigger)</f>
        <v>42241</v>
      </c>
      <c r="R89" s="39">
        <f>_xll.qlInterestRateIndexMaturity(Index,Q89,Trigger)</f>
        <v>42333</v>
      </c>
      <c r="S89" s="40">
        <f>_xll.qlDayCounterYearFraction(DayCounter,Q89,R89,,,Trigger)</f>
        <v>0.25555555555555554</v>
      </c>
      <c r="T89" s="41">
        <f>_xll.qlIndexFixing(Index,P89,,AllTriggers)</f>
        <v>1.0962896012728615E-5</v>
      </c>
      <c r="U89" s="42">
        <f>_xll.qlYieldTSDiscount(OisCurve,Q89,,AllTriggers)</f>
        <v>1.0004101551467013</v>
      </c>
      <c r="V89" s="42">
        <f>_xll.qlYieldTSDiscount(OisCurve,R89,,AllTriggers)</f>
        <v>1.0007801404278067</v>
      </c>
      <c r="W89" s="41">
        <f t="shared" si="15"/>
        <v>-1.4466399090045006E-3</v>
      </c>
      <c r="X89" s="43">
        <f t="shared" si="16"/>
        <v>3.7256684542468784E-4</v>
      </c>
      <c r="Y89" s="41">
        <f t="shared" si="17"/>
        <v>1.4576028050172292E-3</v>
      </c>
      <c r="Z89" s="62"/>
    </row>
    <row r="90" spans="15:26" x14ac:dyDescent="0.25">
      <c r="O90" s="43" t="s">
        <v>32</v>
      </c>
      <c r="P90" s="39">
        <f>_xll.qlCalendarAdvance(Calendar,P89,O89,"f",,Trigger)</f>
        <v>42240</v>
      </c>
      <c r="Q90" s="39">
        <f>_xll.qlInterestRateIndexValueDate(Index,P90,Trigger)</f>
        <v>42242</v>
      </c>
      <c r="R90" s="39">
        <f>_xll.qlInterestRateIndexMaturity(Index,Q90,Trigger)</f>
        <v>42334</v>
      </c>
      <c r="S90" s="40">
        <f>_xll.qlDayCounterYearFraction(DayCounter,Q90,R90,,,Trigger)</f>
        <v>0.25555555555555554</v>
      </c>
      <c r="T90" s="41">
        <f>_xll.qlIndexFixing(Index,P90,,AllTriggers)</f>
        <v>9.2583090081378305E-6</v>
      </c>
      <c r="U90" s="42">
        <f>_xll.qlYieldTSDiscount(OisCurve,Q90,,AllTriggers)</f>
        <v>1.0004141136396612</v>
      </c>
      <c r="V90" s="42">
        <f>_xll.qlYieldTSDiscount(OisCurve,R90,,AllTriggers)</f>
        <v>1.000784471045655</v>
      </c>
      <c r="W90" s="41">
        <f t="shared" si="15"/>
        <v>-1.4480886485337119E-3</v>
      </c>
      <c r="X90" s="43">
        <f t="shared" si="16"/>
        <v>3.7250160029984576E-4</v>
      </c>
      <c r="Y90" s="41">
        <f t="shared" si="17"/>
        <v>1.4573469575418498E-3</v>
      </c>
      <c r="Z90" s="62"/>
    </row>
    <row r="91" spans="15:26" x14ac:dyDescent="0.25">
      <c r="O91" s="43" t="s">
        <v>32</v>
      </c>
      <c r="P91" s="39">
        <f>_xll.qlCalendarAdvance(Calendar,P90,O90,"f",,Trigger)</f>
        <v>42241</v>
      </c>
      <c r="Q91" s="39">
        <f>_xll.qlInterestRateIndexValueDate(Index,P91,Trigger)</f>
        <v>42243</v>
      </c>
      <c r="R91" s="39">
        <f>_xll.qlInterestRateIndexMaturity(Index,Q91,Trigger)</f>
        <v>42335</v>
      </c>
      <c r="S91" s="40">
        <f>_xll.qlDayCounterYearFraction(DayCounter,Q91,R91,,,Trigger)</f>
        <v>0.25555555555555554</v>
      </c>
      <c r="T91" s="41">
        <f>_xll.qlIndexFixing(Index,P91,,AllTriggers)</f>
        <v>7.5361692390877364E-6</v>
      </c>
      <c r="U91" s="42">
        <f>_xll.qlYieldTSDiscount(OisCurve,Q91,,AllTriggers)</f>
        <v>1.0004180751159872</v>
      </c>
      <c r="V91" s="42">
        <f>_xll.qlYieldTSDiscount(OisCurve,R91,,AllTriggers)</f>
        <v>1.0007888065984007</v>
      </c>
      <c r="W91" s="41">
        <f t="shared" si="15"/>
        <v>-1.4495449987845413E-3</v>
      </c>
      <c r="X91" s="43">
        <f t="shared" si="16"/>
        <v>3.7243381510775064E-4</v>
      </c>
      <c r="Y91" s="41">
        <f t="shared" si="17"/>
        <v>1.4570811680236289E-3</v>
      </c>
      <c r="Z91" s="62"/>
    </row>
    <row r="92" spans="15:26" x14ac:dyDescent="0.25">
      <c r="O92" s="43" t="s">
        <v>32</v>
      </c>
      <c r="P92" s="39">
        <f>_xll.qlCalendarAdvance(Calendar,P91,O91,"f",,Trigger)</f>
        <v>42242</v>
      </c>
      <c r="Q92" s="39">
        <f>_xll.qlInterestRateIndexValueDate(Index,P92,Trigger)</f>
        <v>42244</v>
      </c>
      <c r="R92" s="39">
        <f>_xll.qlInterestRateIndexMaturity(Index,Q92,Trigger)</f>
        <v>42338</v>
      </c>
      <c r="S92" s="40">
        <f>_xll.qlDayCounterYearFraction(DayCounter,Q92,R92,,,Trigger)</f>
        <v>0.26111111111111113</v>
      </c>
      <c r="T92" s="41">
        <f>_xll.qlIndexFixing(Index,P92,,AllTriggers)</f>
        <v>4.3951878358093814E-6</v>
      </c>
      <c r="U92" s="42">
        <f>_xll.qlYieldTSDiscount(OisCurve,Q92,,AllTriggers)</f>
        <v>1.0004220396894925</v>
      </c>
      <c r="V92" s="42">
        <f>_xll.qlYieldTSDiscount(OisCurve,R92,,AllTriggers)</f>
        <v>1.000801843360573</v>
      </c>
      <c r="W92" s="41">
        <f t="shared" si="15"/>
        <v>-1.4534018503224338E-3</v>
      </c>
      <c r="X92" s="43">
        <f t="shared" si="16"/>
        <v>3.8071903185978603E-4</v>
      </c>
      <c r="Y92" s="41">
        <f t="shared" si="17"/>
        <v>1.4577970381582431E-3</v>
      </c>
      <c r="Z92" s="62"/>
    </row>
    <row r="93" spans="15:26" x14ac:dyDescent="0.25">
      <c r="O93" s="43" t="s">
        <v>32</v>
      </c>
      <c r="P93" s="39">
        <f>_xll.qlCalendarAdvance(Calendar,P92,O92,"f",,Trigger)</f>
        <v>42243</v>
      </c>
      <c r="Q93" s="39">
        <f>_xll.qlInterestRateIndexValueDate(Index,P93,Trigger)</f>
        <v>42247</v>
      </c>
      <c r="R93" s="39">
        <f>_xll.qlInterestRateIndexMaturity(Index,Q93,Trigger)</f>
        <v>42338</v>
      </c>
      <c r="S93" s="40">
        <f>_xll.qlDayCounterYearFraction(DayCounter,Q93,R93,,,Trigger)</f>
        <v>0.25277777777777777</v>
      </c>
      <c r="T93" s="41">
        <f>_xll.qlIndexFixing(Index,P93,,AllTriggers)</f>
        <v>1.2073351391167192E-6</v>
      </c>
      <c r="U93" s="42">
        <f>_xll.qlYieldTSDiscount(OisCurve,Q93,,AllTriggers)</f>
        <v>1.0004339531312425</v>
      </c>
      <c r="V93" s="42">
        <f>_xll.qlYieldTSDiscount(OisCurve,R93,,AllTriggers)</f>
        <v>1.000801843360573</v>
      </c>
      <c r="W93" s="41">
        <f t="shared" si="15"/>
        <v>-1.4542238584845703E-3</v>
      </c>
      <c r="X93" s="43">
        <f t="shared" si="16"/>
        <v>3.6796824256467834E-4</v>
      </c>
      <c r="Y93" s="41">
        <f t="shared" si="17"/>
        <v>1.455431193623687E-3</v>
      </c>
      <c r="Z93" s="62"/>
    </row>
    <row r="94" spans="15:26" x14ac:dyDescent="0.25">
      <c r="O94" s="43" t="s">
        <v>32</v>
      </c>
      <c r="P94" s="39">
        <f>_xll.qlCalendarAdvance(Calendar,P93,O93,"f",,Trigger)</f>
        <v>42244</v>
      </c>
      <c r="Q94" s="39">
        <f>_xll.qlInterestRateIndexValueDate(Index,P94,Trigger)</f>
        <v>42248</v>
      </c>
      <c r="R94" s="39">
        <f>_xll.qlInterestRateIndexMaturity(Index,Q94,Trigger)</f>
        <v>42339</v>
      </c>
      <c r="S94" s="40">
        <f>_xll.qlDayCounterYearFraction(DayCounter,Q94,R94,,,Trigger)</f>
        <v>0.25277777777777777</v>
      </c>
      <c r="T94" s="41">
        <f>_xll.qlIndexFixing(Index,P94,,AllTriggers)</f>
        <v>-5.7185158147249763E-7</v>
      </c>
      <c r="U94" s="42">
        <f>_xll.qlYieldTSDiscount(OisCurve,Q94,,AllTriggers)</f>
        <v>1.0004379312316323</v>
      </c>
      <c r="V94" s="42">
        <f>_xll.qlYieldTSDiscount(OisCurve,R94,,AllTriggers)</f>
        <v>1.0008039973738263</v>
      </c>
      <c r="W94" s="41">
        <f t="shared" si="15"/>
        <v>-1.4470103568120995E-3</v>
      </c>
      <c r="X94" s="43">
        <f t="shared" si="16"/>
        <v>3.6569442195143019E-4</v>
      </c>
      <c r="Y94" s="41">
        <f t="shared" si="17"/>
        <v>1.4464385052306271E-3</v>
      </c>
      <c r="Z94" s="62"/>
    </row>
    <row r="95" spans="15:26" x14ac:dyDescent="0.25">
      <c r="O95" s="43" t="s">
        <v>32</v>
      </c>
      <c r="P95" s="39">
        <f>_xll.qlCalendarAdvance(Calendar,P94,O94,"f",,Trigger)</f>
        <v>42247</v>
      </c>
      <c r="Q95" s="39">
        <f>_xll.qlInterestRateIndexValueDate(Index,P95,Trigger)</f>
        <v>42249</v>
      </c>
      <c r="R95" s="39">
        <f>_xll.qlInterestRateIndexMaturity(Index,Q95,Trigger)</f>
        <v>42340</v>
      </c>
      <c r="S95" s="40">
        <f>_xll.qlDayCounterYearFraction(DayCounter,Q95,R95,,,Trigger)</f>
        <v>0.25277777777777777</v>
      </c>
      <c r="T95" s="41">
        <f>_xll.qlIndexFixing(Index,P95,,AllTriggers)</f>
        <v>-2.3484437528708368E-6</v>
      </c>
      <c r="U95" s="42">
        <f>_xll.qlYieldTSDiscount(OisCurve,Q95,,AllTriggers)</f>
        <v>1.0004419129982944</v>
      </c>
      <c r="V95" s="42">
        <f>_xll.qlYieldTSDiscount(OisCurve,R95,,AllTriggers)</f>
        <v>1.0008083583333038</v>
      </c>
      <c r="W95" s="41">
        <f t="shared" si="15"/>
        <v>-1.4485029433592052E-3</v>
      </c>
      <c r="X95" s="43">
        <f t="shared" si="16"/>
        <v>3.6562276959987348E-4</v>
      </c>
      <c r="Y95" s="41">
        <f t="shared" si="17"/>
        <v>1.4461544996063342E-3</v>
      </c>
      <c r="Z95" s="62"/>
    </row>
    <row r="96" spans="15:26" x14ac:dyDescent="0.25">
      <c r="O96" s="43" t="s">
        <v>32</v>
      </c>
      <c r="P96" s="39">
        <f>_xll.qlCalendarAdvance(Calendar,P95,O95,"f",,Trigger)</f>
        <v>42248</v>
      </c>
      <c r="Q96" s="39">
        <f>_xll.qlInterestRateIndexValueDate(Index,P96,Trigger)</f>
        <v>42250</v>
      </c>
      <c r="R96" s="39">
        <f>_xll.qlInterestRateIndexMaturity(Index,Q96,Trigger)</f>
        <v>42341</v>
      </c>
      <c r="S96" s="40">
        <f>_xll.qlDayCounterYearFraction(DayCounter,Q96,R96,,,Trigger)</f>
        <v>0.25277777777777777</v>
      </c>
      <c r="T96" s="41">
        <f>_xll.qlIndexFixing(Index,P96,,AllTriggers)</f>
        <v>-4.1189622367821592E-6</v>
      </c>
      <c r="U96" s="42">
        <f>_xll.qlYieldTSDiscount(OisCurve,Q96,,AllTriggers)</f>
        <v>1.0004458985450526</v>
      </c>
      <c r="V96" s="42">
        <f>_xll.qlYieldTSDiscount(OisCurve,R96,,AllTriggers)</f>
        <v>1.0008127245244098</v>
      </c>
      <c r="W96" s="41">
        <f t="shared" si="15"/>
        <v>-1.4500012469823539E-3</v>
      </c>
      <c r="X96" s="43">
        <f t="shared" si="16"/>
        <v>3.6555409816371666E-4</v>
      </c>
      <c r="Y96" s="41">
        <f t="shared" si="17"/>
        <v>1.4458822847455716E-3</v>
      </c>
      <c r="Z96" s="62"/>
    </row>
    <row r="97" spans="15:26" x14ac:dyDescent="0.25">
      <c r="O97" s="43" t="s">
        <v>32</v>
      </c>
      <c r="P97" s="39">
        <f>_xll.qlCalendarAdvance(Calendar,P96,O96,"f",,Trigger)</f>
        <v>42249</v>
      </c>
      <c r="Q97" s="39">
        <f>_xll.qlInterestRateIndexValueDate(Index,P97,Trigger)</f>
        <v>42251</v>
      </c>
      <c r="R97" s="39">
        <f>_xll.qlInterestRateIndexMaturity(Index,Q97,Trigger)</f>
        <v>42342</v>
      </c>
      <c r="S97" s="40">
        <f>_xll.qlDayCounterYearFraction(DayCounter,Q97,R97,,,Trigger)</f>
        <v>0.25277777777777777</v>
      </c>
      <c r="T97" s="41">
        <f>_xll.qlIndexFixing(Index,P97,,AllTriggers)</f>
        <v>-5.8799279001808324E-6</v>
      </c>
      <c r="U97" s="42">
        <f>_xll.qlYieldTSDiscount(OisCurve,Q97,,AllTriggers)</f>
        <v>1.0004498879857335</v>
      </c>
      <c r="V97" s="42">
        <f>_xll.qlYieldTSDiscount(OisCurve,R97,,AllTriggers)</f>
        <v>1.0008170959966043</v>
      </c>
      <c r="W97" s="41">
        <f t="shared" si="15"/>
        <v>-1.4515050130808102E-3</v>
      </c>
      <c r="X97" s="43">
        <f t="shared" si="16"/>
        <v>3.6548922271428162E-4</v>
      </c>
      <c r="Y97" s="41">
        <f t="shared" si="17"/>
        <v>1.4456250851806293E-3</v>
      </c>
      <c r="Z97" s="62"/>
    </row>
    <row r="98" spans="15:26" x14ac:dyDescent="0.25">
      <c r="O98" s="43" t="s">
        <v>32</v>
      </c>
      <c r="P98" s="39">
        <f>_xll.qlCalendarAdvance(Calendar,P97,O97,"f",,Trigger)</f>
        <v>42250</v>
      </c>
      <c r="Q98" s="39">
        <f>_xll.qlInterestRateIndexValueDate(Index,P98,Trigger)</f>
        <v>42254</v>
      </c>
      <c r="R98" s="39">
        <f>_xll.qlInterestRateIndexMaturity(Index,Q98,Trigger)</f>
        <v>42345</v>
      </c>
      <c r="S98" s="40">
        <f>_xll.qlDayCounterYearFraction(DayCounter,Q98,R98,,,Trigger)</f>
        <v>0.25277777777777777</v>
      </c>
      <c r="T98" s="41">
        <f>_xll.qlIndexFixing(Index,P98,,AllTriggers)</f>
        <v>-1.1070716751678238E-5</v>
      </c>
      <c r="U98" s="42">
        <f>_xll.qlYieldTSDiscount(OisCurve,Q98,,AllTriggers)</f>
        <v>1.0004618808095969</v>
      </c>
      <c r="V98" s="42">
        <f>_xll.qlYieldTSDiscount(OisCurve,R98,,AllTriggers)</f>
        <v>1.0008302425943356</v>
      </c>
      <c r="W98" s="41">
        <f t="shared" si="15"/>
        <v>-1.4560465402962048E-3</v>
      </c>
      <c r="X98" s="43">
        <f t="shared" si="16"/>
        <v>3.6532552301324117E-4</v>
      </c>
      <c r="Y98" s="41">
        <f t="shared" si="17"/>
        <v>1.4449758235445267E-3</v>
      </c>
      <c r="Z98" s="62"/>
    </row>
    <row r="99" spans="15:26" x14ac:dyDescent="0.25">
      <c r="O99" s="43" t="s">
        <v>32</v>
      </c>
      <c r="P99" s="39">
        <f>_xll.qlCalendarAdvance(Calendar,P98,O98,"f",,Trigger)</f>
        <v>42251</v>
      </c>
      <c r="Q99" s="39">
        <f>_xll.qlInterestRateIndexValueDate(Index,P99,Trigger)</f>
        <v>42255</v>
      </c>
      <c r="R99" s="39">
        <f>_xll.qlInterestRateIndexMaturity(Index,Q99,Trigger)</f>
        <v>42346</v>
      </c>
      <c r="S99" s="40">
        <f>_xll.qlDayCounterYearFraction(DayCounter,Q99,R99,,,Trigger)</f>
        <v>0.25277777777777777</v>
      </c>
      <c r="T99" s="41">
        <f>_xll.qlIndexFixing(Index,P99,,AllTriggers)</f>
        <v>-1.2758679943316929E-5</v>
      </c>
      <c r="U99" s="42">
        <f>_xll.qlYieldTSDiscount(OisCurve,Q99,,AllTriggers)</f>
        <v>1.000465886964264</v>
      </c>
      <c r="V99" s="42">
        <f>_xll.qlYieldTSDiscount(OisCurve,R99,,AllTriggers)</f>
        <v>1.000834635685506</v>
      </c>
      <c r="W99" s="41">
        <f t="shared" si="15"/>
        <v>-1.4575696103574847E-3</v>
      </c>
      <c r="X99" s="43">
        <f t="shared" si="16"/>
        <v>3.6528398223637914E-4</v>
      </c>
      <c r="Y99" s="41">
        <f t="shared" si="17"/>
        <v>1.4448109304141677E-3</v>
      </c>
      <c r="Z99" s="62"/>
    </row>
    <row r="100" spans="15:26" x14ac:dyDescent="0.25">
      <c r="O100" s="43" t="s">
        <v>32</v>
      </c>
      <c r="P100" s="39">
        <f>_xll.qlCalendarAdvance(Calendar,P99,O99,"f",,Trigger)</f>
        <v>42254</v>
      </c>
      <c r="Q100" s="39">
        <f>_xll.qlInterestRateIndexValueDate(Index,P100,Trigger)</f>
        <v>42256</v>
      </c>
      <c r="R100" s="39">
        <f>_xll.qlInterestRateIndexMaturity(Index,Q100,Trigger)</f>
        <v>42347</v>
      </c>
      <c r="S100" s="40">
        <f>_xll.qlDayCounterYearFraction(DayCounter,Q100,R100,,,Trigger)</f>
        <v>0.25277777777777777</v>
      </c>
      <c r="T100" s="41">
        <f>_xll.qlIndexFixing(Index,P100,,AllTriggers)</f>
        <v>-1.4419694747697659E-5</v>
      </c>
      <c r="U100" s="42">
        <f>_xll.qlYieldTSDiscount(OisCurve,Q100,,AllTriggers)</f>
        <v>1.0004698975820108</v>
      </c>
      <c r="V100" s="42">
        <f>_xll.qlYieldTSDiscount(OisCurve,R100,,AllTriggers)</f>
        <v>1.0008390343050804</v>
      </c>
      <c r="W100" s="41">
        <f t="shared" si="15"/>
        <v>-1.459096869925089E-3</v>
      </c>
      <c r="X100" s="43">
        <f t="shared" si="16"/>
        <v>3.6525031280910996E-4</v>
      </c>
      <c r="Y100" s="41">
        <f t="shared" si="17"/>
        <v>1.4446771751773914E-3</v>
      </c>
      <c r="Z100" s="62"/>
    </row>
    <row r="101" spans="15:26" x14ac:dyDescent="0.25">
      <c r="O101" s="43" t="s">
        <v>32</v>
      </c>
      <c r="P101" s="39">
        <f>_xll.qlCalendarAdvance(Calendar,P100,O100,"f",,Trigger)</f>
        <v>42255</v>
      </c>
      <c r="Q101" s="39">
        <f>_xll.qlInterestRateIndexValueDate(Index,P101,Trigger)</f>
        <v>42257</v>
      </c>
      <c r="R101" s="39">
        <f>_xll.qlInterestRateIndexMaturity(Index,Q101,Trigger)</f>
        <v>42348</v>
      </c>
      <c r="S101" s="40">
        <f>_xll.qlDayCounterYearFraction(DayCounter,Q101,R101,,,Trigger)</f>
        <v>0.25277777777777777</v>
      </c>
      <c r="T101" s="41">
        <f>_xll.qlIndexFixing(Index,P101,,AllTriggers)</f>
        <v>-1.6050282067370736E-5</v>
      </c>
      <c r="U101" s="42">
        <f>_xll.qlYieldTSDiscount(OisCurve,Q101,,AllTriggers)</f>
        <v>1.0004739127540443</v>
      </c>
      <c r="V101" s="42">
        <f>_xll.qlYieldTSDiscount(OisCurve,R101,,AllTriggers)</f>
        <v>1.0008434384873424</v>
      </c>
      <c r="W101" s="41">
        <f t="shared" si="15"/>
        <v>-1.4606280938665773E-3</v>
      </c>
      <c r="X101" s="43">
        <f t="shared" si="16"/>
        <v>3.6522533725357918E-4</v>
      </c>
      <c r="Y101" s="41">
        <f t="shared" si="17"/>
        <v>1.4445778117992067E-3</v>
      </c>
      <c r="Z101" s="62"/>
    </row>
    <row r="102" spans="15:26" x14ac:dyDescent="0.25">
      <c r="O102" s="43" t="s">
        <v>32</v>
      </c>
      <c r="P102" s="39">
        <f>_xll.qlCalendarAdvance(Calendar,P101,O101,"f",,Trigger)</f>
        <v>42256</v>
      </c>
      <c r="Q102" s="39">
        <f>_xll.qlInterestRateIndexValueDate(Index,P102,Trigger)</f>
        <v>42258</v>
      </c>
      <c r="R102" s="39">
        <f>_xll.qlInterestRateIndexMaturity(Index,Q102,Trigger)</f>
        <v>42349</v>
      </c>
      <c r="S102" s="40">
        <f>_xll.qlDayCounterYearFraction(DayCounter,Q102,R102,,,Trigger)</f>
        <v>0.25277777777777777</v>
      </c>
      <c r="T102" s="41">
        <f>_xll.qlIndexFixing(Index,P102,,AllTriggers)</f>
        <v>-1.7646962811913814E-5</v>
      </c>
      <c r="U102" s="42">
        <f>_xll.qlYieldTSDiscount(OisCurve,Q102,,AllTriggers)</f>
        <v>1.0004779324810478</v>
      </c>
      <c r="V102" s="42">
        <f>_xll.qlYieldTSDiscount(OisCurve,R102,,AllTriggers)</f>
        <v>1.0008478482058458</v>
      </c>
      <c r="W102" s="41">
        <f t="shared" si="15"/>
        <v>-1.4621631749086388E-3</v>
      </c>
      <c r="X102" s="43">
        <f t="shared" si="16"/>
        <v>3.6520990789484423E-4</v>
      </c>
      <c r="Y102" s="41">
        <f t="shared" si="17"/>
        <v>1.444516212096725E-3</v>
      </c>
      <c r="Z102" s="62"/>
    </row>
    <row r="103" spans="15:26" x14ac:dyDescent="0.25">
      <c r="O103" s="43" t="s">
        <v>32</v>
      </c>
      <c r="P103" s="39">
        <f>_xll.qlCalendarAdvance(Calendar,P102,O102,"f",,Trigger)</f>
        <v>42257</v>
      </c>
      <c r="Q103" s="39">
        <f>_xll.qlInterestRateIndexValueDate(Index,P103,Trigger)</f>
        <v>42261</v>
      </c>
      <c r="R103" s="39">
        <f>_xll.qlInterestRateIndexMaturity(Index,Q103,Trigger)</f>
        <v>42352</v>
      </c>
      <c r="S103" s="40">
        <f>_xll.qlDayCounterYearFraction(DayCounter,Q103,R103,,,Trigger)</f>
        <v>0.25277777777777777</v>
      </c>
      <c r="T103" s="41">
        <f>_xll.qlIndexFixing(Index,P103,,AllTriggers)</f>
        <v>-2.2198774740609407E-5</v>
      </c>
      <c r="U103" s="42">
        <f>_xll.qlYieldTSDiscount(OisCurve,Q103,,AllTriggers)</f>
        <v>1.0004900187724006</v>
      </c>
      <c r="V103" s="42">
        <f>_xll.qlYieldTSDiscount(OisCurve,R103,,AllTriggers)</f>
        <v>1.0008611101625118</v>
      </c>
      <c r="W103" s="41">
        <f t="shared" si="15"/>
        <v>-1.4667907825402352E-3</v>
      </c>
      <c r="X103" s="43">
        <f t="shared" si="16"/>
        <v>3.6522949475888101E-4</v>
      </c>
      <c r="Y103" s="41">
        <f t="shared" si="17"/>
        <v>1.4445920077996259E-3</v>
      </c>
      <c r="Z103" s="62"/>
    </row>
    <row r="104" spans="15:26" x14ac:dyDescent="0.25">
      <c r="O104" s="43" t="s">
        <v>32</v>
      </c>
      <c r="P104" s="39">
        <f>_xll.qlCalendarAdvance(Calendar,P103,O103,"f",,Trigger)</f>
        <v>42258</v>
      </c>
      <c r="Q104" s="39">
        <f>_xll.qlInterestRateIndexValueDate(Index,P104,Trigger)</f>
        <v>42262</v>
      </c>
      <c r="R104" s="39">
        <f>_xll.qlInterestRateIndexMaturity(Index,Q104,Trigger)</f>
        <v>42353</v>
      </c>
      <c r="S104" s="40">
        <f>_xll.qlDayCounterYearFraction(DayCounter,Q104,R104,,,Trigger)</f>
        <v>0.25277777777777777</v>
      </c>
      <c r="T104" s="41">
        <f>_xll.qlIndexFixing(Index,P104,,AllTriggers)</f>
        <v>-2.3625038355074564E-5</v>
      </c>
      <c r="U104" s="42">
        <f>_xll.qlYieldTSDiscount(OisCurve,Q104,,AllTriggers)</f>
        <v>1.0004940564998053</v>
      </c>
      <c r="V104" s="42">
        <f>_xll.qlYieldTSDiscount(OisCurve,R104,,AllTriggers)</f>
        <v>1.0008655416096841</v>
      </c>
      <c r="W104" s="41">
        <f t="shared" si="15"/>
        <v>-1.468340513884367E-3</v>
      </c>
      <c r="X104" s="43">
        <f t="shared" si="16"/>
        <v>3.6526084794518581E-4</v>
      </c>
      <c r="Y104" s="41">
        <f t="shared" si="17"/>
        <v>1.4447154755292924E-3</v>
      </c>
      <c r="Z104" s="62"/>
    </row>
    <row r="105" spans="15:26" x14ac:dyDescent="0.25">
      <c r="O105" s="43" t="s">
        <v>32</v>
      </c>
      <c r="P105" s="39">
        <f>_xll.qlCalendarAdvance(Calendar,P104,O104,"f",,Trigger)</f>
        <v>42261</v>
      </c>
      <c r="Q105" s="39">
        <f>_xll.qlInterestRateIndexValueDate(Index,P105,Trigger)</f>
        <v>42263</v>
      </c>
      <c r="R105" s="39">
        <f>_xll.qlInterestRateIndexMaturity(Index,Q105,Trigger)</f>
        <v>42354</v>
      </c>
      <c r="S105" s="40">
        <f>_xll.qlDayCounterYearFraction(DayCounter,Q105,R105,,,Trigger)</f>
        <v>0.25277777777777777</v>
      </c>
      <c r="T105" s="41">
        <f>_xll.qlIndexFixing(Index,P105,,AllTriggers)</f>
        <v>-2.4999999999834376E-5</v>
      </c>
      <c r="U105" s="42">
        <f>_xll.qlYieldTSDiscount(OisCurve,Q105,,AllTriggers)</f>
        <v>1.0004980986724394</v>
      </c>
      <c r="V105" s="42">
        <f>_xll.qlYieldTSDiscount(OisCurve,R105,,AllTriggers)</f>
        <v>1.0008699783849466</v>
      </c>
      <c r="W105" s="41">
        <f t="shared" si="15"/>
        <v>-1.4698937132807178E-3</v>
      </c>
      <c r="X105" s="43">
        <f t="shared" si="16"/>
        <v>3.6530604620747223E-4</v>
      </c>
      <c r="Y105" s="41">
        <f t="shared" si="17"/>
        <v>1.4448937132808834E-3</v>
      </c>
      <c r="Z105" s="62"/>
    </row>
    <row r="106" spans="15:26" x14ac:dyDescent="0.25">
      <c r="O106" s="43" t="s">
        <v>32</v>
      </c>
      <c r="P106" s="39">
        <f>_xll.qlCalendarAdvance(Calendar,P105,O105,"f",,Trigger)</f>
        <v>42262</v>
      </c>
      <c r="Q106" s="39">
        <f>_xll.qlInterestRateIndexValueDate(Index,P106,Trigger)</f>
        <v>42264</v>
      </c>
      <c r="R106" s="39">
        <f>_xll.qlInterestRateIndexMaturity(Index,Q106,Trigger)</f>
        <v>42355</v>
      </c>
      <c r="S106" s="40">
        <f>_xll.qlDayCounterYearFraction(DayCounter,Q106,R106,,,Trigger)</f>
        <v>0.25277777777777777</v>
      </c>
      <c r="T106" s="41">
        <f>_xll.qlIndexFixing(Index,P106,,AllTriggers)</f>
        <v>-2.6319385984037087E-5</v>
      </c>
      <c r="U106" s="42">
        <f>_xll.qlYieldTSDiscount(OisCurve,Q106,,AllTriggers)</f>
        <v>1.000502145268354</v>
      </c>
      <c r="V106" s="42">
        <f>_xll.qlYieldTSDiscount(OisCurve,R106,,AllTriggers)</f>
        <v>1.000874420446666</v>
      </c>
      <c r="W106" s="41">
        <f t="shared" si="15"/>
        <v>-1.471450302915049E-3</v>
      </c>
      <c r="X106" s="43">
        <f t="shared" si="16"/>
        <v>3.6536615018442468E-4</v>
      </c>
      <c r="Y106" s="41">
        <f t="shared" si="17"/>
        <v>1.4451309169310118E-3</v>
      </c>
      <c r="Z106" s="62"/>
    </row>
    <row r="107" spans="15:26" x14ac:dyDescent="0.25">
      <c r="O107" s="43" t="s">
        <v>32</v>
      </c>
      <c r="P107" s="39">
        <f>_xll.qlCalendarAdvance(Calendar,P106,O106,"f",,Trigger)</f>
        <v>42263</v>
      </c>
      <c r="Q107" s="39">
        <f>_xll.qlInterestRateIndexValueDate(Index,P107,Trigger)</f>
        <v>42265</v>
      </c>
      <c r="R107" s="39">
        <f>_xll.qlInterestRateIndexMaturity(Index,Q107,Trigger)</f>
        <v>42356</v>
      </c>
      <c r="S107" s="40">
        <f>_xll.qlDayCounterYearFraction(DayCounter,Q107,R107,,,Trigger)</f>
        <v>0.25277777777777777</v>
      </c>
      <c r="T107" s="41">
        <f>_xll.qlIndexFixing(Index,P107,,AllTriggers)</f>
        <v>-2.7584763461122683E-5</v>
      </c>
      <c r="U107" s="42">
        <f>_xll.qlYieldTSDiscount(OisCurve,Q107,,AllTriggers)</f>
        <v>1.0005061962655994</v>
      </c>
      <c r="V107" s="42">
        <f>_xll.qlYieldTSDiscount(OisCurve,R107,,AllTriggers)</f>
        <v>1.0008788677532099</v>
      </c>
      <c r="W107" s="41">
        <f t="shared" si="15"/>
        <v>-1.4730102049819063E-3</v>
      </c>
      <c r="X107" s="43">
        <f t="shared" si="16"/>
        <v>3.654407440718403E-4</v>
      </c>
      <c r="Y107" s="41">
        <f t="shared" si="17"/>
        <v>1.4454254415207837E-3</v>
      </c>
      <c r="Z107" s="62"/>
    </row>
    <row r="108" spans="15:26" x14ac:dyDescent="0.25">
      <c r="O108" s="43" t="s">
        <v>32</v>
      </c>
      <c r="P108" s="39">
        <f>_xll.qlCalendarAdvance(Calendar,P107,O107,"f",,Trigger)</f>
        <v>42264</v>
      </c>
      <c r="Q108" s="39">
        <f>_xll.qlInterestRateIndexValueDate(Index,P108,Trigger)</f>
        <v>42268</v>
      </c>
      <c r="R108" s="39">
        <f>_xll.qlInterestRateIndexMaturity(Index,Q108,Trigger)</f>
        <v>42359</v>
      </c>
      <c r="S108" s="40">
        <f>_xll.qlDayCounterYearFraction(DayCounter,Q108,R108,,,Trigger)</f>
        <v>0.25277777777777777</v>
      </c>
      <c r="T108" s="41">
        <f>_xll.qlIndexFixing(Index,P108,,AllTriggers)</f>
        <v>-3.1089090734320563E-5</v>
      </c>
      <c r="U108" s="42">
        <f>_xll.qlYieldTSDiscount(OisCurve,Q108,,AllTriggers)</f>
        <v>1.0005183754458238</v>
      </c>
      <c r="V108" s="42">
        <f>_xll.qlYieldTSDiscount(OisCurve,R108,,AllTriggers)</f>
        <v>1.0008922407254486</v>
      </c>
      <c r="W108" s="41">
        <f t="shared" si="15"/>
        <v>-1.477709007677413E-3</v>
      </c>
      <c r="X108" s="43">
        <f t="shared" si="16"/>
        <v>3.6574311746934477E-4</v>
      </c>
      <c r="Y108" s="41">
        <f t="shared" si="17"/>
        <v>1.4466199169430923E-3</v>
      </c>
      <c r="Z108" s="62"/>
    </row>
    <row r="109" spans="15:26" x14ac:dyDescent="0.25">
      <c r="O109" s="43" t="s">
        <v>32</v>
      </c>
      <c r="P109" s="39">
        <f>_xll.qlCalendarAdvance(Calendar,P108,O108,"f",,Trigger)</f>
        <v>42265</v>
      </c>
      <c r="Q109" s="39">
        <f>_xll.qlInterestRateIndexValueDate(Index,P109,Trigger)</f>
        <v>42269</v>
      </c>
      <c r="R109" s="39">
        <f>_xll.qlInterestRateIndexMaturity(Index,Q109,Trigger)</f>
        <v>42360</v>
      </c>
      <c r="S109" s="40">
        <f>_xll.qlDayCounterYearFraction(DayCounter,Q109,R109,,,Trigger)</f>
        <v>0.25277777777777777</v>
      </c>
      <c r="T109" s="41">
        <f>_xll.qlIndexFixing(Index,P109,,AllTriggers)</f>
        <v>-3.2162241923771422E-5</v>
      </c>
      <c r="U109" s="42">
        <f>_xll.qlYieldTSDiscount(OisCurve,Q109,,AllTriggers)</f>
        <v>1.000522443828894</v>
      </c>
      <c r="V109" s="42">
        <f>_xll.qlYieldTSDiscount(OisCurve,R109,,AllTriggers)</f>
        <v>1.0008967085949469</v>
      </c>
      <c r="W109" s="41">
        <f t="shared" si="15"/>
        <v>-1.4792813813750312E-3</v>
      </c>
      <c r="X109" s="43">
        <f t="shared" si="16"/>
        <v>3.6586945625582555E-4</v>
      </c>
      <c r="Y109" s="41">
        <f t="shared" si="17"/>
        <v>1.4471191394512598E-3</v>
      </c>
      <c r="Z109" s="62"/>
    </row>
    <row r="110" spans="15:26" x14ac:dyDescent="0.25">
      <c r="O110" s="43" t="s">
        <v>32</v>
      </c>
      <c r="P110" s="39">
        <f>_xll.qlCalendarAdvance(Calendar,P109,O109,"f",,Trigger)</f>
        <v>42268</v>
      </c>
      <c r="Q110" s="39">
        <f>_xll.qlInterestRateIndexValueDate(Index,P110,Trigger)</f>
        <v>42270</v>
      </c>
      <c r="R110" s="39">
        <f>_xll.qlInterestRateIndexMaturity(Index,Q110,Trigger)</f>
        <v>42361</v>
      </c>
      <c r="S110" s="40">
        <f>_xll.qlDayCounterYearFraction(DayCounter,Q110,R110,,,Trigger)</f>
        <v>0.25277777777777777</v>
      </c>
      <c r="T110" s="41">
        <f>_xll.qlIndexFixing(Index,P110,,AllTriggers)</f>
        <v>-3.3189069398687667E-5</v>
      </c>
      <c r="U110" s="42">
        <f>_xll.qlYieldTSDiscount(OisCurve,Q110,,AllTriggers)</f>
        <v>1.0005265165035442</v>
      </c>
      <c r="V110" s="42">
        <f>_xll.qlYieldTSDiscount(OisCurve,R110,,AllTriggers)</f>
        <v>1.0009011815010953</v>
      </c>
      <c r="W110" s="41">
        <f t="shared" si="15"/>
        <v>-1.4808566784590179E-3</v>
      </c>
      <c r="X110" s="43">
        <f t="shared" si="16"/>
        <v>3.6600824407483627E-4</v>
      </c>
      <c r="Y110" s="41">
        <f t="shared" si="17"/>
        <v>1.4476676090603303E-3</v>
      </c>
      <c r="Z110" s="62"/>
    </row>
    <row r="111" spans="15:26" x14ac:dyDescent="0.25">
      <c r="O111" s="43" t="s">
        <v>32</v>
      </c>
      <c r="P111" s="39">
        <f>_xll.qlCalendarAdvance(Calendar,P110,O110,"f",,Trigger)</f>
        <v>42269</v>
      </c>
      <c r="Q111" s="39">
        <f>_xll.qlInterestRateIndexValueDate(Index,P111,Trigger)</f>
        <v>42271</v>
      </c>
      <c r="R111" s="39">
        <f>_xll.qlInterestRateIndexMaturity(Index,Q111,Trigger)</f>
        <v>42362</v>
      </c>
      <c r="S111" s="40">
        <f>_xll.qlDayCounterYearFraction(DayCounter,Q111,R111,,,Trigger)</f>
        <v>0.25277777777777777</v>
      </c>
      <c r="T111" s="41">
        <f>_xll.qlIndexFixing(Index,P111,,AllTriggers)</f>
        <v>-3.4170266296484897E-5</v>
      </c>
      <c r="U111" s="42">
        <f>_xll.qlYieldTSDiscount(OisCurve,Q111,,AllTriggers)</f>
        <v>1.0005305934478232</v>
      </c>
      <c r="V111" s="42">
        <f>_xll.qlYieldTSDiscount(OisCurve,R111,,AllTriggers)</f>
        <v>1.0009056594022561</v>
      </c>
      <c r="W111" s="41">
        <f t="shared" si="15"/>
        <v>-1.4824348211177692E-3</v>
      </c>
      <c r="X111" s="43">
        <f t="shared" si="16"/>
        <v>3.6615928604827823E-4</v>
      </c>
      <c r="Y111" s="41">
        <f t="shared" si="17"/>
        <v>1.4482645548212843E-3</v>
      </c>
      <c r="Z111" s="62"/>
    </row>
    <row r="112" spans="15:26" x14ac:dyDescent="0.25">
      <c r="O112" s="43" t="s">
        <v>32</v>
      </c>
      <c r="P112" s="39">
        <f>_xll.qlCalendarAdvance(Calendar,P111,O111,"f",,Trigger)</f>
        <v>42270</v>
      </c>
      <c r="Q112" s="39">
        <f>_xll.qlInterestRateIndexValueDate(Index,P112,Trigger)</f>
        <v>42272</v>
      </c>
      <c r="R112" s="39">
        <f>_xll.qlInterestRateIndexMaturity(Index,Q112,Trigger)</f>
        <v>42366</v>
      </c>
      <c r="S112" s="40">
        <f>_xll.qlDayCounterYearFraction(DayCounter,Q112,R112,,,Trigger)</f>
        <v>0.26111111111111113</v>
      </c>
      <c r="T112" s="41">
        <f>_xll.qlIndexFixing(Index,P112,,AllTriggers)</f>
        <v>-3.5335848783183623E-5</v>
      </c>
      <c r="U112" s="42">
        <f>_xll.qlYieldTSDiscount(OisCurve,Q112,,AllTriggers)</f>
        <v>1.0005346746397796</v>
      </c>
      <c r="V112" s="42">
        <f>_xll.qlYieldTSDiscount(OisCurve,R112,,AllTriggers)</f>
        <v>1.0009236201242628</v>
      </c>
      <c r="W112" s="41">
        <f t="shared" si="15"/>
        <v>-1.4882039161265232E-3</v>
      </c>
      <c r="X112" s="43">
        <f t="shared" si="16"/>
        <v>3.7943547212551399E-4</v>
      </c>
      <c r="Y112" s="41">
        <f t="shared" si="17"/>
        <v>1.4528680673433396E-3</v>
      </c>
      <c r="Z112" s="62"/>
    </row>
    <row r="113" spans="15:26" x14ac:dyDescent="0.25">
      <c r="O113" s="43" t="s">
        <v>32</v>
      </c>
      <c r="P113" s="39">
        <f>_xll.qlCalendarAdvance(Calendar,P112,O112,"f",,Trigger)</f>
        <v>42271</v>
      </c>
      <c r="Q113" s="39">
        <f>_xll.qlInterestRateIndexValueDate(Index,P113,Trigger)</f>
        <v>42275</v>
      </c>
      <c r="R113" s="39">
        <f>_xll.qlInterestRateIndexMaturity(Index,Q113,Trigger)</f>
        <v>42366</v>
      </c>
      <c r="S113" s="40">
        <f>_xll.qlDayCounterYearFraction(DayCounter,Q113,R113,,,Trigger)</f>
        <v>0.25277777777777777</v>
      </c>
      <c r="T113" s="41">
        <f>_xll.qlIndexFixing(Index,P113,,AllTriggers)</f>
        <v>-3.7652610803306335E-5</v>
      </c>
      <c r="U113" s="42">
        <f>_xll.qlYieldTSDiscount(OisCurve,Q113,,AllTriggers)</f>
        <v>1.0005469434821945</v>
      </c>
      <c r="V113" s="42">
        <f>_xll.qlYieldTSDiscount(OisCurve,R113,,AllTriggers)</f>
        <v>1.0009236201242628</v>
      </c>
      <c r="W113" s="41">
        <f t="shared" si="15"/>
        <v>-1.4887742913412653E-3</v>
      </c>
      <c r="X113" s="43">
        <f t="shared" si="16"/>
        <v>3.6688209794769224E-4</v>
      </c>
      <c r="Y113" s="41">
        <f t="shared" si="17"/>
        <v>1.451121680537959E-3</v>
      </c>
      <c r="Z113" s="62"/>
    </row>
    <row r="114" spans="15:26" x14ac:dyDescent="0.25">
      <c r="O114" s="43" t="s">
        <v>32</v>
      </c>
      <c r="P114" s="39">
        <f>_xll.qlCalendarAdvance(Calendar,P113,O113,"f",,Trigger)</f>
        <v>42272</v>
      </c>
      <c r="Q114" s="39">
        <f>_xll.qlInterestRateIndexValueDate(Index,P114,Trigger)</f>
        <v>42276</v>
      </c>
      <c r="R114" s="39">
        <f>_xll.qlInterestRateIndexMaturity(Index,Q114,Trigger)</f>
        <v>42367</v>
      </c>
      <c r="S114" s="40">
        <f>_xll.qlDayCounterYearFraction(DayCounter,Q114,R114,,,Trigger)</f>
        <v>0.25277777777777777</v>
      </c>
      <c r="T114" s="41">
        <f>_xll.qlIndexFixing(Index,P114,,AllTriggers)</f>
        <v>-3.8416051809543437E-5</v>
      </c>
      <c r="U114" s="42">
        <f>_xll.qlYieldTSDiscount(OisCurve,Q114,,AllTriggers)</f>
        <v>1.0005510414453405</v>
      </c>
      <c r="V114" s="42">
        <f>_xll.qlYieldTSDiscount(OisCurve,R114,,AllTriggers)</f>
        <v>1.0009281223759088</v>
      </c>
      <c r="W114" s="41">
        <f t="shared" si="15"/>
        <v>-1.4903654947503002E-3</v>
      </c>
      <c r="X114" s="43">
        <f t="shared" si="16"/>
        <v>3.6709148753856253E-4</v>
      </c>
      <c r="Y114" s="41">
        <f t="shared" si="17"/>
        <v>1.4519494429407567E-3</v>
      </c>
      <c r="Z114" s="62"/>
    </row>
    <row r="115" spans="15:26" x14ac:dyDescent="0.25">
      <c r="O115" s="43" t="s">
        <v>32</v>
      </c>
      <c r="P115" s="39">
        <f>_xll.qlCalendarAdvance(Calendar,P114,O114,"f",,Trigger)</f>
        <v>42275</v>
      </c>
      <c r="Q115" s="39">
        <f>_xll.qlInterestRateIndexValueDate(Index,P115,Trigger)</f>
        <v>42277</v>
      </c>
      <c r="R115" s="39">
        <f>_xll.qlInterestRateIndexMaturity(Index,Q115,Trigger)</f>
        <v>42369</v>
      </c>
      <c r="S115" s="40">
        <f>_xll.qlDayCounterYearFraction(DayCounter,Q115,R115,,,Trigger)</f>
        <v>0.25555555555555554</v>
      </c>
      <c r="T115" s="41">
        <f>_xll.qlIndexFixing(Index,P115,,AllTriggers)</f>
        <v>-3.9134888291296647E-5</v>
      </c>
      <c r="U115" s="42">
        <f>_xll.qlYieldTSDiscount(OisCurve,Q115,,AllTriggers)</f>
        <v>1.000555143546402</v>
      </c>
      <c r="V115" s="42">
        <f>_xll.qlYieldTSDiscount(OisCurve,R115,,AllTriggers)</f>
        <v>1.0009371410730887</v>
      </c>
      <c r="W115" s="41">
        <f t="shared" si="15"/>
        <v>-1.4933734289357887E-3</v>
      </c>
      <c r="X115" s="43">
        <f t="shared" si="16"/>
        <v>3.7171153118442527E-4</v>
      </c>
      <c r="Y115" s="41">
        <f t="shared" si="17"/>
        <v>1.4542385406444921E-3</v>
      </c>
      <c r="Z115" s="62"/>
    </row>
    <row r="116" spans="15:26" x14ac:dyDescent="0.25">
      <c r="O116" s="43" t="s">
        <v>32</v>
      </c>
      <c r="P116" s="39">
        <f>_xll.qlCalendarAdvance(Calendar,P115,O115,"f",,Trigger)</f>
        <v>42276</v>
      </c>
      <c r="Q116" s="39">
        <f>_xll.qlInterestRateIndexValueDate(Index,P116,Trigger)</f>
        <v>42278</v>
      </c>
      <c r="R116" s="39">
        <f>_xll.qlInterestRateIndexMaturity(Index,Q116,Trigger)</f>
        <v>42373</v>
      </c>
      <c r="S116" s="40">
        <f>_xll.qlDayCounterYearFraction(DayCounter,Q116,R116,,,Trigger)</f>
        <v>0.2638888888888889</v>
      </c>
      <c r="T116" s="41">
        <f>_xll.qlIndexFixing(Index,P116,,AllTriggers)</f>
        <v>-3.9693247241909692E-5</v>
      </c>
      <c r="U116" s="42">
        <f>_xll.qlYieldTSDiscount(OisCurve,Q116,,AllTriggers)</f>
        <v>1.000555047414577</v>
      </c>
      <c r="V116" s="42">
        <f>_xll.qlYieldTSDiscount(OisCurve,R116,,AllTriggers)</f>
        <v>1.0009385181246024</v>
      </c>
      <c r="W116" s="41">
        <f t="shared" si="15"/>
        <v>-1.4517896334229619E-3</v>
      </c>
      <c r="X116" s="43">
        <f t="shared" si="16"/>
        <v>3.7270989732114185E-4</v>
      </c>
      <c r="Y116" s="41">
        <f t="shared" si="17"/>
        <v>1.4120963861810523E-3</v>
      </c>
      <c r="Z116" s="62"/>
    </row>
    <row r="117" spans="15:26" x14ac:dyDescent="0.25">
      <c r="O117" s="43" t="s">
        <v>32</v>
      </c>
      <c r="P117" s="39">
        <f>_xll.qlCalendarAdvance(Calendar,P116,O116,"f",,Trigger)</f>
        <v>42277</v>
      </c>
      <c r="Q117" s="39">
        <f>_xll.qlInterestRateIndexValueDate(Index,P117,Trigger)</f>
        <v>42279</v>
      </c>
      <c r="R117" s="39">
        <f>_xll.qlInterestRateIndexMaturity(Index,Q117,Trigger)</f>
        <v>42373</v>
      </c>
      <c r="S117" s="40">
        <f>_xll.qlDayCounterYearFraction(DayCounter,Q117,R117,,,Trigger)</f>
        <v>0.26111111111111113</v>
      </c>
      <c r="T117" s="41">
        <f>_xll.qlIndexFixing(Index,P117,,AllTriggers)</f>
        <v>-4.0331622755135706E-5</v>
      </c>
      <c r="U117" s="42">
        <f>_xll.qlYieldTSDiscount(OisCurve,Q117,,AllTriggers)</f>
        <v>1.0005591577083468</v>
      </c>
      <c r="V117" s="42">
        <f>_xll.qlYieldTSDiscount(OisCurve,R117,,AllTriggers)</f>
        <v>1.0009385181246024</v>
      </c>
      <c r="W117" s="41">
        <f t="shared" si="15"/>
        <v>-1.4515074132615934E-3</v>
      </c>
      <c r="X117" s="43">
        <f t="shared" si="16"/>
        <v>3.685454636194793E-4</v>
      </c>
      <c r="Y117" s="41">
        <f t="shared" si="17"/>
        <v>1.4111757905064578E-3</v>
      </c>
      <c r="Z117" s="62"/>
    </row>
    <row r="118" spans="15:26" x14ac:dyDescent="0.25">
      <c r="O118" s="43" t="s">
        <v>32</v>
      </c>
      <c r="P118" s="39">
        <f>_xll.qlCalendarAdvance(Calendar,P117,O117,"f",,Trigger)</f>
        <v>42278</v>
      </c>
      <c r="Q118" s="39">
        <f>_xll.qlInterestRateIndexValueDate(Index,P118,Trigger)</f>
        <v>42282</v>
      </c>
      <c r="R118" s="39">
        <f>_xll.qlInterestRateIndexMaturity(Index,Q118,Trigger)</f>
        <v>42374</v>
      </c>
      <c r="S118" s="40">
        <f>_xll.qlDayCounterYearFraction(DayCounter,Q118,R118,,,Trigger)</f>
        <v>0.25555555555555554</v>
      </c>
      <c r="T118" s="41">
        <f>_xll.qlIndexFixing(Index,P118,,AllTriggers)</f>
        <v>-4.2070998445432948E-5</v>
      </c>
      <c r="U118" s="42">
        <f>_xll.qlYieldTSDiscount(OisCurve,Q118,,AllTriggers)</f>
        <v>1.0005715129340664</v>
      </c>
      <c r="V118" s="42">
        <f>_xll.qlYieldTSDiscount(OisCurve,R118,,AllTriggers)</f>
        <v>1.0009430526422578</v>
      </c>
      <c r="W118" s="41">
        <f t="shared" si="15"/>
        <v>-1.4524812657575833E-3</v>
      </c>
      <c r="X118" s="43">
        <f t="shared" si="16"/>
        <v>3.6050702955980668E-4</v>
      </c>
      <c r="Y118" s="41">
        <f t="shared" si="17"/>
        <v>1.4104102673121502E-3</v>
      </c>
      <c r="Z118" s="62"/>
    </row>
    <row r="119" spans="15:26" x14ac:dyDescent="0.25">
      <c r="O119" s="43" t="s">
        <v>32</v>
      </c>
      <c r="P119" s="39">
        <f>_xll.qlCalendarAdvance(Calendar,P118,O118,"f",,Trigger)</f>
        <v>42279</v>
      </c>
      <c r="Q119" s="39">
        <f>_xll.qlInterestRateIndexValueDate(Index,P119,Trigger)</f>
        <v>42283</v>
      </c>
      <c r="R119" s="39">
        <f>_xll.qlInterestRateIndexMaturity(Index,Q119,Trigger)</f>
        <v>42375</v>
      </c>
      <c r="S119" s="40">
        <f>_xll.qlDayCounterYearFraction(DayCounter,Q119,R119,,,Trigger)</f>
        <v>0.25555555555555554</v>
      </c>
      <c r="T119" s="41">
        <f>_xll.qlIndexFixing(Index,P119,,AllTriggers)</f>
        <v>-4.2545225569958965E-5</v>
      </c>
      <c r="U119" s="42">
        <f>_xll.qlYieldTSDiscount(OisCurve,Q119,,AllTriggers)</f>
        <v>1.000575639384262</v>
      </c>
      <c r="V119" s="42">
        <f>_xll.qlYieldTSDiscount(OisCurve,R119,,AllTriggers)</f>
        <v>1.0009475916135091</v>
      </c>
      <c r="W119" s="41">
        <f t="shared" si="15"/>
        <v>-1.4540873638885956E-3</v>
      </c>
      <c r="X119" s="43">
        <f t="shared" si="16"/>
        <v>3.6079643666791285E-4</v>
      </c>
      <c r="Y119" s="41">
        <f t="shared" si="17"/>
        <v>1.4115421383186367E-3</v>
      </c>
      <c r="Z119" s="62"/>
    </row>
    <row r="120" spans="15:26" x14ac:dyDescent="0.25">
      <c r="O120" s="43" t="s">
        <v>32</v>
      </c>
      <c r="P120" s="39">
        <f>_xll.qlCalendarAdvance(Calendar,P119,O119,"f",,Trigger)</f>
        <v>42282</v>
      </c>
      <c r="Q120" s="39">
        <f>_xll.qlInterestRateIndexValueDate(Index,P120,Trigger)</f>
        <v>42284</v>
      </c>
      <c r="R120" s="39">
        <f>_xll.qlInterestRateIndexMaturity(Index,Q120,Trigger)</f>
        <v>42376</v>
      </c>
      <c r="S120" s="40">
        <f>_xll.qlDayCounterYearFraction(DayCounter,Q120,R120,,,Trigger)</f>
        <v>0.25555555555555554</v>
      </c>
      <c r="T120" s="41">
        <f>_xll.qlIndexFixing(Index,P120,,AllTriggers)</f>
        <v>-4.2983387415026449E-5</v>
      </c>
      <c r="U120" s="42">
        <f>_xll.qlYieldTSDiscount(OisCurve,Q120,,AllTriggers)</f>
        <v>1.0005797698186774</v>
      </c>
      <c r="V120" s="42">
        <f>_xll.qlYieldTSDiscount(OisCurve,R120,,AllTriggers)</f>
        <v>1.0009521349967105</v>
      </c>
      <c r="W120" s="41">
        <f t="shared" si="15"/>
        <v>-1.4556951131723009E-3</v>
      </c>
      <c r="X120" s="43">
        <f t="shared" si="16"/>
        <v>3.6109548283217666E-4</v>
      </c>
      <c r="Y120" s="41">
        <f t="shared" si="17"/>
        <v>1.4127117257572745E-3</v>
      </c>
      <c r="Z120" s="62"/>
    </row>
    <row r="121" spans="15:26" x14ac:dyDescent="0.25">
      <c r="O121" s="43" t="s">
        <v>32</v>
      </c>
      <c r="P121" s="39">
        <f>_xll.qlCalendarAdvance(Calendar,P120,O120,"f",,Trigger)</f>
        <v>42283</v>
      </c>
      <c r="Q121" s="39">
        <f>_xll.qlInterestRateIndexValueDate(Index,P121,Trigger)</f>
        <v>42285</v>
      </c>
      <c r="R121" s="39">
        <f>_xll.qlInterestRateIndexMaturity(Index,Q121,Trigger)</f>
        <v>42377</v>
      </c>
      <c r="S121" s="40">
        <f>_xll.qlDayCounterYearFraction(DayCounter,Q121,R121,,,Trigger)</f>
        <v>0.25555555555555554</v>
      </c>
      <c r="T121" s="41">
        <f>_xll.qlIndexFixing(Index,P121,,AllTriggers)</f>
        <v>-4.3386169559620299E-5</v>
      </c>
      <c r="U121" s="42">
        <f>_xll.qlYieldTSDiscount(OisCurve,Q121,,AllTriggers)</f>
        <v>1.0005839042153568</v>
      </c>
      <c r="V121" s="42">
        <f>_xll.qlYieldTSDiscount(OisCurve,R121,,AllTriggers)</f>
        <v>1.0009566827502154</v>
      </c>
      <c r="W121" s="41">
        <f t="shared" si="15"/>
        <v>-1.4573044366476527E-3</v>
      </c>
      <c r="X121" s="43">
        <f t="shared" si="16"/>
        <v>3.6140397317543569E-4</v>
      </c>
      <c r="Y121" s="41">
        <f t="shared" si="17"/>
        <v>1.4139182670880324E-3</v>
      </c>
      <c r="Z121" s="62"/>
    </row>
    <row r="122" spans="15:26" x14ac:dyDescent="0.25">
      <c r="O122" s="43" t="s">
        <v>32</v>
      </c>
      <c r="P122" s="39">
        <f>_xll.qlCalendarAdvance(Calendar,P121,O121,"f",,Trigger)</f>
        <v>42284</v>
      </c>
      <c r="Q122" s="39">
        <f>_xll.qlInterestRateIndexValueDate(Index,P122,Trigger)</f>
        <v>42286</v>
      </c>
      <c r="R122" s="39">
        <f>_xll.qlInterestRateIndexMaturity(Index,Q122,Trigger)</f>
        <v>42380</v>
      </c>
      <c r="S122" s="40">
        <f>_xll.qlDayCounterYearFraction(DayCounter,Q122,R122,,,Trigger)</f>
        <v>0.26111111111111113</v>
      </c>
      <c r="T122" s="41">
        <f>_xll.qlIndexFixing(Index,P122,,AllTriggers)</f>
        <v>-4.3481306998768074E-5</v>
      </c>
      <c r="U122" s="42">
        <f>_xll.qlYieldTSDiscount(OisCurve,Q122,,AllTriggers)</f>
        <v>1.0005880425523448</v>
      </c>
      <c r="V122" s="42">
        <f>_xll.qlYieldTSDiscount(OisCurve,R122,,AllTriggers)</f>
        <v>1.0009703518160764</v>
      </c>
      <c r="W122" s="41">
        <f t="shared" si="15"/>
        <v>-1.462743761629938E-3</v>
      </c>
      <c r="X122" s="43">
        <f t="shared" si="16"/>
        <v>3.7065808917922428E-4</v>
      </c>
      <c r="Y122" s="41">
        <f t="shared" si="17"/>
        <v>1.4192624546311699E-3</v>
      </c>
      <c r="Z122" s="62"/>
    </row>
    <row r="123" spans="15:26" x14ac:dyDescent="0.25">
      <c r="O123" s="43" t="s">
        <v>32</v>
      </c>
      <c r="P123" s="39">
        <f>_xll.qlCalendarAdvance(Calendar,P122,O122,"f",,Trigger)</f>
        <v>42285</v>
      </c>
      <c r="Q123" s="39">
        <f>_xll.qlInterestRateIndexValueDate(Index,P123,Trigger)</f>
        <v>42289</v>
      </c>
      <c r="R123" s="39">
        <f>_xll.qlInterestRateIndexMaturity(Index,Q123,Trigger)</f>
        <v>42381</v>
      </c>
      <c r="S123" s="40">
        <f>_xll.qlDayCounterYearFraction(DayCounter,Q123,R123,,,Trigger)</f>
        <v>0.25555555555555554</v>
      </c>
      <c r="T123" s="41">
        <f>_xll.qlIndexFixing(Index,P123,,AllTriggers)</f>
        <v>-4.4657212664300303E-5</v>
      </c>
      <c r="U123" s="42">
        <f>_xll.qlYieldTSDiscount(OisCurve,Q123,,AllTriggers)</f>
        <v>1.0006004809855995</v>
      </c>
      <c r="V123" s="42">
        <f>_xll.qlYieldTSDiscount(OisCurve,R123,,AllTriggers)</f>
        <v>1.0009749166343163</v>
      </c>
      <c r="W123" s="41">
        <f t="shared" si="15"/>
        <v>-1.4637559332315684E-3</v>
      </c>
      <c r="X123" s="43">
        <f t="shared" si="16"/>
        <v>3.6272847879536304E-4</v>
      </c>
      <c r="Y123" s="41">
        <f t="shared" si="17"/>
        <v>1.4190987205672681E-3</v>
      </c>
      <c r="Z123" s="62"/>
    </row>
    <row r="124" spans="15:26" x14ac:dyDescent="0.25">
      <c r="O124" s="43" t="s">
        <v>32</v>
      </c>
      <c r="P124" s="39">
        <f>_xll.qlCalendarAdvance(Calendar,P123,O123,"f",,Trigger)</f>
        <v>42286</v>
      </c>
      <c r="Q124" s="39">
        <f>_xll.qlInterestRateIndexValueDate(Index,P124,Trigger)</f>
        <v>42290</v>
      </c>
      <c r="R124" s="39">
        <f>_xll.qlInterestRateIndexMaturity(Index,Q124,Trigger)</f>
        <v>42382</v>
      </c>
      <c r="S124" s="40">
        <f>_xll.qlDayCounterYearFraction(DayCounter,Q124,R124,,,Trigger)</f>
        <v>0.25555555555555554</v>
      </c>
      <c r="T124" s="41">
        <f>_xll.qlIndexFixing(Index,P124,,AllTriggers)</f>
        <v>-4.4893379944380264E-5</v>
      </c>
      <c r="U124" s="42">
        <f>_xll.qlYieldTSDiscount(OisCurve,Q124,,AllTriggers)</f>
        <v>1.0006046348642592</v>
      </c>
      <c r="V124" s="42">
        <f>_xll.qlYieldTSDiscount(OisCurve,R124,,AllTriggers)</f>
        <v>1.0009794856146164</v>
      </c>
      <c r="W124" s="41">
        <f t="shared" si="15"/>
        <v>-1.4653719732381644E-3</v>
      </c>
      <c r="X124" s="43">
        <f t="shared" si="16"/>
        <v>3.6308126687593353E-4</v>
      </c>
      <c r="Y124" s="41">
        <f t="shared" si="17"/>
        <v>1.4204785932937841E-3</v>
      </c>
      <c r="Z124" s="62"/>
    </row>
    <row r="125" spans="15:26" x14ac:dyDescent="0.25">
      <c r="O125" s="43" t="s">
        <v>32</v>
      </c>
      <c r="P125" s="39">
        <f>_xll.qlCalendarAdvance(Calendar,P124,O124,"f",,Trigger)</f>
        <v>42289</v>
      </c>
      <c r="Q125" s="39">
        <f>_xll.qlInterestRateIndexValueDate(Index,P125,Trigger)</f>
        <v>42291</v>
      </c>
      <c r="R125" s="39">
        <f>_xll.qlInterestRateIndexMaturity(Index,Q125,Trigger)</f>
        <v>42383</v>
      </c>
      <c r="S125" s="40">
        <f>_xll.qlDayCounterYearFraction(DayCounter,Q125,R125,,,Trigger)</f>
        <v>0.25555555555555554</v>
      </c>
      <c r="T125" s="41">
        <f>_xll.qlIndexFixing(Index,P125,,AllTriggers)</f>
        <v>-4.5098280971829801E-5</v>
      </c>
      <c r="U125" s="42">
        <f>_xll.qlYieldTSDiscount(OisCurve,Q125,,AllTriggers)</f>
        <v>1.0006087925734442</v>
      </c>
      <c r="V125" s="42">
        <f>_xll.qlYieldTSDiscount(OisCurve,R125,,AllTriggers)</f>
        <v>1.000984058715326</v>
      </c>
      <c r="W125" s="41">
        <f t="shared" si="15"/>
        <v>-1.4669891256683918E-3</v>
      </c>
      <c r="X125" s="43">
        <f t="shared" si="16"/>
        <v>3.6344232987294521E-4</v>
      </c>
      <c r="Y125" s="41">
        <f t="shared" si="17"/>
        <v>1.4218908446965621E-3</v>
      </c>
      <c r="Z125" s="62"/>
    </row>
    <row r="126" spans="15:26" x14ac:dyDescent="0.25">
      <c r="O126" s="43" t="s">
        <v>32</v>
      </c>
      <c r="P126" s="39">
        <f>_xll.qlCalendarAdvance(Calendar,P125,O125,"f",,Trigger)</f>
        <v>42290</v>
      </c>
      <c r="Q126" s="39">
        <f>_xll.qlInterestRateIndexValueDate(Index,P126,Trigger)</f>
        <v>42292</v>
      </c>
      <c r="R126" s="39">
        <f>_xll.qlInterestRateIndexMaturity(Index,Q126,Trigger)</f>
        <v>42384</v>
      </c>
      <c r="S126" s="40">
        <f>_xll.qlDayCounterYearFraction(DayCounter,Q126,R126,,,Trigger)</f>
        <v>0.25555555555555554</v>
      </c>
      <c r="T126" s="41">
        <f>_xll.qlIndexFixing(Index,P126,,AllTriggers)</f>
        <v>-4.5272601316945099E-5</v>
      </c>
      <c r="U126" s="42">
        <f>_xll.qlYieldTSDiscount(OisCurve,Q126,,AllTriggers)</f>
        <v>1.0006129540911972</v>
      </c>
      <c r="V126" s="42">
        <f>_xll.qlYieldTSDiscount(OisCurve,R126,,AllTriggers)</f>
        <v>1.0009886358947939</v>
      </c>
      <c r="W126" s="41">
        <f t="shared" si="15"/>
        <v>-1.4686073135599014E-3</v>
      </c>
      <c r="X126" s="43">
        <f t="shared" si="16"/>
        <v>3.6381147290894499E-4</v>
      </c>
      <c r="Y126" s="41">
        <f t="shared" si="17"/>
        <v>1.4233347122429563E-3</v>
      </c>
      <c r="Z126" s="62"/>
    </row>
    <row r="127" spans="15:26" x14ac:dyDescent="0.25">
      <c r="O127" s="43" t="s">
        <v>32</v>
      </c>
      <c r="P127" s="39">
        <f>_xll.qlCalendarAdvance(Calendar,P126,O126,"f",,Trigger)</f>
        <v>42291</v>
      </c>
      <c r="Q127" s="39">
        <f>_xll.qlInterestRateIndexValueDate(Index,P127,Trigger)</f>
        <v>42293</v>
      </c>
      <c r="R127" s="39">
        <f>_xll.qlInterestRateIndexMaturity(Index,Q127,Trigger)</f>
        <v>42387</v>
      </c>
      <c r="S127" s="40">
        <f>_xll.qlDayCounterYearFraction(DayCounter,Q127,R127,,,Trigger)</f>
        <v>0.26111111111111113</v>
      </c>
      <c r="T127" s="41">
        <f>_xll.qlIndexFixing(Index,P127,,AllTriggers)</f>
        <v>-4.5015052052282598E-5</v>
      </c>
      <c r="U127" s="42">
        <f>_xll.qlYieldTSDiscount(OisCurve,Q127,,AllTriggers)</f>
        <v>1.0006171193955602</v>
      </c>
      <c r="V127" s="42">
        <f>_xll.qlYieldTSDiscount(OisCurve,R127,,AllTriggers)</f>
        <v>1.0010023914892205</v>
      </c>
      <c r="W127" s="41">
        <f t="shared" si="15"/>
        <v>-1.4740325882119719E-3</v>
      </c>
      <c r="X127" s="43">
        <f t="shared" si="16"/>
        <v>3.732063753236624E-4</v>
      </c>
      <c r="Y127" s="41">
        <f t="shared" si="17"/>
        <v>1.4290175361596892E-3</v>
      </c>
      <c r="Z127" s="62"/>
    </row>
    <row r="128" spans="15:26" x14ac:dyDescent="0.25">
      <c r="O128" s="43" t="s">
        <v>32</v>
      </c>
      <c r="P128" s="39">
        <f>_xll.qlCalendarAdvance(Calendar,P127,O127,"f",,Trigger)</f>
        <v>42292</v>
      </c>
      <c r="Q128" s="39">
        <f>_xll.qlInterestRateIndexValueDate(Index,P128,Trigger)</f>
        <v>42296</v>
      </c>
      <c r="R128" s="39">
        <f>_xll.qlInterestRateIndexMaturity(Index,Q128,Trigger)</f>
        <v>42388</v>
      </c>
      <c r="S128" s="40">
        <f>_xll.qlDayCounterYearFraction(DayCounter,Q128,R128,,,Trigger)</f>
        <v>0.25555555555555554</v>
      </c>
      <c r="T128" s="41">
        <f>_xll.qlIndexFixing(Index,P128,,AllTriggers)</f>
        <v>-4.5677787271733322E-5</v>
      </c>
      <c r="U128" s="42">
        <f>_xll.qlYieldTSDiscount(OisCurve,Q128,,AllTriggers)</f>
        <v>1.0006296378087249</v>
      </c>
      <c r="V128" s="42">
        <f>_xll.qlYieldTSDiscount(OisCurve,R128,,AllTriggers)</f>
        <v>1.0010069845671914</v>
      </c>
      <c r="W128" s="41">
        <f t="shared" si="15"/>
        <v>-1.4750888805221782E-3</v>
      </c>
      <c r="X128" s="43">
        <f t="shared" si="16"/>
        <v>3.6536494790096765E-4</v>
      </c>
      <c r="Y128" s="41">
        <f t="shared" si="17"/>
        <v>1.4294110932504449E-3</v>
      </c>
      <c r="Z128" s="62"/>
    </row>
    <row r="129" spans="15:26" x14ac:dyDescent="0.25">
      <c r="O129" s="43" t="s">
        <v>32</v>
      </c>
      <c r="P129" s="39">
        <f>_xll.qlCalendarAdvance(Calendar,P128,O128,"f",,Trigger)</f>
        <v>42293</v>
      </c>
      <c r="Q129" s="39">
        <f>_xll.qlInterestRateIndexValueDate(Index,P129,Trigger)</f>
        <v>42297</v>
      </c>
      <c r="R129" s="39">
        <f>_xll.qlInterestRateIndexMaturity(Index,Q129,Trigger)</f>
        <v>42389</v>
      </c>
      <c r="S129" s="40">
        <f>_xll.qlDayCounterYearFraction(DayCounter,Q129,R129,,,Trigger)</f>
        <v>0.25555555555555554</v>
      </c>
      <c r="T129" s="41">
        <f>_xll.qlIndexFixing(Index,P129,,AllTriggers)</f>
        <v>-4.5709487746152703E-5</v>
      </c>
      <c r="U129" s="42">
        <f>_xll.qlYieldTSDiscount(OisCurve,Q129,,AllTriggers)</f>
        <v>1.0006338180399421</v>
      </c>
      <c r="V129" s="42">
        <f>_xll.qlYieldTSDiscount(OisCurve,R129,,AllTriggers)</f>
        <v>1.0010115815156524</v>
      </c>
      <c r="W129" s="41">
        <f t="shared" si="15"/>
        <v>-1.4767110913091826E-3</v>
      </c>
      <c r="X129" s="43">
        <f t="shared" si="16"/>
        <v>3.65771567975086E-4</v>
      </c>
      <c r="Y129" s="41">
        <f t="shared" si="17"/>
        <v>1.43100160356303E-3</v>
      </c>
      <c r="Z129" s="62"/>
    </row>
    <row r="130" spans="15:26" x14ac:dyDescent="0.25">
      <c r="O130" s="43" t="s">
        <v>32</v>
      </c>
      <c r="P130" s="39">
        <f>_xll.qlCalendarAdvance(Calendar,P129,O129,"f",,Trigger)</f>
        <v>42296</v>
      </c>
      <c r="Q130" s="39">
        <f>_xll.qlInterestRateIndexValueDate(Index,P130,Trigger)</f>
        <v>42298</v>
      </c>
      <c r="R130" s="39">
        <f>_xll.qlInterestRateIndexMaturity(Index,Q130,Trigger)</f>
        <v>42390</v>
      </c>
      <c r="S130" s="40">
        <f>_xll.qlDayCounterYearFraction(DayCounter,Q130,R130,,,Trigger)</f>
        <v>0.25555555555555554</v>
      </c>
      <c r="T130" s="41">
        <f>_xll.qlIndexFixing(Index,P130,,AllTriggers)</f>
        <v>-4.5714720949154085E-5</v>
      </c>
      <c r="U130" s="42">
        <f>_xll.qlYieldTSDiscount(OisCurve,Q130,,AllTriggers)</f>
        <v>1.0006380019479753</v>
      </c>
      <c r="V130" s="42">
        <f>_xll.qlYieldTSDiscount(OisCurve,R130,,AllTriggers)</f>
        <v>1.0010161822929475</v>
      </c>
      <c r="W130" s="41">
        <f t="shared" si="15"/>
        <v>-1.478333875792495E-3</v>
      </c>
      <c r="X130" s="43">
        <f t="shared" si="16"/>
        <v>3.661850988254244E-4</v>
      </c>
      <c r="Y130" s="41">
        <f t="shared" si="17"/>
        <v>1.4326191548433408E-3</v>
      </c>
      <c r="Z130" s="62"/>
    </row>
    <row r="131" spans="15:26" x14ac:dyDescent="0.25">
      <c r="O131" s="43" t="s">
        <v>32</v>
      </c>
      <c r="P131" s="39">
        <f>_xll.qlCalendarAdvance(Calendar,P130,O130,"f",,Trigger)</f>
        <v>42297</v>
      </c>
      <c r="Q131" s="39">
        <f>_xll.qlInterestRateIndexValueDate(Index,P131,Trigger)</f>
        <v>42299</v>
      </c>
      <c r="R131" s="39">
        <f>_xll.qlInterestRateIndexMaturity(Index,Q131,Trigger)</f>
        <v>42391</v>
      </c>
      <c r="S131" s="40">
        <f>_xll.qlDayCounterYearFraction(DayCounter,Q131,R131,,,Trigger)</f>
        <v>0.25555555555555554</v>
      </c>
      <c r="T131" s="41">
        <f>_xll.qlIndexFixing(Index,P131,,AllTriggers)</f>
        <v>-4.5694172446689286E-5</v>
      </c>
      <c r="U131" s="42">
        <f>_xll.qlYieldTSDiscount(OisCurve,Q131,,AllTriggers)</f>
        <v>1.0006421895108637</v>
      </c>
      <c r="V131" s="42">
        <f>_xll.qlYieldTSDiscount(OisCurve,R131,,AllTriggers)</f>
        <v>1.0010207868574206</v>
      </c>
      <c r="W131" s="41">
        <f t="shared" si="15"/>
        <v>-1.4799571570158477E-3</v>
      </c>
      <c r="X131" s="43">
        <f t="shared" si="16"/>
        <v>3.6660534557546412E-4</v>
      </c>
      <c r="Y131" s="41">
        <f t="shared" si="17"/>
        <v>1.4342629845691584E-3</v>
      </c>
      <c r="Z131" s="62"/>
    </row>
    <row r="132" spans="15:26" x14ac:dyDescent="0.25">
      <c r="O132" s="43" t="s">
        <v>32</v>
      </c>
      <c r="P132" s="39">
        <f>_xll.qlCalendarAdvance(Calendar,P131,O131,"f",,Trigger)</f>
        <v>42298</v>
      </c>
      <c r="Q132" s="39">
        <f>_xll.qlInterestRateIndexValueDate(Index,P132,Trigger)</f>
        <v>42300</v>
      </c>
      <c r="R132" s="39">
        <f>_xll.qlInterestRateIndexMaturity(Index,Q132,Trigger)</f>
        <v>42394</v>
      </c>
      <c r="S132" s="40">
        <f>_xll.qlDayCounterYearFraction(DayCounter,Q132,R132,,,Trigger)</f>
        <v>0.26111111111111113</v>
      </c>
      <c r="T132" s="41">
        <f>_xll.qlIndexFixing(Index,P132,,AllTriggers)</f>
        <v>-4.5163005835550082E-5</v>
      </c>
      <c r="U132" s="42">
        <f>_xll.qlYieldTSDiscount(OisCurve,Q132,,AllTriggers)</f>
        <v>1.0006463807066479</v>
      </c>
      <c r="V132" s="42">
        <f>_xll.qlYieldTSDiscount(OisCurve,R132,,AllTriggers)</f>
        <v>1.001034622857329</v>
      </c>
      <c r="W132" s="41">
        <f t="shared" ref="W132:W195" si="18">(U132/V132-1)/S132</f>
        <v>-1.4853480573447245E-3</v>
      </c>
      <c r="X132" s="43">
        <f t="shared" ref="X132:X195" si="19">LN((1+T132*S132)/(1+W132*S132))</f>
        <v>3.761234791990812E-4</v>
      </c>
      <c r="Y132" s="41">
        <f t="shared" ref="Y132:Y195" si="20">T132-W132</f>
        <v>1.4401850515091744E-3</v>
      </c>
      <c r="Z132" s="62"/>
    </row>
    <row r="133" spans="15:26" x14ac:dyDescent="0.25">
      <c r="O133" s="43" t="s">
        <v>32</v>
      </c>
      <c r="P133" s="39">
        <f>_xll.qlCalendarAdvance(Calendar,P132,O132,"f",,Trigger)</f>
        <v>42299</v>
      </c>
      <c r="Q133" s="39">
        <f>_xll.qlInterestRateIndexValueDate(Index,P133,Trigger)</f>
        <v>42303</v>
      </c>
      <c r="R133" s="39">
        <f>_xll.qlInterestRateIndexMaturity(Index,Q133,Trigger)</f>
        <v>42395</v>
      </c>
      <c r="S133" s="40">
        <f>_xll.qlDayCounterYearFraction(DayCounter,Q133,R133,,,Trigger)</f>
        <v>0.25555555555555554</v>
      </c>
      <c r="T133" s="41">
        <f>_xll.qlIndexFixing(Index,P133,,AllTriggers)</f>
        <v>-4.5367872691647477E-5</v>
      </c>
      <c r="U133" s="42">
        <f>_xll.qlYieldTSDiscount(OisCurve,Q133,,AllTriggers)</f>
        <v>1.0006589758717661</v>
      </c>
      <c r="V133" s="42">
        <f>_xll.qlYieldTSDiscount(OisCurve,R133,,AllTriggers)</f>
        <v>1.0010392421539329</v>
      </c>
      <c r="W133" s="41">
        <f t="shared" si="18"/>
        <v>-1.4864537100800492E-3</v>
      </c>
      <c r="X133" s="43">
        <f t="shared" si="19"/>
        <v>3.6834959402297482E-4</v>
      </c>
      <c r="Y133" s="41">
        <f t="shared" si="20"/>
        <v>1.4410858373884018E-3</v>
      </c>
      <c r="Z133" s="62"/>
    </row>
    <row r="134" spans="15:26" x14ac:dyDescent="0.25">
      <c r="O134" s="43" t="s">
        <v>32</v>
      </c>
      <c r="P134" s="39">
        <f>_xll.qlCalendarAdvance(Calendar,P133,O133,"f",,Trigger)</f>
        <v>42300</v>
      </c>
      <c r="Q134" s="39">
        <f>_xll.qlInterestRateIndexValueDate(Index,P134,Trigger)</f>
        <v>42304</v>
      </c>
      <c r="R134" s="39">
        <f>_xll.qlInterestRateIndexMaturity(Index,Q134,Trigger)</f>
        <v>42396</v>
      </c>
      <c r="S134" s="40">
        <f>_xll.qlDayCounterYearFraction(DayCounter,Q134,R134,,,Trigger)</f>
        <v>0.25555555555555554</v>
      </c>
      <c r="T134" s="41">
        <f>_xll.qlIndexFixing(Index,P134,,AllTriggers)</f>
        <v>-4.5228699139399573E-5</v>
      </c>
      <c r="U134" s="42">
        <f>_xll.qlYieldTSDiscount(OisCurve,Q134,,AllTriggers)</f>
        <v>1.0006631813795235</v>
      </c>
      <c r="V134" s="42">
        <f>_xll.qlYieldTSDiscount(OisCurve,R134,,AllTriggers)</f>
        <v>1.0010438650034574</v>
      </c>
      <c r="W134" s="41">
        <f t="shared" si="18"/>
        <v>-1.4880782191399298E-3</v>
      </c>
      <c r="X134" s="43">
        <f t="shared" si="19"/>
        <v>3.6880047117516433E-4</v>
      </c>
      <c r="Y134" s="41">
        <f t="shared" si="20"/>
        <v>1.4428495200005302E-3</v>
      </c>
      <c r="Z134" s="62"/>
    </row>
    <row r="135" spans="15:26" x14ac:dyDescent="0.25">
      <c r="O135" s="43" t="s">
        <v>32</v>
      </c>
      <c r="P135" s="39">
        <f>_xll.qlCalendarAdvance(Calendar,P134,O134,"f",,Trigger)</f>
        <v>42303</v>
      </c>
      <c r="Q135" s="39">
        <f>_xll.qlInterestRateIndexValueDate(Index,P135,Trigger)</f>
        <v>42305</v>
      </c>
      <c r="R135" s="39">
        <f>_xll.qlInterestRateIndexMaturity(Index,Q135,Trigger)</f>
        <v>42397</v>
      </c>
      <c r="S135" s="40">
        <f>_xll.qlDayCounterYearFraction(DayCounter,Q135,R135,,,Trigger)</f>
        <v>0.25555555555555554</v>
      </c>
      <c r="T135" s="41">
        <f>_xll.qlIndexFixing(Index,P135,,AllTriggers)</f>
        <v>-4.5067857270445543E-5</v>
      </c>
      <c r="U135" s="42">
        <f>_xll.qlYieldTSDiscount(OisCurve,Q135,,AllTriggers)</f>
        <v>1.0006673904103707</v>
      </c>
      <c r="V135" s="42">
        <f>_xll.qlYieldTSDiscount(OisCurve,R135,,AllTriggers)</f>
        <v>1.0010484912344206</v>
      </c>
      <c r="W135" s="41">
        <f t="shared" si="18"/>
        <v>-1.4897021544578871E-3</v>
      </c>
      <c r="X135" s="43">
        <f t="shared" si="19"/>
        <v>3.6925673934240164E-4</v>
      </c>
      <c r="Y135" s="41">
        <f t="shared" si="20"/>
        <v>1.4446342971874415E-3</v>
      </c>
      <c r="Z135" s="62"/>
    </row>
    <row r="136" spans="15:26" x14ac:dyDescent="0.25">
      <c r="O136" s="43" t="s">
        <v>32</v>
      </c>
      <c r="P136" s="39">
        <f>_xll.qlCalendarAdvance(Calendar,P135,O135,"f",,Trigger)</f>
        <v>42304</v>
      </c>
      <c r="Q136" s="39">
        <f>_xll.qlInterestRateIndexValueDate(Index,P136,Trigger)</f>
        <v>42306</v>
      </c>
      <c r="R136" s="39">
        <f>_xll.qlInterestRateIndexMaturity(Index,Q136,Trigger)</f>
        <v>42398</v>
      </c>
      <c r="S136" s="40">
        <f>_xll.qlDayCounterYearFraction(DayCounter,Q136,R136,,,Trigger)</f>
        <v>0.25555555555555554</v>
      </c>
      <c r="T136" s="41">
        <f>_xll.qlIndexFixing(Index,P136,,AllTriggers)</f>
        <v>-4.4886032648130602E-5</v>
      </c>
      <c r="U136" s="42">
        <f>_xll.qlYieldTSDiscount(OisCurve,Q136,,AllTriggers)</f>
        <v>1.000671602954244</v>
      </c>
      <c r="V136" s="42">
        <f>_xll.qlYieldTSDiscount(OisCurve,R136,,AllTriggers)</f>
        <v>1.0010531206493742</v>
      </c>
      <c r="W136" s="41">
        <f t="shared" si="18"/>
        <v>-1.4913247838456978E-3</v>
      </c>
      <c r="X136" s="43">
        <f t="shared" si="19"/>
        <v>3.6971803613596E-4</v>
      </c>
      <c r="Y136" s="41">
        <f t="shared" si="20"/>
        <v>1.4464387511975672E-3</v>
      </c>
      <c r="Z136" s="62"/>
    </row>
    <row r="137" spans="15:26" x14ac:dyDescent="0.25">
      <c r="O137" s="43" t="s">
        <v>32</v>
      </c>
      <c r="P137" s="39">
        <f>_xll.qlCalendarAdvance(Calendar,P136,O136,"f",,Trigger)</f>
        <v>42305</v>
      </c>
      <c r="Q137" s="39">
        <f>_xll.qlInterestRateIndexValueDate(Index,P137,Trigger)</f>
        <v>42307</v>
      </c>
      <c r="R137" s="39">
        <f>_xll.qlInterestRateIndexMaturity(Index,Q137,Trigger)</f>
        <v>42398</v>
      </c>
      <c r="S137" s="40">
        <f>_xll.qlDayCounterYearFraction(DayCounter,Q137,R137,,,Trigger)</f>
        <v>0.25277777777777777</v>
      </c>
      <c r="T137" s="41">
        <f>_xll.qlIndexFixing(Index,P137,,AllTriggers)</f>
        <v>-4.4950556368973741E-5</v>
      </c>
      <c r="U137" s="42">
        <f>_xll.qlYieldTSDiscount(OisCurve,Q137,,AllTriggers)</f>
        <v>1.0006758190486735</v>
      </c>
      <c r="V137" s="42">
        <f>_xll.qlYieldTSDiscount(OisCurve,R137,,AllTriggers)</f>
        <v>1.0010531206493742</v>
      </c>
      <c r="W137" s="41">
        <f t="shared" si="18"/>
        <v>-1.491051459976021E-3</v>
      </c>
      <c r="X137" s="43">
        <f t="shared" si="19"/>
        <v>3.6561315472180713E-4</v>
      </c>
      <c r="Y137" s="41">
        <f t="shared" si="20"/>
        <v>1.4461009036070473E-3</v>
      </c>
      <c r="Z137" s="62"/>
    </row>
    <row r="138" spans="15:26" x14ac:dyDescent="0.25">
      <c r="O138" s="43" t="s">
        <v>32</v>
      </c>
      <c r="P138" s="39">
        <f>_xll.qlCalendarAdvance(Calendar,P137,O137,"f",,Trigger)</f>
        <v>42306</v>
      </c>
      <c r="Q138" s="39">
        <f>_xll.qlInterestRateIndexValueDate(Index,P138,Trigger)</f>
        <v>42310</v>
      </c>
      <c r="R138" s="39">
        <f>_xll.qlInterestRateIndexMaturity(Index,Q138,Trigger)</f>
        <v>42402</v>
      </c>
      <c r="S138" s="40">
        <f>_xll.qlDayCounterYearFraction(DayCounter,Q138,R138,,,Trigger)</f>
        <v>0.25555555555555554</v>
      </c>
      <c r="T138" s="41">
        <f>_xll.qlIndexFixing(Index,P138,,AllTriggers)</f>
        <v>-4.3962617887387438E-5</v>
      </c>
      <c r="U138" s="42">
        <f>_xll.qlYieldTSDiscount(OisCurve,Q138,,AllTriggers)</f>
        <v>1.0006817845167286</v>
      </c>
      <c r="V138" s="42">
        <f>_xll.qlYieldTSDiscount(OisCurve,R138,,AllTriggers)</f>
        <v>1.0010649590198277</v>
      </c>
      <c r="W138" s="41">
        <f t="shared" si="18"/>
        <v>-1.4977834124328623E-3</v>
      </c>
      <c r="X138" s="43">
        <f t="shared" si="19"/>
        <v>3.7160519165418482E-4</v>
      </c>
      <c r="Y138" s="41">
        <f t="shared" si="20"/>
        <v>1.453820794545475E-3</v>
      </c>
      <c r="Z138" s="62"/>
    </row>
    <row r="139" spans="15:26" x14ac:dyDescent="0.25">
      <c r="O139" s="43" t="s">
        <v>32</v>
      </c>
      <c r="P139" s="39">
        <f>_xll.qlCalendarAdvance(Calendar,P138,O138,"f",,Trigger)</f>
        <v>42307</v>
      </c>
      <c r="Q139" s="39">
        <f>_xll.qlInterestRateIndexValueDate(Index,P139,Trigger)</f>
        <v>42311</v>
      </c>
      <c r="R139" s="39">
        <f>_xll.qlInterestRateIndexMaturity(Index,Q139,Trigger)</f>
        <v>42403</v>
      </c>
      <c r="S139" s="40">
        <f>_xll.qlDayCounterYearFraction(DayCounter,Q139,R139,,,Trigger)</f>
        <v>0.25555555555555554</v>
      </c>
      <c r="T139" s="41">
        <f>_xll.qlIndexFixing(Index,P139,,AllTriggers)</f>
        <v>-4.3686162944101959E-5</v>
      </c>
      <c r="U139" s="42">
        <f>_xll.qlYieldTSDiscount(OisCurve,Q139,,AllTriggers)</f>
        <v>1.0006860152793462</v>
      </c>
      <c r="V139" s="42">
        <f>_xll.qlYieldTSDiscount(OisCurve,R139,,AllTriggers)</f>
        <v>1.0010696013617724</v>
      </c>
      <c r="W139" s="41">
        <f t="shared" si="18"/>
        <v>-1.4993852736587001E-3</v>
      </c>
      <c r="X139" s="43">
        <f t="shared" si="19"/>
        <v>3.7208536341244242E-4</v>
      </c>
      <c r="Y139" s="41">
        <f t="shared" si="20"/>
        <v>1.455699110714598E-3</v>
      </c>
      <c r="Z139" s="62"/>
    </row>
    <row r="140" spans="15:26" x14ac:dyDescent="0.25">
      <c r="O140" s="43" t="s">
        <v>32</v>
      </c>
      <c r="P140" s="39">
        <f>_xll.qlCalendarAdvance(Calendar,P139,O139,"f",,Trigger)</f>
        <v>42310</v>
      </c>
      <c r="Q140" s="39">
        <f>_xll.qlInterestRateIndexValueDate(Index,P140,Trigger)</f>
        <v>42312</v>
      </c>
      <c r="R140" s="39">
        <f>_xll.qlInterestRateIndexMaturity(Index,Q140,Trigger)</f>
        <v>42404</v>
      </c>
      <c r="S140" s="40">
        <f>_xll.qlDayCounterYearFraction(DayCounter,Q140,R140,,,Trigger)</f>
        <v>0.25555555555555554</v>
      </c>
      <c r="T140" s="41">
        <f>_xll.qlIndexFixing(Index,P140,,AllTriggers)</f>
        <v>-4.3392838625789174E-5</v>
      </c>
      <c r="U140" s="42">
        <f>_xll.qlYieldTSDiscount(OisCurve,Q140,,AllTriggers)</f>
        <v>1.0006902498396535</v>
      </c>
      <c r="V140" s="42">
        <f>_xll.qlYieldTSDiscount(OisCurve,R140,,AllTriggers)</f>
        <v>1.0010742457029254</v>
      </c>
      <c r="W140" s="41">
        <f t="shared" si="18"/>
        <v>-1.5009800870465725E-3</v>
      </c>
      <c r="X140" s="43">
        <f t="shared" si="19"/>
        <v>3.725680446386317E-4</v>
      </c>
      <c r="Y140" s="41">
        <f t="shared" si="20"/>
        <v>1.4575872484207833E-3</v>
      </c>
      <c r="Z140" s="62"/>
    </row>
    <row r="141" spans="15:26" x14ac:dyDescent="0.25">
      <c r="O141" s="43" t="s">
        <v>32</v>
      </c>
      <c r="P141" s="39">
        <f>_xll.qlCalendarAdvance(Calendar,P140,O140,"f",,Trigger)</f>
        <v>42311</v>
      </c>
      <c r="Q141" s="39">
        <f>_xll.qlInterestRateIndexValueDate(Index,P141,Trigger)</f>
        <v>42313</v>
      </c>
      <c r="R141" s="39">
        <f>_xll.qlInterestRateIndexMaturity(Index,Q141,Trigger)</f>
        <v>42405</v>
      </c>
      <c r="S141" s="40">
        <f>_xll.qlDayCounterYearFraction(DayCounter,Q141,R141,,,Trigger)</f>
        <v>0.25555555555555554</v>
      </c>
      <c r="T141" s="41">
        <f>_xll.qlIndexFixing(Index,P141,,AllTriggers)</f>
        <v>-4.3083330494490994E-5</v>
      </c>
      <c r="U141" s="42">
        <f>_xll.qlYieldTSDiscount(OisCurve,Q141,,AllTriggers)</f>
        <v>1.0006944882470843</v>
      </c>
      <c r="V141" s="42">
        <f>_xll.qlYieldTSDiscount(OisCurve,R141,,AllTriggers)</f>
        <v>1.0010788918458144</v>
      </c>
      <c r="W141" s="41">
        <f t="shared" si="18"/>
        <v>-1.502566887867748E-3</v>
      </c>
      <c r="X141" s="43">
        <f t="shared" si="19"/>
        <v>3.7305281349185419E-4</v>
      </c>
      <c r="Y141" s="41">
        <f t="shared" si="20"/>
        <v>1.4594835573732571E-3</v>
      </c>
      <c r="Z141" s="62"/>
    </row>
    <row r="142" spans="15:26" x14ac:dyDescent="0.25">
      <c r="O142" s="43" t="s">
        <v>32</v>
      </c>
      <c r="P142" s="39">
        <f>_xll.qlCalendarAdvance(Calendar,P141,O141,"f",,Trigger)</f>
        <v>42312</v>
      </c>
      <c r="Q142" s="39">
        <f>_xll.qlInterestRateIndexValueDate(Index,P142,Trigger)</f>
        <v>42314</v>
      </c>
      <c r="R142" s="39">
        <f>_xll.qlInterestRateIndexMaturity(Index,Q142,Trigger)</f>
        <v>42408</v>
      </c>
      <c r="S142" s="40">
        <f>_xll.qlDayCounterYearFraction(DayCounter,Q142,R142,,,Trigger)</f>
        <v>0.26111111111111113</v>
      </c>
      <c r="T142" s="41">
        <f>_xll.qlIndexFixing(Index,P142,,AllTriggers)</f>
        <v>-4.2222123429865175E-5</v>
      </c>
      <c r="U142" s="42">
        <f>_xll.qlYieldTSDiscount(OisCurve,Q142,,AllTriggers)</f>
        <v>1.0006987305510731</v>
      </c>
      <c r="V142" s="42">
        <f>_xll.qlYieldTSDiscount(OisCurve,R142,,AllTriggers)</f>
        <v>1.0010928391101146</v>
      </c>
      <c r="W142" s="41">
        <f t="shared" si="18"/>
        <v>-1.5077042500732704E-3</v>
      </c>
      <c r="X142" s="43">
        <f t="shared" si="19"/>
        <v>3.8273111728747984E-4</v>
      </c>
      <c r="Y142" s="41">
        <f t="shared" si="20"/>
        <v>1.4654821266434051E-3</v>
      </c>
      <c r="Z142" s="62"/>
    </row>
    <row r="143" spans="15:26" x14ac:dyDescent="0.25">
      <c r="O143" s="43" t="s">
        <v>32</v>
      </c>
      <c r="P143" s="39">
        <f>_xll.qlCalendarAdvance(Calendar,P142,O142,"f",,Trigger)</f>
        <v>42313</v>
      </c>
      <c r="Q143" s="39">
        <f>_xll.qlInterestRateIndexValueDate(Index,P143,Trigger)</f>
        <v>42317</v>
      </c>
      <c r="R143" s="39">
        <f>_xll.qlInterestRateIndexMaturity(Index,Q143,Trigger)</f>
        <v>42409</v>
      </c>
      <c r="S143" s="40">
        <f>_xll.qlDayCounterYearFraction(DayCounter,Q143,R143,,,Trigger)</f>
        <v>0.25555555555555554</v>
      </c>
      <c r="T143" s="41">
        <f>_xll.qlIndexFixing(Index,P143,,AllTriggers)</f>
        <v>-4.1697171098094593E-5</v>
      </c>
      <c r="U143" s="42">
        <f>_xll.qlYieldTSDiscount(OisCurve,Q143,,AllTriggers)</f>
        <v>1.0007114813367517</v>
      </c>
      <c r="V143" s="42">
        <f>_xll.qlYieldTSDiscount(OisCurve,R143,,AllTriggers)</f>
        <v>1.0010974904851462</v>
      </c>
      <c r="W143" s="41">
        <f t="shared" si="18"/>
        <v>-1.508814670929091E-3</v>
      </c>
      <c r="X143" s="43">
        <f t="shared" si="19"/>
        <v>3.7500432834497064E-4</v>
      </c>
      <c r="Y143" s="41">
        <f t="shared" si="20"/>
        <v>1.4671174998309965E-3</v>
      </c>
      <c r="Z143" s="62"/>
    </row>
    <row r="144" spans="15:26" x14ac:dyDescent="0.25">
      <c r="O144" s="43" t="s">
        <v>32</v>
      </c>
      <c r="P144" s="39">
        <f>_xll.qlCalendarAdvance(Calendar,P143,O143,"f",,Trigger)</f>
        <v>42314</v>
      </c>
      <c r="Q144" s="39">
        <f>_xll.qlInterestRateIndexValueDate(Index,P144,Trigger)</f>
        <v>42318</v>
      </c>
      <c r="R144" s="39">
        <f>_xll.qlInterestRateIndexMaturity(Index,Q144,Trigger)</f>
        <v>42410</v>
      </c>
      <c r="S144" s="40">
        <f>_xll.qlDayCounterYearFraction(DayCounter,Q144,R144,,,Trigger)</f>
        <v>0.25555555555555554</v>
      </c>
      <c r="T144" s="41">
        <f>_xll.qlIndexFixing(Index,P144,,AllTriggers)</f>
        <v>-4.1317027345965727E-5</v>
      </c>
      <c r="U144" s="42">
        <f>_xll.qlYieldTSDiscount(OisCurve,Q144,,AllTriggers)</f>
        <v>1.0007157397213402</v>
      </c>
      <c r="V144" s="42">
        <f>_xll.qlYieldTSDiscount(OisCurve,R144,,AllTriggers)</f>
        <v>1.0011021426744948</v>
      </c>
      <c r="W144" s="41">
        <f t="shared" si="18"/>
        <v>-1.5103469380088306E-3</v>
      </c>
      <c r="X144" s="43">
        <f t="shared" si="19"/>
        <v>3.7549320771049444E-4</v>
      </c>
      <c r="Y144" s="41">
        <f t="shared" si="20"/>
        <v>1.4690299106628649E-3</v>
      </c>
      <c r="Z144" s="62"/>
    </row>
    <row r="145" spans="15:26" x14ac:dyDescent="0.25">
      <c r="O145" s="43" t="s">
        <v>32</v>
      </c>
      <c r="P145" s="39">
        <f>_xll.qlCalendarAdvance(Calendar,P144,O144,"f",,Trigger)</f>
        <v>42317</v>
      </c>
      <c r="Q145" s="39">
        <f>_xll.qlInterestRateIndexValueDate(Index,P145,Trigger)</f>
        <v>42319</v>
      </c>
      <c r="R145" s="39">
        <f>_xll.qlInterestRateIndexMaturity(Index,Q145,Trigger)</f>
        <v>42411</v>
      </c>
      <c r="S145" s="40">
        <f>_xll.qlDayCounterYearFraction(DayCounter,Q145,R145,,,Trigger)</f>
        <v>0.25555555555555554</v>
      </c>
      <c r="T145" s="41">
        <f>_xll.qlIndexFixing(Index,P145,,AllTriggers)</f>
        <v>-4.0924813158750638E-5</v>
      </c>
      <c r="U145" s="42">
        <f>_xll.qlYieldTSDiscount(OisCurve,Q145,,AllTriggers)</f>
        <v>1.0007200022496745</v>
      </c>
      <c r="V145" s="42">
        <f>_xll.qlYieldTSDiscount(OisCurve,R145,,AllTriggers)</f>
        <v>1.0011067954806658</v>
      </c>
      <c r="W145" s="41">
        <f t="shared" si="18"/>
        <v>-1.5118654041694672E-3</v>
      </c>
      <c r="X145" s="43">
        <f t="shared" si="19"/>
        <v>3.7598164365431805E-4</v>
      </c>
      <c r="Y145" s="41">
        <f t="shared" si="20"/>
        <v>1.4709405910107165E-3</v>
      </c>
      <c r="Z145" s="62"/>
    </row>
    <row r="146" spans="15:26" x14ac:dyDescent="0.25">
      <c r="O146" s="43" t="s">
        <v>32</v>
      </c>
      <c r="P146" s="39">
        <f>_xll.qlCalendarAdvance(Calendar,P145,O145,"f",,Trigger)</f>
        <v>42318</v>
      </c>
      <c r="Q146" s="39">
        <f>_xll.qlInterestRateIndexValueDate(Index,P146,Trigger)</f>
        <v>42320</v>
      </c>
      <c r="R146" s="39">
        <f>_xll.qlInterestRateIndexMaturity(Index,Q146,Trigger)</f>
        <v>42412</v>
      </c>
      <c r="S146" s="40">
        <f>_xll.qlDayCounterYearFraction(DayCounter,Q146,R146,,,Trigger)</f>
        <v>0.25555555555555554</v>
      </c>
      <c r="T146" s="41">
        <f>_xll.qlIndexFixing(Index,P146,,AllTriggers)</f>
        <v>-4.0521214100228981E-5</v>
      </c>
      <c r="U146" s="42">
        <f>_xll.qlYieldTSDiscount(OisCurve,Q146,,AllTriggers)</f>
        <v>1.000724268971195</v>
      </c>
      <c r="V146" s="42">
        <f>_xll.qlYieldTSDiscount(OisCurve,R146,,AllTriggers)</f>
        <v>1.0011114487061605</v>
      </c>
      <c r="W146" s="41">
        <f t="shared" si="18"/>
        <v>-1.513369104688351E-3</v>
      </c>
      <c r="X146" s="43">
        <f t="shared" si="19"/>
        <v>3.7646921433438709E-4</v>
      </c>
      <c r="Y146" s="41">
        <f t="shared" si="20"/>
        <v>1.4728478905881219E-3</v>
      </c>
      <c r="Z146" s="62"/>
    </row>
    <row r="147" spans="15:26" x14ac:dyDescent="0.25">
      <c r="O147" s="43" t="s">
        <v>32</v>
      </c>
      <c r="P147" s="39">
        <f>_xll.qlCalendarAdvance(Calendar,P146,O146,"f",,Trigger)</f>
        <v>42319</v>
      </c>
      <c r="Q147" s="39">
        <f>_xll.qlInterestRateIndexValueDate(Index,P147,Trigger)</f>
        <v>42321</v>
      </c>
      <c r="R147" s="39">
        <f>_xll.qlInterestRateIndexMaturity(Index,Q147,Trigger)</f>
        <v>42415</v>
      </c>
      <c r="S147" s="40">
        <f>_xll.qlDayCounterYearFraction(DayCounter,Q147,R147,,,Trigger)</f>
        <v>0.26111111111111113</v>
      </c>
      <c r="T147" s="41">
        <f>_xll.qlIndexFixing(Index,P147,,AllTriggers)</f>
        <v>-3.9593577392438527E-5</v>
      </c>
      <c r="U147" s="42">
        <f>_xll.qlYieldTSDiscount(OisCurve,Q147,,AllTriggers)</f>
        <v>1.0007285399353425</v>
      </c>
      <c r="V147" s="42">
        <f>_xll.qlYieldTSDiscount(OisCurve,R147,,AllTriggers)</f>
        <v>1.001125408923548</v>
      </c>
      <c r="W147" s="41">
        <f t="shared" si="18"/>
        <v>-1.5182151717144157E-3</v>
      </c>
      <c r="X147" s="43">
        <f t="shared" si="19"/>
        <v>3.8616307027587526E-4</v>
      </c>
      <c r="Y147" s="41">
        <f t="shared" si="20"/>
        <v>1.4786215943219773E-3</v>
      </c>
      <c r="Z147" s="62"/>
    </row>
    <row r="148" spans="15:26" x14ac:dyDescent="0.25">
      <c r="O148" s="43" t="s">
        <v>32</v>
      </c>
      <c r="P148" s="39">
        <f>_xll.qlCalendarAdvance(Calendar,P147,O147,"f",,Trigger)</f>
        <v>42320</v>
      </c>
      <c r="Q148" s="39">
        <f>_xll.qlInterestRateIndexValueDate(Index,P148,Trigger)</f>
        <v>42324</v>
      </c>
      <c r="R148" s="39">
        <f>_xll.qlInterestRateIndexMaturity(Index,Q148,Trigger)</f>
        <v>42416</v>
      </c>
      <c r="S148" s="40">
        <f>_xll.qlDayCounterYearFraction(DayCounter,Q148,R148,,,Trigger)</f>
        <v>0.25555555555555554</v>
      </c>
      <c r="T148" s="41">
        <f>_xll.qlIndexFixing(Index,P148,,AllTriggers)</f>
        <v>-3.8806680421718894E-5</v>
      </c>
      <c r="U148" s="42">
        <f>_xll.qlYieldTSDiscount(OisCurve,Q148,,AllTriggers)</f>
        <v>1.0007413787779715</v>
      </c>
      <c r="V148" s="42">
        <f>_xll.qlYieldTSDiscount(OisCurve,R148,,AllTriggers)</f>
        <v>1.0011300618512804</v>
      </c>
      <c r="W148" s="41">
        <f t="shared" si="18"/>
        <v>-1.5192169559958932E-3</v>
      </c>
      <c r="X148" s="43">
        <f t="shared" si="19"/>
        <v>3.7840240759200546E-4</v>
      </c>
      <c r="Y148" s="41">
        <f t="shared" si="20"/>
        <v>1.4804102755741743E-3</v>
      </c>
      <c r="Z148" s="62"/>
    </row>
    <row r="149" spans="15:26" x14ac:dyDescent="0.25">
      <c r="O149" s="43" t="s">
        <v>32</v>
      </c>
      <c r="P149" s="39">
        <f>_xll.qlCalendarAdvance(Calendar,P148,O148,"f",,Trigger)</f>
        <v>42321</v>
      </c>
      <c r="Q149" s="39">
        <f>_xll.qlInterestRateIndexValueDate(Index,P149,Trigger)</f>
        <v>42325</v>
      </c>
      <c r="R149" s="39">
        <f>_xll.qlInterestRateIndexMaturity(Index,Q149,Trigger)</f>
        <v>42417</v>
      </c>
      <c r="S149" s="40">
        <f>_xll.qlDayCounterYearFraction(DayCounter,Q149,R149,,,Trigger)</f>
        <v>0.25555555555555554</v>
      </c>
      <c r="T149" s="41">
        <f>_xll.qlIndexFixing(Index,P149,,AllTriggers)</f>
        <v>-3.8356440462924851E-5</v>
      </c>
      <c r="U149" s="42">
        <f>_xll.qlYieldTSDiscount(OisCurve,Q149,,AllTriggers)</f>
        <v>1.0007456672070563</v>
      </c>
      <c r="V149" s="42">
        <f>_xll.qlYieldTSDiscount(OisCurve,R149,,AllTriggers)</f>
        <v>1.0011347142107889</v>
      </c>
      <c r="W149" s="41">
        <f t="shared" si="18"/>
        <v>-1.5206323575475086E-3</v>
      </c>
      <c r="X149" s="43">
        <f t="shared" si="19"/>
        <v>3.7887932433260211E-4</v>
      </c>
      <c r="Y149" s="41">
        <f t="shared" si="20"/>
        <v>1.4822759170845837E-3</v>
      </c>
      <c r="Z149" s="62"/>
    </row>
    <row r="150" spans="15:26" x14ac:dyDescent="0.25">
      <c r="O150" s="43" t="s">
        <v>32</v>
      </c>
      <c r="P150" s="39">
        <f>_xll.qlCalendarAdvance(Calendar,P149,O149,"f",,Trigger)</f>
        <v>42324</v>
      </c>
      <c r="Q150" s="39">
        <f>_xll.qlInterestRateIndexValueDate(Index,P150,Trigger)</f>
        <v>42326</v>
      </c>
      <c r="R150" s="39">
        <f>_xll.qlInterestRateIndexMaturity(Index,Q150,Trigger)</f>
        <v>42418</v>
      </c>
      <c r="S150" s="40">
        <f>_xll.qlDayCounterYearFraction(DayCounter,Q150,R150,,,Trigger)</f>
        <v>0.25555555555555554</v>
      </c>
      <c r="T150" s="41">
        <f>_xll.qlIndexFixing(Index,P150,,AllTriggers)</f>
        <v>-3.7898929015936623E-5</v>
      </c>
      <c r="U150" s="42">
        <f>_xll.qlYieldTSDiscount(OisCurve,Q150,,AllTriggers)</f>
        <v>1.0007499601259868</v>
      </c>
      <c r="V150" s="42">
        <f>_xll.qlYieldTSDiscount(OisCurve,R150,,AllTriggers)</f>
        <v>1.0011393658045535</v>
      </c>
      <c r="W150" s="41">
        <f t="shared" si="18"/>
        <v>-1.5220272051618762E-3</v>
      </c>
      <c r="X150" s="43">
        <f t="shared" si="19"/>
        <v>3.7935284476126426E-4</v>
      </c>
      <c r="Y150" s="41">
        <f t="shared" si="20"/>
        <v>1.4841282761459396E-3</v>
      </c>
      <c r="Z150" s="62"/>
    </row>
    <row r="151" spans="15:26" x14ac:dyDescent="0.25">
      <c r="O151" s="43" t="s">
        <v>32</v>
      </c>
      <c r="P151" s="39">
        <f>_xll.qlCalendarAdvance(Calendar,P150,O150,"f",,Trigger)</f>
        <v>42325</v>
      </c>
      <c r="Q151" s="39">
        <f>_xll.qlInterestRateIndexValueDate(Index,P151,Trigger)</f>
        <v>42327</v>
      </c>
      <c r="R151" s="39">
        <f>_xll.qlInterestRateIndexMaturity(Index,Q151,Trigger)</f>
        <v>42419</v>
      </c>
      <c r="S151" s="40">
        <f>_xll.qlDayCounterYearFraction(DayCounter,Q151,R151,,,Trigger)</f>
        <v>0.25555555555555554</v>
      </c>
      <c r="T151" s="41">
        <f>_xll.qlIndexFixing(Index,P151,,AllTriggers)</f>
        <v>-3.7434831647140484E-5</v>
      </c>
      <c r="U151" s="42">
        <f>_xll.qlYieldTSDiscount(OisCurve,Q151,,AllTriggers)</f>
        <v>1.0007542575842097</v>
      </c>
      <c r="V151" s="42">
        <f>_xll.qlYieldTSDiscount(OisCurve,R151,,AllTriggers)</f>
        <v>1.00114401643505</v>
      </c>
      <c r="W151" s="41">
        <f t="shared" si="18"/>
        <v>-1.5234005341272071E-3</v>
      </c>
      <c r="X151" s="43">
        <f t="shared" si="19"/>
        <v>3.7982254703619985E-4</v>
      </c>
      <c r="Y151" s="41">
        <f t="shared" si="20"/>
        <v>1.4859657024800666E-3</v>
      </c>
      <c r="Z151" s="62"/>
    </row>
    <row r="152" spans="15:26" x14ac:dyDescent="0.25">
      <c r="O152" s="43" t="s">
        <v>32</v>
      </c>
      <c r="P152" s="39">
        <f>_xll.qlCalendarAdvance(Calendar,P151,O151,"f",,Trigger)</f>
        <v>42326</v>
      </c>
      <c r="Q152" s="39">
        <f>_xll.qlInterestRateIndexValueDate(Index,P152,Trigger)</f>
        <v>42328</v>
      </c>
      <c r="R152" s="39">
        <f>_xll.qlInterestRateIndexMaturity(Index,Q152,Trigger)</f>
        <v>42422</v>
      </c>
      <c r="S152" s="40">
        <f>_xll.qlDayCounterYearFraction(DayCounter,Q152,R152,,,Trigger)</f>
        <v>0.26111111111111113</v>
      </c>
      <c r="T152" s="41">
        <f>_xll.qlIndexFixing(Index,P152,,AllTriggers)</f>
        <v>-3.6499821501818818E-5</v>
      </c>
      <c r="U152" s="42">
        <f>_xll.qlYieldTSDiscount(OisCurve,Q152,,AllTriggers)</f>
        <v>1.0007585596311726</v>
      </c>
      <c r="V152" s="42">
        <f>_xll.qlYieldTSDiscount(OisCurve,R152,,AllTriggers)</f>
        <v>1.0011579605716343</v>
      </c>
      <c r="W152" s="41">
        <f t="shared" si="18"/>
        <v>-1.5278514313280746E-3</v>
      </c>
      <c r="X152" s="43">
        <f t="shared" si="19"/>
        <v>3.8948802781057991E-4</v>
      </c>
      <c r="Y152" s="41">
        <f t="shared" si="20"/>
        <v>1.4913516098262558E-3</v>
      </c>
      <c r="Z152" s="62"/>
    </row>
    <row r="153" spans="15:26" x14ac:dyDescent="0.25">
      <c r="O153" s="43" t="s">
        <v>32</v>
      </c>
      <c r="P153" s="39">
        <f>_xll.qlCalendarAdvance(Calendar,P152,O152,"f",,Trigger)</f>
        <v>42327</v>
      </c>
      <c r="Q153" s="39">
        <f>_xll.qlInterestRateIndexValueDate(Index,P153,Trigger)</f>
        <v>42331</v>
      </c>
      <c r="R153" s="39">
        <f>_xll.qlInterestRateIndexMaturity(Index,Q153,Trigger)</f>
        <v>42423</v>
      </c>
      <c r="S153" s="40">
        <f>_xll.qlDayCounterYearFraction(DayCounter,Q153,R153,,,Trigger)</f>
        <v>0.25555555555555554</v>
      </c>
      <c r="T153" s="41">
        <f>_xll.qlIndexFixing(Index,P153,,AllTriggers)</f>
        <v>-3.5526294262052623E-5</v>
      </c>
      <c r="U153" s="42">
        <f>_xll.qlYieldTSDiscount(OisCurve,Q153,,AllTriggers)</f>
        <v>1.0007714937989878</v>
      </c>
      <c r="V153" s="42">
        <f>_xll.qlYieldTSDiscount(OisCurve,R153,,AllTriggers)</f>
        <v>1.0011626053737435</v>
      </c>
      <c r="W153" s="41">
        <f t="shared" si="18"/>
        <v>-1.5286593692728175E-3</v>
      </c>
      <c r="X153" s="43">
        <f t="shared" si="19"/>
        <v>3.8165473776769827E-4</v>
      </c>
      <c r="Y153" s="41">
        <f t="shared" si="20"/>
        <v>1.493133075010765E-3</v>
      </c>
      <c r="Z153" s="62"/>
    </row>
    <row r="154" spans="15:26" x14ac:dyDescent="0.25">
      <c r="O154" s="43" t="s">
        <v>32</v>
      </c>
      <c r="P154" s="39">
        <f>_xll.qlCalendarAdvance(Calendar,P153,O153,"f",,Trigger)</f>
        <v>42328</v>
      </c>
      <c r="Q154" s="39">
        <f>_xll.qlInterestRateIndexValueDate(Index,P154,Trigger)</f>
        <v>42332</v>
      </c>
      <c r="R154" s="39">
        <f>_xll.qlInterestRateIndexMaturity(Index,Q154,Trigger)</f>
        <v>42424</v>
      </c>
      <c r="S154" s="40">
        <f>_xll.qlDayCounterYearFraction(DayCounter,Q154,R154,,,Trigger)</f>
        <v>0.25555555555555554</v>
      </c>
      <c r="T154" s="41">
        <f>_xll.qlIndexFixing(Index,P154,,AllTriggers)</f>
        <v>-3.503955076915009E-5</v>
      </c>
      <c r="U154" s="42">
        <f>_xll.qlYieldTSDiscount(OisCurve,Q154,,AllTriggers)</f>
        <v>1.000775814695402</v>
      </c>
      <c r="V154" s="42">
        <f>_xll.qlYieldTSDiscount(OisCurve,R154,,AllTriggers)</f>
        <v>1.001167248224909</v>
      </c>
      <c r="W154" s="41">
        <f t="shared" si="18"/>
        <v>-1.5299106343378568E-3</v>
      </c>
      <c r="X154" s="43">
        <f t="shared" si="19"/>
        <v>3.8209902165149727E-4</v>
      </c>
      <c r="Y154" s="41">
        <f t="shared" si="20"/>
        <v>1.4948710835687067E-3</v>
      </c>
      <c r="Z154" s="62"/>
    </row>
    <row r="155" spans="15:26" x14ac:dyDescent="0.25">
      <c r="O155" s="43" t="s">
        <v>32</v>
      </c>
      <c r="P155" s="39">
        <f>_xll.qlCalendarAdvance(Calendar,P154,O154,"f",,Trigger)</f>
        <v>42331</v>
      </c>
      <c r="Q155" s="39">
        <f>_xll.qlInterestRateIndexValueDate(Index,P155,Trigger)</f>
        <v>42333</v>
      </c>
      <c r="R155" s="39">
        <f>_xll.qlInterestRateIndexMaturity(Index,Q155,Trigger)</f>
        <v>42425</v>
      </c>
      <c r="S155" s="40">
        <f>_xll.qlDayCounterYearFraction(DayCounter,Q155,R155,,,Trigger)</f>
        <v>0.25555555555555554</v>
      </c>
      <c r="T155" s="41">
        <f>_xll.qlIndexFixing(Index,P155,,AllTriggers)</f>
        <v>-3.4550334749281781E-5</v>
      </c>
      <c r="U155" s="42">
        <f>_xll.qlYieldTSDiscount(OisCurve,Q155,,AllTriggers)</f>
        <v>1.0007801404278067</v>
      </c>
      <c r="V155" s="42">
        <f>_xll.qlYieldTSDiscount(OisCurve,R155,,AllTriggers)</f>
        <v>1.0011718889275845</v>
      </c>
      <c r="W155" s="41">
        <f t="shared" si="18"/>
        <v>-1.5311345924983323E-3</v>
      </c>
      <c r="X155" s="43">
        <f t="shared" si="19"/>
        <v>3.8253695633307653E-4</v>
      </c>
      <c r="Y155" s="41">
        <f t="shared" si="20"/>
        <v>1.4965842577490504E-3</v>
      </c>
      <c r="Z155" s="62"/>
    </row>
    <row r="156" spans="15:26" x14ac:dyDescent="0.25">
      <c r="O156" s="43" t="s">
        <v>32</v>
      </c>
      <c r="P156" s="39">
        <f>_xll.qlCalendarAdvance(Calendar,P155,O155,"f",,Trigger)</f>
        <v>42332</v>
      </c>
      <c r="Q156" s="39">
        <f>_xll.qlInterestRateIndexValueDate(Index,P156,Trigger)</f>
        <v>42334</v>
      </c>
      <c r="R156" s="39">
        <f>_xll.qlInterestRateIndexMaturity(Index,Q156,Trigger)</f>
        <v>42426</v>
      </c>
      <c r="S156" s="40">
        <f>_xll.qlDayCounterYearFraction(DayCounter,Q156,R156,,,Trigger)</f>
        <v>0.25555555555555554</v>
      </c>
      <c r="T156" s="41">
        <f>_xll.qlIndexFixing(Index,P156,,AllTriggers)</f>
        <v>-3.4059331772309441E-5</v>
      </c>
      <c r="U156" s="42">
        <f>_xll.qlYieldTSDiscount(OisCurve,Q156,,AllTriggers)</f>
        <v>1.000784471045655</v>
      </c>
      <c r="V156" s="42">
        <f>_xll.qlYieldTSDiscount(OisCurve,R156,,AllTriggers)</f>
        <v>1.0011765272842201</v>
      </c>
      <c r="W156" s="41">
        <f t="shared" si="18"/>
        <v>-1.5323302790467999E-3</v>
      </c>
      <c r="X156" s="43">
        <f t="shared" si="19"/>
        <v>3.8296811996949519E-4</v>
      </c>
      <c r="Y156" s="41">
        <f t="shared" si="20"/>
        <v>1.4982709472744905E-3</v>
      </c>
      <c r="Z156" s="62"/>
    </row>
    <row r="157" spans="15:26" x14ac:dyDescent="0.25">
      <c r="O157" s="43" t="s">
        <v>32</v>
      </c>
      <c r="P157" s="39">
        <f>_xll.qlCalendarAdvance(Calendar,P156,O156,"f",,Trigger)</f>
        <v>42333</v>
      </c>
      <c r="Q157" s="39">
        <f>_xll.qlInterestRateIndexValueDate(Index,P157,Trigger)</f>
        <v>42335</v>
      </c>
      <c r="R157" s="39">
        <f>_xll.qlInterestRateIndexMaturity(Index,Q157,Trigger)</f>
        <v>42429</v>
      </c>
      <c r="S157" s="40">
        <f>_xll.qlDayCounterYearFraction(DayCounter,Q157,R157,,,Trigger)</f>
        <v>0.26111111111111113</v>
      </c>
      <c r="T157" s="41">
        <f>_xll.qlIndexFixing(Index,P157,,AllTriggers)</f>
        <v>-3.3171001329117356E-5</v>
      </c>
      <c r="U157" s="42">
        <f>_xll.qlYieldTSDiscount(OisCurve,Q157,,AllTriggers)</f>
        <v>1.0007888065984007</v>
      </c>
      <c r="V157" s="42">
        <f>_xll.qlYieldTSDiscount(OisCurve,R157,,AllTriggers)</f>
        <v>1.001190426302337</v>
      </c>
      <c r="W157" s="41">
        <f t="shared" si="18"/>
        <v>-1.5362891760318631E-3</v>
      </c>
      <c r="X157" s="43">
        <f t="shared" si="19"/>
        <v>3.925612982632652E-4</v>
      </c>
      <c r="Y157" s="41">
        <f t="shared" si="20"/>
        <v>1.5031181747027457E-3</v>
      </c>
      <c r="Z157" s="62"/>
    </row>
    <row r="158" spans="15:26" x14ac:dyDescent="0.25">
      <c r="O158" s="43" t="s">
        <v>32</v>
      </c>
      <c r="P158" s="39">
        <f>_xll.qlCalendarAdvance(Calendar,P157,O157,"f",,Trigger)</f>
        <v>42334</v>
      </c>
      <c r="Q158" s="39">
        <f>_xll.qlInterestRateIndexValueDate(Index,P158,Trigger)</f>
        <v>42338</v>
      </c>
      <c r="R158" s="39">
        <f>_xll.qlInterestRateIndexMaturity(Index,Q158,Trigger)</f>
        <v>42429</v>
      </c>
      <c r="S158" s="40">
        <f>_xll.qlDayCounterYearFraction(DayCounter,Q158,R158,,,Trigger)</f>
        <v>0.25277777777777777</v>
      </c>
      <c r="T158" s="41">
        <f>_xll.qlIndexFixing(Index,P158,,AllTriggers)</f>
        <v>-3.227898330385079E-5</v>
      </c>
      <c r="U158" s="42">
        <f>_xll.qlYieldTSDiscount(OisCurve,Q158,,AllTriggers)</f>
        <v>1.000801843360573</v>
      </c>
      <c r="V158" s="42">
        <f>_xll.qlYieldTSDiscount(OisCurve,R158,,AllTriggers)</f>
        <v>1.001190426302337</v>
      </c>
      <c r="W158" s="41">
        <f t="shared" si="18"/>
        <v>-1.5354233897987572E-3</v>
      </c>
      <c r="X158" s="43">
        <f t="shared" si="19"/>
        <v>3.8003680788017437E-4</v>
      </c>
      <c r="Y158" s="41">
        <f t="shared" si="20"/>
        <v>1.5031444064949064E-3</v>
      </c>
      <c r="Z158" s="62"/>
    </row>
    <row r="159" spans="15:26" x14ac:dyDescent="0.25">
      <c r="O159" s="43" t="s">
        <v>32</v>
      </c>
      <c r="P159" s="39">
        <f>_xll.qlCalendarAdvance(Calendar,P158,O158,"f",,Trigger)</f>
        <v>42335</v>
      </c>
      <c r="Q159" s="39">
        <f>_xll.qlInterestRateIndexValueDate(Index,P159,Trigger)</f>
        <v>42339</v>
      </c>
      <c r="R159" s="39">
        <f>_xll.qlInterestRateIndexMaturity(Index,Q159,Trigger)</f>
        <v>42430</v>
      </c>
      <c r="S159" s="40">
        <f>_xll.qlDayCounterYearFraction(DayCounter,Q159,R159,,,Trigger)</f>
        <v>0.25277777777777777</v>
      </c>
      <c r="T159" s="41">
        <f>_xll.qlIndexFixing(Index,P159,,AllTriggers)</f>
        <v>-3.1783335746568037E-5</v>
      </c>
      <c r="U159" s="42">
        <f>_xll.qlYieldTSDiscount(OisCurve,Q159,,AllTriggers)</f>
        <v>1.0008039973738263</v>
      </c>
      <c r="V159" s="42">
        <f>_xll.qlYieldTSDiscount(OisCurve,R159,,AllTriggers)</f>
        <v>1.0011928506701262</v>
      </c>
      <c r="W159" s="41">
        <f t="shared" si="18"/>
        <v>-1.5364879319556004E-3</v>
      </c>
      <c r="X159" s="43">
        <f t="shared" si="19"/>
        <v>3.8043129470086633E-4</v>
      </c>
      <c r="Y159" s="41">
        <f t="shared" si="20"/>
        <v>1.5047045962090324E-3</v>
      </c>
      <c r="Z159" s="62"/>
    </row>
    <row r="160" spans="15:26" x14ac:dyDescent="0.25">
      <c r="O160" s="43" t="s">
        <v>32</v>
      </c>
      <c r="P160" s="39">
        <f>_xll.qlCalendarAdvance(Calendar,P159,O159,"f",,Trigger)</f>
        <v>42338</v>
      </c>
      <c r="Q160" s="39">
        <f>_xll.qlInterestRateIndexValueDate(Index,P160,Trigger)</f>
        <v>42340</v>
      </c>
      <c r="R160" s="39">
        <f>_xll.qlInterestRateIndexMaturity(Index,Q160,Trigger)</f>
        <v>42431</v>
      </c>
      <c r="S160" s="40">
        <f>_xll.qlDayCounterYearFraction(DayCounter,Q160,R160,,,Trigger)</f>
        <v>0.25277777777777777</v>
      </c>
      <c r="T160" s="41">
        <f>_xll.qlIndexFixing(Index,P160,,AllTriggers)</f>
        <v>-3.1289881849044618E-5</v>
      </c>
      <c r="U160" s="42">
        <f>_xll.qlYieldTSDiscount(OisCurve,Q160,,AllTriggers)</f>
        <v>1.0008083583333038</v>
      </c>
      <c r="V160" s="42">
        <f>_xll.qlYieldTSDiscount(OisCurve,R160,,AllTriggers)</f>
        <v>1.0011974743230174</v>
      </c>
      <c r="W160" s="41">
        <f t="shared" si="18"/>
        <v>-1.5375188199982228E-3</v>
      </c>
      <c r="X160" s="43">
        <f t="shared" si="19"/>
        <v>3.8081671674563666E-4</v>
      </c>
      <c r="Y160" s="41">
        <f t="shared" si="20"/>
        <v>1.5062289381491782E-3</v>
      </c>
      <c r="Z160" s="62"/>
    </row>
    <row r="161" spans="15:26" x14ac:dyDescent="0.25">
      <c r="O161" s="43" t="s">
        <v>32</v>
      </c>
      <c r="P161" s="39">
        <f>_xll.qlCalendarAdvance(Calendar,P160,O160,"f",,Trigger)</f>
        <v>42339</v>
      </c>
      <c r="Q161" s="39">
        <f>_xll.qlInterestRateIndexValueDate(Index,P161,Trigger)</f>
        <v>42341</v>
      </c>
      <c r="R161" s="39">
        <f>_xll.qlInterestRateIndexMaturity(Index,Q161,Trigger)</f>
        <v>42432</v>
      </c>
      <c r="S161" s="40">
        <f>_xll.qlDayCounterYearFraction(DayCounter,Q161,R161,,,Trigger)</f>
        <v>0.25277777777777777</v>
      </c>
      <c r="T161" s="41">
        <f>_xll.qlIndexFixing(Index,P161,,AllTriggers)</f>
        <v>-3.079931471443782E-5</v>
      </c>
      <c r="U161" s="42">
        <f>_xll.qlYieldTSDiscount(OisCurve,Q161,,AllTriggers)</f>
        <v>1.0008127245244098</v>
      </c>
      <c r="V161" s="42">
        <f>_xll.qlYieldTSDiscount(OisCurve,R161,,AllTriggers)</f>
        <v>1.0012020944445021</v>
      </c>
      <c r="W161" s="41">
        <f t="shared" si="18"/>
        <v>-1.5385150786175604E-3</v>
      </c>
      <c r="X161" s="43">
        <f t="shared" si="19"/>
        <v>3.811926521731572E-4</v>
      </c>
      <c r="Y161" s="41">
        <f t="shared" si="20"/>
        <v>1.5077157639031226E-3</v>
      </c>
      <c r="Z161" s="62"/>
    </row>
    <row r="162" spans="15:26" x14ac:dyDescent="0.25">
      <c r="O162" s="43" t="s">
        <v>32</v>
      </c>
      <c r="P162" s="39">
        <f>_xll.qlCalendarAdvance(Calendar,P161,O161,"f",,Trigger)</f>
        <v>42340</v>
      </c>
      <c r="Q162" s="39">
        <f>_xll.qlInterestRateIndexValueDate(Index,P162,Trigger)</f>
        <v>42342</v>
      </c>
      <c r="R162" s="39">
        <f>_xll.qlInterestRateIndexMaturity(Index,Q162,Trigger)</f>
        <v>42433</v>
      </c>
      <c r="S162" s="40">
        <f>_xll.qlDayCounterYearFraction(DayCounter,Q162,R162,,,Trigger)</f>
        <v>0.25277777777777777</v>
      </c>
      <c r="T162" s="41">
        <f>_xll.qlIndexFixing(Index,P162,,AllTriggers)</f>
        <v>-3.0312327447661766E-5</v>
      </c>
      <c r="U162" s="42">
        <f>_xll.qlYieldTSDiscount(OisCurve,Q162,,AllTriggers)</f>
        <v>1.0008170959966043</v>
      </c>
      <c r="V162" s="42">
        <f>_xll.qlYieldTSDiscount(OisCurve,R162,,AllTriggers)</f>
        <v>1.0012067108370051</v>
      </c>
      <c r="W162" s="41">
        <f t="shared" si="18"/>
        <v>-1.5394757325027919E-3</v>
      </c>
      <c r="X162" s="43">
        <f t="shared" si="19"/>
        <v>3.8155867914158395E-4</v>
      </c>
      <c r="Y162" s="41">
        <f t="shared" si="20"/>
        <v>1.5091634050551301E-3</v>
      </c>
      <c r="Z162" s="62"/>
    </row>
    <row r="163" spans="15:26" x14ac:dyDescent="0.25">
      <c r="O163" s="43" t="s">
        <v>32</v>
      </c>
      <c r="P163" s="39">
        <f>_xll.qlCalendarAdvance(Calendar,P162,O162,"f",,Trigger)</f>
        <v>42341</v>
      </c>
      <c r="Q163" s="39">
        <f>_xll.qlInterestRateIndexValueDate(Index,P163,Trigger)</f>
        <v>42345</v>
      </c>
      <c r="R163" s="39">
        <f>_xll.qlInterestRateIndexMaturity(Index,Q163,Trigger)</f>
        <v>42436</v>
      </c>
      <c r="S163" s="40">
        <f>_xll.qlDayCounterYearFraction(DayCounter,Q163,R163,,,Trigger)</f>
        <v>0.25277777777777777</v>
      </c>
      <c r="T163" s="41">
        <f>_xll.qlIndexFixing(Index,P163,,AllTriggers)</f>
        <v>-2.8879775886769332E-5</v>
      </c>
      <c r="U163" s="42">
        <f>_xll.qlYieldTSDiscount(OisCurve,Q163,,AllTriggers)</f>
        <v>1.0008302425943356</v>
      </c>
      <c r="V163" s="42">
        <f>_xll.qlYieldTSDiscount(OisCurve,R163,,AllTriggers)</f>
        <v>1.0012205356648229</v>
      </c>
      <c r="W163" s="41">
        <f t="shared" si="18"/>
        <v>-1.542134312658815E-3</v>
      </c>
      <c r="X163" s="43">
        <f t="shared" si="19"/>
        <v>3.8259309087968347E-4</v>
      </c>
      <c r="Y163" s="41">
        <f t="shared" si="20"/>
        <v>1.5132545367720455E-3</v>
      </c>
      <c r="Z163" s="62"/>
    </row>
    <row r="164" spans="15:26" x14ac:dyDescent="0.25">
      <c r="O164" s="43" t="s">
        <v>32</v>
      </c>
      <c r="P164" s="39">
        <f>_xll.qlCalendarAdvance(Calendar,P163,O163,"f",,Trigger)</f>
        <v>42342</v>
      </c>
      <c r="Q164" s="39">
        <f>_xll.qlInterestRateIndexValueDate(Index,P164,Trigger)</f>
        <v>42346</v>
      </c>
      <c r="R164" s="39">
        <f>_xll.qlInterestRateIndexMaturity(Index,Q164,Trigger)</f>
        <v>42437</v>
      </c>
      <c r="S164" s="40">
        <f>_xll.qlDayCounterYearFraction(DayCounter,Q164,R164,,,Trigger)</f>
        <v>0.25277777777777777</v>
      </c>
      <c r="T164" s="41">
        <f>_xll.qlIndexFixing(Index,P164,,AllTriggers)</f>
        <v>-2.8414039129477242E-5</v>
      </c>
      <c r="U164" s="42">
        <f>_xll.qlYieldTSDiscount(OisCurve,Q164,,AllTriggers)</f>
        <v>1.000834635685506</v>
      </c>
      <c r="V164" s="42">
        <f>_xll.qlYieldTSDiscount(OisCurve,R164,,AllTriggers)</f>
        <v>1.0012251351655803</v>
      </c>
      <c r="W164" s="41">
        <f t="shared" si="18"/>
        <v>-1.5429427945103911E-3</v>
      </c>
      <c r="X164" s="43">
        <f t="shared" si="19"/>
        <v>3.8291526559793877E-4</v>
      </c>
      <c r="Y164" s="41">
        <f t="shared" si="20"/>
        <v>1.5145287553809139E-3</v>
      </c>
      <c r="Z164" s="62"/>
    </row>
    <row r="165" spans="15:26" x14ac:dyDescent="0.25">
      <c r="O165" s="43" t="s">
        <v>32</v>
      </c>
      <c r="P165" s="39">
        <f>_xll.qlCalendarAdvance(Calendar,P164,O164,"f",,Trigger)</f>
        <v>42345</v>
      </c>
      <c r="Q165" s="39">
        <f>_xll.qlInterestRateIndexValueDate(Index,P165,Trigger)</f>
        <v>42347</v>
      </c>
      <c r="R165" s="39">
        <f>_xll.qlInterestRateIndexMaturity(Index,Q165,Trigger)</f>
        <v>42438</v>
      </c>
      <c r="S165" s="40">
        <f>_xll.qlDayCounterYearFraction(DayCounter,Q165,R165,,,Trigger)</f>
        <v>0.25277777777777777</v>
      </c>
      <c r="T165" s="41">
        <f>_xll.qlIndexFixing(Index,P165,,AllTriggers)</f>
        <v>-2.7955347761951247E-5</v>
      </c>
      <c r="U165" s="42">
        <f>_xll.qlYieldTSDiscount(OisCurve,Q165,,AllTriggers)</f>
        <v>1.0008390343050804</v>
      </c>
      <c r="V165" s="42">
        <f>_xll.qlYieldTSDiscount(OisCurve,R165,,AllTriggers)</f>
        <v>1.0012297299494288</v>
      </c>
      <c r="W165" s="41">
        <f t="shared" si="18"/>
        <v>-1.5437107950794654E-3</v>
      </c>
      <c r="X165" s="43">
        <f t="shared" si="19"/>
        <v>3.832254226504157E-4</v>
      </c>
      <c r="Y165" s="41">
        <f t="shared" si="20"/>
        <v>1.5157554473175141E-3</v>
      </c>
      <c r="Z165" s="62"/>
    </row>
    <row r="166" spans="15:26" x14ac:dyDescent="0.25">
      <c r="O166" s="43" t="s">
        <v>32</v>
      </c>
      <c r="P166" s="39">
        <f>_xll.qlCalendarAdvance(Calendar,P165,O165,"f",,Trigger)</f>
        <v>42346</v>
      </c>
      <c r="Q166" s="39">
        <f>_xll.qlInterestRateIndexValueDate(Index,P166,Trigger)</f>
        <v>42348</v>
      </c>
      <c r="R166" s="39">
        <f>_xll.qlInterestRateIndexMaturity(Index,Q166,Trigger)</f>
        <v>42439</v>
      </c>
      <c r="S166" s="40">
        <f>_xll.qlDayCounterYearFraction(DayCounter,Q166,R166,,,Trigger)</f>
        <v>0.25277777777777777</v>
      </c>
      <c r="T166" s="41">
        <f>_xll.qlIndexFixing(Index,P166,,AllTriggers)</f>
        <v>-2.7504394889983891E-5</v>
      </c>
      <c r="U166" s="42">
        <f>_xll.qlYieldTSDiscount(OisCurve,Q166,,AllTriggers)</f>
        <v>1.0008434384873424</v>
      </c>
      <c r="V166" s="42">
        <f>_xll.qlYieldTSDiscount(OisCurve,R166,,AllTriggers)</f>
        <v>1.0012343198187719</v>
      </c>
      <c r="W166" s="41">
        <f t="shared" si="18"/>
        <v>-1.5444373990415182E-3</v>
      </c>
      <c r="X166" s="43">
        <f t="shared" si="19"/>
        <v>3.8352315536484787E-4</v>
      </c>
      <c r="Y166" s="41">
        <f t="shared" si="20"/>
        <v>1.5169330041515344E-3</v>
      </c>
      <c r="Z166" s="62"/>
    </row>
    <row r="167" spans="15:26" x14ac:dyDescent="0.25">
      <c r="O167" s="43" t="s">
        <v>32</v>
      </c>
      <c r="P167" s="39">
        <f>_xll.qlCalendarAdvance(Calendar,P166,O166,"f",,Trigger)</f>
        <v>42347</v>
      </c>
      <c r="Q167" s="39">
        <f>_xll.qlInterestRateIndexValueDate(Index,P167,Trigger)</f>
        <v>42349</v>
      </c>
      <c r="R167" s="39">
        <f>_xll.qlInterestRateIndexMaturity(Index,Q167,Trigger)</f>
        <v>42440</v>
      </c>
      <c r="S167" s="40">
        <f>_xll.qlDayCounterYearFraction(DayCounter,Q167,R167,,,Trigger)</f>
        <v>0.25277777777777777</v>
      </c>
      <c r="T167" s="41">
        <f>_xll.qlIndexFixing(Index,P167,,AllTriggers)</f>
        <v>-2.7061873618489291E-5</v>
      </c>
      <c r="U167" s="42">
        <f>_xll.qlYieldTSDiscount(OisCurve,Q167,,AllTriggers)</f>
        <v>1.0008478482058458</v>
      </c>
      <c r="V167" s="42">
        <f>_xll.qlYieldTSDiscount(OisCurve,R167,,AllTriggers)</f>
        <v>1.0012389045760097</v>
      </c>
      <c r="W167" s="41">
        <f t="shared" si="18"/>
        <v>-1.5451219310286563E-3</v>
      </c>
      <c r="X167" s="43">
        <f t="shared" si="19"/>
        <v>3.8380811774826033E-4</v>
      </c>
      <c r="Y167" s="41">
        <f t="shared" si="20"/>
        <v>1.518060057410167E-3</v>
      </c>
      <c r="Z167" s="62"/>
    </row>
    <row r="168" spans="15:26" x14ac:dyDescent="0.25">
      <c r="O168" s="43" t="s">
        <v>32</v>
      </c>
      <c r="P168" s="39">
        <f>_xll.qlCalendarAdvance(Calendar,P167,O167,"f",,Trigger)</f>
        <v>42348</v>
      </c>
      <c r="Q168" s="39">
        <f>_xll.qlInterestRateIndexValueDate(Index,P168,Trigger)</f>
        <v>42352</v>
      </c>
      <c r="R168" s="39">
        <f>_xll.qlInterestRateIndexMaturity(Index,Q168,Trigger)</f>
        <v>42443</v>
      </c>
      <c r="S168" s="40">
        <f>_xll.qlDayCounterYearFraction(DayCounter,Q168,R168,,,Trigger)</f>
        <v>0.25277777777777777</v>
      </c>
      <c r="T168" s="41">
        <f>_xll.qlIndexFixing(Index,P168,,AllTriggers)</f>
        <v>-2.5791830473990836E-5</v>
      </c>
      <c r="U168" s="42">
        <f>_xll.qlYieldTSDiscount(OisCurve,Q168,,AllTriggers)</f>
        <v>1.0008611101625118</v>
      </c>
      <c r="V168" s="42">
        <f>_xll.qlYieldTSDiscount(OisCurve,R168,,AllTriggers)</f>
        <v>1.0012526261990418</v>
      </c>
      <c r="W168" s="41">
        <f t="shared" si="18"/>
        <v>-1.5469169413202704E-3</v>
      </c>
      <c r="X168" s="43">
        <f t="shared" si="19"/>
        <v>3.8458307467932498E-4</v>
      </c>
      <c r="Y168" s="41">
        <f t="shared" si="20"/>
        <v>1.5211251108462795E-3</v>
      </c>
      <c r="Z168" s="62"/>
    </row>
    <row r="169" spans="15:26" x14ac:dyDescent="0.25">
      <c r="O169" s="43" t="s">
        <v>32</v>
      </c>
      <c r="P169" s="39">
        <f>_xll.qlCalendarAdvance(Calendar,P168,O168,"f",,Trigger)</f>
        <v>42349</v>
      </c>
      <c r="Q169" s="39">
        <f>_xll.qlInterestRateIndexValueDate(Index,P169,Trigger)</f>
        <v>42353</v>
      </c>
      <c r="R169" s="39">
        <f>_xll.qlInterestRateIndexMaturity(Index,Q169,Trigger)</f>
        <v>42444</v>
      </c>
      <c r="S169" s="40">
        <f>_xll.qlDayCounterYearFraction(DayCounter,Q169,R169,,,Trigger)</f>
        <v>0.25277777777777777</v>
      </c>
      <c r="T169" s="41">
        <f>_xll.qlIndexFixing(Index,P169,,AllTriggers)</f>
        <v>-2.5389966670218434E-5</v>
      </c>
      <c r="U169" s="42">
        <f>_xll.qlYieldTSDiscount(OisCurve,Q169,,AllTriggers)</f>
        <v>1.0008655416096841</v>
      </c>
      <c r="V169" s="42">
        <f>_xll.qlYieldTSDiscount(OisCurve,R169,,AllTriggers)</f>
        <v>1.0012571885317909</v>
      </c>
      <c r="W169" s="41">
        <f t="shared" si="18"/>
        <v>-1.5474270315861207E-3</v>
      </c>
      <c r="X169" s="43">
        <f t="shared" si="19"/>
        <v>3.8481364750646995E-4</v>
      </c>
      <c r="Y169" s="41">
        <f t="shared" si="20"/>
        <v>1.5220370649159023E-3</v>
      </c>
      <c r="Z169" s="62"/>
    </row>
    <row r="170" spans="15:26" x14ac:dyDescent="0.25">
      <c r="O170" s="43" t="s">
        <v>32</v>
      </c>
      <c r="P170" s="39">
        <f>_xll.qlCalendarAdvance(Calendar,P169,O169,"f",,Trigger)</f>
        <v>42352</v>
      </c>
      <c r="Q170" s="39">
        <f>_xll.qlInterestRateIndexValueDate(Index,P170,Trigger)</f>
        <v>42354</v>
      </c>
      <c r="R170" s="39">
        <f>_xll.qlInterestRateIndexMaturity(Index,Q170,Trigger)</f>
        <v>42445</v>
      </c>
      <c r="S170" s="40">
        <f>_xll.qlDayCounterYearFraction(DayCounter,Q170,R170,,,Trigger)</f>
        <v>0.25277777777777777</v>
      </c>
      <c r="T170" s="41">
        <f>_xll.qlIndexFixing(Index,P170,,AllTriggers)</f>
        <v>-2.5000000000273583E-5</v>
      </c>
      <c r="U170" s="42">
        <f>_xll.qlYieldTSDiscount(OisCurve,Q170,,AllTriggers)</f>
        <v>1.0008699783849466</v>
      </c>
      <c r="V170" s="42">
        <f>_xll.qlYieldTSDiscount(OisCurve,R170,,AllTriggers)</f>
        <v>1.0012617447643832</v>
      </c>
      <c r="W170" s="41">
        <f t="shared" si="18"/>
        <v>-1.547891972958556E-3</v>
      </c>
      <c r="X170" s="43">
        <f t="shared" si="19"/>
        <v>3.8502979588554475E-4</v>
      </c>
      <c r="Y170" s="41">
        <f t="shared" si="20"/>
        <v>1.5228919729582825E-3</v>
      </c>
      <c r="Z170" s="62"/>
    </row>
    <row r="171" spans="15:26" x14ac:dyDescent="0.25">
      <c r="O171" s="43" t="s">
        <v>32</v>
      </c>
      <c r="P171" s="39">
        <f>_xll.qlCalendarAdvance(Calendar,P170,O170,"f",,Trigger)</f>
        <v>42353</v>
      </c>
      <c r="Q171" s="39">
        <f>_xll.qlInterestRateIndexValueDate(Index,P171,Trigger)</f>
        <v>42355</v>
      </c>
      <c r="R171" s="39">
        <f>_xll.qlInterestRateIndexMaturity(Index,Q171,Trigger)</f>
        <v>42446</v>
      </c>
      <c r="S171" s="40">
        <f>_xll.qlDayCounterYearFraction(DayCounter,Q171,R171,,,Trigger)</f>
        <v>0.25277777777777777</v>
      </c>
      <c r="T171" s="41">
        <f>_xll.qlIndexFixing(Index,P171,,AllTriggers)</f>
        <v>-2.4623385323246622E-5</v>
      </c>
      <c r="U171" s="42">
        <f>_xll.qlYieldTSDiscount(OisCurve,Q171,,AllTriggers)</f>
        <v>1.000874420446666</v>
      </c>
      <c r="V171" s="42">
        <f>_xll.qlYieldTSDiscount(OisCurve,R171,,AllTriggers)</f>
        <v>1.0012662947428312</v>
      </c>
      <c r="W171" s="41">
        <f t="shared" si="18"/>
        <v>-1.5483113223858269E-3</v>
      </c>
      <c r="X171" s="43">
        <f t="shared" si="19"/>
        <v>3.8523104001761919E-4</v>
      </c>
      <c r="Y171" s="41">
        <f t="shared" si="20"/>
        <v>1.5236879370625802E-3</v>
      </c>
      <c r="Z171" s="62"/>
    </row>
    <row r="172" spans="15:26" x14ac:dyDescent="0.25">
      <c r="O172" s="43" t="s">
        <v>32</v>
      </c>
      <c r="P172" s="39">
        <f>_xll.qlCalendarAdvance(Calendar,P171,O171,"f",,Trigger)</f>
        <v>42354</v>
      </c>
      <c r="Q172" s="39">
        <f>_xll.qlInterestRateIndexValueDate(Index,P172,Trigger)</f>
        <v>42356</v>
      </c>
      <c r="R172" s="39">
        <f>_xll.qlInterestRateIndexMaturity(Index,Q172,Trigger)</f>
        <v>42447</v>
      </c>
      <c r="S172" s="40">
        <f>_xll.qlDayCounterYearFraction(DayCounter,Q172,R172,,,Trigger)</f>
        <v>0.25277777777777777</v>
      </c>
      <c r="T172" s="41">
        <f>_xll.qlIndexFixing(Index,P172,,AllTriggers)</f>
        <v>-2.4260983947085594E-5</v>
      </c>
      <c r="U172" s="42">
        <f>_xll.qlYieldTSDiscount(OisCurve,Q172,,AllTriggers)</f>
        <v>1.0008788677532099</v>
      </c>
      <c r="V172" s="42">
        <f>_xll.qlYieldTSDiscount(OisCurve,R172,,AllTriggers)</f>
        <v>1.0012708384876807</v>
      </c>
      <c r="W172" s="41">
        <f t="shared" si="18"/>
        <v>-1.5486853261316024E-3</v>
      </c>
      <c r="X172" s="43">
        <f t="shared" si="19"/>
        <v>3.8541722445379831E-4</v>
      </c>
      <c r="Y172" s="41">
        <f t="shared" si="20"/>
        <v>1.5244243421845168E-3</v>
      </c>
      <c r="Z172" s="62"/>
    </row>
    <row r="173" spans="15:26" x14ac:dyDescent="0.25">
      <c r="O173" s="43" t="s">
        <v>32</v>
      </c>
      <c r="P173" s="39">
        <f>_xll.qlCalendarAdvance(Calendar,P172,O172,"f",,Trigger)</f>
        <v>42355</v>
      </c>
      <c r="Q173" s="39">
        <f>_xll.qlInterestRateIndexValueDate(Index,P173,Trigger)</f>
        <v>42359</v>
      </c>
      <c r="R173" s="39">
        <f>_xll.qlInterestRateIndexMaturity(Index,Q173,Trigger)</f>
        <v>42450</v>
      </c>
      <c r="S173" s="40">
        <f>_xll.qlDayCounterYearFraction(DayCounter,Q173,R173,,,Trigger)</f>
        <v>0.25277777777777777</v>
      </c>
      <c r="T173" s="41">
        <f>_xll.qlIndexFixing(Index,P173,,AllTriggers)</f>
        <v>-2.3257087423373151E-5</v>
      </c>
      <c r="U173" s="42">
        <f>_xll.qlYieldTSDiscount(OisCurve,Q173,,AllTriggers)</f>
        <v>1.0008922407254486</v>
      </c>
      <c r="V173" s="42">
        <f>_xll.qlYieldTSDiscount(OisCurve,R173,,AllTriggers)</f>
        <v>1.0012844329624431</v>
      </c>
      <c r="W173" s="41">
        <f t="shared" si="18"/>
        <v>-1.5495394492242949E-3</v>
      </c>
      <c r="X173" s="43">
        <f t="shared" si="19"/>
        <v>3.8588697662439257E-4</v>
      </c>
      <c r="Y173" s="41">
        <f t="shared" si="20"/>
        <v>1.5262823618009218E-3</v>
      </c>
      <c r="Z173" s="62"/>
    </row>
    <row r="174" spans="15:26" x14ac:dyDescent="0.25">
      <c r="O174" s="43" t="s">
        <v>32</v>
      </c>
      <c r="P174" s="39">
        <f>_xll.qlCalendarAdvance(Calendar,P173,O173,"f",,Trigger)</f>
        <v>42356</v>
      </c>
      <c r="Q174" s="39">
        <f>_xll.qlInterestRateIndexValueDate(Index,P174,Trigger)</f>
        <v>42360</v>
      </c>
      <c r="R174" s="39">
        <f>_xll.qlInterestRateIndexMaturity(Index,Q174,Trigger)</f>
        <v>42451</v>
      </c>
      <c r="S174" s="40">
        <f>_xll.qlDayCounterYearFraction(DayCounter,Q174,R174,,,Trigger)</f>
        <v>0.25277777777777777</v>
      </c>
      <c r="T174" s="41">
        <f>_xll.qlIndexFixing(Index,P174,,AllTriggers)</f>
        <v>-2.2949567048494067E-5</v>
      </c>
      <c r="U174" s="42">
        <f>_xll.qlYieldTSDiscount(OisCurve,Q174,,AllTriggers)</f>
        <v>1.0008967085949469</v>
      </c>
      <c r="V174" s="42">
        <f>_xll.qlYieldTSDiscount(OisCurve,R174,,AllTriggers)</f>
        <v>1.0012889524147102</v>
      </c>
      <c r="W174" s="41">
        <f t="shared" si="18"/>
        <v>-1.549736256180082E-3</v>
      </c>
      <c r="X174" s="43">
        <f t="shared" si="19"/>
        <v>3.8601447931506188E-4</v>
      </c>
      <c r="Y174" s="41">
        <f t="shared" si="20"/>
        <v>1.526786689131588E-3</v>
      </c>
      <c r="Z174" s="62"/>
    </row>
    <row r="175" spans="15:26" x14ac:dyDescent="0.25">
      <c r="O175" s="43" t="s">
        <v>32</v>
      </c>
      <c r="P175" s="39">
        <f>_xll.qlCalendarAdvance(Calendar,P174,O174,"f",,Trigger)</f>
        <v>42359</v>
      </c>
      <c r="Q175" s="39">
        <f>_xll.qlInterestRateIndexValueDate(Index,P175,Trigger)</f>
        <v>42361</v>
      </c>
      <c r="R175" s="39">
        <f>_xll.qlInterestRateIndexMaturity(Index,Q175,Trigger)</f>
        <v>42452</v>
      </c>
      <c r="S175" s="40">
        <f>_xll.qlDayCounterYearFraction(DayCounter,Q175,R175,,,Trigger)</f>
        <v>0.25277777777777777</v>
      </c>
      <c r="T175" s="41">
        <f>_xll.qlIndexFixing(Index,P175,,AllTriggers)</f>
        <v>-2.2655273872731208E-5</v>
      </c>
      <c r="U175" s="42">
        <f>_xll.qlYieldTSDiscount(OisCurve,Q175,,AllTriggers)</f>
        <v>1.0009011815010953</v>
      </c>
      <c r="V175" s="42">
        <f>_xll.qlYieldTSDiscount(OisCurve,R175,,AllTriggers)</f>
        <v>1.0012934659542909</v>
      </c>
      <c r="W175" s="41">
        <f t="shared" si="18"/>
        <v>-1.5498898104118295E-3</v>
      </c>
      <c r="X175" s="43">
        <f t="shared" si="19"/>
        <v>3.8612770082826245E-4</v>
      </c>
      <c r="Y175" s="41">
        <f t="shared" si="20"/>
        <v>1.5272345365390982E-3</v>
      </c>
      <c r="Z175" s="62"/>
    </row>
    <row r="176" spans="15:26" x14ac:dyDescent="0.25">
      <c r="O176" s="43" t="s">
        <v>32</v>
      </c>
      <c r="P176" s="39">
        <f>_xll.qlCalendarAdvance(Calendar,P175,O175,"f",,Trigger)</f>
        <v>42360</v>
      </c>
      <c r="Q176" s="39">
        <f>_xll.qlInterestRateIndexValueDate(Index,P176,Trigger)</f>
        <v>42362</v>
      </c>
      <c r="R176" s="39">
        <f>_xll.qlInterestRateIndexMaturity(Index,Q176,Trigger)</f>
        <v>42453</v>
      </c>
      <c r="S176" s="40">
        <f>_xll.qlDayCounterYearFraction(DayCounter,Q176,R176,,,Trigger)</f>
        <v>0.25277777777777777</v>
      </c>
      <c r="T176" s="41">
        <f>_xll.qlIndexFixing(Index,P176,,AllTriggers)</f>
        <v>-2.2374010674944055E-5</v>
      </c>
      <c r="U176" s="42">
        <f>_xll.qlYieldTSDiscount(OisCurve,Q176,,AllTriggers)</f>
        <v>1.0009056594022561</v>
      </c>
      <c r="V176" s="42">
        <f>_xll.qlYieldTSDiscount(OisCurve,R176,,AllTriggers)</f>
        <v>1.0012979736453722</v>
      </c>
      <c r="W176" s="41">
        <f t="shared" si="18"/>
        <v>-1.5500005305108526E-3</v>
      </c>
      <c r="X176" s="43">
        <f t="shared" si="19"/>
        <v>3.862267968692134E-4</v>
      </c>
      <c r="Y176" s="41">
        <f t="shared" si="20"/>
        <v>1.5276265198359085E-3</v>
      </c>
      <c r="Z176" s="62"/>
    </row>
    <row r="177" spans="15:26" x14ac:dyDescent="0.25">
      <c r="O177" s="43" t="s">
        <v>32</v>
      </c>
      <c r="P177" s="39">
        <f>_xll.qlCalendarAdvance(Calendar,P176,O176,"f",,Trigger)</f>
        <v>42361</v>
      </c>
      <c r="Q177" s="39">
        <f>_xll.qlInterestRateIndexValueDate(Index,P177,Trigger)</f>
        <v>42366</v>
      </c>
      <c r="R177" s="39">
        <f>_xll.qlInterestRateIndexMaturity(Index,Q177,Trigger)</f>
        <v>42458</v>
      </c>
      <c r="S177" s="40">
        <f>_xll.qlDayCounterYearFraction(DayCounter,Q177,R177,,,Trigger)</f>
        <v>0.25555555555555554</v>
      </c>
      <c r="T177" s="41">
        <f>_xll.qlIndexFixing(Index,P177,,AllTriggers)</f>
        <v>-2.1366932861293968E-5</v>
      </c>
      <c r="U177" s="42">
        <f>_xll.qlYieldTSDiscount(OisCurve,Q177,,AllTriggers)</f>
        <v>1.0009236201242628</v>
      </c>
      <c r="V177" s="42">
        <f>_xll.qlYieldTSDiscount(OisCurve,R177,,AllTriggers)</f>
        <v>1.0013204266198894</v>
      </c>
      <c r="W177" s="41">
        <f t="shared" si="18"/>
        <v>-1.5506735192496652E-3</v>
      </c>
      <c r="X177" s="43">
        <f t="shared" si="19"/>
        <v>3.9090132034155637E-4</v>
      </c>
      <c r="Y177" s="41">
        <f t="shared" si="20"/>
        <v>1.5293065863883713E-3</v>
      </c>
      <c r="Z177" s="62"/>
    </row>
    <row r="178" spans="15:26" x14ac:dyDescent="0.25">
      <c r="O178" s="43" t="s">
        <v>32</v>
      </c>
      <c r="P178" s="39">
        <f>_xll.qlCalendarAdvance(Calendar,P177,O177,"f",,Trigger)</f>
        <v>42362</v>
      </c>
      <c r="Q178" s="39">
        <f>_xll.qlInterestRateIndexValueDate(Index,P178,Trigger)</f>
        <v>42367</v>
      </c>
      <c r="R178" s="39">
        <f>_xll.qlInterestRateIndexMaturity(Index,Q178,Trigger)</f>
        <v>42458</v>
      </c>
      <c r="S178" s="40">
        <f>_xll.qlDayCounterYearFraction(DayCounter,Q178,R178,,,Trigger)</f>
        <v>0.25277777777777777</v>
      </c>
      <c r="T178" s="41">
        <f>_xll.qlIndexFixing(Index,P178,,AllTriggers)</f>
        <v>-2.1156241599914264E-5</v>
      </c>
      <c r="U178" s="42">
        <f>_xll.qlYieldTSDiscount(OisCurve,Q178,,AllTriggers)</f>
        <v>1.0009281223759088</v>
      </c>
      <c r="V178" s="42">
        <f>_xll.qlYieldTSDiscount(OisCurve,R178,,AllTriggers)</f>
        <v>1.0013204266198894</v>
      </c>
      <c r="W178" s="41">
        <f t="shared" si="18"/>
        <v>-1.5499262694247812E-3</v>
      </c>
      <c r="X178" s="43">
        <f t="shared" si="19"/>
        <v>3.8651584461359796E-4</v>
      </c>
      <c r="Y178" s="41">
        <f t="shared" si="20"/>
        <v>1.528770027824867E-3</v>
      </c>
      <c r="Z178" s="62"/>
    </row>
    <row r="179" spans="15:26" x14ac:dyDescent="0.25">
      <c r="O179" s="43" t="s">
        <v>32</v>
      </c>
      <c r="P179" s="39">
        <f>_xll.qlCalendarAdvance(Calendar,P178,O178,"f",,Trigger)</f>
        <v>42366</v>
      </c>
      <c r="Q179" s="39">
        <f>_xll.qlInterestRateIndexValueDate(Index,P179,Trigger)</f>
        <v>42368</v>
      </c>
      <c r="R179" s="39">
        <f>_xll.qlInterestRateIndexMaturity(Index,Q179,Trigger)</f>
        <v>42459</v>
      </c>
      <c r="S179" s="40">
        <f>_xll.qlDayCounterYearFraction(DayCounter,Q179,R179,,,Trigger)</f>
        <v>0.25277777777777777</v>
      </c>
      <c r="T179" s="41">
        <f>_xll.qlIndexFixing(Index,P179,,AllTriggers)</f>
        <v>-2.094901661548947E-5</v>
      </c>
      <c r="U179" s="42">
        <f>_xll.qlYieldTSDiscount(OisCurve,Q179,,AllTriggers)</f>
        <v>1.0009326293727312</v>
      </c>
      <c r="V179" s="42">
        <f>_xll.qlYieldTSDiscount(OisCurve,R179,,AllTriggers)</f>
        <v>1.0013249005679545</v>
      </c>
      <c r="W179" s="41">
        <f t="shared" si="18"/>
        <v>-1.5497887749654467E-3</v>
      </c>
      <c r="X179" s="43">
        <f t="shared" si="19"/>
        <v>3.8653345759805357E-4</v>
      </c>
      <c r="Y179" s="41">
        <f t="shared" si="20"/>
        <v>1.5288397583499572E-3</v>
      </c>
      <c r="Z179" s="62"/>
    </row>
    <row r="180" spans="15:26" x14ac:dyDescent="0.25">
      <c r="O180" s="43" t="s">
        <v>32</v>
      </c>
      <c r="P180" s="39">
        <f>_xll.qlCalendarAdvance(Calendar,P179,O179,"f",,Trigger)</f>
        <v>42367</v>
      </c>
      <c r="Q180" s="39">
        <f>_xll.qlInterestRateIndexValueDate(Index,P180,Trigger)</f>
        <v>42369</v>
      </c>
      <c r="R180" s="39">
        <f>_xll.qlInterestRateIndexMaturity(Index,Q180,Trigger)</f>
        <v>42460</v>
      </c>
      <c r="S180" s="40">
        <f>_xll.qlDayCounterYearFraction(DayCounter,Q180,R180,,,Trigger)</f>
        <v>0.25277777777777777</v>
      </c>
      <c r="T180" s="41">
        <f>_xll.qlIndexFixing(Index,P180,,AllTriggers)</f>
        <v>-2.0753441057543087E-5</v>
      </c>
      <c r="U180" s="42">
        <f>_xll.qlYieldTSDiscount(OisCurve,Q180,,AllTriggers)</f>
        <v>1.0009371410730887</v>
      </c>
      <c r="V180" s="42">
        <f>_xll.qlYieldTSDiscount(OisCurve,R180,,AllTriggers)</f>
        <v>1.0013293691168592</v>
      </c>
      <c r="W180" s="41">
        <f t="shared" si="18"/>
        <v>-1.5496113764423226E-3</v>
      </c>
      <c r="X180" s="43">
        <f t="shared" si="19"/>
        <v>3.865380350362698E-4</v>
      </c>
      <c r="Y180" s="41">
        <f t="shared" si="20"/>
        <v>1.5288579353847796E-3</v>
      </c>
      <c r="Z180" s="62"/>
    </row>
    <row r="181" spans="15:26" x14ac:dyDescent="0.25">
      <c r="O181" s="43" t="s">
        <v>32</v>
      </c>
      <c r="P181" s="39">
        <f>_xll.qlCalendarAdvance(Calendar,P180,O180,"f",,Trigger)</f>
        <v>42368</v>
      </c>
      <c r="Q181" s="39">
        <f>_xll.qlInterestRateIndexValueDate(Index,P181,Trigger)</f>
        <v>42373</v>
      </c>
      <c r="R181" s="39">
        <f>_xll.qlInterestRateIndexMaturity(Index,Q181,Trigger)</f>
        <v>42464</v>
      </c>
      <c r="S181" s="40">
        <f>_xll.qlDayCounterYearFraction(DayCounter,Q181,R181,,,Trigger)</f>
        <v>0.25277777777777777</v>
      </c>
      <c r="T181" s="41">
        <f>_xll.qlIndexFixing(Index,P181,,AllTriggers)</f>
        <v>-2.0083688627763283E-5</v>
      </c>
      <c r="U181" s="42">
        <f>_xll.qlYieldTSDiscount(OisCurve,Q181,,AllTriggers)</f>
        <v>1.0009385181246024</v>
      </c>
      <c r="V181" s="42">
        <f>_xll.qlYieldTSDiscount(OisCurve,R181,,AllTriggers)</f>
        <v>1.0013429849466158</v>
      </c>
      <c r="W181" s="41">
        <f t="shared" si="18"/>
        <v>-1.5979425139045977E-3</v>
      </c>
      <c r="X181" s="43">
        <f t="shared" si="19"/>
        <v>3.989292340314249E-4</v>
      </c>
      <c r="Y181" s="41">
        <f t="shared" si="20"/>
        <v>1.5778588252768344E-3</v>
      </c>
      <c r="Z181" s="62"/>
    </row>
    <row r="182" spans="15:26" x14ac:dyDescent="0.25">
      <c r="O182" s="43" t="s">
        <v>32</v>
      </c>
      <c r="P182" s="39">
        <f>_xll.qlCalendarAdvance(Calendar,P181,O181,"f",,Trigger)</f>
        <v>42369</v>
      </c>
      <c r="Q182" s="39">
        <f>_xll.qlInterestRateIndexValueDate(Index,P182,Trigger)</f>
        <v>42374</v>
      </c>
      <c r="R182" s="39">
        <f>_xll.qlInterestRateIndexMaturity(Index,Q182,Trigger)</f>
        <v>42465</v>
      </c>
      <c r="S182" s="40">
        <f>_xll.qlDayCounterYearFraction(DayCounter,Q182,R182,,,Trigger)</f>
        <v>0.25277777777777777</v>
      </c>
      <c r="T182" s="41">
        <f>_xll.qlIndexFixing(Index,P182,,AllTriggers)</f>
        <v>-1.9943401858309435E-5</v>
      </c>
      <c r="U182" s="42">
        <f>_xll.qlYieldTSDiscount(OisCurve,Q182,,AllTriggers)</f>
        <v>1.0009430526422578</v>
      </c>
      <c r="V182" s="42">
        <f>_xll.qlYieldTSDiscount(OisCurve,R182,,AllTriggers)</f>
        <v>1.0013474274440282</v>
      </c>
      <c r="W182" s="41">
        <f t="shared" si="18"/>
        <v>-1.5975718783274235E-3</v>
      </c>
      <c r="X182" s="43">
        <f t="shared" si="19"/>
        <v>3.9887096929720517E-4</v>
      </c>
      <c r="Y182" s="41">
        <f t="shared" si="20"/>
        <v>1.5776284764691141E-3</v>
      </c>
      <c r="Z182" s="62"/>
    </row>
    <row r="183" spans="15:26" x14ac:dyDescent="0.25">
      <c r="O183" s="43" t="s">
        <v>32</v>
      </c>
      <c r="P183" s="39">
        <f>_xll.qlCalendarAdvance(Calendar,P182,O182,"f",,Trigger)</f>
        <v>42373</v>
      </c>
      <c r="Q183" s="39">
        <f>_xll.qlInterestRateIndexValueDate(Index,P183,Trigger)</f>
        <v>42375</v>
      </c>
      <c r="R183" s="39">
        <f>_xll.qlInterestRateIndexMaturity(Index,Q183,Trigger)</f>
        <v>42466</v>
      </c>
      <c r="S183" s="40">
        <f>_xll.qlDayCounterYearFraction(DayCounter,Q183,R183,,,Trigger)</f>
        <v>0.25277777777777777</v>
      </c>
      <c r="T183" s="41">
        <f>_xll.qlIndexFixing(Index,P183,,AllTriggers)</f>
        <v>-1.981358117794987E-5</v>
      </c>
      <c r="U183" s="42">
        <f>_xll.qlYieldTSDiscount(OisCurve,Q183,,AllTriggers)</f>
        <v>1.0009475916135091</v>
      </c>
      <c r="V183" s="42">
        <f>_xll.qlYieldTSDiscount(OisCurve,R183,,AllTriggers)</f>
        <v>1.0013518649274973</v>
      </c>
      <c r="W183" s="41">
        <f t="shared" si="18"/>
        <v>-1.5971638505997742E-3</v>
      </c>
      <c r="X183" s="43">
        <f t="shared" si="19"/>
        <v>3.9880060324011014E-4</v>
      </c>
      <c r="Y183" s="41">
        <f t="shared" si="20"/>
        <v>1.5773502694218244E-3</v>
      </c>
      <c r="Z183" s="62"/>
    </row>
    <row r="184" spans="15:26" x14ac:dyDescent="0.25">
      <c r="O184" s="43" t="s">
        <v>32</v>
      </c>
      <c r="P184" s="39">
        <f>_xll.qlCalendarAdvance(Calendar,P183,O183,"f",,Trigger)</f>
        <v>42374</v>
      </c>
      <c r="Q184" s="39">
        <f>_xll.qlInterestRateIndexValueDate(Index,P184,Trigger)</f>
        <v>42376</v>
      </c>
      <c r="R184" s="39">
        <f>_xll.qlInterestRateIndexMaturity(Index,Q184,Trigger)</f>
        <v>42467</v>
      </c>
      <c r="S184" s="40">
        <f>_xll.qlDayCounterYearFraction(DayCounter,Q184,R184,,,Trigger)</f>
        <v>0.25277777777777777</v>
      </c>
      <c r="T184" s="41">
        <f>_xll.qlIndexFixing(Index,P184,,AllTriggers)</f>
        <v>-1.9694029363787241E-5</v>
      </c>
      <c r="U184" s="42">
        <f>_xll.qlYieldTSDiscount(OisCurve,Q184,,AllTriggers)</f>
        <v>1.0009521349967105</v>
      </c>
      <c r="V184" s="42">
        <f>_xll.qlYieldTSDiscount(OisCurve,R184,,AllTriggers)</f>
        <v>1.0013562974612265</v>
      </c>
      <c r="W184" s="41">
        <f t="shared" si="18"/>
        <v>-1.5967188492866131E-3</v>
      </c>
      <c r="X184" s="43">
        <f t="shared" si="19"/>
        <v>3.9871829156399918E-4</v>
      </c>
      <c r="Y184" s="41">
        <f t="shared" si="20"/>
        <v>1.5770248199228258E-3</v>
      </c>
      <c r="Z184" s="62"/>
    </row>
    <row r="185" spans="15:26" x14ac:dyDescent="0.25">
      <c r="O185" s="43" t="s">
        <v>32</v>
      </c>
      <c r="P185" s="39">
        <f>_xll.qlCalendarAdvance(Calendar,P184,O184,"f",,Trigger)</f>
        <v>42375</v>
      </c>
      <c r="Q185" s="39">
        <f>_xll.qlInterestRateIndexValueDate(Index,P185,Trigger)</f>
        <v>42377</v>
      </c>
      <c r="R185" s="39">
        <f>_xll.qlInterestRateIndexMaturity(Index,Q185,Trigger)</f>
        <v>42468</v>
      </c>
      <c r="S185" s="40">
        <f>_xll.qlDayCounterYearFraction(DayCounter,Q185,R185,,,Trigger)</f>
        <v>0.25277777777777777</v>
      </c>
      <c r="T185" s="41">
        <f>_xll.qlIndexFixing(Index,P185,,AllTriggers)</f>
        <v>-1.9584549193363398E-5</v>
      </c>
      <c r="U185" s="42">
        <f>_xll.qlYieldTSDiscount(OisCurve,Q185,,AllTriggers)</f>
        <v>1.0009566827502154</v>
      </c>
      <c r="V185" s="42">
        <f>_xll.qlYieldTSDiscount(OisCurve,R185,,AllTriggers)</f>
        <v>1.0013607251094201</v>
      </c>
      <c r="W185" s="41">
        <f t="shared" si="18"/>
        <v>-1.5962372929520245E-3</v>
      </c>
      <c r="X185" s="43">
        <f t="shared" si="19"/>
        <v>3.9862418997235088E-4</v>
      </c>
      <c r="Y185" s="41">
        <f t="shared" si="20"/>
        <v>1.5766527437586612E-3</v>
      </c>
      <c r="Z185" s="62"/>
    </row>
    <row r="186" spans="15:26" x14ac:dyDescent="0.25">
      <c r="O186" s="43" t="s">
        <v>32</v>
      </c>
      <c r="P186" s="39">
        <f>_xll.qlCalendarAdvance(Calendar,P185,O185,"f",,Trigger)</f>
        <v>42376</v>
      </c>
      <c r="Q186" s="39">
        <f>_xll.qlInterestRateIndexValueDate(Index,P186,Trigger)</f>
        <v>42380</v>
      </c>
      <c r="R186" s="39">
        <f>_xll.qlInterestRateIndexMaturity(Index,Q186,Trigger)</f>
        <v>42471</v>
      </c>
      <c r="S186" s="40">
        <f>_xll.qlDayCounterYearFraction(DayCounter,Q186,R186,,,Trigger)</f>
        <v>0.25277777777777777</v>
      </c>
      <c r="T186" s="41">
        <f>_xll.qlIndexFixing(Index,P186,,AllTriggers)</f>
        <v>-1.9314566304570828E-5</v>
      </c>
      <c r="U186" s="42">
        <f>_xll.qlYieldTSDiscount(OisCurve,Q186,,AllTriggers)</f>
        <v>1.0009703518160764</v>
      </c>
      <c r="V186" s="42">
        <f>_xll.qlYieldTSDiscount(OisCurve,R186,,AllTriggers)</f>
        <v>1.0013739793828531</v>
      </c>
      <c r="W186" s="41">
        <f t="shared" si="18"/>
        <v>-1.5945774794583431E-3</v>
      </c>
      <c r="X186" s="43">
        <f t="shared" si="19"/>
        <v>3.9827270274452286E-4</v>
      </c>
      <c r="Y186" s="41">
        <f t="shared" si="20"/>
        <v>1.5752629131537722E-3</v>
      </c>
      <c r="Z186" s="62"/>
    </row>
    <row r="187" spans="15:26" x14ac:dyDescent="0.25">
      <c r="O187" s="43" t="s">
        <v>32</v>
      </c>
      <c r="P187" s="39">
        <f>_xll.qlCalendarAdvance(Calendar,P186,O186,"f",,Trigger)</f>
        <v>42377</v>
      </c>
      <c r="Q187" s="39">
        <f>_xll.qlInterestRateIndexValueDate(Index,P187,Trigger)</f>
        <v>42381</v>
      </c>
      <c r="R187" s="39">
        <f>_xll.qlInterestRateIndexMaturity(Index,Q187,Trigger)</f>
        <v>42472</v>
      </c>
      <c r="S187" s="40">
        <f>_xll.qlDayCounterYearFraction(DayCounter,Q187,R187,,,Trigger)</f>
        <v>0.25277777777777777</v>
      </c>
      <c r="T187" s="41">
        <f>_xll.qlIndexFixing(Index,P187,,AllTriggers)</f>
        <v>-1.9243400471344412E-5</v>
      </c>
      <c r="U187" s="42">
        <f>_xll.qlYieldTSDiscount(OisCurve,Q187,,AllTriggers)</f>
        <v>1.0009749166343163</v>
      </c>
      <c r="V187" s="42">
        <f>_xll.qlYieldTSDiscount(OisCurve,R187,,AllTriggers)</f>
        <v>1.0013783881309757</v>
      </c>
      <c r="W187" s="41">
        <f t="shared" si="18"/>
        <v>-1.5939538886740583E-3</v>
      </c>
      <c r="X187" s="43">
        <f t="shared" si="19"/>
        <v>3.9813299853097214E-4</v>
      </c>
      <c r="Y187" s="41">
        <f t="shared" si="20"/>
        <v>1.5747104882027139E-3</v>
      </c>
      <c r="Z187" s="62"/>
    </row>
    <row r="188" spans="15:26" x14ac:dyDescent="0.25">
      <c r="O188" s="43" t="s">
        <v>32</v>
      </c>
      <c r="P188" s="39">
        <f>_xll.qlCalendarAdvance(Calendar,P187,O187,"f",,Trigger)</f>
        <v>42380</v>
      </c>
      <c r="Q188" s="39">
        <f>_xll.qlInterestRateIndexValueDate(Index,P188,Trigger)</f>
        <v>42382</v>
      </c>
      <c r="R188" s="39">
        <f>_xll.qlInterestRateIndexMaturity(Index,Q188,Trigger)</f>
        <v>42473</v>
      </c>
      <c r="S188" s="40">
        <f>_xll.qlDayCounterYearFraction(DayCounter,Q188,R188,,,Trigger)</f>
        <v>0.25277777777777777</v>
      </c>
      <c r="T188" s="41">
        <f>_xll.qlIndexFixing(Index,P188,,AllTriggers)</f>
        <v>-1.9181320163856338E-5</v>
      </c>
      <c r="U188" s="42">
        <f>_xll.qlYieldTSDiscount(OisCurve,Q188,,AllTriggers)</f>
        <v>1.0009794856146164</v>
      </c>
      <c r="V188" s="42">
        <f>_xll.qlYieldTSDiscount(OisCurve,R188,,AllTriggers)</f>
        <v>1.0013827923146035</v>
      </c>
      <c r="W188" s="41">
        <f t="shared" si="18"/>
        <v>-1.5932958356795453E-3</v>
      </c>
      <c r="X188" s="43">
        <f t="shared" si="19"/>
        <v>3.9798228292108799E-4</v>
      </c>
      <c r="Y188" s="41">
        <f t="shared" si="20"/>
        <v>1.5741145155156889E-3</v>
      </c>
      <c r="Z188" s="62"/>
    </row>
    <row r="189" spans="15:26" x14ac:dyDescent="0.25">
      <c r="O189" s="43" t="s">
        <v>32</v>
      </c>
      <c r="P189" s="39">
        <f>_xll.qlCalendarAdvance(Calendar,P188,O188,"f",,Trigger)</f>
        <v>42381</v>
      </c>
      <c r="Q189" s="39">
        <f>_xll.qlInterestRateIndexValueDate(Index,P189,Trigger)</f>
        <v>42383</v>
      </c>
      <c r="R189" s="39">
        <f>_xll.qlInterestRateIndexMaturity(Index,Q189,Trigger)</f>
        <v>42474</v>
      </c>
      <c r="S189" s="40">
        <f>_xll.qlDayCounterYearFraction(DayCounter,Q189,R189,,,Trigger)</f>
        <v>0.25277777777777777</v>
      </c>
      <c r="T189" s="41">
        <f>_xll.qlIndexFixing(Index,P189,,AllTriggers)</f>
        <v>-1.9128128157891628E-5</v>
      </c>
      <c r="U189" s="42">
        <f>_xll.qlYieldTSDiscount(OisCurve,Q189,,AllTriggers)</f>
        <v>1.000984058715326</v>
      </c>
      <c r="V189" s="42">
        <f>_xll.qlYieldTSDiscount(OisCurve,R189,,AllTriggers)</f>
        <v>1.0013871919979489</v>
      </c>
      <c r="W189" s="41">
        <f t="shared" si="18"/>
        <v>-1.5926037390375707E-3</v>
      </c>
      <c r="X189" s="43">
        <f t="shared" si="19"/>
        <v>3.9782071161933064E-4</v>
      </c>
      <c r="Y189" s="41">
        <f t="shared" si="20"/>
        <v>1.5734756108796791E-3</v>
      </c>
      <c r="Z189" s="62"/>
    </row>
    <row r="190" spans="15:26" x14ac:dyDescent="0.25">
      <c r="O190" s="43" t="s">
        <v>32</v>
      </c>
      <c r="P190" s="39">
        <f>_xll.qlCalendarAdvance(Calendar,P189,O189,"f",,Trigger)</f>
        <v>42382</v>
      </c>
      <c r="Q190" s="39">
        <f>_xll.qlInterestRateIndexValueDate(Index,P190,Trigger)</f>
        <v>42384</v>
      </c>
      <c r="R190" s="39">
        <f>_xll.qlInterestRateIndexMaturity(Index,Q190,Trigger)</f>
        <v>42475</v>
      </c>
      <c r="S190" s="40">
        <f>_xll.qlDayCounterYearFraction(DayCounter,Q190,R190,,,Trigger)</f>
        <v>0.25277777777777777</v>
      </c>
      <c r="T190" s="41">
        <f>_xll.qlIndexFixing(Index,P190,,AllTriggers)</f>
        <v>-1.9083627230113717E-5</v>
      </c>
      <c r="U190" s="42">
        <f>_xll.qlYieldTSDiscount(OisCurve,Q190,,AllTriggers)</f>
        <v>1.0009886358947939</v>
      </c>
      <c r="V190" s="42">
        <f>_xll.qlYieldTSDiscount(OisCurve,R190,,AllTriggers)</f>
        <v>1.0013915872452246</v>
      </c>
      <c r="W190" s="41">
        <f t="shared" si="18"/>
        <v>-1.5918780173060701E-3</v>
      </c>
      <c r="X190" s="43">
        <f t="shared" si="19"/>
        <v>3.9764844032879422E-4</v>
      </c>
      <c r="Y190" s="41">
        <f t="shared" si="20"/>
        <v>1.5727943900759563E-3</v>
      </c>
      <c r="Z190" s="62"/>
    </row>
    <row r="191" spans="15:26" x14ac:dyDescent="0.25">
      <c r="O191" s="43" t="s">
        <v>32</v>
      </c>
      <c r="P191" s="39">
        <f>_xll.qlCalendarAdvance(Calendar,P190,O190,"f",,Trigger)</f>
        <v>42383</v>
      </c>
      <c r="Q191" s="39">
        <f>_xll.qlInterestRateIndexValueDate(Index,P191,Trigger)</f>
        <v>42387</v>
      </c>
      <c r="R191" s="39">
        <f>_xll.qlInterestRateIndexMaturity(Index,Q191,Trigger)</f>
        <v>42478</v>
      </c>
      <c r="S191" s="40">
        <f>_xll.qlDayCounterYearFraction(DayCounter,Q191,R191,,,Trigger)</f>
        <v>0.25277777777777777</v>
      </c>
      <c r="T191" s="41">
        <f>_xll.qlIndexFixing(Index,P191,,AllTriggers)</f>
        <v>-1.9000298675947009E-5</v>
      </c>
      <c r="U191" s="42">
        <f>_xll.qlYieldTSDiscount(OisCurve,Q191,,AllTriggers)</f>
        <v>1.0010023914892205</v>
      </c>
      <c r="V191" s="42">
        <f>_xll.qlYieldTSDiscount(OisCurve,R191,,AllTriggers)</f>
        <v>1.0014047470127818</v>
      </c>
      <c r="W191" s="41">
        <f t="shared" si="18"/>
        <v>-1.5895032871708977E-3</v>
      </c>
      <c r="X191" s="43">
        <f t="shared" si="19"/>
        <v>3.9706898356660776E-4</v>
      </c>
      <c r="Y191" s="41">
        <f t="shared" si="20"/>
        <v>1.5705029884949507E-3</v>
      </c>
      <c r="Z191" s="62"/>
    </row>
    <row r="192" spans="15:26" x14ac:dyDescent="0.25">
      <c r="O192" s="43" t="s">
        <v>32</v>
      </c>
      <c r="P192" s="39">
        <f>_xll.qlCalendarAdvance(Calendar,P191,O191,"f",,Trigger)</f>
        <v>42384</v>
      </c>
      <c r="Q192" s="39">
        <f>_xll.qlInterestRateIndexValueDate(Index,P192,Trigger)</f>
        <v>42388</v>
      </c>
      <c r="R192" s="39">
        <f>_xll.qlInterestRateIndexMaturity(Index,Q192,Trigger)</f>
        <v>42479</v>
      </c>
      <c r="S192" s="40">
        <f>_xll.qlDayCounterYearFraction(DayCounter,Q192,R192,,,Trigger)</f>
        <v>0.25277777777777777</v>
      </c>
      <c r="T192" s="41">
        <f>_xll.qlIndexFixing(Index,P192,,AllTriggers)</f>
        <v>-1.8988589820523316E-5</v>
      </c>
      <c r="U192" s="42">
        <f>_xll.qlYieldTSDiscount(OisCurve,Q192,,AllTriggers)</f>
        <v>1.0010069845671914</v>
      </c>
      <c r="V192" s="42">
        <f>_xll.qlYieldTSDiscount(OisCurve,R192,,AllTriggers)</f>
        <v>1.0014091251579327</v>
      </c>
      <c r="W192" s="41">
        <f t="shared" si="18"/>
        <v>-1.5886472506738253E-3</v>
      </c>
      <c r="X192" s="43">
        <f t="shared" si="19"/>
        <v>3.9685546936200211E-4</v>
      </c>
      <c r="Y192" s="41">
        <f t="shared" si="20"/>
        <v>1.569658660853302E-3</v>
      </c>
      <c r="Z192" s="62"/>
    </row>
    <row r="193" spans="15:26" x14ac:dyDescent="0.25">
      <c r="O193" s="43" t="s">
        <v>32</v>
      </c>
      <c r="P193" s="39">
        <f>_xll.qlCalendarAdvance(Calendar,P192,O192,"f",,Trigger)</f>
        <v>42387</v>
      </c>
      <c r="Q193" s="39">
        <f>_xll.qlInterestRateIndexValueDate(Index,P193,Trigger)</f>
        <v>42389</v>
      </c>
      <c r="R193" s="39">
        <f>_xll.qlInterestRateIndexMaturity(Index,Q193,Trigger)</f>
        <v>42480</v>
      </c>
      <c r="S193" s="40">
        <f>_xll.qlDayCounterYearFraction(DayCounter,Q193,R193,,,Trigger)</f>
        <v>0.25277777777777777</v>
      </c>
      <c r="T193" s="41">
        <f>_xll.qlIndexFixing(Index,P193,,AllTriggers)</f>
        <v>-1.8984585923089933E-5</v>
      </c>
      <c r="U193" s="42">
        <f>_xll.qlYieldTSDiscount(OisCurve,Q193,,AllTriggers)</f>
        <v>1.0010115815156524</v>
      </c>
      <c r="V193" s="42">
        <f>_xll.qlYieldTSDiscount(OisCurve,R193,,AllTriggers)</f>
        <v>1.0014134991880963</v>
      </c>
      <c r="W193" s="41">
        <f t="shared" si="18"/>
        <v>-1.5877596818777832E-3</v>
      </c>
      <c r="X193" s="43">
        <f t="shared" si="19"/>
        <v>3.9663203368792507E-4</v>
      </c>
      <c r="Y193" s="41">
        <f t="shared" si="20"/>
        <v>1.5687750959546933E-3</v>
      </c>
      <c r="Z193" s="62"/>
    </row>
    <row r="194" spans="15:26" x14ac:dyDescent="0.25">
      <c r="O194" s="43" t="s">
        <v>32</v>
      </c>
      <c r="P194" s="39">
        <f>_xll.qlCalendarAdvance(Calendar,P193,O193,"f",,Trigger)</f>
        <v>42388</v>
      </c>
      <c r="Q194" s="39">
        <f>_xll.qlInterestRateIndexValueDate(Index,P194,Trigger)</f>
        <v>42390</v>
      </c>
      <c r="R194" s="39">
        <f>_xll.qlInterestRateIndexMaturity(Index,Q194,Trigger)</f>
        <v>42481</v>
      </c>
      <c r="S194" s="40">
        <f>_xll.qlDayCounterYearFraction(DayCounter,Q194,R194,,,Trigger)</f>
        <v>0.25277777777777777</v>
      </c>
      <c r="T194" s="41">
        <f>_xll.qlIndexFixing(Index,P194,,AllTriggers)</f>
        <v>-1.8988089759871091E-5</v>
      </c>
      <c r="U194" s="42">
        <f>_xll.qlYieldTSDiscount(OisCurve,Q194,,AllTriggers)</f>
        <v>1.0010161822929475</v>
      </c>
      <c r="V194" s="42">
        <f>_xll.qlYieldTSDiscount(OisCurve,R194,,AllTriggers)</f>
        <v>1.0014178691674933</v>
      </c>
      <c r="W194" s="41">
        <f t="shared" si="18"/>
        <v>-1.5868409993424638E-3</v>
      </c>
      <c r="X194" s="43">
        <f t="shared" si="19"/>
        <v>3.9639883224871846E-4</v>
      </c>
      <c r="Y194" s="41">
        <f t="shared" si="20"/>
        <v>1.5678529095825926E-3</v>
      </c>
      <c r="Z194" s="62"/>
    </row>
    <row r="195" spans="15:26" x14ac:dyDescent="0.25">
      <c r="O195" s="43" t="s">
        <v>32</v>
      </c>
      <c r="P195" s="39">
        <f>_xll.qlCalendarAdvance(Calendar,P194,O194,"f",,Trigger)</f>
        <v>42389</v>
      </c>
      <c r="Q195" s="39">
        <f>_xll.qlInterestRateIndexValueDate(Index,P195,Trigger)</f>
        <v>42391</v>
      </c>
      <c r="R195" s="39">
        <f>_xll.qlInterestRateIndexMaturity(Index,Q195,Trigger)</f>
        <v>42482</v>
      </c>
      <c r="S195" s="40">
        <f>_xll.qlDayCounterYearFraction(DayCounter,Q195,R195,,,Trigger)</f>
        <v>0.25277777777777777</v>
      </c>
      <c r="T195" s="41">
        <f>_xll.qlIndexFixing(Index,P195,,AllTriggers)</f>
        <v>-1.8998904105773385E-5</v>
      </c>
      <c r="U195" s="42">
        <f>_xll.qlYieldTSDiscount(OisCurve,Q195,,AllTriggers)</f>
        <v>1.0010207868574206</v>
      </c>
      <c r="V195" s="42">
        <f>_xll.qlYieldTSDiscount(OisCurve,R195,,AllTriggers)</f>
        <v>1.0014222351603446</v>
      </c>
      <c r="W195" s="41">
        <f t="shared" si="18"/>
        <v>-1.5858916216218498E-3</v>
      </c>
      <c r="X195" s="43">
        <f t="shared" si="19"/>
        <v>3.9615602074791412E-4</v>
      </c>
      <c r="Y195" s="41">
        <f t="shared" si="20"/>
        <v>1.5668927175160764E-3</v>
      </c>
      <c r="Z195" s="62"/>
    </row>
    <row r="196" spans="15:26" x14ac:dyDescent="0.25">
      <c r="O196" s="43" t="s">
        <v>32</v>
      </c>
      <c r="P196" s="39">
        <f>_xll.qlCalendarAdvance(Calendar,P195,O195,"f",,Trigger)</f>
        <v>42390</v>
      </c>
      <c r="Q196" s="39">
        <f>_xll.qlInterestRateIndexValueDate(Index,P196,Trigger)</f>
        <v>42394</v>
      </c>
      <c r="R196" s="39">
        <f>_xll.qlInterestRateIndexMaturity(Index,Q196,Trigger)</f>
        <v>42485</v>
      </c>
      <c r="S196" s="40">
        <f>_xll.qlDayCounterYearFraction(DayCounter,Q196,R196,,,Trigger)</f>
        <v>0.25277777777777777</v>
      </c>
      <c r="T196" s="41">
        <f>_xll.qlIndexFixing(Index,P196,,AllTriggers)</f>
        <v>-1.9073237960010158E-5</v>
      </c>
      <c r="U196" s="42">
        <f>_xll.qlYieldTSDiscount(OisCurve,Q196,,AllTriggers)</f>
        <v>1.001034622857329</v>
      </c>
      <c r="V196" s="42">
        <f>_xll.qlYieldTSDiscount(OisCurve,R196,,AllTriggers)</f>
        <v>1.001435309861854</v>
      </c>
      <c r="W196" s="41">
        <f t="shared" ref="W196:W208" si="21">(U196/V196-1)/S196</f>
        <v>-1.5828635029205681E-3</v>
      </c>
      <c r="X196" s="43">
        <f t="shared" ref="X196:X208" si="22">LN((1+T196*S196)/(1+W196*S196))</f>
        <v>3.953714829164933E-4</v>
      </c>
      <c r="Y196" s="41">
        <f t="shared" ref="Y196:Y259" si="23">T196-W196</f>
        <v>1.5637902649605581E-3</v>
      </c>
      <c r="Z196" s="62"/>
    </row>
    <row r="197" spans="15:26" x14ac:dyDescent="0.25">
      <c r="O197" s="43" t="s">
        <v>32</v>
      </c>
      <c r="P197" s="39">
        <f>_xll.qlCalendarAdvance(Calendar,P196,O196,"f",,Trigger)</f>
        <v>42391</v>
      </c>
      <c r="Q197" s="39">
        <f>_xll.qlInterestRateIndexValueDate(Index,P197,Trigger)</f>
        <v>42395</v>
      </c>
      <c r="R197" s="39">
        <f>_xll.qlInterestRateIndexMaturity(Index,Q197,Trigger)</f>
        <v>42486</v>
      </c>
      <c r="S197" s="40">
        <f>_xll.qlDayCounterYearFraction(DayCounter,Q197,R197,,,Trigger)</f>
        <v>0.25277777777777777</v>
      </c>
      <c r="T197" s="41">
        <f>_xll.qlIndexFixing(Index,P197,,AllTriggers)</f>
        <v>-1.9111322102443236E-5</v>
      </c>
      <c r="U197" s="42">
        <f>_xll.qlYieldTSDiscount(OisCurve,Q197,,AllTriggers)</f>
        <v>1.0010392421539329</v>
      </c>
      <c r="V197" s="42">
        <f>_xll.qlYieldTSDiscount(OisCurve,R197,,AllTriggers)</f>
        <v>1.0014396605507583</v>
      </c>
      <c r="W197" s="41">
        <f t="shared" si="21"/>
        <v>-1.5817955300258333E-3</v>
      </c>
      <c r="X197" s="43">
        <f t="shared" si="22"/>
        <v>3.9509178820892074E-4</v>
      </c>
      <c r="Y197" s="41">
        <f t="shared" si="23"/>
        <v>1.56268420792339E-3</v>
      </c>
      <c r="Z197" s="62"/>
    </row>
    <row r="198" spans="15:26" x14ac:dyDescent="0.25">
      <c r="O198" s="43" t="s">
        <v>32</v>
      </c>
      <c r="P198" s="39">
        <f>_xll.qlCalendarAdvance(Calendar,P197,O197,"f",,Trigger)</f>
        <v>42394</v>
      </c>
      <c r="Q198" s="39">
        <f>_xll.qlInterestRateIndexValueDate(Index,P198,Trigger)</f>
        <v>42396</v>
      </c>
      <c r="R198" s="39">
        <f>_xll.qlInterestRateIndexMaturity(Index,Q198,Trigger)</f>
        <v>42487</v>
      </c>
      <c r="S198" s="40">
        <f>_xll.qlDayCounterYearFraction(DayCounter,Q198,R198,,,Trigger)</f>
        <v>0.25277777777777777</v>
      </c>
      <c r="T198" s="41">
        <f>_xll.qlIndexFixing(Index,P198,,AllTriggers)</f>
        <v>-1.9155730632922543E-5</v>
      </c>
      <c r="U198" s="42">
        <f>_xll.qlYieldTSDiscount(OisCurve,Q198,,AllTriggers)</f>
        <v>1.0010438650034574</v>
      </c>
      <c r="V198" s="42">
        <f>_xll.qlYieldTSDiscount(OisCurve,R198,,AllTriggers)</f>
        <v>1.0014440075742406</v>
      </c>
      <c r="W198" s="41">
        <f t="shared" si="21"/>
        <v>-1.580699057291248E-3</v>
      </c>
      <c r="X198" s="43">
        <f t="shared" si="22"/>
        <v>3.9480328789588042E-4</v>
      </c>
      <c r="Y198" s="41">
        <f t="shared" si="23"/>
        <v>1.5615433266583255E-3</v>
      </c>
      <c r="Z198" s="62"/>
    </row>
    <row r="199" spans="15:26" x14ac:dyDescent="0.25">
      <c r="O199" s="43" t="s">
        <v>32</v>
      </c>
      <c r="P199" s="39">
        <f>_xll.qlCalendarAdvance(Calendar,P198,O198,"f",,Trigger)</f>
        <v>42395</v>
      </c>
      <c r="Q199" s="39">
        <f>_xll.qlInterestRateIndexValueDate(Index,P199,Trigger)</f>
        <v>42397</v>
      </c>
      <c r="R199" s="39">
        <f>_xll.qlInterestRateIndexMaturity(Index,Q199,Trigger)</f>
        <v>42488</v>
      </c>
      <c r="S199" s="40">
        <f>_xll.qlDayCounterYearFraction(DayCounter,Q199,R199,,,Trigger)</f>
        <v>0.25277777777777777</v>
      </c>
      <c r="T199" s="41">
        <f>_xll.qlIndexFixing(Index,P199,,AllTriggers)</f>
        <v>-1.9206266326793893E-5</v>
      </c>
      <c r="U199" s="42">
        <f>_xll.qlYieldTSDiscount(OisCurve,Q199,,AllTriggers)</f>
        <v>1.0010484912344206</v>
      </c>
      <c r="V199" s="42">
        <f>_xll.qlYieldTSDiscount(OisCurve,R199,,AllTriggers)</f>
        <v>1.0014483510259495</v>
      </c>
      <c r="W199" s="41">
        <f t="shared" si="21"/>
        <v>-1.5795751322792879E-3</v>
      </c>
      <c r="X199" s="43">
        <f t="shared" si="22"/>
        <v>3.9450629674365404E-4</v>
      </c>
      <c r="Y199" s="41">
        <f t="shared" si="23"/>
        <v>1.5603688659524941E-3</v>
      </c>
      <c r="Z199" s="62"/>
    </row>
    <row r="200" spans="15:26" x14ac:dyDescent="0.25">
      <c r="O200" s="43" t="s">
        <v>32</v>
      </c>
      <c r="P200" s="39">
        <f>_xll.qlCalendarAdvance(Calendar,P199,O199,"f",,Trigger)</f>
        <v>42396</v>
      </c>
      <c r="Q200" s="39">
        <f>_xll.qlInterestRateIndexValueDate(Index,P200,Trigger)</f>
        <v>42398</v>
      </c>
      <c r="R200" s="39">
        <f>_xll.qlInterestRateIndexMaturity(Index,Q200,Trigger)</f>
        <v>42489</v>
      </c>
      <c r="S200" s="40">
        <f>_xll.qlDayCounterYearFraction(DayCounter,Q200,R200,,,Trigger)</f>
        <v>0.25277777777777777</v>
      </c>
      <c r="T200" s="41">
        <f>_xll.qlIndexFixing(Index,P200,,AllTriggers)</f>
        <v>-1.9262731960281509E-5</v>
      </c>
      <c r="U200" s="42">
        <f>_xll.qlYieldTSDiscount(OisCurve,Q200,,AllTriggers)</f>
        <v>1.0010531206493742</v>
      </c>
      <c r="V200" s="42">
        <f>_xll.qlYieldTSDiscount(OisCurve,R200,,AllTriggers)</f>
        <v>1.0014526911172177</v>
      </c>
      <c r="W200" s="41">
        <f t="shared" si="21"/>
        <v>-1.5784253698116367E-3</v>
      </c>
      <c r="X200" s="43">
        <f t="shared" si="22"/>
        <v>3.9420127296643646E-4</v>
      </c>
      <c r="Y200" s="41">
        <f t="shared" si="23"/>
        <v>1.5591626378513551E-3</v>
      </c>
      <c r="Z200" s="62"/>
    </row>
    <row r="201" spans="15:26" x14ac:dyDescent="0.25">
      <c r="O201" s="43" t="s">
        <v>32</v>
      </c>
      <c r="P201" s="39">
        <f>_xll.qlCalendarAdvance(Calendar,P200,O200,"f",,Trigger)</f>
        <v>42397</v>
      </c>
      <c r="Q201" s="39">
        <f>_xll.qlInterestRateIndexValueDate(Index,P201,Trigger)</f>
        <v>42401</v>
      </c>
      <c r="R201" s="39">
        <f>_xll.qlInterestRateIndexMaturity(Index,Q201,Trigger)</f>
        <v>42492</v>
      </c>
      <c r="S201" s="40">
        <f>_xll.qlDayCounterYearFraction(DayCounter,Q201,R201,,,Trigger)</f>
        <v>0.25277777777777777</v>
      </c>
      <c r="T201" s="41">
        <f>_xll.qlIndexFixing(Index,P201,,AllTriggers)</f>
        <v>-1.9465736253217685E-5</v>
      </c>
      <c r="U201" s="42">
        <f>_xll.qlYieldTSDiscount(OisCurve,Q201,,AllTriggers)</f>
        <v>1.0010603188745613</v>
      </c>
      <c r="V201" s="42">
        <f>_xll.qlYieldTSDiscount(OisCurve,R201,,AllTriggers)</f>
        <v>1.0014656936359652</v>
      </c>
      <c r="W201" s="41">
        <f t="shared" si="21"/>
        <v>-1.6013333107421936E-3</v>
      </c>
      <c r="X201" s="43">
        <f t="shared" si="22"/>
        <v>3.9994290424814124E-4</v>
      </c>
      <c r="Y201" s="41">
        <f t="shared" si="23"/>
        <v>1.581867574488976E-3</v>
      </c>
      <c r="Z201" s="62"/>
    </row>
    <row r="202" spans="15:26" x14ac:dyDescent="0.25">
      <c r="O202" s="43" t="s">
        <v>32</v>
      </c>
      <c r="P202" s="39">
        <f>_xll.qlCalendarAdvance(Calendar,P201,O201,"f",,Trigger)</f>
        <v>42398</v>
      </c>
      <c r="Q202" s="39">
        <f>_xll.qlInterestRateIndexValueDate(Index,P202,Trigger)</f>
        <v>42402</v>
      </c>
      <c r="R202" s="39">
        <f>_xll.qlInterestRateIndexMaturity(Index,Q202,Trigger)</f>
        <v>42492</v>
      </c>
      <c r="S202" s="40">
        <f>_xll.qlDayCounterYearFraction(DayCounter,Q202,R202,,,Trigger)</f>
        <v>0.25</v>
      </c>
      <c r="T202" s="41">
        <f>_xll.qlIndexFixing(Index,P202,,AllTriggers)</f>
        <v>-1.9467693844976708E-5</v>
      </c>
      <c r="U202" s="42">
        <f>_xll.qlYieldTSDiscount(OisCurve,Q202,,AllTriggers)</f>
        <v>1.0010649590198277</v>
      </c>
      <c r="V202" s="42">
        <f>_xll.qlYieldTSDiscount(OisCurve,R202,,AllTriggers)</f>
        <v>1.0014656936359652</v>
      </c>
      <c r="W202" s="41">
        <f t="shared" si="21"/>
        <v>-1.6005924863287113E-3</v>
      </c>
      <c r="X202" s="43">
        <f t="shared" si="22"/>
        <v>3.9536126690044846E-4</v>
      </c>
      <c r="Y202" s="41">
        <f t="shared" si="23"/>
        <v>1.5811247924837346E-3</v>
      </c>
      <c r="Z202" s="62"/>
    </row>
    <row r="203" spans="15:26" x14ac:dyDescent="0.25">
      <c r="O203" s="43" t="s">
        <v>32</v>
      </c>
      <c r="P203" s="39">
        <f>_xll.qlCalendarAdvance(Calendar,P202,O202,"f",,Trigger)</f>
        <v>42401</v>
      </c>
      <c r="Q203" s="39">
        <f>_xll.qlInterestRateIndexValueDate(Index,P203,Trigger)</f>
        <v>42403</v>
      </c>
      <c r="R203" s="39">
        <f>_xll.qlInterestRateIndexMaturity(Index,Q203,Trigger)</f>
        <v>42493</v>
      </c>
      <c r="S203" s="40">
        <f>_xll.qlDayCounterYearFraction(DayCounter,Q203,R203,,,Trigger)</f>
        <v>0.25</v>
      </c>
      <c r="T203" s="41">
        <f>_xll.qlIndexFixing(Index,P203,,AllTriggers)</f>
        <v>-1.9550640045107315E-5</v>
      </c>
      <c r="U203" s="42">
        <f>_xll.qlYieldTSDiscount(OisCurve,Q203,,AllTriggers)</f>
        <v>1.0010696013617724</v>
      </c>
      <c r="V203" s="42">
        <f>_xll.qlYieldTSDiscount(OisCurve,R203,,AllTriggers)</f>
        <v>1.0014700226930797</v>
      </c>
      <c r="W203" s="41">
        <f t="shared" si="21"/>
        <v>-1.5993342675622024E-3</v>
      </c>
      <c r="X203" s="43">
        <f t="shared" si="22"/>
        <v>3.9502584968830346E-4</v>
      </c>
      <c r="Y203" s="41">
        <f t="shared" si="23"/>
        <v>1.5797836275170951E-3</v>
      </c>
      <c r="Z203" s="62"/>
    </row>
    <row r="204" spans="15:26" x14ac:dyDescent="0.25">
      <c r="O204" s="43" t="s">
        <v>32</v>
      </c>
      <c r="P204" s="39">
        <f>_xll.qlCalendarAdvance(Calendar,P203,O203,"f",,Trigger)</f>
        <v>42402</v>
      </c>
      <c r="Q204" s="39">
        <f>_xll.qlInterestRateIndexValueDate(Index,P204,Trigger)</f>
        <v>42404</v>
      </c>
      <c r="R204" s="39">
        <f>_xll.qlInterestRateIndexMaturity(Index,Q204,Trigger)</f>
        <v>42494</v>
      </c>
      <c r="S204" s="40">
        <f>_xll.qlDayCounterYearFraction(DayCounter,Q204,R204,,,Trigger)</f>
        <v>0.25</v>
      </c>
      <c r="T204" s="41">
        <f>_xll.qlIndexFixing(Index,P204,,AllTriggers)</f>
        <v>-1.9638424875179084E-5</v>
      </c>
      <c r="U204" s="42">
        <f>_xll.qlYieldTSDiscount(OisCurve,Q204,,AllTriggers)</f>
        <v>1.0010742457029254</v>
      </c>
      <c r="V204" s="42">
        <f>_xll.qlYieldTSDiscount(OisCurve,R204,,AllTriggers)</f>
        <v>1.0014743495935794</v>
      </c>
      <c r="W204" s="41">
        <f t="shared" si="21"/>
        <v>-1.5980594642943657E-3</v>
      </c>
      <c r="X204" s="43">
        <f t="shared" si="22"/>
        <v>3.9468507512887532E-4</v>
      </c>
      <c r="Y204" s="41">
        <f t="shared" si="23"/>
        <v>1.5784210394191867E-3</v>
      </c>
      <c r="Z204" s="62"/>
    </row>
    <row r="205" spans="15:26" x14ac:dyDescent="0.25">
      <c r="O205" s="43" t="s">
        <v>32</v>
      </c>
      <c r="P205" s="39">
        <f>_xll.qlCalendarAdvance(Calendar,P204,O204,"f",,Trigger)</f>
        <v>42403</v>
      </c>
      <c r="Q205" s="39">
        <f>_xll.qlInterestRateIndexValueDate(Index,P205,Trigger)</f>
        <v>42405</v>
      </c>
      <c r="R205" s="39">
        <f>_xll.qlInterestRateIndexMaturity(Index,Q205,Trigger)</f>
        <v>42495</v>
      </c>
      <c r="S205" s="40">
        <f>_xll.qlDayCounterYearFraction(DayCounter,Q205,R205,,,Trigger)</f>
        <v>0.25</v>
      </c>
      <c r="T205" s="41">
        <f>_xll.qlIndexFixing(Index,P205,,AllTriggers)</f>
        <v>-1.9730848920485045E-5</v>
      </c>
      <c r="U205" s="42">
        <f>_xll.qlYieldTSDiscount(OisCurve,Q205,,AllTriggers)</f>
        <v>1.0010788918458144</v>
      </c>
      <c r="V205" s="42">
        <f>_xll.qlYieldTSDiscount(OisCurve,R205,,AllTriggers)</f>
        <v>1.001478674578242</v>
      </c>
      <c r="W205" s="41">
        <f t="shared" si="21"/>
        <v>-1.5967698267602692E-3</v>
      </c>
      <c r="X205" s="43">
        <f t="shared" si="22"/>
        <v>3.9433943081351296E-4</v>
      </c>
      <c r="Y205" s="41">
        <f t="shared" si="23"/>
        <v>1.5770389778397842E-3</v>
      </c>
      <c r="Z205" s="62"/>
    </row>
    <row r="206" spans="15:26" x14ac:dyDescent="0.25">
      <c r="O206" s="43" t="s">
        <v>32</v>
      </c>
      <c r="P206" s="39">
        <f>_xll.qlCalendarAdvance(Calendar,P205,O205,"f",,Trigger)</f>
        <v>42404</v>
      </c>
      <c r="Q206" s="39">
        <f>_xll.qlInterestRateIndexValueDate(Index,P206,Trigger)</f>
        <v>42408</v>
      </c>
      <c r="R206" s="39">
        <f>_xll.qlInterestRateIndexMaturity(Index,Q206,Trigger)</f>
        <v>42499</v>
      </c>
      <c r="S206" s="40">
        <f>_xll.qlDayCounterYearFraction(DayCounter,Q206,R206,,,Trigger)</f>
        <v>0.25277777777777777</v>
      </c>
      <c r="T206" s="41">
        <f>_xll.qlIndexFixing(Index,P206,,AllTriggers)</f>
        <v>-2.0110145588780881E-5</v>
      </c>
      <c r="U206" s="42">
        <f>_xll.qlYieldTSDiscount(OisCurve,Q206,,AllTriggers)</f>
        <v>1.0010928391101146</v>
      </c>
      <c r="V206" s="42">
        <f>_xll.qlYieldTSDiscount(OisCurve,R206,,AllTriggers)</f>
        <v>1.0014959601742239</v>
      </c>
      <c r="W206" s="41">
        <f t="shared" si="21"/>
        <v>-1.5923825084090289E-3</v>
      </c>
      <c r="X206" s="43">
        <f t="shared" si="22"/>
        <v>3.9751653349734634E-4</v>
      </c>
      <c r="Y206" s="41">
        <f t="shared" si="23"/>
        <v>1.572272362820248E-3</v>
      </c>
      <c r="Z206" s="62"/>
    </row>
    <row r="207" spans="15:26" x14ac:dyDescent="0.25">
      <c r="O207" s="43" t="s">
        <v>32</v>
      </c>
      <c r="P207" s="39">
        <f>_xll.qlCalendarAdvance(Calendar,P206,O206,"f",,Trigger)</f>
        <v>42405</v>
      </c>
      <c r="Q207" s="39">
        <f>_xll.qlInterestRateIndexValueDate(Index,P207,Trigger)</f>
        <v>42409</v>
      </c>
      <c r="R207" s="39">
        <f>_xll.qlInterestRateIndexMaturity(Index,Q207,Trigger)</f>
        <v>42499</v>
      </c>
      <c r="S207" s="40">
        <f>_xll.qlDayCounterYearFraction(DayCounter,Q207,R207,,,Trigger)</f>
        <v>0.25</v>
      </c>
      <c r="T207" s="41">
        <f>_xll.qlIndexFixing(Index,P207,,AllTriggers)</f>
        <v>-2.014294893859514E-5</v>
      </c>
      <c r="U207" s="42">
        <f>_xll.qlYieldTSDiscount(OisCurve,Q207,,AllTriggers)</f>
        <v>1.0010974904851462</v>
      </c>
      <c r="V207" s="42">
        <f>_xll.qlYieldTSDiscount(OisCurve,R207,,AllTriggers)</f>
        <v>1.0014959601742239</v>
      </c>
      <c r="W207" s="41">
        <f t="shared" si="21"/>
        <v>-1.5914979387772199E-3</v>
      </c>
      <c r="X207" s="43">
        <f t="shared" si="22"/>
        <v>3.9291790783443171E-4</v>
      </c>
      <c r="Y207" s="41">
        <f t="shared" si="23"/>
        <v>1.5713549898386248E-3</v>
      </c>
      <c r="Z207" s="62"/>
    </row>
    <row r="208" spans="15:26" x14ac:dyDescent="0.25">
      <c r="O208" s="43" t="s">
        <v>32</v>
      </c>
      <c r="P208" s="39">
        <f>_xll.qlCalendarAdvance(Calendar,P207,O207,"f",,Trigger)</f>
        <v>42408</v>
      </c>
      <c r="Q208" s="39">
        <f>_xll.qlInterestRateIndexValueDate(Index,P208,Trigger)</f>
        <v>42410</v>
      </c>
      <c r="R208" s="39">
        <f>_xll.qlInterestRateIndexMaturity(Index,Q208,Trigger)</f>
        <v>42500</v>
      </c>
      <c r="S208" s="40">
        <f>_xll.qlDayCounterYearFraction(DayCounter,Q208,R208,,,Trigger)</f>
        <v>0.25</v>
      </c>
      <c r="T208" s="41">
        <f>_xll.qlIndexFixing(Index,P208,,AllTriggers)</f>
        <v>-2.0255577823480309E-5</v>
      </c>
      <c r="U208" s="42">
        <f>_xll.qlYieldTSDiscount(OisCurve,Q208,,AllTriggers)</f>
        <v>1.0011021426744948</v>
      </c>
      <c r="V208" s="42">
        <f>_xll.qlYieldTSDiscount(OisCurve,R208,,AllTriggers)</f>
        <v>1.001500279191514</v>
      </c>
      <c r="W208" s="41">
        <f t="shared" si="21"/>
        <v>-1.590160383541761E-3</v>
      </c>
      <c r="X208" s="43">
        <f t="shared" si="22"/>
        <v>3.9255522862042825E-4</v>
      </c>
      <c r="Y208" s="41">
        <f t="shared" si="23"/>
        <v>1.5699048057182807E-3</v>
      </c>
      <c r="Z208" s="62"/>
    </row>
    <row r="209" spans="15:26" x14ac:dyDescent="0.25">
      <c r="O209" s="43" t="s">
        <v>32</v>
      </c>
      <c r="P209" s="39">
        <f>_xll.qlCalendarAdvance(Calendar,P208,O208,"f",,Trigger)</f>
        <v>42409</v>
      </c>
      <c r="Q209" s="39">
        <f>_xll.qlInterestRateIndexValueDate(Index,P209,Trigger)</f>
        <v>42411</v>
      </c>
      <c r="R209" s="39">
        <f>_xll.qlInterestRateIndexMaturity(Index,Q209,Trigger)</f>
        <v>42501</v>
      </c>
      <c r="S209" s="40">
        <f>_xll.qlDayCounterYearFraction(DayCounter,Q209,R209,,,Trigger)</f>
        <v>0.25</v>
      </c>
      <c r="T209" s="41">
        <f>_xll.qlIndexFixing(Index,P209,,AllTriggers)</f>
        <v>-2.0371649427808336E-5</v>
      </c>
      <c r="U209" s="42">
        <f>_xll.qlYieldTSDiscount(OisCurve,Q209,,AllTriggers)</f>
        <v>1.0011067954806658</v>
      </c>
      <c r="V209" s="42">
        <f>_xll.qlYieldTSDiscount(OisCurve,R209,,AllTriggers)</f>
        <v>1.001504597737721</v>
      </c>
      <c r="W209" s="41">
        <f t="shared" ref="W209:W216" si="24">(U209/V209-1)/S209</f>
        <v>-1.5888184955068496E-3</v>
      </c>
      <c r="X209" s="43">
        <f t="shared" ref="X209:X216" si="25">LN((1+T209*S209)/(1+W209*S209))</f>
        <v>3.9219060520297101E-4</v>
      </c>
      <c r="Y209" s="41">
        <f t="shared" si="23"/>
        <v>1.5684468460790413E-3</v>
      </c>
      <c r="Z209" s="62"/>
    </row>
    <row r="210" spans="15:26" x14ac:dyDescent="0.25">
      <c r="O210" s="43" t="s">
        <v>32</v>
      </c>
      <c r="P210" s="39">
        <f>_xll.qlCalendarAdvance(Calendar,P209,O209,"f",,Trigger)</f>
        <v>42410</v>
      </c>
      <c r="Q210" s="39">
        <f>_xll.qlInterestRateIndexValueDate(Index,P210,Trigger)</f>
        <v>42412</v>
      </c>
      <c r="R210" s="39">
        <f>_xll.qlInterestRateIndexMaturity(Index,Q210,Trigger)</f>
        <v>42502</v>
      </c>
      <c r="S210" s="40">
        <f>_xll.qlDayCounterYearFraction(DayCounter,Q210,R210,,,Trigger)</f>
        <v>0.25</v>
      </c>
      <c r="T210" s="41">
        <f>_xll.qlIndexFixing(Index,P210,,AllTriggers)</f>
        <v>-2.0490964336872253E-5</v>
      </c>
      <c r="U210" s="42">
        <f>_xll.qlYieldTSDiscount(OisCurve,Q210,,AllTriggers)</f>
        <v>1.0011114487061605</v>
      </c>
      <c r="V210" s="42">
        <f>_xll.qlYieldTSDiscount(OisCurve,R210,,AllTriggers)</f>
        <v>1.0015089160536521</v>
      </c>
      <c r="W210" s="41">
        <f t="shared" si="24"/>
        <v>-1.5874740249253172E-3</v>
      </c>
      <c r="X210" s="43">
        <f t="shared" si="25"/>
        <v>3.9182452517376844E-4</v>
      </c>
      <c r="Y210" s="41">
        <f t="shared" si="23"/>
        <v>1.5669830605884449E-3</v>
      </c>
      <c r="Z210" s="62"/>
    </row>
    <row r="211" spans="15:26" x14ac:dyDescent="0.25">
      <c r="O211" s="43" t="s">
        <v>32</v>
      </c>
      <c r="P211" s="39">
        <f>_xll.qlCalendarAdvance(Calendar,P210,O210,"f",,Trigger)</f>
        <v>42411</v>
      </c>
      <c r="Q211" s="39">
        <f>_xll.qlInterestRateIndexValueDate(Index,P211,Trigger)</f>
        <v>42415</v>
      </c>
      <c r="R211" s="39">
        <f>_xll.qlInterestRateIndexMaturity(Index,Q211,Trigger)</f>
        <v>42506</v>
      </c>
      <c r="S211" s="40">
        <f>_xll.qlDayCounterYearFraction(DayCounter,Q211,R211,,,Trigger)</f>
        <v>0.25277777777777777</v>
      </c>
      <c r="T211" s="41">
        <f>_xll.qlIndexFixing(Index,P211,,AllTriggers)</f>
        <v>-2.0938817985856355E-5</v>
      </c>
      <c r="U211" s="42">
        <f>_xll.qlYieldTSDiscount(OisCurve,Q211,,AllTriggers)</f>
        <v>1.001125408923548</v>
      </c>
      <c r="V211" s="42">
        <f>_xll.qlYieldTSDiscount(OisCurve,R211,,AllTriggers)</f>
        <v>1.0015261918308995</v>
      </c>
      <c r="W211" s="41">
        <f t="shared" si="24"/>
        <v>-1.5830986860317956E-3</v>
      </c>
      <c r="X211" s="43">
        <f t="shared" si="25"/>
        <v>3.949593762202957E-4</v>
      </c>
      <c r="Y211" s="41">
        <f t="shared" si="23"/>
        <v>1.5621598680459392E-3</v>
      </c>
      <c r="Z211" s="62"/>
    </row>
    <row r="212" spans="15:26" x14ac:dyDescent="0.25">
      <c r="O212" s="43" t="s">
        <v>32</v>
      </c>
      <c r="P212" s="39">
        <f>_xll.qlCalendarAdvance(Calendar,P211,O211,"f",,Trigger)</f>
        <v>42412</v>
      </c>
      <c r="Q212" s="39">
        <f>_xll.qlInterestRateIndexValueDate(Index,P212,Trigger)</f>
        <v>42416</v>
      </c>
      <c r="R212" s="39">
        <f>_xll.qlInterestRateIndexMaturity(Index,Q212,Trigger)</f>
        <v>42506</v>
      </c>
      <c r="S212" s="40">
        <f>_xll.qlDayCounterYearFraction(DayCounter,Q212,R212,,,Trigger)</f>
        <v>0.25</v>
      </c>
      <c r="T212" s="41">
        <f>_xll.qlIndexFixing(Index,P212,,AllTriggers)</f>
        <v>-2.0996668704142962E-5</v>
      </c>
      <c r="U212" s="42">
        <f>_xll.qlYieldTSDiscount(OisCurve,Q212,,AllTriggers)</f>
        <v>1.0011300618512804</v>
      </c>
      <c r="V212" s="42">
        <f>_xll.qlYieldTSDiscount(OisCurve,R212,,AllTriggers)</f>
        <v>1.0015261918308995</v>
      </c>
      <c r="W212" s="41">
        <f t="shared" si="24"/>
        <v>-1.5821053222579984E-3</v>
      </c>
      <c r="X212" s="43">
        <f t="shared" si="25"/>
        <v>3.9035539078228506E-4</v>
      </c>
      <c r="Y212" s="41">
        <f t="shared" si="23"/>
        <v>1.5611086535538554E-3</v>
      </c>
      <c r="Z212" s="62"/>
    </row>
    <row r="213" spans="15:26" x14ac:dyDescent="0.25">
      <c r="O213" s="43" t="s">
        <v>32</v>
      </c>
      <c r="P213" s="39">
        <f>_xll.qlCalendarAdvance(Calendar,P212,O212,"f",,Trigger)</f>
        <v>42415</v>
      </c>
      <c r="Q213" s="39">
        <f>_xll.qlInterestRateIndexValueDate(Index,P213,Trigger)</f>
        <v>42417</v>
      </c>
      <c r="R213" s="39">
        <f>_xll.qlInterestRateIndexMaturity(Index,Q213,Trigger)</f>
        <v>42507</v>
      </c>
      <c r="S213" s="40">
        <f>_xll.qlDayCounterYearFraction(DayCounter,Q213,R213,,,Trigger)</f>
        <v>0.25</v>
      </c>
      <c r="T213" s="41">
        <f>_xll.qlIndexFixing(Index,P213,,AllTriggers)</f>
        <v>-2.1129208899850482E-5</v>
      </c>
      <c r="U213" s="42">
        <f>_xll.qlYieldTSDiscount(OisCurve,Q213,,AllTriggers)</f>
        <v>1.0011347142107889</v>
      </c>
      <c r="V213" s="42">
        <f>_xll.qlYieldTSDiscount(OisCurve,R213,,AllTriggers)</f>
        <v>1.0015305126076992</v>
      </c>
      <c r="W213" s="41">
        <f t="shared" si="24"/>
        <v>-1.580774192809109E-3</v>
      </c>
      <c r="X213" s="43">
        <f t="shared" si="25"/>
        <v>3.8998934157575865E-4</v>
      </c>
      <c r="Y213" s="41">
        <f t="shared" si="23"/>
        <v>1.5596449839092585E-3</v>
      </c>
      <c r="Z213" s="62"/>
    </row>
    <row r="214" spans="15:26" x14ac:dyDescent="0.25">
      <c r="O214" s="43" t="s">
        <v>32</v>
      </c>
      <c r="P214" s="39">
        <f>_xll.qlCalendarAdvance(Calendar,P213,O213,"f",,Trigger)</f>
        <v>42416</v>
      </c>
      <c r="Q214" s="39">
        <f>_xll.qlInterestRateIndexValueDate(Index,P214,Trigger)</f>
        <v>42418</v>
      </c>
      <c r="R214" s="39">
        <f>_xll.qlInterestRateIndexMaturity(Index,Q214,Trigger)</f>
        <v>42508</v>
      </c>
      <c r="S214" s="40">
        <f>_xll.qlDayCounterYearFraction(DayCounter,Q214,R214,,,Trigger)</f>
        <v>0.25</v>
      </c>
      <c r="T214" s="41">
        <f>_xll.qlIndexFixing(Index,P214,,AllTriggers)</f>
        <v>-2.1263795905390737E-5</v>
      </c>
      <c r="U214" s="42">
        <f>_xll.qlYieldTSDiscount(OisCurve,Q214,,AllTriggers)</f>
        <v>1.0011393658045535</v>
      </c>
      <c r="V214" s="42">
        <f>_xll.qlYieldTSDiscount(OisCurve,R214,,AllTriggers)</f>
        <v>1.0015348345991519</v>
      </c>
      <c r="W214" s="41">
        <f t="shared" si="24"/>
        <v>-1.5794509823781056E-3</v>
      </c>
      <c r="X214" s="43">
        <f t="shared" si="25"/>
        <v>3.8962476131025652E-4</v>
      </c>
      <c r="Y214" s="41">
        <f t="shared" si="23"/>
        <v>1.5581871864727148E-3</v>
      </c>
      <c r="Z214" s="62"/>
    </row>
    <row r="215" spans="15:26" x14ac:dyDescent="0.25">
      <c r="O215" s="43" t="s">
        <v>32</v>
      </c>
      <c r="P215" s="39">
        <f>_xll.qlCalendarAdvance(Calendar,P214,O214,"f",,Trigger)</f>
        <v>42417</v>
      </c>
      <c r="Q215" s="39">
        <f>_xll.qlInterestRateIndexValueDate(Index,P215,Trigger)</f>
        <v>42419</v>
      </c>
      <c r="R215" s="39">
        <f>_xll.qlInterestRateIndexMaturity(Index,Q215,Trigger)</f>
        <v>42509</v>
      </c>
      <c r="S215" s="40">
        <f>_xll.qlDayCounterYearFraction(DayCounter,Q215,R215,,,Trigger)</f>
        <v>0.25</v>
      </c>
      <c r="T215" s="41">
        <f>_xll.qlIndexFixing(Index,P215,,AllTriggers)</f>
        <v>-2.1400230305612666E-5</v>
      </c>
      <c r="U215" s="42">
        <f>_xll.qlYieldTSDiscount(OisCurve,Q215,,AllTriggers)</f>
        <v>1.00114401643505</v>
      </c>
      <c r="V215" s="42">
        <f>_xll.qlYieldTSDiscount(OisCurve,R215,,AllTriggers)</f>
        <v>1.0015391580460931</v>
      </c>
      <c r="W215" s="41">
        <f t="shared" si="24"/>
        <v>-1.5781374412315863E-3</v>
      </c>
      <c r="X215" s="43">
        <f t="shared" si="25"/>
        <v>3.8926213757736473E-4</v>
      </c>
      <c r="Y215" s="41">
        <f t="shared" si="23"/>
        <v>1.5567372109259736E-3</v>
      </c>
      <c r="Z215" s="62"/>
    </row>
    <row r="216" spans="15:26" x14ac:dyDescent="0.25">
      <c r="O216" s="43" t="s">
        <v>32</v>
      </c>
      <c r="P216" s="39">
        <f>_xll.qlCalendarAdvance(Calendar,P215,O215,"f",,Trigger)</f>
        <v>42418</v>
      </c>
      <c r="Q216" s="39">
        <f>_xll.qlInterestRateIndexValueDate(Index,P216,Trigger)</f>
        <v>42422</v>
      </c>
      <c r="R216" s="39">
        <f>_xll.qlInterestRateIndexMaturity(Index,Q216,Trigger)</f>
        <v>42513</v>
      </c>
      <c r="S216" s="40">
        <f>_xll.qlDayCounterYearFraction(DayCounter,Q216,R216,,,Trigger)</f>
        <v>0.25277777777777777</v>
      </c>
      <c r="T216" s="41">
        <f>_xll.qlIndexFixing(Index,P216,,AllTriggers)</f>
        <v>-2.1884105486439583E-5</v>
      </c>
      <c r="U216" s="42">
        <f>_xll.qlYieldTSDiscount(OisCurve,Q216,,AllTriggers)</f>
        <v>1.0011579605716343</v>
      </c>
      <c r="V216" s="42">
        <f>_xll.qlYieldTSDiscount(OisCurve,R216,,AllTriggers)</f>
        <v>1.00155647120561</v>
      </c>
      <c r="W216" s="41">
        <f t="shared" si="24"/>
        <v>-1.5740755816402246E-3</v>
      </c>
      <c r="X216" s="43">
        <f t="shared" si="25"/>
        <v>3.9243867648553306E-4</v>
      </c>
      <c r="Y216" s="41">
        <f t="shared" si="23"/>
        <v>1.5521914761537849E-3</v>
      </c>
      <c r="Z216" s="62"/>
    </row>
    <row r="217" spans="15:26" x14ac:dyDescent="0.25">
      <c r="O217" s="43" t="s">
        <v>32</v>
      </c>
      <c r="P217" s="39">
        <f>_xll.qlCalendarAdvance(Calendar,P216,O216,"f",,Trigger)</f>
        <v>42419</v>
      </c>
      <c r="Q217" s="39">
        <f>_xll.qlInterestRateIndexValueDate(Index,P217,Trigger)</f>
        <v>42423</v>
      </c>
      <c r="R217" s="39">
        <f>_xll.qlInterestRateIndexMaturity(Index,Q217,Trigger)</f>
        <v>42513</v>
      </c>
      <c r="S217" s="40">
        <f>_xll.qlDayCounterYearFraction(DayCounter,Q217,R217,,,Trigger)</f>
        <v>0.25</v>
      </c>
      <c r="T217" s="41">
        <f>_xll.qlIndexFixing(Index,P217,,AllTriggers)</f>
        <v>-2.1960453540081915E-5</v>
      </c>
      <c r="U217" s="42">
        <f>_xll.qlYieldTSDiscount(OisCurve,Q217,,AllTriggers)</f>
        <v>1.0011626053737435</v>
      </c>
      <c r="V217" s="42">
        <f>_xll.qlYieldTSDiscount(OisCurve,R217,,AllTriggers)</f>
        <v>1.00155647120561</v>
      </c>
      <c r="W217" s="41">
        <f t="shared" ref="W217:W233" si="26">(U217/V217-1)/S217</f>
        <v>-1.5730149749515476E-3</v>
      </c>
      <c r="X217" s="43">
        <f t="shared" ref="X217:X233" si="27">LN((1+T217*S217)/(1+W217*S217))</f>
        <v>3.8784095981358579E-4</v>
      </c>
      <c r="Y217" s="41">
        <f t="shared" si="23"/>
        <v>1.5510545214114657E-3</v>
      </c>
      <c r="Z217" s="62"/>
    </row>
    <row r="218" spans="15:26" x14ac:dyDescent="0.25">
      <c r="O218" s="43" t="s">
        <v>32</v>
      </c>
      <c r="P218" s="39">
        <f>_xll.qlCalendarAdvance(Calendar,P217,O217,"f",,Trigger)</f>
        <v>42422</v>
      </c>
      <c r="Q218" s="39">
        <f>_xll.qlInterestRateIndexValueDate(Index,P218,Trigger)</f>
        <v>42424</v>
      </c>
      <c r="R218" s="39">
        <f>_xll.qlInterestRateIndexMaturity(Index,Q218,Trigger)</f>
        <v>42514</v>
      </c>
      <c r="S218" s="40">
        <f>_xll.qlDayCounterYearFraction(DayCounter,Q218,R218,,,Trigger)</f>
        <v>0.25</v>
      </c>
      <c r="T218" s="41">
        <f>_xll.qlIndexFixing(Index,P218,,AllTriggers)</f>
        <v>-2.2103133678452735E-5</v>
      </c>
      <c r="U218" s="42">
        <f>_xll.qlYieldTSDiscount(OisCurve,Q218,,AllTriggers)</f>
        <v>1.001167248224909</v>
      </c>
      <c r="V218" s="42">
        <f>_xll.qlYieldTSDiscount(OisCurve,R218,,AllTriggers)</f>
        <v>1.0015608055426806</v>
      </c>
      <c r="W218" s="41">
        <f t="shared" si="26"/>
        <v>-1.571776034340111E-3</v>
      </c>
      <c r="X218" s="43">
        <f t="shared" si="27"/>
        <v>3.8749543262531889E-4</v>
      </c>
      <c r="Y218" s="41">
        <f t="shared" si="23"/>
        <v>1.5496729006616583E-3</v>
      </c>
      <c r="Z218" s="62"/>
    </row>
    <row r="219" spans="15:26" x14ac:dyDescent="0.25">
      <c r="O219" s="43" t="s">
        <v>32</v>
      </c>
      <c r="P219" s="39">
        <f>_xll.qlCalendarAdvance(Calendar,P218,O218,"f",,Trigger)</f>
        <v>42423</v>
      </c>
      <c r="Q219" s="39">
        <f>_xll.qlInterestRateIndexValueDate(Index,P219,Trigger)</f>
        <v>42425</v>
      </c>
      <c r="R219" s="39">
        <f>_xll.qlInterestRateIndexMaturity(Index,Q219,Trigger)</f>
        <v>42515</v>
      </c>
      <c r="S219" s="40">
        <f>_xll.qlDayCounterYearFraction(DayCounter,Q219,R219,,,Trigger)</f>
        <v>0.25</v>
      </c>
      <c r="T219" s="41">
        <f>_xll.qlIndexFixing(Index,P219,,AllTriggers)</f>
        <v>-2.2246464718822523E-5</v>
      </c>
      <c r="U219" s="42">
        <f>_xll.qlYieldTSDiscount(OisCurve,Q219,,AllTriggers)</f>
        <v>1.0011718889275845</v>
      </c>
      <c r="V219" s="42">
        <f>_xll.qlYieldTSDiscount(OisCurve,R219,,AllTriggers)</f>
        <v>1.0015651427803429</v>
      </c>
      <c r="W219" s="41">
        <f t="shared" si="26"/>
        <v>-1.5705572646700361E-3</v>
      </c>
      <c r="X219" s="43">
        <f t="shared" si="27"/>
        <v>3.8715478752138048E-4</v>
      </c>
      <c r="Y219" s="41">
        <f t="shared" si="23"/>
        <v>1.5483107999512136E-3</v>
      </c>
      <c r="Z219" s="62"/>
    </row>
    <row r="220" spans="15:26" x14ac:dyDescent="0.25">
      <c r="O220" s="43" t="s">
        <v>32</v>
      </c>
      <c r="P220" s="39">
        <f>_xll.qlCalendarAdvance(Calendar,P219,O219,"f",,Trigger)</f>
        <v>42424</v>
      </c>
      <c r="Q220" s="39">
        <f>_xll.qlInterestRateIndexValueDate(Index,P220,Trigger)</f>
        <v>42426</v>
      </c>
      <c r="R220" s="39">
        <f>_xll.qlInterestRateIndexMaturity(Index,Q220,Trigger)</f>
        <v>42516</v>
      </c>
      <c r="S220" s="40">
        <f>_xll.qlDayCounterYearFraction(DayCounter,Q220,R220,,,Trigger)</f>
        <v>0.25</v>
      </c>
      <c r="T220" s="41">
        <f>_xll.qlIndexFixing(Index,P220,,AllTriggers)</f>
        <v>-2.239024724470795E-5</v>
      </c>
      <c r="U220" s="42">
        <f>_xll.qlYieldTSDiscount(OisCurve,Q220,,AllTriggers)</f>
        <v>1.0011765272842201</v>
      </c>
      <c r="V220" s="42">
        <f>_xll.qlYieldTSDiscount(OisCurve,R220,,AllTriggers)</f>
        <v>1.0015694831594628</v>
      </c>
      <c r="W220" s="41">
        <f t="shared" si="26"/>
        <v>-1.5693604162261288E-3</v>
      </c>
      <c r="X220" s="43">
        <f t="shared" si="27"/>
        <v>3.8681951209460083E-4</v>
      </c>
      <c r="Y220" s="41">
        <f t="shared" si="23"/>
        <v>1.5469701689814208E-3</v>
      </c>
      <c r="Z220" s="62"/>
    </row>
    <row r="221" spans="15:26" x14ac:dyDescent="0.25">
      <c r="O221" s="43" t="s">
        <v>32</v>
      </c>
      <c r="P221" s="39">
        <f>_xll.qlCalendarAdvance(Calendar,P220,O220,"f",,Trigger)</f>
        <v>42425</v>
      </c>
      <c r="Q221" s="39">
        <f>_xll.qlInterestRateIndexValueDate(Index,P221,Trigger)</f>
        <v>42429</v>
      </c>
      <c r="R221" s="39">
        <f>_xll.qlInterestRateIndexMaturity(Index,Q221,Trigger)</f>
        <v>42521</v>
      </c>
      <c r="S221" s="40">
        <f>_xll.qlDayCounterYearFraction(DayCounter,Q221,R221,,,Trigger)</f>
        <v>0.25555555555555554</v>
      </c>
      <c r="T221" s="41">
        <f>_xll.qlIndexFixing(Index,P221,,AllTriggers)</f>
        <v>-2.2933264357973055E-5</v>
      </c>
      <c r="U221" s="42">
        <f>_xll.qlYieldTSDiscount(OisCurve,Q221,,AllTriggers)</f>
        <v>1.001190426302337</v>
      </c>
      <c r="V221" s="42">
        <f>_xll.qlYieldTSDiscount(OisCurve,R221,,AllTriggers)</f>
        <v>1.0015912406075029</v>
      </c>
      <c r="W221" s="41">
        <f t="shared" si="26"/>
        <v>-1.5659120599654654E-3</v>
      </c>
      <c r="X221" s="43">
        <f t="shared" si="27"/>
        <v>3.9439687854238249E-4</v>
      </c>
      <c r="Y221" s="41">
        <f t="shared" si="23"/>
        <v>1.5429787956074924E-3</v>
      </c>
      <c r="Z221" s="62"/>
    </row>
    <row r="222" spans="15:26" x14ac:dyDescent="0.25">
      <c r="O222" s="43" t="s">
        <v>32</v>
      </c>
      <c r="P222" s="39">
        <f>_xll.qlCalendarAdvance(Calendar,P221,O221,"f",,Trigger)</f>
        <v>42426</v>
      </c>
      <c r="Q222" s="39">
        <f>_xll.qlInterestRateIndexValueDate(Index,P222,Trigger)</f>
        <v>42430</v>
      </c>
      <c r="R222" s="39">
        <f>_xll.qlInterestRateIndexMaturity(Index,Q222,Trigger)</f>
        <v>42522</v>
      </c>
      <c r="S222" s="40">
        <f>_xll.qlDayCounterYearFraction(DayCounter,Q222,R222,,,Trigger)</f>
        <v>0.25555555555555554</v>
      </c>
      <c r="T222" s="41">
        <f>_xll.qlIndexFixing(Index,P222,,AllTriggers)</f>
        <v>-2.3073842770796656E-5</v>
      </c>
      <c r="U222" s="42">
        <f>_xll.qlYieldTSDiscount(OisCurve,Q222,,AllTriggers)</f>
        <v>1.0011928506701262</v>
      </c>
      <c r="V222" s="42">
        <f>_xll.qlYieldTSDiscount(OisCurve,R222,,AllTriggers)</f>
        <v>1.0015956048937737</v>
      </c>
      <c r="W222" s="41">
        <f t="shared" si="26"/>
        <v>-1.5734841292092611E-3</v>
      </c>
      <c r="X222" s="43">
        <f t="shared" si="27"/>
        <v>3.9629681366012992E-4</v>
      </c>
      <c r="Y222" s="41">
        <f t="shared" si="23"/>
        <v>1.5504102864384644E-3</v>
      </c>
      <c r="Z222" s="62"/>
    </row>
    <row r="223" spans="15:26" x14ac:dyDescent="0.25">
      <c r="O223" s="43" t="s">
        <v>32</v>
      </c>
      <c r="P223" s="39">
        <f>_xll.qlCalendarAdvance(Calendar,P222,O222,"f",,Trigger)</f>
        <v>42429</v>
      </c>
      <c r="Q223" s="39">
        <f>_xll.qlInterestRateIndexValueDate(Index,P223,Trigger)</f>
        <v>42431</v>
      </c>
      <c r="R223" s="39">
        <f>_xll.qlInterestRateIndexMaturity(Index,Q223,Trigger)</f>
        <v>42523</v>
      </c>
      <c r="S223" s="40">
        <f>_xll.qlDayCounterYearFraction(DayCounter,Q223,R223,,,Trigger)</f>
        <v>0.25555555555555554</v>
      </c>
      <c r="T223" s="41">
        <f>_xll.qlIndexFixing(Index,P223,,AllTriggers)</f>
        <v>-2.321381056597685E-5</v>
      </c>
      <c r="U223" s="42">
        <f>_xll.qlYieldTSDiscount(OisCurve,Q223,,AllTriggers)</f>
        <v>1.0011974743230174</v>
      </c>
      <c r="V223" s="42">
        <f>_xll.qlYieldTSDiscount(OisCurve,R223,,AllTriggers)</f>
        <v>1.0015999740076771</v>
      </c>
      <c r="W223" s="41">
        <f t="shared" si="26"/>
        <v>-1.5724828343969797E-3</v>
      </c>
      <c r="X223" s="43">
        <f t="shared" si="27"/>
        <v>3.9600505454505614E-4</v>
      </c>
      <c r="Y223" s="41">
        <f t="shared" si="23"/>
        <v>1.549269023831003E-3</v>
      </c>
      <c r="Z223" s="62"/>
    </row>
    <row r="224" spans="15:26" x14ac:dyDescent="0.25">
      <c r="O224" s="43" t="s">
        <v>32</v>
      </c>
      <c r="P224" s="39">
        <f>_xll.qlCalendarAdvance(Calendar,P223,O223,"f",,Trigger)</f>
        <v>42430</v>
      </c>
      <c r="Q224" s="39">
        <f>_xll.qlInterestRateIndexValueDate(Index,P224,Trigger)</f>
        <v>42432</v>
      </c>
      <c r="R224" s="39">
        <f>_xll.qlInterestRateIndexMaturity(Index,Q224,Trigger)</f>
        <v>42524</v>
      </c>
      <c r="S224" s="40">
        <f>_xll.qlDayCounterYearFraction(DayCounter,Q224,R224,,,Trigger)</f>
        <v>0.25555555555555554</v>
      </c>
      <c r="T224" s="41">
        <f>_xll.qlIndexFixing(Index,P224,,AllTriggers)</f>
        <v>-2.3352972662605687E-5</v>
      </c>
      <c r="U224" s="42">
        <f>_xll.qlYieldTSDiscount(OisCurve,Q224,,AllTriggers)</f>
        <v>1.0012020944445021</v>
      </c>
      <c r="V224" s="42">
        <f>_xll.qlYieldTSDiscount(OisCurve,R224,,AllTriggers)</f>
        <v>1.0016043481901116</v>
      </c>
      <c r="W224" s="41">
        <f t="shared" si="26"/>
        <v>-1.5715151383949542E-3</v>
      </c>
      <c r="X224" s="43">
        <f t="shared" si="27"/>
        <v>3.9572209120852168E-4</v>
      </c>
      <c r="Y224" s="41">
        <f t="shared" si="23"/>
        <v>1.5481621657323485E-3</v>
      </c>
      <c r="Z224" s="62"/>
    </row>
    <row r="225" spans="15:26" x14ac:dyDescent="0.25">
      <c r="O225" s="43" t="s">
        <v>32</v>
      </c>
      <c r="P225" s="39">
        <f>_xll.qlCalendarAdvance(Calendar,P224,O224,"f",,Trigger)</f>
        <v>42431</v>
      </c>
      <c r="Q225" s="39">
        <f>_xll.qlInterestRateIndexValueDate(Index,P225,Trigger)</f>
        <v>42433</v>
      </c>
      <c r="R225" s="39">
        <f>_xll.qlInterestRateIndexMaturity(Index,Q225,Trigger)</f>
        <v>42527</v>
      </c>
      <c r="S225" s="40">
        <f>_xll.qlDayCounterYearFraction(DayCounter,Q225,R225,,,Trigger)</f>
        <v>0.26111111111111113</v>
      </c>
      <c r="T225" s="41">
        <f>_xll.qlIndexFixing(Index,P225,,AllTriggers)</f>
        <v>-2.3584989677845247E-5</v>
      </c>
      <c r="U225" s="42">
        <f>_xll.qlYieldTSDiscount(OisCurve,Q225,,AllTriggers)</f>
        <v>1.0012067108370051</v>
      </c>
      <c r="V225" s="42">
        <f>_xll.qlYieldTSDiscount(OisCurve,R225,,AllTriggers)</f>
        <v>1.0016175035576598</v>
      </c>
      <c r="W225" s="41">
        <f t="shared" si="26"/>
        <v>-1.5707080914751522E-3</v>
      </c>
      <c r="X225" s="43">
        <f t="shared" si="27"/>
        <v>4.0405513921175921E-4</v>
      </c>
      <c r="Y225" s="41">
        <f t="shared" si="23"/>
        <v>1.547123101797307E-3</v>
      </c>
      <c r="Z225" s="62"/>
    </row>
    <row r="226" spans="15:26" x14ac:dyDescent="0.25">
      <c r="O226" s="43" t="s">
        <v>32</v>
      </c>
      <c r="P226" s="39">
        <f>_xll.qlCalendarAdvance(Calendar,P225,O225,"f",,Trigger)</f>
        <v>42432</v>
      </c>
      <c r="Q226" s="39">
        <f>_xll.qlInterestRateIndexValueDate(Index,P226,Trigger)</f>
        <v>42436</v>
      </c>
      <c r="R226" s="39">
        <f>_xll.qlInterestRateIndexMaturity(Index,Q226,Trigger)</f>
        <v>42528</v>
      </c>
      <c r="S226" s="40">
        <f>_xll.qlDayCounterYearFraction(DayCounter,Q226,R226,,,Trigger)</f>
        <v>0.25555555555555554</v>
      </c>
      <c r="T226" s="41">
        <f>_xll.qlIndexFixing(Index,P226,,AllTriggers)</f>
        <v>-2.3897662469776883E-5</v>
      </c>
      <c r="U226" s="42">
        <f>_xll.qlYieldTSDiscount(OisCurve,Q226,,AllTriggers)</f>
        <v>1.0012205356648229</v>
      </c>
      <c r="V226" s="42">
        <f>_xll.qlYieldTSDiscount(OisCurve,R226,,AllTriggers)</f>
        <v>1.0016219004232971</v>
      </c>
      <c r="W226" s="41">
        <f t="shared" si="26"/>
        <v>-1.5680145870287873E-3</v>
      </c>
      <c r="X226" s="43">
        <f t="shared" si="27"/>
        <v>3.9468794749484995E-4</v>
      </c>
      <c r="Y226" s="41">
        <f t="shared" si="23"/>
        <v>1.5441169245590104E-3</v>
      </c>
      <c r="Z226" s="62"/>
    </row>
    <row r="227" spans="15:26" x14ac:dyDescent="0.25">
      <c r="O227" s="43" t="s">
        <v>32</v>
      </c>
      <c r="P227" s="39">
        <f>_xll.qlCalendarAdvance(Calendar,P226,O226,"f",,Trigger)</f>
        <v>42433</v>
      </c>
      <c r="Q227" s="39">
        <f>_xll.qlInterestRateIndexValueDate(Index,P227,Trigger)</f>
        <v>42437</v>
      </c>
      <c r="R227" s="39">
        <f>_xll.qlInterestRateIndexMaturity(Index,Q227,Trigger)</f>
        <v>42529</v>
      </c>
      <c r="S227" s="40">
        <f>_xll.qlDayCounterYearFraction(DayCounter,Q227,R227,,,Trigger)</f>
        <v>0.25555555555555554</v>
      </c>
      <c r="T227" s="41">
        <f>_xll.qlIndexFixing(Index,P227,,AllTriggers)</f>
        <v>-2.4029869876538243E-5</v>
      </c>
      <c r="U227" s="42">
        <f>_xll.qlYieldTSDiscount(OisCurve,Q227,,AllTriggers)</f>
        <v>1.0012251351655803</v>
      </c>
      <c r="V227" s="42">
        <f>_xll.qlYieldTSDiscount(OisCurve,R227,,AllTriggers)</f>
        <v>1.0016263035620261</v>
      </c>
      <c r="W227" s="41">
        <f t="shared" si="26"/>
        <v>-1.5672405684773606E-3</v>
      </c>
      <c r="X227" s="43">
        <f t="shared" si="27"/>
        <v>3.9445627693425109E-4</v>
      </c>
      <c r="Y227" s="41">
        <f t="shared" si="23"/>
        <v>1.5432106986008223E-3</v>
      </c>
      <c r="Z227" s="62"/>
    </row>
    <row r="228" spans="15:26" x14ac:dyDescent="0.25">
      <c r="O228" s="43" t="s">
        <v>32</v>
      </c>
      <c r="P228" s="39">
        <f>_xll.qlCalendarAdvance(Calendar,P227,O227,"f",,Trigger)</f>
        <v>42436</v>
      </c>
      <c r="Q228" s="39">
        <f>_xll.qlInterestRateIndexValueDate(Index,P228,Trigger)</f>
        <v>42438</v>
      </c>
      <c r="R228" s="39">
        <f>_xll.qlInterestRateIndexMaturity(Index,Q228,Trigger)</f>
        <v>42530</v>
      </c>
      <c r="S228" s="40">
        <f>_xll.qlDayCounterYearFraction(DayCounter,Q228,R228,,,Trigger)</f>
        <v>0.25555555555555554</v>
      </c>
      <c r="T228" s="41">
        <f>_xll.qlIndexFixing(Index,P228,,AllTriggers)</f>
        <v>-2.4160101104513775E-5</v>
      </c>
      <c r="U228" s="42">
        <f>_xll.qlYieldTSDiscount(OisCurve,Q228,,AllTriggers)</f>
        <v>1.0012297299494288</v>
      </c>
      <c r="V228" s="42">
        <f>_xll.qlYieldTSDiscount(OisCurve,R228,,AllTriggers)</f>
        <v>1.0016307131186268</v>
      </c>
      <c r="W228" s="41">
        <f t="shared" si="26"/>
        <v>-1.5665100466391219E-3</v>
      </c>
      <c r="X228" s="43">
        <f t="shared" si="27"/>
        <v>3.9423623171674872E-4</v>
      </c>
      <c r="Y228" s="41">
        <f t="shared" si="23"/>
        <v>1.5423499455346082E-3</v>
      </c>
      <c r="Z228" s="62"/>
    </row>
    <row r="229" spans="15:26" x14ac:dyDescent="0.25">
      <c r="O229" s="43" t="s">
        <v>32</v>
      </c>
      <c r="P229" s="39">
        <f>_xll.qlCalendarAdvance(Calendar,P228,O228,"f",,Trigger)</f>
        <v>42437</v>
      </c>
      <c r="Q229" s="39">
        <f>_xll.qlInterestRateIndexValueDate(Index,P229,Trigger)</f>
        <v>42439</v>
      </c>
      <c r="R229" s="39">
        <f>_xll.qlInterestRateIndexMaturity(Index,Q229,Trigger)</f>
        <v>42531</v>
      </c>
      <c r="S229" s="40">
        <f>_xll.qlDayCounterYearFraction(DayCounter,Q229,R229,,,Trigger)</f>
        <v>0.25555555555555554</v>
      </c>
      <c r="T229" s="41">
        <f>_xll.qlIndexFixing(Index,P229,,AllTriggers)</f>
        <v>-2.4288161074533271E-5</v>
      </c>
      <c r="U229" s="42">
        <f>_xll.qlYieldTSDiscount(OisCurve,Q229,,AllTriggers)</f>
        <v>1.0012343198187719</v>
      </c>
      <c r="V229" s="42">
        <f>_xll.qlYieldTSDiscount(OisCurve,R229,,AllTriggers)</f>
        <v>1.001635128853303</v>
      </c>
      <c r="W229" s="41">
        <f t="shared" si="26"/>
        <v>-1.5658228564682678E-3</v>
      </c>
      <c r="X229" s="43">
        <f t="shared" si="27"/>
        <v>3.9402781949466448E-4</v>
      </c>
      <c r="Y229" s="41">
        <f t="shared" si="23"/>
        <v>1.5415346953937346E-3</v>
      </c>
      <c r="Z229" s="62"/>
    </row>
    <row r="230" spans="15:26" x14ac:dyDescent="0.25">
      <c r="O230" s="43" t="s">
        <v>32</v>
      </c>
      <c r="P230" s="39">
        <f>_xll.qlCalendarAdvance(Calendar,P229,O229,"f",,Trigger)</f>
        <v>42438</v>
      </c>
      <c r="Q230" s="39">
        <f>_xll.qlInterestRateIndexValueDate(Index,P230,Trigger)</f>
        <v>42440</v>
      </c>
      <c r="R230" s="39">
        <f>_xll.qlInterestRateIndexMaturity(Index,Q230,Trigger)</f>
        <v>42534</v>
      </c>
      <c r="S230" s="40">
        <f>_xll.qlDayCounterYearFraction(DayCounter,Q230,R230,,,Trigger)</f>
        <v>0.26111111111111113</v>
      </c>
      <c r="T230" s="41">
        <f>_xll.qlIndexFixing(Index,P230,,AllTriggers)</f>
        <v>-2.4484061471029952E-5</v>
      </c>
      <c r="U230" s="42">
        <f>_xll.qlYieldTSDiscount(OisCurve,Q230,,AllTriggers)</f>
        <v>1.0012389045760097</v>
      </c>
      <c r="V230" s="42">
        <f>_xll.qlYieldTSDiscount(OisCurve,R230,,AllTriggers)</f>
        <v>1.0016484097662881</v>
      </c>
      <c r="W230" s="41">
        <f t="shared" si="26"/>
        <v>-1.5657367742121986E-3</v>
      </c>
      <c r="X230" s="43">
        <f t="shared" si="27"/>
        <v>4.0252178217907816E-4</v>
      </c>
      <c r="Y230" s="41">
        <f t="shared" si="23"/>
        <v>1.5412527127411685E-3</v>
      </c>
      <c r="Z230" s="62"/>
    </row>
    <row r="231" spans="15:26" x14ac:dyDescent="0.25">
      <c r="O231" s="43" t="s">
        <v>32</v>
      </c>
      <c r="P231" s="39">
        <f>_xll.qlCalendarAdvance(Calendar,P230,O230,"f",,Trigger)</f>
        <v>42439</v>
      </c>
      <c r="Q231" s="39">
        <f>_xll.qlInterestRateIndexValueDate(Index,P231,Trigger)</f>
        <v>42443</v>
      </c>
      <c r="R231" s="39">
        <f>_xll.qlInterestRateIndexMaturity(Index,Q231,Trigger)</f>
        <v>42535</v>
      </c>
      <c r="S231" s="40">
        <f>_xll.qlDayCounterYearFraction(DayCounter,Q231,R231,,,Trigger)</f>
        <v>0.25555555555555554</v>
      </c>
      <c r="T231" s="41">
        <f>_xll.qlIndexFixing(Index,P231,,AllTriggers)</f>
        <v>-2.4774786776007019E-5</v>
      </c>
      <c r="U231" s="42">
        <f>_xll.qlYieldTSDiscount(OisCurve,Q231,,AllTriggers)</f>
        <v>1.0012526261990418</v>
      </c>
      <c r="V231" s="42">
        <f>_xll.qlYieldTSDiscount(OisCurve,R231,,AllTriggers)</f>
        <v>1.0016528468537418</v>
      </c>
      <c r="W231" s="41">
        <f t="shared" si="26"/>
        <v>-1.5634966022994084E-3</v>
      </c>
      <c r="X231" s="43">
        <f t="shared" si="27"/>
        <v>3.9330873383174362E-4</v>
      </c>
      <c r="Y231" s="41">
        <f t="shared" si="23"/>
        <v>1.5387218155234015E-3</v>
      </c>
      <c r="Z231" s="62"/>
    </row>
    <row r="232" spans="15:26" x14ac:dyDescent="0.25">
      <c r="O232" s="43" t="s">
        <v>32</v>
      </c>
      <c r="P232" s="39">
        <f>_xll.qlCalendarAdvance(Calendar,P231,O231,"f",,Trigger)</f>
        <v>42440</v>
      </c>
      <c r="Q232" s="39">
        <f>_xll.qlInterestRateIndexValueDate(Index,P232,Trigger)</f>
        <v>42444</v>
      </c>
      <c r="R232" s="39">
        <f>_xll.qlInterestRateIndexMaturity(Index,Q232,Trigger)</f>
        <v>42536</v>
      </c>
      <c r="S232" s="40">
        <f>_xll.qlDayCounterYearFraction(DayCounter,Q232,R232,,,Trigger)</f>
        <v>0.25555555555555554</v>
      </c>
      <c r="T232" s="41">
        <f>_xll.qlIndexFixing(Index,P232,,AllTriggers)</f>
        <v>-2.4889064256529004E-5</v>
      </c>
      <c r="U232" s="42">
        <f>_xll.qlYieldTSDiscount(OisCurve,Q232,,AllTriggers)</f>
        <v>1.0012571885317909</v>
      </c>
      <c r="V232" s="42">
        <f>_xll.qlYieldTSDiscount(OisCurve,R232,,AllTriggers)</f>
        <v>1.0016572884394801</v>
      </c>
      <c r="W232" s="41">
        <f t="shared" si="26"/>
        <v>-1.5630179628352584E-3</v>
      </c>
      <c r="X232" s="43">
        <f t="shared" si="27"/>
        <v>3.9315716154142855E-4</v>
      </c>
      <c r="Y232" s="41">
        <f t="shared" si="23"/>
        <v>1.5381288985787294E-3</v>
      </c>
      <c r="Z232" s="62"/>
    </row>
    <row r="233" spans="15:26" x14ac:dyDescent="0.25">
      <c r="O233" s="43" t="s">
        <v>32</v>
      </c>
      <c r="P233" s="39">
        <f>_xll.qlCalendarAdvance(Calendar,P232,O232,"f",,Trigger)</f>
        <v>42443</v>
      </c>
      <c r="Q233" s="39">
        <f>_xll.qlInterestRateIndexValueDate(Index,P233,Trigger)</f>
        <v>42445</v>
      </c>
      <c r="R233" s="39">
        <f>_xll.qlInterestRateIndexMaturity(Index,Q233,Trigger)</f>
        <v>42537</v>
      </c>
      <c r="S233" s="40">
        <f>_xll.qlDayCounterYearFraction(DayCounter,Q233,R233,,,Trigger)</f>
        <v>0.25555555555555554</v>
      </c>
      <c r="T233" s="41">
        <f>_xll.qlIndexFixing(Index,P233,,AllTriggers)</f>
        <v>-2.4999999999729347E-5</v>
      </c>
      <c r="U233" s="42">
        <f>_xll.qlYieldTSDiscount(OisCurve,Q233,,AllTriggers)</f>
        <v>1.0012617447643832</v>
      </c>
      <c r="V233" s="42">
        <f>_xll.qlYieldTSDiscount(OisCurve,R233,,AllTriggers)</f>
        <v>1.0016617341875271</v>
      </c>
      <c r="W233" s="41">
        <f t="shared" si="26"/>
        <v>-1.5625794119770214E-3</v>
      </c>
      <c r="X233" s="43">
        <f t="shared" si="27"/>
        <v>3.9301669222870648E-4</v>
      </c>
      <c r="Y233" s="41">
        <f t="shared" si="23"/>
        <v>1.537579411977292E-3</v>
      </c>
      <c r="Z233" s="62"/>
    </row>
    <row r="234" spans="15:26" x14ac:dyDescent="0.25">
      <c r="O234" s="43" t="s">
        <v>32</v>
      </c>
      <c r="P234" s="39">
        <f>_xll.qlCalendarAdvance(Calendar,P233,O233,"f",,Trigger)</f>
        <v>42444</v>
      </c>
      <c r="Q234" s="39">
        <f>_xll.qlInterestRateIndexValueDate(Index,P234,Trigger)</f>
        <v>42446</v>
      </c>
      <c r="R234" s="39">
        <f>_xll.qlInterestRateIndexMaturity(Index,Q234,Trigger)</f>
        <v>42538</v>
      </c>
      <c r="S234" s="40">
        <f>_xll.qlDayCounterYearFraction(DayCounter,Q234,R234,,,Trigger)</f>
        <v>0.25555555555555554</v>
      </c>
      <c r="T234" s="41">
        <f>_xll.qlIndexFixing(Index,P234,,AllTriggers)</f>
        <v>-2.5109480989655324E-5</v>
      </c>
      <c r="U234" s="42">
        <f>_xll.qlYieldTSDiscount(OisCurve,Q234,,AllTriggers)</f>
        <v>1.0012662947428312</v>
      </c>
      <c r="V234" s="42">
        <f>_xll.qlYieldTSDiscount(OisCurve,R234,,AllTriggers)</f>
        <v>1.0016661837619016</v>
      </c>
      <c r="W234" s="41">
        <f t="shared" ref="W234:W258" si="28">(U234/V234-1)/S234</f>
        <v>-1.5621802387547189E-3</v>
      </c>
      <c r="X234" s="43">
        <f t="shared" ref="X234:X258" si="29">LN((1+T234*S234)/(1+W234*S234))</f>
        <v>3.9288666189321104E-4</v>
      </c>
      <c r="Y234" s="41">
        <f t="shared" si="23"/>
        <v>1.5370707577650636E-3</v>
      </c>
      <c r="Z234" s="62"/>
    </row>
    <row r="235" spans="15:26" x14ac:dyDescent="0.25">
      <c r="O235" s="43" t="s">
        <v>32</v>
      </c>
      <c r="P235" s="39">
        <f>_xll.qlCalendarAdvance(Calendar,P234,O234,"f",,Trigger)</f>
        <v>42445</v>
      </c>
      <c r="Q235" s="39">
        <f>_xll.qlInterestRateIndexValueDate(Index,P235,Trigger)</f>
        <v>42447</v>
      </c>
      <c r="R235" s="39">
        <f>_xll.qlInterestRateIndexMaturity(Index,Q235,Trigger)</f>
        <v>42541</v>
      </c>
      <c r="S235" s="40">
        <f>_xll.qlDayCounterYearFraction(DayCounter,Q235,R235,,,Trigger)</f>
        <v>0.26111111111111113</v>
      </c>
      <c r="T235" s="41">
        <f>_xll.qlIndexFixing(Index,P235,,AllTriggers)</f>
        <v>-2.5288183421332873E-5</v>
      </c>
      <c r="U235" s="42">
        <f>_xll.qlYieldTSDiscount(OisCurve,Q235,,AllTriggers)</f>
        <v>1.0012708384876807</v>
      </c>
      <c r="V235" s="42">
        <f>_xll.qlYieldTSDiscount(OisCurve,R235,,AllTriggers)</f>
        <v>1.0016795520830823</v>
      </c>
      <c r="W235" s="41">
        <f t="shared" si="28"/>
        <v>-1.562661538606459E-3</v>
      </c>
      <c r="X235" s="43">
        <f t="shared" si="29"/>
        <v>4.0150850935869814E-4</v>
      </c>
      <c r="Y235" s="41">
        <f t="shared" si="23"/>
        <v>1.5373733551851262E-3</v>
      </c>
      <c r="Z235" s="62"/>
    </row>
    <row r="236" spans="15:26" x14ac:dyDescent="0.25">
      <c r="O236" s="43" t="s">
        <v>32</v>
      </c>
      <c r="P236" s="39">
        <f>_xll.qlCalendarAdvance(Calendar,P235,O235,"f",,Trigger)</f>
        <v>42446</v>
      </c>
      <c r="Q236" s="39">
        <f>_xll.qlInterestRateIndexValueDate(Index,P236,Trigger)</f>
        <v>42450</v>
      </c>
      <c r="R236" s="39">
        <f>_xll.qlInterestRateIndexMaturity(Index,Q236,Trigger)</f>
        <v>42542</v>
      </c>
      <c r="S236" s="40">
        <f>_xll.qlDayCounterYearFraction(DayCounter,Q236,R236,,,Trigger)</f>
        <v>0.25555555555555554</v>
      </c>
      <c r="T236" s="41">
        <f>_xll.qlIndexFixing(Index,P236,,AllTriggers)</f>
        <v>-2.5551382065821478E-5</v>
      </c>
      <c r="U236" s="42">
        <f>_xll.qlYieldTSDiscount(OisCurve,Q236,,AllTriggers)</f>
        <v>1.0012844329624431</v>
      </c>
      <c r="V236" s="42">
        <f>_xll.qlYieldTSDiscount(OisCurve,R236,,AllTriggers)</f>
        <v>1.0016840136028307</v>
      </c>
      <c r="W236" s="41">
        <f t="shared" si="28"/>
        <v>-1.5609477616439157E-3</v>
      </c>
      <c r="X236" s="43">
        <f t="shared" si="29"/>
        <v>3.9245863877160168E-4</v>
      </c>
      <c r="Y236" s="41">
        <f t="shared" si="23"/>
        <v>1.5353963795780943E-3</v>
      </c>
      <c r="Z236" s="62"/>
    </row>
    <row r="237" spans="15:26" x14ac:dyDescent="0.25">
      <c r="O237" s="43" t="s">
        <v>32</v>
      </c>
      <c r="P237" s="39">
        <f>_xll.qlCalendarAdvance(Calendar,P236,O236,"f",,Trigger)</f>
        <v>42447</v>
      </c>
      <c r="Q237" s="39">
        <f>_xll.qlInterestRateIndexValueDate(Index,P237,Trigger)</f>
        <v>42451</v>
      </c>
      <c r="R237" s="39">
        <f>_xll.qlInterestRateIndexMaturity(Index,Q237,Trigger)</f>
        <v>42543</v>
      </c>
      <c r="S237" s="40">
        <f>_xll.qlDayCounterYearFraction(DayCounter,Q237,R237,,,Trigger)</f>
        <v>0.25555555555555554</v>
      </c>
      <c r="T237" s="41">
        <f>_xll.qlIndexFixing(Index,P237,,AllTriggers)</f>
        <v>-2.5662357901299146E-5</v>
      </c>
      <c r="U237" s="42">
        <f>_xll.qlYieldTSDiscount(OisCurve,Q237,,AllTriggers)</f>
        <v>1.0012889524147102</v>
      </c>
      <c r="V237" s="42">
        <f>_xll.qlYieldTSDiscount(OisCurve,R237,,AllTriggers)</f>
        <v>1.0016884772689083</v>
      </c>
      <c r="W237" s="41">
        <f t="shared" si="28"/>
        <v>-1.5607228800171172E-3</v>
      </c>
      <c r="X237" s="43">
        <f t="shared" si="29"/>
        <v>3.9237278541295206E-4</v>
      </c>
      <c r="Y237" s="41">
        <f t="shared" si="23"/>
        <v>1.535060522115818E-3</v>
      </c>
      <c r="Z237" s="62"/>
    </row>
    <row r="238" spans="15:26" x14ac:dyDescent="0.25">
      <c r="O238" s="43" t="s">
        <v>32</v>
      </c>
      <c r="P238" s="39">
        <f>_xll.qlCalendarAdvance(Calendar,P237,O237,"f",,Trigger)</f>
        <v>42450</v>
      </c>
      <c r="Q238" s="39">
        <f>_xll.qlInterestRateIndexValueDate(Index,P238,Trigger)</f>
        <v>42452</v>
      </c>
      <c r="R238" s="39">
        <f>_xll.qlInterestRateIndexMaturity(Index,Q238,Trigger)</f>
        <v>42544</v>
      </c>
      <c r="S238" s="40">
        <f>_xll.qlDayCounterYearFraction(DayCounter,Q238,R238,,,Trigger)</f>
        <v>0.25555555555555554</v>
      </c>
      <c r="T238" s="41">
        <f>_xll.qlIndexFixing(Index,P238,,AllTriggers)</f>
        <v>-2.5773336477193403E-5</v>
      </c>
      <c r="U238" s="42">
        <f>_xll.qlYieldTSDiscount(OisCurve,Q238,,AllTriggers)</f>
        <v>1.0012934659542909</v>
      </c>
      <c r="V238" s="42">
        <f>_xll.qlYieldTSDiscount(OisCurve,R238,,AllTriggers)</f>
        <v>1.001692942745299</v>
      </c>
      <c r="W238" s="41">
        <f t="shared" si="28"/>
        <v>-1.5605281669314622E-3</v>
      </c>
      <c r="X238" s="43">
        <f t="shared" si="29"/>
        <v>3.9229464417079533E-4</v>
      </c>
      <c r="Y238" s="41">
        <f t="shared" si="23"/>
        <v>1.5347548304542689E-3</v>
      </c>
      <c r="Z238" s="62"/>
    </row>
    <row r="239" spans="15:26" x14ac:dyDescent="0.25">
      <c r="O239" s="43" t="s">
        <v>32</v>
      </c>
      <c r="P239" s="39">
        <f>_xll.qlCalendarAdvance(Calendar,P238,O238,"f",,Trigger)</f>
        <v>42451</v>
      </c>
      <c r="Q239" s="39">
        <f>_xll.qlInterestRateIndexValueDate(Index,P239,Trigger)</f>
        <v>42453</v>
      </c>
      <c r="R239" s="39">
        <f>_xll.qlInterestRateIndexMaturity(Index,Q239,Trigger)</f>
        <v>42545</v>
      </c>
      <c r="S239" s="40">
        <f>_xll.qlDayCounterYearFraction(DayCounter,Q239,R239,,,Trigger)</f>
        <v>0.25555555555555554</v>
      </c>
      <c r="T239" s="41">
        <f>_xll.qlIndexFixing(Index,P239,,AllTriggers)</f>
        <v>-2.5884219051185578E-5</v>
      </c>
      <c r="U239" s="42">
        <f>_xll.qlYieldTSDiscount(OisCurve,Q239,,AllTriggers)</f>
        <v>1.0012979736453722</v>
      </c>
      <c r="V239" s="42">
        <f>_xll.qlYieldTSDiscount(OisCurve,R239,,AllTriggers)</f>
        <v>1.0016974096959788</v>
      </c>
      <c r="W239" s="41">
        <f t="shared" si="28"/>
        <v>-1.5603620591200435E-3</v>
      </c>
      <c r="X239" s="43">
        <f t="shared" si="29"/>
        <v>3.9222384061701456E-4</v>
      </c>
      <c r="Y239" s="41">
        <f t="shared" si="23"/>
        <v>1.534477840068858E-3</v>
      </c>
      <c r="Z239" s="62"/>
    </row>
    <row r="240" spans="15:26" x14ac:dyDescent="0.25">
      <c r="O240" s="43" t="s">
        <v>32</v>
      </c>
      <c r="P240" s="39">
        <f>_xll.qlCalendarAdvance(Calendar,P239,O239,"f",,Trigger)</f>
        <v>42452</v>
      </c>
      <c r="Q240" s="39">
        <f>_xll.qlInterestRateIndexValueDate(Index,P240,Trigger)</f>
        <v>42458</v>
      </c>
      <c r="R240" s="39">
        <f>_xll.qlInterestRateIndexMaturity(Index,Q240,Trigger)</f>
        <v>42550</v>
      </c>
      <c r="S240" s="40">
        <f>_xll.qlDayCounterYearFraction(DayCounter,Q240,R240,,,Trigger)</f>
        <v>0.25555555555555554</v>
      </c>
      <c r="T240" s="41">
        <f>_xll.qlIndexFixing(Index,P240,,AllTriggers)</f>
        <v>-2.6433735899732078E-5</v>
      </c>
      <c r="U240" s="42">
        <f>_xll.qlYieldTSDiscount(OisCurve,Q240,,AllTriggers)</f>
        <v>1.0013204266198894</v>
      </c>
      <c r="V240" s="42">
        <f>_xll.qlYieldTSDiscount(OisCurve,R240,,AllTriggers)</f>
        <v>1.0017197548024797</v>
      </c>
      <c r="W240" s="41">
        <f t="shared" si="28"/>
        <v>-1.5599058849333578E-3</v>
      </c>
      <c r="X240" s="43">
        <f t="shared" si="29"/>
        <v>3.919667832485706E-4</v>
      </c>
      <c r="Y240" s="41">
        <f t="shared" si="23"/>
        <v>1.5334721490336256E-3</v>
      </c>
      <c r="Z240" s="62"/>
    </row>
    <row r="241" spans="15:26" x14ac:dyDescent="0.25">
      <c r="O241" s="43" t="s">
        <v>32</v>
      </c>
      <c r="P241" s="39">
        <f>_xll.qlCalendarAdvance(Calendar,P240,O240,"f",,Trigger)</f>
        <v>42453</v>
      </c>
      <c r="Q241" s="39">
        <f>_xll.qlInterestRateIndexValueDate(Index,P241,Trigger)</f>
        <v>42459</v>
      </c>
      <c r="R241" s="39">
        <f>_xll.qlInterestRateIndexMaturity(Index,Q241,Trigger)</f>
        <v>42551</v>
      </c>
      <c r="S241" s="40">
        <f>_xll.qlDayCounterYearFraction(DayCounter,Q241,R241,,,Trigger)</f>
        <v>0.25555555555555554</v>
      </c>
      <c r="T241" s="41">
        <f>_xll.qlIndexFixing(Index,P241,,AllTriggers)</f>
        <v>-2.6541968865799884E-5</v>
      </c>
      <c r="U241" s="42">
        <f>_xll.qlYieldTSDiscount(OisCurve,Q241,,AllTriggers)</f>
        <v>1.0013249005679545</v>
      </c>
      <c r="V241" s="42">
        <f>_xll.qlYieldTSDiscount(OisCurve,R241,,AllTriggers)</f>
        <v>1.0017242235420694</v>
      </c>
      <c r="W241" s="41">
        <f t="shared" si="28"/>
        <v>-1.5598785802087894E-3</v>
      </c>
      <c r="X241" s="43">
        <f t="shared" si="29"/>
        <v>3.9193214286880815E-4</v>
      </c>
      <c r="Y241" s="41">
        <f t="shared" si="23"/>
        <v>1.5333366113429896E-3</v>
      </c>
      <c r="Z241" s="62"/>
    </row>
    <row r="242" spans="15:26" x14ac:dyDescent="0.25">
      <c r="O242" s="43" t="s">
        <v>32</v>
      </c>
      <c r="P242" s="39">
        <f>_xll.qlCalendarAdvance(Calendar,P241,O241,"f",,Trigger)</f>
        <v>42458</v>
      </c>
      <c r="Q242" s="39">
        <f>_xll.qlInterestRateIndexValueDate(Index,P242,Trigger)</f>
        <v>42460</v>
      </c>
      <c r="R242" s="39">
        <f>_xll.qlInterestRateIndexMaturity(Index,Q242,Trigger)</f>
        <v>42551</v>
      </c>
      <c r="S242" s="40">
        <f>_xll.qlDayCounterYearFraction(DayCounter,Q242,R242,,,Trigger)</f>
        <v>0.25277777777777777</v>
      </c>
      <c r="T242" s="41">
        <f>_xll.qlIndexFixing(Index,P242,,AllTriggers)</f>
        <v>-2.6602291772063887E-5</v>
      </c>
      <c r="U242" s="42">
        <f>_xll.qlYieldTSDiscount(OisCurve,Q242,,AllTriggers)</f>
        <v>1.0013293691168592</v>
      </c>
      <c r="V242" s="42">
        <f>_xll.qlYieldTSDiscount(OisCurve,R242,,AllTriggers)</f>
        <v>1.0017242235420694</v>
      </c>
      <c r="W242" s="41">
        <f t="shared" si="28"/>
        <v>-1.5593727551546919E-3</v>
      </c>
      <c r="X242" s="43">
        <f t="shared" si="29"/>
        <v>3.8752799626732334E-4</v>
      </c>
      <c r="Y242" s="41">
        <f t="shared" si="23"/>
        <v>1.532770463382628E-3</v>
      </c>
      <c r="Z242" s="62"/>
    </row>
    <row r="243" spans="15:26" x14ac:dyDescent="0.25">
      <c r="O243" s="43" t="s">
        <v>32</v>
      </c>
      <c r="P243" s="39">
        <f>_xll.qlCalendarAdvance(Calendar,P242,O242,"f",,Trigger)</f>
        <v>42459</v>
      </c>
      <c r="Q243" s="39">
        <f>_xll.qlInterestRateIndexValueDate(Index,P243,Trigger)</f>
        <v>42461</v>
      </c>
      <c r="R243" s="39">
        <f>_xll.qlInterestRateIndexMaturity(Index,Q243,Trigger)</f>
        <v>42552</v>
      </c>
      <c r="S243" s="40">
        <f>_xll.qlDayCounterYearFraction(DayCounter,Q243,R243,,,Trigger)</f>
        <v>0.25277777777777777</v>
      </c>
      <c r="T243" s="41">
        <f>_xll.qlIndexFixing(Index,P243,,AllTriggers)</f>
        <v>-2.6708513420683696E-5</v>
      </c>
      <c r="U243" s="42">
        <f>_xll.qlYieldTSDiscount(OisCurve,Q243,,AllTriggers)</f>
        <v>1.0013296267287037</v>
      </c>
      <c r="V243" s="42">
        <f>_xll.qlYieldTSDiscount(OisCurve,R243,,AllTriggers)</f>
        <v>1.0017286914036172</v>
      </c>
      <c r="W243" s="41">
        <f t="shared" si="28"/>
        <v>-1.5759929897283522E-3</v>
      </c>
      <c r="X243" s="43">
        <f t="shared" si="29"/>
        <v>3.9170403707821305E-4</v>
      </c>
      <c r="Y243" s="41">
        <f t="shared" si="23"/>
        <v>1.5492844763076686E-3</v>
      </c>
      <c r="Z243" s="62"/>
    </row>
    <row r="244" spans="15:26" x14ac:dyDescent="0.25">
      <c r="O244" s="43" t="s">
        <v>32</v>
      </c>
      <c r="P244" s="39">
        <f>_xll.qlCalendarAdvance(Calendar,P243,O243,"f",,Trigger)</f>
        <v>42460</v>
      </c>
      <c r="Q244" s="39">
        <f>_xll.qlInterestRateIndexValueDate(Index,P244,Trigger)</f>
        <v>42464</v>
      </c>
      <c r="R244" s="39">
        <f>_xll.qlInterestRateIndexMaturity(Index,Q244,Trigger)</f>
        <v>42555</v>
      </c>
      <c r="S244" s="40">
        <f>_xll.qlDayCounterYearFraction(DayCounter,Q244,R244,,,Trigger)</f>
        <v>0.25277777777777777</v>
      </c>
      <c r="T244" s="41">
        <f>_xll.qlIndexFixing(Index,P244,,AllTriggers)</f>
        <v>-2.7021638179772243E-5</v>
      </c>
      <c r="U244" s="42">
        <f>_xll.qlYieldTSDiscount(OisCurve,Q244,,AllTriggers)</f>
        <v>1.0013429849466158</v>
      </c>
      <c r="V244" s="42">
        <f>_xll.qlYieldTSDiscount(OisCurve,R244,,AllTriggers)</f>
        <v>1.0017420863592663</v>
      </c>
      <c r="W244" s="41">
        <f t="shared" si="28"/>
        <v>-1.5761169994394236E-3</v>
      </c>
      <c r="X244" s="43">
        <f t="shared" si="29"/>
        <v>3.9165624495249258E-4</v>
      </c>
      <c r="Y244" s="41">
        <f t="shared" si="23"/>
        <v>1.5490953612596514E-3</v>
      </c>
      <c r="Z244" s="62"/>
    </row>
    <row r="245" spans="15:26" x14ac:dyDescent="0.25">
      <c r="O245" s="43" t="s">
        <v>32</v>
      </c>
      <c r="P245" s="39">
        <f>_xll.qlCalendarAdvance(Calendar,P244,O244,"f",,Trigger)</f>
        <v>42461</v>
      </c>
      <c r="Q245" s="39">
        <f>_xll.qlInterestRateIndexValueDate(Index,P245,Trigger)</f>
        <v>42465</v>
      </c>
      <c r="R245" s="39">
        <f>_xll.qlInterestRateIndexMaturity(Index,Q245,Trigger)</f>
        <v>42556</v>
      </c>
      <c r="S245" s="40">
        <f>_xll.qlDayCounterYearFraction(DayCounter,Q245,R245,,,Trigger)</f>
        <v>0.25277777777777777</v>
      </c>
      <c r="T245" s="41">
        <f>_xll.qlIndexFixing(Index,P245,,AllTriggers)</f>
        <v>-2.7123833610790979E-5</v>
      </c>
      <c r="U245" s="42">
        <f>_xll.qlYieldTSDiscount(OisCurve,Q245,,AllTriggers)</f>
        <v>1.0013474274440282</v>
      </c>
      <c r="V245" s="42">
        <f>_xll.qlYieldTSDiscount(OisCurve,R245,,AllTriggers)</f>
        <v>1.0017465473478742</v>
      </c>
      <c r="W245" s="41">
        <f t="shared" si="28"/>
        <v>-1.5761830050997018E-3</v>
      </c>
      <c r="X245" s="43">
        <f t="shared" si="29"/>
        <v>3.9164710345589214E-4</v>
      </c>
      <c r="Y245" s="41">
        <f t="shared" si="23"/>
        <v>1.5490591714889107E-3</v>
      </c>
      <c r="Z245" s="62"/>
    </row>
    <row r="246" spans="15:26" x14ac:dyDescent="0.25">
      <c r="O246" s="43" t="s">
        <v>32</v>
      </c>
      <c r="P246" s="39">
        <f>_xll.qlCalendarAdvance(Calendar,P245,O245,"f",,Trigger)</f>
        <v>42464</v>
      </c>
      <c r="Q246" s="39">
        <f>_xll.qlInterestRateIndexValueDate(Index,P246,Trigger)</f>
        <v>42466</v>
      </c>
      <c r="R246" s="39">
        <f>_xll.qlInterestRateIndexMaturity(Index,Q246,Trigger)</f>
        <v>42557</v>
      </c>
      <c r="S246" s="40">
        <f>_xll.qlDayCounterYearFraction(DayCounter,Q246,R246,,,Trigger)</f>
        <v>0.25277777777777777</v>
      </c>
      <c r="T246" s="41">
        <f>_xll.qlIndexFixing(Index,P246,,AllTriggers)</f>
        <v>-2.7224772919131315E-5</v>
      </c>
      <c r="U246" s="42">
        <f>_xll.qlYieldTSDiscount(OisCurve,Q246,,AllTriggers)</f>
        <v>1.0013518649274973</v>
      </c>
      <c r="V246" s="42">
        <f>_xll.qlYieldTSDiscount(OisCurve,R246,,AllTriggers)</f>
        <v>1.0017510057780237</v>
      </c>
      <c r="W246" s="41">
        <f t="shared" si="28"/>
        <v>-1.576258711224148E-3</v>
      </c>
      <c r="X246" s="43">
        <f t="shared" si="29"/>
        <v>3.9164073252040274E-4</v>
      </c>
      <c r="Y246" s="41">
        <f t="shared" si="23"/>
        <v>1.5490339383050168E-3</v>
      </c>
      <c r="Z246" s="62"/>
    </row>
    <row r="247" spans="15:26" x14ac:dyDescent="0.25">
      <c r="O247" s="43" t="s">
        <v>32</v>
      </c>
      <c r="P247" s="39">
        <f>_xll.qlCalendarAdvance(Calendar,P246,O246,"f",,Trigger)</f>
        <v>42465</v>
      </c>
      <c r="Q247" s="39">
        <f>_xll.qlInterestRateIndexValueDate(Index,P247,Trigger)</f>
        <v>42467</v>
      </c>
      <c r="R247" s="39">
        <f>_xll.qlInterestRateIndexMaturity(Index,Q247,Trigger)</f>
        <v>42558</v>
      </c>
      <c r="S247" s="40">
        <f>_xll.qlDayCounterYearFraction(DayCounter,Q247,R247,,,Trigger)</f>
        <v>0.25277777777777777</v>
      </c>
      <c r="T247" s="41">
        <f>_xll.qlIndexFixing(Index,P247,,AllTriggers)</f>
        <v>-2.732435627607653E-5</v>
      </c>
      <c r="U247" s="42">
        <f>_xll.qlYieldTSDiscount(OisCurve,Q247,,AllTriggers)</f>
        <v>1.0013562974612265</v>
      </c>
      <c r="V247" s="42">
        <f>_xll.qlYieldTSDiscount(OisCurve,R247,,AllTriggers)</f>
        <v>1.0017554613136139</v>
      </c>
      <c r="W247" s="41">
        <f t="shared" si="28"/>
        <v>-1.5763425373675373E-3</v>
      </c>
      <c r="X247" s="43">
        <f t="shared" si="29"/>
        <v>3.9163675771970599E-4</v>
      </c>
      <c r="Y247" s="41">
        <f t="shared" si="23"/>
        <v>1.5490181810914607E-3</v>
      </c>
      <c r="Z247" s="62"/>
    </row>
    <row r="248" spans="15:26" x14ac:dyDescent="0.25">
      <c r="O248" s="43" t="s">
        <v>32</v>
      </c>
      <c r="P248" s="39">
        <f>_xll.qlCalendarAdvance(Calendar,P247,O247,"f",,Trigger)</f>
        <v>42466</v>
      </c>
      <c r="Q248" s="39">
        <f>_xll.qlInterestRateIndexValueDate(Index,P248,Trigger)</f>
        <v>42468</v>
      </c>
      <c r="R248" s="39">
        <f>_xll.qlInterestRateIndexMaturity(Index,Q248,Trigger)</f>
        <v>42559</v>
      </c>
      <c r="S248" s="40">
        <f>_xll.qlDayCounterYearFraction(DayCounter,Q248,R248,,,Trigger)</f>
        <v>0.25277777777777777</v>
      </c>
      <c r="T248" s="41">
        <f>_xll.qlIndexFixing(Index,P248,,AllTriggers)</f>
        <v>-2.742248385334911E-5</v>
      </c>
      <c r="U248" s="42">
        <f>_xll.qlYieldTSDiscount(OisCurve,Q248,,AllTriggers)</f>
        <v>1.0013607251094201</v>
      </c>
      <c r="V248" s="42">
        <f>_xll.qlYieldTSDiscount(OisCurve,R248,,AllTriggers)</f>
        <v>1.0017599136185376</v>
      </c>
      <c r="W248" s="41">
        <f t="shared" si="28"/>
        <v>-1.5764329030815698E-3</v>
      </c>
      <c r="X248" s="43">
        <f t="shared" si="29"/>
        <v>3.9163480462723645E-4</v>
      </c>
      <c r="Y248" s="41">
        <f t="shared" si="23"/>
        <v>1.5490104192282207E-3</v>
      </c>
      <c r="Z248" s="62"/>
    </row>
    <row r="249" spans="15:26" x14ac:dyDescent="0.25">
      <c r="O249" s="43" t="s">
        <v>32</v>
      </c>
      <c r="P249" s="39">
        <f>_xll.qlCalendarAdvance(Calendar,P248,O248,"f",,Trigger)</f>
        <v>42467</v>
      </c>
      <c r="Q249" s="39">
        <f>_xll.qlInterestRateIndexValueDate(Index,P249,Trigger)</f>
        <v>42471</v>
      </c>
      <c r="R249" s="39">
        <f>_xll.qlInterestRateIndexMaturity(Index,Q249,Trigger)</f>
        <v>42562</v>
      </c>
      <c r="S249" s="40">
        <f>_xll.qlDayCounterYearFraction(DayCounter,Q249,R249,,,Trigger)</f>
        <v>0.25277777777777777</v>
      </c>
      <c r="T249" s="41">
        <f>_xll.qlIndexFixing(Index,P249,,AllTriggers)</f>
        <v>-2.7707133637092983E-5</v>
      </c>
      <c r="U249" s="42">
        <f>_xll.qlYieldTSDiscount(OisCurve,Q249,,AllTriggers)</f>
        <v>1.0013739793828531</v>
      </c>
      <c r="V249" s="42">
        <f>_xll.qlYieldTSDiscount(OisCurve,R249,,AllTriggers)</f>
        <v>1.00177324778815</v>
      </c>
      <c r="W249" s="41">
        <f t="shared" si="28"/>
        <v>-1.5767274331807807E-3</v>
      </c>
      <c r="X249" s="43">
        <f t="shared" si="29"/>
        <v>3.9163733133243601E-4</v>
      </c>
      <c r="Y249" s="41">
        <f t="shared" si="23"/>
        <v>1.5490202995436877E-3</v>
      </c>
      <c r="Z249" s="62"/>
    </row>
    <row r="250" spans="15:26" x14ac:dyDescent="0.25">
      <c r="O250" s="43" t="s">
        <v>32</v>
      </c>
      <c r="P250" s="39">
        <f>_xll.qlCalendarAdvance(Calendar,P249,O249,"f",,Trigger)</f>
        <v>42468</v>
      </c>
      <c r="Q250" s="39">
        <f>_xll.qlInterestRateIndexValueDate(Index,P250,Trigger)</f>
        <v>42472</v>
      </c>
      <c r="R250" s="39">
        <f>_xll.qlInterestRateIndexMaturity(Index,Q250,Trigger)</f>
        <v>42563</v>
      </c>
      <c r="S250" s="40">
        <f>_xll.qlDayCounterYearFraction(DayCounter,Q250,R250,,,Trigger)</f>
        <v>0.25277777777777777</v>
      </c>
      <c r="T250" s="41">
        <f>_xll.qlIndexFixing(Index,P250,,AllTriggers)</f>
        <v>-2.7798439823001709E-5</v>
      </c>
      <c r="U250" s="42">
        <f>_xll.qlYieldTSDiscount(OisCurve,Q250,,AllTriggers)</f>
        <v>1.0013783881309757</v>
      </c>
      <c r="V250" s="42">
        <f>_xll.qlYieldTSDiscount(OisCurve,R250,,AllTriggers)</f>
        <v>1.0017776838092181</v>
      </c>
      <c r="W250" s="41">
        <f t="shared" si="28"/>
        <v>-1.5768281527080046E-3</v>
      </c>
      <c r="X250" s="43">
        <f t="shared" si="29"/>
        <v>3.9163972080564688E-4</v>
      </c>
      <c r="Y250" s="41">
        <f t="shared" si="23"/>
        <v>1.5490297128850029E-3</v>
      </c>
      <c r="Z250" s="62"/>
    </row>
    <row r="251" spans="15:26" x14ac:dyDescent="0.25">
      <c r="O251" s="43" t="s">
        <v>32</v>
      </c>
      <c r="P251" s="39">
        <f>_xll.qlCalendarAdvance(Calendar,P250,O250,"f",,Trigger)</f>
        <v>42471</v>
      </c>
      <c r="Q251" s="39">
        <f>_xll.qlInterestRateIndexValueDate(Index,P251,Trigger)</f>
        <v>42473</v>
      </c>
      <c r="R251" s="39">
        <f>_xll.qlInterestRateIndexMaturity(Index,Q251,Trigger)</f>
        <v>42564</v>
      </c>
      <c r="S251" s="40">
        <f>_xll.qlDayCounterYearFraction(DayCounter,Q251,R251,,,Trigger)</f>
        <v>0.25277777777777777</v>
      </c>
      <c r="T251" s="41">
        <f>_xll.qlIndexFixing(Index,P251,,AllTriggers)</f>
        <v>-2.7887791091363911E-5</v>
      </c>
      <c r="U251" s="42">
        <f>_xll.qlYieldTSDiscount(OisCurve,Q251,,AllTriggers)</f>
        <v>1.0013827923146035</v>
      </c>
      <c r="V251" s="42">
        <f>_xll.qlYieldTSDiscount(OisCurve,R251,,AllTriggers)</f>
        <v>1.0017821149189952</v>
      </c>
      <c r="W251" s="41">
        <f t="shared" si="28"/>
        <v>-1.5769275095744752E-3</v>
      </c>
      <c r="X251" s="43">
        <f t="shared" si="29"/>
        <v>3.9164225985434343E-4</v>
      </c>
      <c r="Y251" s="41">
        <f t="shared" si="23"/>
        <v>1.5490397184831112E-3</v>
      </c>
      <c r="Z251" s="62"/>
    </row>
    <row r="252" spans="15:26" x14ac:dyDescent="0.25">
      <c r="O252" s="43" t="s">
        <v>32</v>
      </c>
      <c r="P252" s="39">
        <f>_xll.qlCalendarAdvance(Calendar,P251,O251,"f",,Trigger)</f>
        <v>42472</v>
      </c>
      <c r="Q252" s="39">
        <f>_xll.qlInterestRateIndexValueDate(Index,P252,Trigger)</f>
        <v>42474</v>
      </c>
      <c r="R252" s="39">
        <f>_xll.qlInterestRateIndexMaturity(Index,Q252,Trigger)</f>
        <v>42565</v>
      </c>
      <c r="S252" s="40">
        <f>_xll.qlDayCounterYearFraction(DayCounter,Q252,R252,,,Trigger)</f>
        <v>0.25277777777777777</v>
      </c>
      <c r="T252" s="41">
        <f>_xll.qlIndexFixing(Index,P252,,AllTriggers)</f>
        <v>-2.7975087615219705E-5</v>
      </c>
      <c r="U252" s="42">
        <f>_xll.qlYieldTSDiscount(OisCurve,Q252,,AllTriggers)</f>
        <v>1.0013871919979489</v>
      </c>
      <c r="V252" s="42">
        <f>_xll.qlYieldTSDiscount(OisCurve,R252,,AllTriggers)</f>
        <v>1.0017865407813384</v>
      </c>
      <c r="W252" s="41">
        <f t="shared" si="28"/>
        <v>-1.5770239233296964E-3</v>
      </c>
      <c r="X252" s="43">
        <f t="shared" si="29"/>
        <v>3.9164457405082431E-4</v>
      </c>
      <c r="Y252" s="41">
        <f t="shared" si="23"/>
        <v>1.5490488357144767E-3</v>
      </c>
      <c r="Z252" s="62"/>
    </row>
    <row r="253" spans="15:26" x14ac:dyDescent="0.25">
      <c r="O253" s="43" t="s">
        <v>32</v>
      </c>
      <c r="P253" s="39">
        <f>_xll.qlCalendarAdvance(Calendar,P252,O252,"f",,Trigger)</f>
        <v>42473</v>
      </c>
      <c r="Q253" s="39">
        <f>_xll.qlInterestRateIndexValueDate(Index,P253,Trigger)</f>
        <v>42475</v>
      </c>
      <c r="R253" s="39">
        <f>_xll.qlInterestRateIndexMaturity(Index,Q253,Trigger)</f>
        <v>42566</v>
      </c>
      <c r="S253" s="40">
        <f>_xll.qlDayCounterYearFraction(DayCounter,Q253,R253,,,Trigger)</f>
        <v>0.25277777777777777</v>
      </c>
      <c r="T253" s="41">
        <f>_xll.qlIndexFixing(Index,P253,,AllTriggers)</f>
        <v>-2.8060229566291577E-5</v>
      </c>
      <c r="U253" s="42">
        <f>_xll.qlYieldTSDiscount(OisCurve,Q253,,AllTriggers)</f>
        <v>1.0013915872452246</v>
      </c>
      <c r="V253" s="42">
        <f>_xll.qlYieldTSDiscount(OisCurve,R253,,AllTriggers)</f>
        <v>1.0017909610600999</v>
      </c>
      <c r="W253" s="41">
        <f t="shared" si="28"/>
        <v>-1.5771158135302E-3</v>
      </c>
      <c r="X253" s="43">
        <f t="shared" si="29"/>
        <v>3.9164628896938921E-4</v>
      </c>
      <c r="Y253" s="41">
        <f t="shared" si="23"/>
        <v>1.5490555839639084E-3</v>
      </c>
      <c r="Z253" s="62"/>
    </row>
    <row r="254" spans="15:26" x14ac:dyDescent="0.25">
      <c r="O254" s="43" t="s">
        <v>32</v>
      </c>
      <c r="P254" s="39">
        <f>_xll.qlCalendarAdvance(Calendar,P253,O253,"f",,Trigger)</f>
        <v>42474</v>
      </c>
      <c r="Q254" s="39">
        <f>_xll.qlInterestRateIndexValueDate(Index,P254,Trigger)</f>
        <v>42478</v>
      </c>
      <c r="R254" s="39">
        <f>_xll.qlInterestRateIndexMaturity(Index,Q254,Trigger)</f>
        <v>42569</v>
      </c>
      <c r="S254" s="40">
        <f>_xll.qlDayCounterYearFraction(DayCounter,Q254,R254,,,Trigger)</f>
        <v>0.25277777777777777</v>
      </c>
      <c r="T254" s="41">
        <f>_xll.qlIndexFixing(Index,P254,,AllTriggers)</f>
        <v>-2.8301729710569556E-5</v>
      </c>
      <c r="U254" s="42">
        <f>_xll.qlYieldTSDiscount(OisCurve,Q254,,AllTriggers)</f>
        <v>1.0014047470127818</v>
      </c>
      <c r="V254" s="42">
        <f>_xll.qlYieldTSDiscount(OisCurve,R254,,AllTriggers)</f>
        <v>1.0018041850333192</v>
      </c>
      <c r="W254" s="41">
        <f t="shared" si="28"/>
        <v>-1.5773485383362197E-3</v>
      </c>
      <c r="X254" s="43">
        <f t="shared" si="29"/>
        <v>3.9164409378727517E-4</v>
      </c>
      <c r="Y254" s="41">
        <f t="shared" si="23"/>
        <v>1.54904680862565E-3</v>
      </c>
      <c r="Z254" s="62"/>
    </row>
    <row r="255" spans="15:26" x14ac:dyDescent="0.25">
      <c r="O255" s="43" t="s">
        <v>32</v>
      </c>
      <c r="P255" s="39">
        <f>_xll.qlCalendarAdvance(Calendar,P254,O254,"f",,Trigger)</f>
        <v>42475</v>
      </c>
      <c r="Q255" s="39">
        <f>_xll.qlInterestRateIndexValueDate(Index,P255,Trigger)</f>
        <v>42479</v>
      </c>
      <c r="R255" s="39">
        <f>_xll.qlInterestRateIndexMaturity(Index,Q255,Trigger)</f>
        <v>42570</v>
      </c>
      <c r="S255" s="40">
        <f>_xll.qlDayCounterYearFraction(DayCounter,Q255,R255,,,Trigger)</f>
        <v>0.25277777777777777</v>
      </c>
      <c r="T255" s="41">
        <f>_xll.qlIndexFixing(Index,P255,,AllTriggers)</f>
        <v>-2.8377255096075587E-5</v>
      </c>
      <c r="U255" s="42">
        <f>_xll.qlYieldTSDiscount(OisCurve,Q255,,AllTriggers)</f>
        <v>1.0014091251579327</v>
      </c>
      <c r="V255" s="42">
        <f>_xll.qlYieldTSDiscount(OisCurve,R255,,AllTriggers)</f>
        <v>1.0018085796161509</v>
      </c>
      <c r="W255" s="41">
        <f t="shared" si="28"/>
        <v>-1.5774065298528636E-3</v>
      </c>
      <c r="X255" s="43">
        <f t="shared" si="29"/>
        <v>3.9163966732539253E-4</v>
      </c>
      <c r="Y255" s="41">
        <f t="shared" si="23"/>
        <v>1.549029274756788E-3</v>
      </c>
      <c r="Z255" s="62"/>
    </row>
    <row r="256" spans="15:26" x14ac:dyDescent="0.25">
      <c r="O256" s="43" t="s">
        <v>32</v>
      </c>
      <c r="P256" s="39">
        <f>_xll.qlCalendarAdvance(Calendar,P255,O255,"f",,Trigger)</f>
        <v>42478</v>
      </c>
      <c r="Q256" s="39">
        <f>_xll.qlInterestRateIndexValueDate(Index,P256,Trigger)</f>
        <v>42480</v>
      </c>
      <c r="R256" s="39">
        <f>_xll.qlInterestRateIndexMaturity(Index,Q256,Trigger)</f>
        <v>42571</v>
      </c>
      <c r="S256" s="40">
        <f>_xll.qlDayCounterYearFraction(DayCounter,Q256,R256,,,Trigger)</f>
        <v>0.25277777777777777</v>
      </c>
      <c r="T256" s="41">
        <f>_xll.qlIndexFixing(Index,P256,,AllTriggers)</f>
        <v>-2.8450126771363017E-5</v>
      </c>
      <c r="U256" s="42">
        <f>_xll.qlYieldTSDiscount(OisCurve,Q256,,AllTriggers)</f>
        <v>1.0014134991880963</v>
      </c>
      <c r="V256" s="42">
        <f>_xll.qlYieldTSDiscount(OisCurve,R256,,AllTriggers)</f>
        <v>1.0018129669345712</v>
      </c>
      <c r="W256" s="41">
        <f t="shared" si="28"/>
        <v>-1.5774520955864674E-3</v>
      </c>
      <c r="X256" s="43">
        <f t="shared" si="29"/>
        <v>3.9163276945237816E-4</v>
      </c>
      <c r="Y256" s="41">
        <f t="shared" si="23"/>
        <v>1.5490019688151042E-3</v>
      </c>
      <c r="Z256" s="62"/>
    </row>
    <row r="257" spans="15:26" x14ac:dyDescent="0.25">
      <c r="O257" s="43" t="s">
        <v>32</v>
      </c>
      <c r="P257" s="39">
        <f>_xll.qlCalendarAdvance(Calendar,P256,O256,"f",,Trigger)</f>
        <v>42479</v>
      </c>
      <c r="Q257" s="39">
        <f>_xll.qlInterestRateIndexValueDate(Index,P257,Trigger)</f>
        <v>42481</v>
      </c>
      <c r="R257" s="39">
        <f>_xll.qlInterestRateIndexMaturity(Index,Q257,Trigger)</f>
        <v>42572</v>
      </c>
      <c r="S257" s="40">
        <f>_xll.qlDayCounterYearFraction(DayCounter,Q257,R257,,,Trigger)</f>
        <v>0.25277777777777777</v>
      </c>
      <c r="T257" s="41">
        <f>_xll.qlIndexFixing(Index,P257,,AllTriggers)</f>
        <v>-2.8520244908154329E-5</v>
      </c>
      <c r="U257" s="42">
        <f>_xll.qlYieldTSDiscount(OisCurve,Q257,,AllTriggers)</f>
        <v>1.0014178691674933</v>
      </c>
      <c r="V257" s="42">
        <f>_xll.qlYieldTSDiscount(OisCurve,R257,,AllTriggers)</f>
        <v>1.0018173466523963</v>
      </c>
      <c r="W257" s="41">
        <f t="shared" si="28"/>
        <v>-1.5774836550865355E-3</v>
      </c>
      <c r="X257" s="43">
        <f t="shared" si="29"/>
        <v>3.9162302574047281E-4</v>
      </c>
      <c r="Y257" s="41">
        <f t="shared" si="23"/>
        <v>1.5489634101783813E-3</v>
      </c>
      <c r="Z257" s="62"/>
    </row>
    <row r="258" spans="15:26" x14ac:dyDescent="0.25">
      <c r="O258" s="43" t="s">
        <v>32</v>
      </c>
      <c r="P258" s="39">
        <f>_xll.qlCalendarAdvance(Calendar,P257,O257,"f",,Trigger)</f>
        <v>42480</v>
      </c>
      <c r="Q258" s="39">
        <f>_xll.qlInterestRateIndexValueDate(Index,P258,Trigger)</f>
        <v>42482</v>
      </c>
      <c r="R258" s="39">
        <f>_xll.qlInterestRateIndexMaturity(Index,Q258,Trigger)</f>
        <v>42573</v>
      </c>
      <c r="S258" s="40">
        <f>_xll.qlDayCounterYearFraction(DayCounter,Q258,R258,,,Trigger)</f>
        <v>0.25277777777777777</v>
      </c>
      <c r="T258" s="41">
        <f>_xll.qlIndexFixing(Index,P258,,AllTriggers)</f>
        <v>-2.8587509679928852E-5</v>
      </c>
      <c r="U258" s="42">
        <f>_xll.qlYieldTSDiscount(OisCurve,Q258,,AllTriggers)</f>
        <v>1.0014222351603446</v>
      </c>
      <c r="V258" s="42">
        <f>_xll.qlYieldTSDiscount(OisCurve,R258,,AllTriggers)</f>
        <v>1.0018217184334379</v>
      </c>
      <c r="W258" s="41">
        <f t="shared" si="28"/>
        <v>-1.5774996279109173E-3</v>
      </c>
      <c r="X258" s="43">
        <f t="shared" si="29"/>
        <v>3.9161006176409972E-4</v>
      </c>
      <c r="Y258" s="41">
        <f t="shared" si="23"/>
        <v>1.5489121182309883E-3</v>
      </c>
      <c r="Z258" s="62"/>
    </row>
    <row r="259" spans="15:26" x14ac:dyDescent="0.25">
      <c r="O259" s="45" t="s">
        <v>33</v>
      </c>
      <c r="P259" s="39">
        <f>_xll.qlCalendarAdvance(Calendar,P258,O258,"f",,Trigger)</f>
        <v>42481</v>
      </c>
      <c r="Q259" s="39">
        <f>_xll.qlInterestRateIndexValueDate(Index,P259,Trigger)</f>
        <v>42485</v>
      </c>
      <c r="R259" s="39">
        <f>_xll.qlInterestRateIndexMaturity(Index,Q259,Trigger)</f>
        <v>42576</v>
      </c>
      <c r="S259" s="40">
        <f>_xll.qlDayCounterYearFraction(DayCounter,Q259,R259,,,Trigger)</f>
        <v>0.25277777777777777</v>
      </c>
      <c r="T259" s="41">
        <f>_xll.qlIndexFixing(Index,P259,,AllTriggers)</f>
        <v>-2.8771185525451009E-5</v>
      </c>
      <c r="U259" s="42">
        <f>_xll.qlYieldTSDiscount(OisCurve,Q259,,AllTriggers)</f>
        <v>1.001435309861854</v>
      </c>
      <c r="V259" s="42">
        <f>_xll.qlYieldTSDiscount(OisCurve,R259,,AllTriggers)</f>
        <v>1.0018347827938854</v>
      </c>
      <c r="W259" s="41">
        <f t="shared" ref="W259" si="30">(U259/V259-1)/S259</f>
        <v>-1.5774382218579277E-3</v>
      </c>
      <c r="X259" s="43">
        <f t="shared" ref="X259" si="31">LN((1+T259*S259)/(1+W259*S259))</f>
        <v>3.9154810397784405E-4</v>
      </c>
      <c r="Y259" s="41">
        <f t="shared" si="23"/>
        <v>1.5486670363324766E-3</v>
      </c>
      <c r="Z259" s="62"/>
    </row>
    <row r="260" spans="15:26" x14ac:dyDescent="0.25">
      <c r="O260" s="45" t="s">
        <v>33</v>
      </c>
      <c r="P260" s="39">
        <f>_xll.qlCalendarAdvance(Calendar,P259,O259,"f",,Trigger)</f>
        <v>42488</v>
      </c>
      <c r="Q260" s="39">
        <f>_xll.qlInterestRateIndexValueDate(Index,P260,Trigger)</f>
        <v>42492</v>
      </c>
      <c r="R260" s="39">
        <f>_xll.qlInterestRateIndexMaturity(Index,Q260,Trigger)</f>
        <v>42584</v>
      </c>
      <c r="S260" s="40">
        <f>_xll.qlDayCounterYearFraction(DayCounter,Q260,R260,,,Trigger)</f>
        <v>0.25555555555555554</v>
      </c>
      <c r="T260" s="41">
        <f>_xll.qlIndexFixing(Index,P260,,AllTriggers)</f>
        <v>-2.9081161670948013E-5</v>
      </c>
      <c r="U260" s="42">
        <f>_xll.qlYieldTSDiscount(OisCurve,Q260,,AllTriggers)</f>
        <v>1.0014656936359652</v>
      </c>
      <c r="V260" s="42">
        <f>_xll.qlYieldTSDiscount(OisCurve,R260,,AllTriggers)</f>
        <v>1.0018692327421868</v>
      </c>
      <c r="W260" s="41">
        <f t="shared" ref="W260:W323" si="32">(U260/V260-1)/S260</f>
        <v>-1.5761199328394014E-3</v>
      </c>
      <c r="X260" s="43">
        <f t="shared" ref="X260:X323" si="33">LN((1+T260*S260)/(1+W260*S260))</f>
        <v>3.954354651679426E-4</v>
      </c>
      <c r="Y260" s="41">
        <f t="shared" ref="Y260:Y323" si="34">T260-W260</f>
        <v>1.5470387711684535E-3</v>
      </c>
      <c r="Z260" s="62"/>
    </row>
    <row r="261" spans="15:26" x14ac:dyDescent="0.25">
      <c r="O261" s="45" t="s">
        <v>33</v>
      </c>
      <c r="P261" s="39">
        <f>_xll.qlCalendarAdvance(Calendar,P260,O260,"f",,Trigger)</f>
        <v>42495</v>
      </c>
      <c r="Q261" s="39">
        <f>_xll.qlInterestRateIndexValueDate(Index,P261,Trigger)</f>
        <v>42499</v>
      </c>
      <c r="R261" s="39">
        <f>_xll.qlInterestRateIndexMaturity(Index,Q261,Trigger)</f>
        <v>42591</v>
      </c>
      <c r="S261" s="40">
        <f>_xll.qlDayCounterYearFraction(DayCounter,Q261,R261,,,Trigger)</f>
        <v>0.25555555555555554</v>
      </c>
      <c r="T261" s="41">
        <f>_xll.qlIndexFixing(Index,P261,,AllTriggers)</f>
        <v>-2.9173187290681245E-5</v>
      </c>
      <c r="U261" s="42">
        <f>_xll.qlYieldTSDiscount(OisCurve,Q261,,AllTriggers)</f>
        <v>1.0014959601742239</v>
      </c>
      <c r="V261" s="42">
        <f>_xll.qlYieldTSDiscount(OisCurve,R261,,AllTriggers)</f>
        <v>1.0018989646799255</v>
      </c>
      <c r="W261" s="41">
        <f t="shared" si="32"/>
        <v>-1.5739852104236086E-3</v>
      </c>
      <c r="X261" s="43">
        <f t="shared" si="33"/>
        <v>3.9486618748592268E-4</v>
      </c>
      <c r="Y261" s="41">
        <f t="shared" si="34"/>
        <v>1.5448120231329274E-3</v>
      </c>
      <c r="Z261" s="62"/>
    </row>
    <row r="262" spans="15:26" x14ac:dyDescent="0.25">
      <c r="O262" s="45" t="s">
        <v>33</v>
      </c>
      <c r="P262" s="39">
        <f>_xll.qlCalendarAdvance(Calendar,P261,O261,"f",,Trigger)</f>
        <v>42502</v>
      </c>
      <c r="Q262" s="39">
        <f>_xll.qlInterestRateIndexValueDate(Index,P262,Trigger)</f>
        <v>42506</v>
      </c>
      <c r="R262" s="39">
        <f>_xll.qlInterestRateIndexMaturity(Index,Q262,Trigger)</f>
        <v>42598</v>
      </c>
      <c r="S262" s="40">
        <f>_xll.qlDayCounterYearFraction(DayCounter,Q262,R262,,,Trigger)</f>
        <v>0.25555555555555554</v>
      </c>
      <c r="T262" s="41">
        <f>_xll.qlIndexFixing(Index,P262,,AllTriggers)</f>
        <v>-2.9033104677346067E-5</v>
      </c>
      <c r="U262" s="42">
        <f>_xll.qlYieldTSDiscount(OisCurve,Q262,,AllTriggers)</f>
        <v>1.0015261918308995</v>
      </c>
      <c r="V262" s="42">
        <f>_xll.qlYieldTSDiscount(OisCurve,R262,,AllTriggers)</f>
        <v>1.0019283797278926</v>
      </c>
      <c r="W262" s="41">
        <f t="shared" si="32"/>
        <v>-1.5707497254362878E-3</v>
      </c>
      <c r="X262" s="43">
        <f t="shared" si="33"/>
        <v>3.9407480809595827E-4</v>
      </c>
      <c r="Y262" s="41">
        <f t="shared" si="34"/>
        <v>1.5417166207589417E-3</v>
      </c>
      <c r="Z262" s="62"/>
    </row>
    <row r="263" spans="15:26" x14ac:dyDescent="0.25">
      <c r="O263" s="45" t="s">
        <v>33</v>
      </c>
      <c r="P263" s="39">
        <f>_xll.qlCalendarAdvance(Calendar,P262,O262,"f",,Trigger)</f>
        <v>42509</v>
      </c>
      <c r="Q263" s="39">
        <f>_xll.qlInterestRateIndexValueDate(Index,P263,Trigger)</f>
        <v>42513</v>
      </c>
      <c r="R263" s="39">
        <f>_xll.qlInterestRateIndexMaturity(Index,Q263,Trigger)</f>
        <v>42605</v>
      </c>
      <c r="S263" s="40">
        <f>_xll.qlDayCounterYearFraction(DayCounter,Q263,R263,,,Trigger)</f>
        <v>0.25555555555555554</v>
      </c>
      <c r="T263" s="41">
        <f>_xll.qlIndexFixing(Index,P263,,AllTriggers)</f>
        <v>-2.8627045077054078E-5</v>
      </c>
      <c r="U263" s="42">
        <f>_xll.qlYieldTSDiscount(OisCurve,Q263,,AllTriggers)</f>
        <v>1.00155647120561</v>
      </c>
      <c r="V263" s="42">
        <f>_xll.qlYieldTSDiscount(OisCurve,R263,,AllTriggers)</f>
        <v>1.0019575422555795</v>
      </c>
      <c r="W263" s="41">
        <f t="shared" si="32"/>
        <v>-1.5663422752123708E-3</v>
      </c>
      <c r="X263" s="43">
        <f t="shared" si="33"/>
        <v>3.9305177957812563E-4</v>
      </c>
      <c r="Y263" s="41">
        <f t="shared" si="34"/>
        <v>1.5377152301353167E-3</v>
      </c>
      <c r="Z263" s="62"/>
    </row>
    <row r="264" spans="15:26" x14ac:dyDescent="0.25">
      <c r="O264" s="45" t="s">
        <v>33</v>
      </c>
      <c r="P264" s="39">
        <f>_xll.qlCalendarAdvance(Calendar,P263,O263,"f",,Trigger)</f>
        <v>42516</v>
      </c>
      <c r="Q264" s="39">
        <f>_xll.qlInterestRateIndexValueDate(Index,P264,Trigger)</f>
        <v>42520</v>
      </c>
      <c r="R264" s="39">
        <f>_xll.qlInterestRateIndexMaturity(Index,Q264,Trigger)</f>
        <v>42612</v>
      </c>
      <c r="S264" s="40">
        <f>_xll.qlDayCounterYearFraction(DayCounter,Q264,R264,,,Trigger)</f>
        <v>0.25555555555555554</v>
      </c>
      <c r="T264" s="41">
        <f>_xll.qlIndexFixing(Index,P264,,AllTriggers)</f>
        <v>-2.7921139670317178E-5</v>
      </c>
      <c r="U264" s="42">
        <f>_xll.qlYieldTSDiscount(OisCurve,Q264,,AllTriggers)</f>
        <v>1.0015868809079695</v>
      </c>
      <c r="V264" s="42">
        <f>_xll.qlYieldTSDiscount(OisCurve,R264,,AllTriggers)</f>
        <v>1.0019865166402027</v>
      </c>
      <c r="W264" s="41">
        <f t="shared" si="32"/>
        <v>-1.5606916557504666E-3</v>
      </c>
      <c r="X264" s="43">
        <f t="shared" si="33"/>
        <v>3.9178755451210344E-4</v>
      </c>
      <c r="Y264" s="41">
        <f t="shared" si="34"/>
        <v>1.5327705160801495E-3</v>
      </c>
      <c r="Z264" s="62"/>
    </row>
    <row r="265" spans="15:26" x14ac:dyDescent="0.25">
      <c r="O265" s="45" t="s">
        <v>33</v>
      </c>
      <c r="P265" s="39">
        <f>_xll.qlCalendarAdvance(Calendar,P264,O264,"f",,Trigger)</f>
        <v>42523</v>
      </c>
      <c r="Q265" s="39">
        <f>_xll.qlInterestRateIndexValueDate(Index,P265,Trigger)</f>
        <v>42527</v>
      </c>
      <c r="R265" s="39">
        <f>_xll.qlInterestRateIndexMaturity(Index,Q265,Trigger)</f>
        <v>42619</v>
      </c>
      <c r="S265" s="40">
        <f>_xll.qlDayCounterYearFraction(DayCounter,Q265,R265,,,Trigger)</f>
        <v>0.25555555555555554</v>
      </c>
      <c r="T265" s="41">
        <f>_xll.qlIndexFixing(Index,P265,,AllTriggers)</f>
        <v>-2.6881519550325809E-5</v>
      </c>
      <c r="U265" s="42">
        <f>_xll.qlYieldTSDiscount(OisCurve,Q265,,AllTriggers)</f>
        <v>1.0016175035576598</v>
      </c>
      <c r="V265" s="42">
        <f>_xll.qlYieldTSDiscount(OisCurve,R265,,AllTriggers)</f>
        <v>1.0020153672665613</v>
      </c>
      <c r="W265" s="41">
        <f t="shared" si="32"/>
        <v>-1.5537266614986862E-3</v>
      </c>
      <c r="X265" s="43">
        <f t="shared" si="33"/>
        <v>3.9027258547812902E-4</v>
      </c>
      <c r="Y265" s="41">
        <f t="shared" si="34"/>
        <v>1.5268451419483604E-3</v>
      </c>
      <c r="Z265" s="62"/>
    </row>
    <row r="266" spans="15:26" x14ac:dyDescent="0.25">
      <c r="O266" s="45" t="s">
        <v>33</v>
      </c>
      <c r="P266" s="39">
        <f>_xll.qlCalendarAdvance(Calendar,P265,O265,"f",,Trigger)</f>
        <v>42530</v>
      </c>
      <c r="Q266" s="39">
        <f>_xll.qlInterestRateIndexValueDate(Index,P266,Trigger)</f>
        <v>42534</v>
      </c>
      <c r="R266" s="39">
        <f>_xll.qlInterestRateIndexMaturity(Index,Q266,Trigger)</f>
        <v>42626</v>
      </c>
      <c r="S266" s="40">
        <f>_xll.qlDayCounterYearFraction(DayCounter,Q266,R266,,,Trigger)</f>
        <v>0.25555555555555554</v>
      </c>
      <c r="T266" s="41">
        <f>_xll.qlIndexFixing(Index,P266,,AllTriggers)</f>
        <v>-2.5474315694710682E-5</v>
      </c>
      <c r="U266" s="42">
        <f>_xll.qlYieldTSDiscount(OisCurve,Q266,,AllTriggers)</f>
        <v>1.0016484097662881</v>
      </c>
      <c r="V266" s="42">
        <f>_xll.qlYieldTSDiscount(OisCurve,R266,,AllTriggers)</f>
        <v>1.0020441585269382</v>
      </c>
      <c r="W266" s="41">
        <f t="shared" si="32"/>
        <v>-1.5454230172530082E-3</v>
      </c>
      <c r="X266" s="43">
        <f t="shared" si="33"/>
        <v>3.8850932356180586E-4</v>
      </c>
      <c r="Y266" s="41">
        <f t="shared" si="34"/>
        <v>1.5199487015582975E-3</v>
      </c>
      <c r="Z266" s="62"/>
    </row>
    <row r="267" spans="15:26" x14ac:dyDescent="0.25">
      <c r="O267" s="45" t="s">
        <v>33</v>
      </c>
      <c r="P267" s="39">
        <f>_xll.qlCalendarAdvance(Calendar,P266,O266,"f",,Trigger)</f>
        <v>42537</v>
      </c>
      <c r="Q267" s="39">
        <f>_xll.qlInterestRateIndexValueDate(Index,P267,Trigger)</f>
        <v>42541</v>
      </c>
      <c r="R267" s="39">
        <f>_xll.qlInterestRateIndexMaturity(Index,Q267,Trigger)</f>
        <v>42633</v>
      </c>
      <c r="S267" s="40">
        <f>_xll.qlDayCounterYearFraction(DayCounter,Q267,R267,,,Trigger)</f>
        <v>0.25555555555555554</v>
      </c>
      <c r="T267" s="41">
        <f>_xll.qlIndexFixing(Index,P267,,AllTriggers)</f>
        <v>-2.3724201687517262E-5</v>
      </c>
      <c r="U267" s="42">
        <f>_xll.qlYieldTSDiscount(OisCurve,Q267,,AllTriggers)</f>
        <v>1.0016795520830823</v>
      </c>
      <c r="V267" s="42">
        <f>_xll.qlYieldTSDiscount(OisCurve,R267,,AllTriggers)</f>
        <v>1.0020729548210401</v>
      </c>
      <c r="W267" s="41">
        <f t="shared" si="32"/>
        <v>-1.5362175086050414E-3</v>
      </c>
      <c r="X267" s="43">
        <f t="shared" si="33"/>
        <v>3.8660313214923178E-4</v>
      </c>
      <c r="Y267" s="41">
        <f t="shared" si="34"/>
        <v>1.5124933069175241E-3</v>
      </c>
      <c r="Z267" s="62"/>
    </row>
    <row r="268" spans="15:26" x14ac:dyDescent="0.25">
      <c r="O268" s="45" t="s">
        <v>33</v>
      </c>
      <c r="P268" s="39">
        <f>_xll.qlCalendarAdvance(Calendar,P267,O267,"f",,Trigger)</f>
        <v>42544</v>
      </c>
      <c r="Q268" s="39">
        <f>_xll.qlInterestRateIndexValueDate(Index,P268,Trigger)</f>
        <v>42548</v>
      </c>
      <c r="R268" s="39">
        <f>_xll.qlInterestRateIndexMaturity(Index,Q268,Trigger)</f>
        <v>42640</v>
      </c>
      <c r="S268" s="40">
        <f>_xll.qlDayCounterYearFraction(DayCounter,Q268,R268,,,Trigger)</f>
        <v>0.25555555555555554</v>
      </c>
      <c r="T268" s="41">
        <f>_xll.qlIndexFixing(Index,P268,,AllTriggers)</f>
        <v>-2.1714106425973082E-5</v>
      </c>
      <c r="U268" s="42">
        <f>_xll.qlYieldTSDiscount(OisCurve,Q268,,AllTriggers)</f>
        <v>1.0017108160334298</v>
      </c>
      <c r="V268" s="42">
        <f>_xll.qlYieldTSDiscount(OisCurve,R268,,AllTriggers)</f>
        <v>1.0021018205559802</v>
      </c>
      <c r="W268" s="41">
        <f t="shared" si="32"/>
        <v>-1.5268086191952777E-3</v>
      </c>
      <c r="X268" s="43">
        <f t="shared" si="33"/>
        <v>3.8471139072727257E-4</v>
      </c>
      <c r="Y268" s="41">
        <f t="shared" si="34"/>
        <v>1.5050945127693047E-3</v>
      </c>
      <c r="Z268" s="62"/>
    </row>
    <row r="269" spans="15:26" x14ac:dyDescent="0.25">
      <c r="O269" s="45" t="s">
        <v>33</v>
      </c>
      <c r="P269" s="39">
        <f>_xll.qlCalendarAdvance(Calendar,P268,O268,"f",,Trigger)</f>
        <v>42551</v>
      </c>
      <c r="Q269" s="39">
        <f>_xll.qlInterestRateIndexValueDate(Index,P269,Trigger)</f>
        <v>42555</v>
      </c>
      <c r="R269" s="39">
        <f>_xll.qlInterestRateIndexMaturity(Index,Q269,Trigger)</f>
        <v>42647</v>
      </c>
      <c r="S269" s="40">
        <f>_xll.qlDayCounterYearFraction(DayCounter,Q269,R269,,,Trigger)</f>
        <v>0.25555555555555554</v>
      </c>
      <c r="T269" s="41">
        <f>_xll.qlIndexFixing(Index,P269,,AllTriggers)</f>
        <v>-1.9437396164785927E-5</v>
      </c>
      <c r="U269" s="42">
        <f>_xll.qlYieldTSDiscount(OisCurve,Q269,,AllTriggers)</f>
        <v>1.0017420863592663</v>
      </c>
      <c r="V269" s="42">
        <f>_xll.qlYieldTSDiscount(OisCurve,R269,,AllTriggers)</f>
        <v>1.0021308201463028</v>
      </c>
      <c r="W269" s="41">
        <f t="shared" si="32"/>
        <v>-1.5178978428393611E-3</v>
      </c>
      <c r="X269" s="43">
        <f t="shared" si="33"/>
        <v>3.8301513506085172E-4</v>
      </c>
      <c r="Y269" s="41">
        <f t="shared" si="34"/>
        <v>1.4984604466745752E-3</v>
      </c>
      <c r="Z269" s="62"/>
    </row>
    <row r="270" spans="15:26" x14ac:dyDescent="0.25">
      <c r="O270" s="45" t="s">
        <v>33</v>
      </c>
      <c r="P270" s="39">
        <f>_xll.qlCalendarAdvance(Calendar,P269,O269,"f",,Trigger)</f>
        <v>42558</v>
      </c>
      <c r="Q270" s="39">
        <f>_xll.qlInterestRateIndexValueDate(Index,P270,Trigger)</f>
        <v>42562</v>
      </c>
      <c r="R270" s="39">
        <f>_xll.qlInterestRateIndexMaturity(Index,Q270,Trigger)</f>
        <v>42654</v>
      </c>
      <c r="S270" s="40">
        <f>_xll.qlDayCounterYearFraction(DayCounter,Q270,R270,,,Trigger)</f>
        <v>0.25555555555555554</v>
      </c>
      <c r="T270" s="41">
        <f>_xll.qlIndexFixing(Index,P270,,AllTriggers)</f>
        <v>-1.6891959494213108E-5</v>
      </c>
      <c r="U270" s="42">
        <f>_xll.qlYieldTSDiscount(OisCurve,Q270,,AllTriggers)</f>
        <v>1.00177324778815</v>
      </c>
      <c r="V270" s="42">
        <f>_xll.qlYieldTSDiscount(OisCurve,R270,,AllTriggers)</f>
        <v>1.0021600180140477</v>
      </c>
      <c r="W270" s="41">
        <f t="shared" si="32"/>
        <v>-1.5101866796018511E-3</v>
      </c>
      <c r="X270" s="43">
        <f t="shared" si="33"/>
        <v>3.8169424518267854E-4</v>
      </c>
      <c r="Y270" s="41">
        <f t="shared" si="34"/>
        <v>1.4932947201076381E-3</v>
      </c>
      <c r="Z270" s="62"/>
    </row>
    <row r="271" spans="15:26" x14ac:dyDescent="0.25">
      <c r="O271" s="45" t="s">
        <v>33</v>
      </c>
      <c r="P271" s="39">
        <f>_xll.qlCalendarAdvance(Calendar,P270,O270,"f",,Trigger)</f>
        <v>42565</v>
      </c>
      <c r="Q271" s="39">
        <f>_xll.qlInterestRateIndexValueDate(Index,P271,Trigger)</f>
        <v>42569</v>
      </c>
      <c r="R271" s="39">
        <f>_xll.qlInterestRateIndexMaturity(Index,Q271,Trigger)</f>
        <v>42661</v>
      </c>
      <c r="S271" s="40">
        <f>_xll.qlDayCounterYearFraction(DayCounter,Q271,R271,,,Trigger)</f>
        <v>0.25555555555555554</v>
      </c>
      <c r="T271" s="41">
        <f>_xll.qlIndexFixing(Index,P271,,AllTriggers)</f>
        <v>-1.4075684944994309E-5</v>
      </c>
      <c r="U271" s="42">
        <f>_xll.qlYieldTSDiscount(OisCurve,Q271,,AllTriggers)</f>
        <v>1.0018041850333192</v>
      </c>
      <c r="V271" s="42">
        <f>_xll.qlYieldTSDiscount(OisCurve,R271,,AllTriggers)</f>
        <v>1.0021894785888579</v>
      </c>
      <c r="W271" s="41">
        <f t="shared" si="32"/>
        <v>-1.5043766342861243E-3</v>
      </c>
      <c r="X271" s="43">
        <f t="shared" si="33"/>
        <v>3.8092860112659598E-4</v>
      </c>
      <c r="Y271" s="41">
        <f t="shared" si="34"/>
        <v>1.49030094934113E-3</v>
      </c>
      <c r="Z271" s="62"/>
    </row>
    <row r="272" spans="15:26" x14ac:dyDescent="0.25">
      <c r="O272" s="45" t="s">
        <v>33</v>
      </c>
      <c r="P272" s="39">
        <f>_xll.qlCalendarAdvance(Calendar,P271,O271,"f",,Trigger)</f>
        <v>42572</v>
      </c>
      <c r="Q272" s="39">
        <f>_xll.qlInterestRateIndexValueDate(Index,P272,Trigger)</f>
        <v>42576</v>
      </c>
      <c r="R272" s="39">
        <f>_xll.qlInterestRateIndexMaturity(Index,Q272,Trigger)</f>
        <v>42668</v>
      </c>
      <c r="S272" s="40">
        <f>_xll.qlDayCounterYearFraction(DayCounter,Q272,R272,,,Trigger)</f>
        <v>0.25555555555555554</v>
      </c>
      <c r="T272" s="41">
        <f>_xll.qlIndexFixing(Index,P272,,AllTriggers)</f>
        <v>-1.098646098444171E-5</v>
      </c>
      <c r="U272" s="42">
        <f>_xll.qlYieldTSDiscount(OisCurve,Q272,,AllTriggers)</f>
        <v>1.0018347827938854</v>
      </c>
      <c r="V272" s="42">
        <f>_xll.qlYieldTSDiscount(OisCurve,R272,,AllTriggers)</f>
        <v>1.002219266240522</v>
      </c>
      <c r="W272" s="41">
        <f t="shared" si="32"/>
        <v>-1.5011689497894086E-3</v>
      </c>
      <c r="X272" s="43">
        <f t="shared" si="33"/>
        <v>3.808980154703899E-4</v>
      </c>
      <c r="Y272" s="41">
        <f t="shared" si="34"/>
        <v>1.4901824888049668E-3</v>
      </c>
      <c r="Z272" s="62"/>
    </row>
    <row r="273" spans="15:26" x14ac:dyDescent="0.25">
      <c r="O273" s="45" t="s">
        <v>33</v>
      </c>
      <c r="P273" s="39">
        <f>_xll.qlCalendarAdvance(Calendar,P272,O272,"f",,Trigger)</f>
        <v>42579</v>
      </c>
      <c r="Q273" s="39">
        <f>_xll.qlInterestRateIndexValueDate(Index,P273,Trigger)</f>
        <v>42583</v>
      </c>
      <c r="R273" s="39">
        <f>_xll.qlInterestRateIndexMaturity(Index,Q273,Trigger)</f>
        <v>42675</v>
      </c>
      <c r="S273" s="40">
        <f>_xll.qlDayCounterYearFraction(DayCounter,Q273,R273,,,Trigger)</f>
        <v>0.25555555555555554</v>
      </c>
      <c r="T273" s="41">
        <f>_xll.qlIndexFixing(Index,P273,,AllTriggers)</f>
        <v>-7.6221760155710836E-6</v>
      </c>
      <c r="U273" s="42">
        <f>_xll.qlYieldTSDiscount(OisCurve,Q273,,AllTriggers)</f>
        <v>1.0018649557009947</v>
      </c>
      <c r="V273" s="42">
        <f>_xll.qlYieldTSDiscount(OisCurve,R273,,AllTriggers)</f>
        <v>1.0022494110024571</v>
      </c>
      <c r="W273" s="41">
        <f t="shared" si="32"/>
        <v>-1.5010139128600272E-3</v>
      </c>
      <c r="X273" s="43">
        <f t="shared" si="33"/>
        <v>3.817181434757459E-4</v>
      </c>
      <c r="Y273" s="41">
        <f t="shared" si="34"/>
        <v>1.4933917368444561E-3</v>
      </c>
      <c r="Z273" s="62"/>
    </row>
    <row r="274" spans="15:26" x14ac:dyDescent="0.25">
      <c r="O274" s="45" t="s">
        <v>33</v>
      </c>
      <c r="P274" s="39">
        <f>_xll.qlCalendarAdvance(Calendar,P273,O273,"f",,Trigger)</f>
        <v>42586</v>
      </c>
      <c r="Q274" s="39">
        <f>_xll.qlInterestRateIndexValueDate(Index,P274,Trigger)</f>
        <v>42590</v>
      </c>
      <c r="R274" s="39">
        <f>_xll.qlInterestRateIndexMaturity(Index,Q274,Trigger)</f>
        <v>42682</v>
      </c>
      <c r="S274" s="40">
        <f>_xll.qlDayCounterYearFraction(DayCounter,Q274,R274,,,Trigger)</f>
        <v>0.25555555555555554</v>
      </c>
      <c r="T274" s="41">
        <f>_xll.qlIndexFixing(Index,P274,,AllTriggers)</f>
        <v>-3.9807183784051183E-6</v>
      </c>
      <c r="U274" s="42">
        <f>_xll.qlYieldTSDiscount(OisCurve,Q274,,AllTriggers)</f>
        <v>1.0018947381628944</v>
      </c>
      <c r="V274" s="42">
        <f>_xll.qlYieldTSDiscount(OisCurve,R274,,AllTriggers)</f>
        <v>1.002279852789318</v>
      </c>
      <c r="W274" s="41">
        <f t="shared" si="32"/>
        <v>-1.5035424219251956E-3</v>
      </c>
      <c r="X274" s="43">
        <f t="shared" si="33"/>
        <v>3.832951622955305E-4</v>
      </c>
      <c r="Y274" s="41">
        <f t="shared" si="34"/>
        <v>1.4995617035467904E-3</v>
      </c>
      <c r="Z274" s="62"/>
    </row>
    <row r="275" spans="15:26" x14ac:dyDescent="0.25">
      <c r="O275" s="45" t="s">
        <v>33</v>
      </c>
      <c r="P275" s="39">
        <f>_xll.qlCalendarAdvance(Calendar,P274,O274,"f",,Trigger)</f>
        <v>42593</v>
      </c>
      <c r="Q275" s="39">
        <f>_xll.qlInterestRateIndexValueDate(Index,P275,Trigger)</f>
        <v>42597</v>
      </c>
      <c r="R275" s="39">
        <f>_xll.qlInterestRateIndexMaturity(Index,Q275,Trigger)</f>
        <v>42689</v>
      </c>
      <c r="S275" s="40">
        <f>_xll.qlDayCounterYearFraction(DayCounter,Q275,R275,,,Trigger)</f>
        <v>0.25555555555555554</v>
      </c>
      <c r="T275" s="41">
        <f>_xll.qlIndexFixing(Index,P275,,AllTriggers)</f>
        <v>-5.9976344760191646E-8</v>
      </c>
      <c r="U275" s="42">
        <f>_xll.qlYieldTSDiscount(OisCurve,Q275,,AllTriggers)</f>
        <v>1.0019241945400221</v>
      </c>
      <c r="V275" s="42">
        <f>_xll.qlYieldTSDiscount(OisCurve,R275,,AllTriggers)</f>
        <v>1.0023105169047783</v>
      </c>
      <c r="W275" s="41">
        <f t="shared" si="32"/>
        <v>-1.5082114618372843E-3</v>
      </c>
      <c r="X275" s="43">
        <f t="shared" si="33"/>
        <v>3.8549078867185184E-4</v>
      </c>
      <c r="Y275" s="41">
        <f t="shared" si="34"/>
        <v>1.5081514854925241E-3</v>
      </c>
      <c r="Z275" s="62"/>
    </row>
    <row r="276" spans="15:26" x14ac:dyDescent="0.25">
      <c r="O276" s="45" t="s">
        <v>33</v>
      </c>
      <c r="P276" s="39">
        <f>_xll.qlCalendarAdvance(Calendar,P275,O275,"f",,Trigger)</f>
        <v>42600</v>
      </c>
      <c r="Q276" s="39">
        <f>_xll.qlInterestRateIndexValueDate(Index,P276,Trigger)</f>
        <v>42604</v>
      </c>
      <c r="R276" s="39">
        <f>_xll.qlInterestRateIndexMaturity(Index,Q276,Trigger)</f>
        <v>42696</v>
      </c>
      <c r="S276" s="40">
        <f>_xll.qlDayCounterYearFraction(DayCounter,Q276,R276,,,Trigger)</f>
        <v>0.25555555555555554</v>
      </c>
      <c r="T276" s="41">
        <f>_xll.qlIndexFixing(Index,P276,,AllTriggers)</f>
        <v>4.1421618804503231E-6</v>
      </c>
      <c r="U276" s="42">
        <f>_xll.qlYieldTSDiscount(OisCurve,Q276,,AllTriggers)</f>
        <v>1.0019533892007508</v>
      </c>
      <c r="V276" s="42">
        <f>_xll.qlYieldTSDiscount(OisCurve,R276,,AllTriggers)</f>
        <v>1.0023413286435547</v>
      </c>
      <c r="W276" s="41">
        <f t="shared" si="32"/>
        <v>-1.5144780158655822E-3</v>
      </c>
      <c r="X276" s="43">
        <f t="shared" si="33"/>
        <v>3.8816673934867393E-4</v>
      </c>
      <c r="Y276" s="41">
        <f t="shared" si="34"/>
        <v>1.5186201777460326E-3</v>
      </c>
      <c r="Z276" s="62"/>
    </row>
    <row r="277" spans="15:26" x14ac:dyDescent="0.25">
      <c r="O277" s="45" t="s">
        <v>33</v>
      </c>
      <c r="P277" s="39">
        <f>_xll.qlCalendarAdvance(Calendar,P276,O276,"f",,Trigger)</f>
        <v>42607</v>
      </c>
      <c r="Q277" s="39">
        <f>_xll.qlInterestRateIndexValueDate(Index,P277,Trigger)</f>
        <v>42611</v>
      </c>
      <c r="R277" s="39">
        <f>_xll.qlInterestRateIndexMaturity(Index,Q277,Trigger)</f>
        <v>42703</v>
      </c>
      <c r="S277" s="40">
        <f>_xll.qlDayCounterYearFraction(DayCounter,Q277,R277,,,Trigger)</f>
        <v>0.25555555555555554</v>
      </c>
      <c r="T277" s="41">
        <f>_xll.qlIndexFixing(Index,P277,,AllTriggers)</f>
        <v>8.6278081609537995E-6</v>
      </c>
      <c r="U277" s="42">
        <f>_xll.qlYieldTSDiscount(OisCurve,Q277,,AllTriggers)</f>
        <v>1.0019823865212034</v>
      </c>
      <c r="V277" s="42">
        <f>_xll.qlYieldTSDiscount(OisCurve,R277,,AllTriggers)</f>
        <v>1.0023722132912687</v>
      </c>
      <c r="W277" s="41">
        <f t="shared" si="32"/>
        <v>-1.521799068279013E-3</v>
      </c>
      <c r="X277" s="43">
        <f t="shared" si="33"/>
        <v>3.911847310683147E-4</v>
      </c>
      <c r="Y277" s="41">
        <f t="shared" si="34"/>
        <v>1.5304268764399667E-3</v>
      </c>
      <c r="Z277" s="62"/>
    </row>
    <row r="278" spans="15:26" x14ac:dyDescent="0.25">
      <c r="O278" s="45" t="s">
        <v>33</v>
      </c>
      <c r="P278" s="39">
        <f>_xll.qlCalendarAdvance(Calendar,P277,O277,"f",,Trigger)</f>
        <v>42614</v>
      </c>
      <c r="Q278" s="39">
        <f>_xll.qlInterestRateIndexValueDate(Index,P278,Trigger)</f>
        <v>42618</v>
      </c>
      <c r="R278" s="39">
        <f>_xll.qlInterestRateIndexMaturity(Index,Q278,Trigger)</f>
        <v>42709</v>
      </c>
      <c r="S278" s="40">
        <f>_xll.qlDayCounterYearFraction(DayCounter,Q278,R278,,,Trigger)</f>
        <v>0.25277777777777777</v>
      </c>
      <c r="T278" s="41">
        <f>_xll.qlIndexFixing(Index,P278,,AllTriggers)</f>
        <v>1.2981539188660574E-5</v>
      </c>
      <c r="U278" s="42">
        <f>_xll.qlYieldTSDiscount(OisCurve,Q278,,AllTriggers)</f>
        <v>1.0020112508851033</v>
      </c>
      <c r="V278" s="42">
        <f>_xll.qlYieldTSDiscount(OisCurve,R278,,AllTriggers)</f>
        <v>1.0023986872345003</v>
      </c>
      <c r="W278" s="41">
        <f t="shared" si="32"/>
        <v>-1.5290475216128147E-3</v>
      </c>
      <c r="X278" s="43">
        <f t="shared" si="33"/>
        <v>3.8986538782088699E-4</v>
      </c>
      <c r="Y278" s="41">
        <f t="shared" si="34"/>
        <v>1.5420290608014753E-3</v>
      </c>
      <c r="Z278" s="62"/>
    </row>
    <row r="279" spans="15:26" x14ac:dyDescent="0.25">
      <c r="O279" s="45" t="s">
        <v>33</v>
      </c>
      <c r="P279" s="39">
        <f>_xll.qlCalendarAdvance(Calendar,P278,O278,"f",,Trigger)</f>
        <v>42621</v>
      </c>
      <c r="Q279" s="39">
        <f>_xll.qlInterestRateIndexValueDate(Index,P279,Trigger)</f>
        <v>42625</v>
      </c>
      <c r="R279" s="39">
        <f>_xll.qlInterestRateIndexMaturity(Index,Q279,Trigger)</f>
        <v>42716</v>
      </c>
      <c r="S279" s="40">
        <f>_xll.qlDayCounterYearFraction(DayCounter,Q279,R279,,,Trigger)</f>
        <v>0.25277777777777777</v>
      </c>
      <c r="T279" s="41">
        <f>_xll.qlIndexFixing(Index,P279,,AllTriggers)</f>
        <v>1.7998018447024882E-5</v>
      </c>
      <c r="U279" s="42">
        <f>_xll.qlYieldTSDiscount(OisCurve,Q279,,AllTriggers)</f>
        <v>1.0020400466836685</v>
      </c>
      <c r="V279" s="42">
        <f>_xll.qlYieldTSDiscount(OisCurve,R279,,AllTriggers)</f>
        <v>1.0024295090313784</v>
      </c>
      <c r="W279" s="41">
        <f t="shared" si="32"/>
        <v>-1.5369960210499145E-3</v>
      </c>
      <c r="X279" s="43">
        <f t="shared" si="33"/>
        <v>3.931434202555388E-4</v>
      </c>
      <c r="Y279" s="41">
        <f t="shared" si="34"/>
        <v>1.5549940394969394E-3</v>
      </c>
      <c r="Z279" s="62"/>
    </row>
    <row r="280" spans="15:26" x14ac:dyDescent="0.25">
      <c r="O280" s="45" t="s">
        <v>33</v>
      </c>
      <c r="P280" s="39">
        <f>_xll.qlCalendarAdvance(Calendar,P279,O279,"f",,Trigger)</f>
        <v>42628</v>
      </c>
      <c r="Q280" s="39">
        <f>_xll.qlInterestRateIndexValueDate(Index,P280,Trigger)</f>
        <v>42632</v>
      </c>
      <c r="R280" s="39">
        <f>_xll.qlInterestRateIndexMaturity(Index,Q280,Trigger)</f>
        <v>42723</v>
      </c>
      <c r="S280" s="40">
        <f>_xll.qlDayCounterYearFraction(DayCounter,Q280,R280,,,Trigger)</f>
        <v>0.25277777777777777</v>
      </c>
      <c r="T280" s="41">
        <f>_xll.qlIndexFixing(Index,P280,,AllTriggers)</f>
        <v>2.3359028911591035E-5</v>
      </c>
      <c r="U280" s="42">
        <f>_xll.qlYieldTSDiscount(OisCurve,Q280,,AllTriggers)</f>
        <v>1.0020688383155469</v>
      </c>
      <c r="V280" s="42">
        <f>_xll.qlYieldTSDiscount(OisCurve,R280,,AllTriggers)</f>
        <v>1.0024601902169195</v>
      </c>
      <c r="W280" s="41">
        <f t="shared" si="32"/>
        <v>-1.5444057920906155E-3</v>
      </c>
      <c r="X280" s="43">
        <f t="shared" si="33"/>
        <v>3.963723126848623E-4</v>
      </c>
      <c r="Y280" s="41">
        <f t="shared" si="34"/>
        <v>1.5677648210022065E-3</v>
      </c>
      <c r="Z280" s="62"/>
    </row>
    <row r="281" spans="15:26" x14ac:dyDescent="0.25">
      <c r="O281" s="45" t="s">
        <v>33</v>
      </c>
      <c r="P281" s="39">
        <f>_xll.qlCalendarAdvance(Calendar,P280,O280,"f",,Trigger)</f>
        <v>42635</v>
      </c>
      <c r="Q281" s="39">
        <f>_xll.qlInterestRateIndexValueDate(Index,P281,Trigger)</f>
        <v>42639</v>
      </c>
      <c r="R281" s="39">
        <f>_xll.qlInterestRateIndexMaturity(Index,Q281,Trigger)</f>
        <v>42731</v>
      </c>
      <c r="S281" s="40">
        <f>_xll.qlDayCounterYearFraction(DayCounter,Q281,R281,,,Trigger)</f>
        <v>0.25555555555555554</v>
      </c>
      <c r="T281" s="41">
        <f>_xll.qlIndexFixing(Index,P281,,AllTriggers)</f>
        <v>3.0452348308224913E-5</v>
      </c>
      <c r="U281" s="42">
        <f>_xll.qlYieldTSDiscount(OisCurve,Q281,,AllTriggers)</f>
        <v>1.0020976901867935</v>
      </c>
      <c r="V281" s="42">
        <f>_xll.qlYieldTSDiscount(OisCurve,R281,,AllTriggers)</f>
        <v>1.0024949863625352</v>
      </c>
      <c r="W281" s="41">
        <f t="shared" si="32"/>
        <v>-1.5507680642523616E-3</v>
      </c>
      <c r="X281" s="43">
        <f t="shared" si="33"/>
        <v>4.04168181235454E-4</v>
      </c>
      <c r="Y281" s="41">
        <f t="shared" si="34"/>
        <v>1.5812204125605865E-3</v>
      </c>
      <c r="Z281" s="62"/>
    </row>
    <row r="282" spans="15:26" x14ac:dyDescent="0.25">
      <c r="O282" s="45" t="s">
        <v>33</v>
      </c>
      <c r="P282" s="39">
        <f>_xll.qlCalendarAdvance(Calendar,P281,O281,"f",,Trigger)</f>
        <v>42642</v>
      </c>
      <c r="Q282" s="39">
        <f>_xll.qlInterestRateIndexValueDate(Index,P282,Trigger)</f>
        <v>42646</v>
      </c>
      <c r="R282" s="39">
        <f>_xll.qlInterestRateIndexMaturity(Index,Q282,Trigger)</f>
        <v>42738</v>
      </c>
      <c r="S282" s="40">
        <f>_xll.qlDayCounterYearFraction(DayCounter,Q282,R282,,,Trigger)</f>
        <v>0.25555555555555554</v>
      </c>
      <c r="T282" s="41">
        <f>_xll.qlIndexFixing(Index,P282,,AllTriggers)</f>
        <v>3.9112417497809843E-5</v>
      </c>
      <c r="U282" s="42">
        <f>_xll.qlYieldTSDiscount(OisCurve,Q282,,AllTriggers)</f>
        <v>1.0021266667108879</v>
      </c>
      <c r="V282" s="42">
        <f>_xll.qlYieldTSDiscount(OisCurve,R282,,AllTriggers)</f>
        <v>1.002516793559828</v>
      </c>
      <c r="W282" s="41">
        <f t="shared" si="32"/>
        <v>-1.5227508723510926E-3</v>
      </c>
      <c r="X282" s="43">
        <f t="shared" si="33"/>
        <v>3.9921852830187952E-4</v>
      </c>
      <c r="Y282" s="41">
        <f t="shared" si="34"/>
        <v>1.5618632898489024E-3</v>
      </c>
      <c r="Z282" s="62"/>
    </row>
    <row r="283" spans="15:26" x14ac:dyDescent="0.25">
      <c r="O283" s="45" t="s">
        <v>33</v>
      </c>
      <c r="P283" s="39">
        <f>_xll.qlCalendarAdvance(Calendar,P282,O282,"f",,Trigger)</f>
        <v>42649</v>
      </c>
      <c r="Q283" s="39">
        <f>_xll.qlInterestRateIndexValueDate(Index,P283,Trigger)</f>
        <v>42653</v>
      </c>
      <c r="R283" s="39">
        <f>_xll.qlInterestRateIndexMaturity(Index,Q283,Trigger)</f>
        <v>42745</v>
      </c>
      <c r="S283" s="40">
        <f>_xll.qlDayCounterYearFraction(DayCounter,Q283,R283,,,Trigger)</f>
        <v>0.25555555555555554</v>
      </c>
      <c r="T283" s="41">
        <f>_xll.qlIndexFixing(Index,P283,,AllTriggers)</f>
        <v>4.9684519582016627E-5</v>
      </c>
      <c r="U283" s="42">
        <f>_xll.qlYieldTSDiscount(OisCurve,Q283,,AllTriggers)</f>
        <v>1.0021558323087933</v>
      </c>
      <c r="V283" s="42">
        <f>_xll.qlYieldTSDiscount(OisCurve,R283,,AllTriggers)</f>
        <v>1.0025465458995819</v>
      </c>
      <c r="W283" s="41">
        <f t="shared" si="32"/>
        <v>-1.524995796510703E-3</v>
      </c>
      <c r="X283" s="43">
        <f t="shared" si="33"/>
        <v>4.0249418341631581E-4</v>
      </c>
      <c r="Y283" s="41">
        <f t="shared" si="34"/>
        <v>1.5746803160927197E-3</v>
      </c>
      <c r="Z283" s="62"/>
    </row>
    <row r="284" spans="15:26" x14ac:dyDescent="0.25">
      <c r="O284" s="45" t="s">
        <v>33</v>
      </c>
      <c r="P284" s="39">
        <f>_xll.qlCalendarAdvance(Calendar,P283,O283,"f",,Trigger)</f>
        <v>42656</v>
      </c>
      <c r="Q284" s="39">
        <f>_xll.qlInterestRateIndexValueDate(Index,P284,Trigger)</f>
        <v>42660</v>
      </c>
      <c r="R284" s="39">
        <f>_xll.qlInterestRateIndexMaturity(Index,Q284,Trigger)</f>
        <v>42752</v>
      </c>
      <c r="S284" s="40">
        <f>_xll.qlDayCounterYearFraction(DayCounter,Q284,R284,,,Trigger)</f>
        <v>0.25555555555555554</v>
      </c>
      <c r="T284" s="41">
        <f>_xll.qlIndexFixing(Index,P284,,AllTriggers)</f>
        <v>6.1991730780002101E-5</v>
      </c>
      <c r="U284" s="42">
        <f>_xll.qlYieldTSDiscount(OisCurve,Q284,,AllTriggers)</f>
        <v>1.0021852514090588</v>
      </c>
      <c r="V284" s="42">
        <f>_xll.qlYieldTSDiscount(OisCurve,R284,,AllTriggers)</f>
        <v>1.0025758478968028</v>
      </c>
      <c r="W284" s="41">
        <f t="shared" si="32"/>
        <v>-1.5244941738868296E-3</v>
      </c>
      <c r="X284" s="43">
        <f t="shared" si="33"/>
        <v>4.0551107231213041E-4</v>
      </c>
      <c r="Y284" s="41">
        <f t="shared" si="34"/>
        <v>1.5864859046668316E-3</v>
      </c>
      <c r="Z284" s="62"/>
    </row>
    <row r="285" spans="15:26" x14ac:dyDescent="0.25">
      <c r="O285" s="45" t="s">
        <v>33</v>
      </c>
      <c r="P285" s="39">
        <f>_xll.qlCalendarAdvance(Calendar,P284,O284,"f",,Trigger)</f>
        <v>42663</v>
      </c>
      <c r="Q285" s="39">
        <f>_xll.qlInterestRateIndexValueDate(Index,P285,Trigger)</f>
        <v>42667</v>
      </c>
      <c r="R285" s="39">
        <f>_xll.qlInterestRateIndexMaturity(Index,Q285,Trigger)</f>
        <v>42759</v>
      </c>
      <c r="S285" s="40">
        <f>_xll.qlDayCounterYearFraction(DayCounter,Q285,R285,,,Trigger)</f>
        <v>0.25555555555555554</v>
      </c>
      <c r="T285" s="41">
        <f>_xll.qlIndexFixing(Index,P285,,AllTriggers)</f>
        <v>7.5857127557682247E-5</v>
      </c>
      <c r="U285" s="42">
        <f>_xll.qlYieldTSDiscount(OisCurve,Q285,,AllTriggers)</f>
        <v>1.0022149884479599</v>
      </c>
      <c r="V285" s="42">
        <f>_xll.qlYieldTSDiscount(OisCurve,R285,,AllTriggers)</f>
        <v>1.00260462476669</v>
      </c>
      <c r="W285" s="41">
        <f t="shared" si="32"/>
        <v>-1.5207029952162665E-3</v>
      </c>
      <c r="X285" s="43">
        <f t="shared" si="33"/>
        <v>4.080851551681415E-4</v>
      </c>
      <c r="Y285" s="41">
        <f t="shared" si="34"/>
        <v>1.5965601227739487E-3</v>
      </c>
      <c r="Z285" s="62"/>
    </row>
    <row r="286" spans="15:26" x14ac:dyDescent="0.25">
      <c r="O286" s="45" t="s">
        <v>33</v>
      </c>
      <c r="P286" s="39">
        <f>_xll.qlCalendarAdvance(Calendar,P285,O285,"f",,Trigger)</f>
        <v>42670</v>
      </c>
      <c r="Q286" s="39">
        <f>_xll.qlInterestRateIndexValueDate(Index,P286,Trigger)</f>
        <v>42674</v>
      </c>
      <c r="R286" s="39">
        <f>_xll.qlInterestRateIndexMaturity(Index,Q286,Trigger)</f>
        <v>42766</v>
      </c>
      <c r="S286" s="40">
        <f>_xll.qlDayCounterYearFraction(DayCounter,Q286,R286,,,Trigger)</f>
        <v>0.25555555555555554</v>
      </c>
      <c r="T286" s="41">
        <f>_xll.qlIndexFixing(Index,P286,,AllTriggers)</f>
        <v>9.110378588311039E-5</v>
      </c>
      <c r="U286" s="42">
        <f>_xll.qlYieldTSDiscount(OisCurve,Q286,,AllTriggers)</f>
        <v>1.0022450846806175</v>
      </c>
      <c r="V286" s="42">
        <f>_xll.qlYieldTSDiscount(OisCurve,R286,,AllTriggers)</f>
        <v>1.0026328184355862</v>
      </c>
      <c r="W286" s="41">
        <f t="shared" si="32"/>
        <v>-1.5132349682598647E-3</v>
      </c>
      <c r="X286" s="43">
        <f t="shared" si="33"/>
        <v>4.1007220435301686E-4</v>
      </c>
      <c r="Y286" s="41">
        <f t="shared" si="34"/>
        <v>1.6043387541429751E-3</v>
      </c>
      <c r="Z286" s="62"/>
    </row>
    <row r="287" spans="15:26" x14ac:dyDescent="0.25">
      <c r="O287" s="45" t="s">
        <v>33</v>
      </c>
      <c r="P287" s="39">
        <f>_xll.qlCalendarAdvance(Calendar,P286,O286,"f",,Trigger)</f>
        <v>42677</v>
      </c>
      <c r="Q287" s="39">
        <f>_xll.qlInterestRateIndexValueDate(Index,P287,Trigger)</f>
        <v>42681</v>
      </c>
      <c r="R287" s="39">
        <f>_xll.qlInterestRateIndexMaturity(Index,Q287,Trigger)</f>
        <v>42773</v>
      </c>
      <c r="S287" s="40">
        <f>_xll.qlDayCounterYearFraction(DayCounter,Q287,R287,,,Trigger)</f>
        <v>0.25555555555555554</v>
      </c>
      <c r="T287" s="41">
        <f>_xll.qlIndexFixing(Index,P287,,AllTriggers)</f>
        <v>1.0755478056266045E-4</v>
      </c>
      <c r="U287" s="42">
        <f>_xll.qlYieldTSDiscount(OisCurve,Q287,,AllTriggers)</f>
        <v>1.002275488608384</v>
      </c>
      <c r="V287" s="42">
        <f>_xll.qlYieldTSDiscount(OisCurve,R287,,AllTriggers)</f>
        <v>1.0026604377019854</v>
      </c>
      <c r="W287" s="41">
        <f t="shared" si="32"/>
        <v>-1.5023256962567167E-3</v>
      </c>
      <c r="X287" s="43">
        <f t="shared" si="33"/>
        <v>4.1148724099250057E-4</v>
      </c>
      <c r="Y287" s="41">
        <f t="shared" si="34"/>
        <v>1.6098804768193771E-3</v>
      </c>
      <c r="Z287" s="62"/>
    </row>
    <row r="288" spans="15:26" x14ac:dyDescent="0.25">
      <c r="O288" s="45" t="s">
        <v>33</v>
      </c>
      <c r="P288" s="39">
        <f>_xll.qlCalendarAdvance(Calendar,P287,O287,"f",,Trigger)</f>
        <v>42684</v>
      </c>
      <c r="Q288" s="39">
        <f>_xll.qlInterestRateIndexValueDate(Index,P288,Trigger)</f>
        <v>42688</v>
      </c>
      <c r="R288" s="39">
        <f>_xll.qlInterestRateIndexMaturity(Index,Q288,Trigger)</f>
        <v>42780</v>
      </c>
      <c r="S288" s="40">
        <f>_xll.qlDayCounterYearFraction(DayCounter,Q288,R288,,,Trigger)</f>
        <v>0.25555555555555554</v>
      </c>
      <c r="T288" s="41">
        <f>_xll.qlIndexFixing(Index,P288,,AllTriggers)</f>
        <v>1.2503318465627723E-4</v>
      </c>
      <c r="U288" s="42">
        <f>_xll.qlYieldTSDiscount(OisCurve,Q288,,AllTriggers)</f>
        <v>1.0023061255361978</v>
      </c>
      <c r="V288" s="42">
        <f>_xll.qlYieldTSDiscount(OisCurve,R288,,AllTriggers)</f>
        <v>1.0026875080862381</v>
      </c>
      <c r="W288" s="41">
        <f t="shared" si="32"/>
        <v>-1.4883665031452931E-3</v>
      </c>
      <c r="X288" s="43">
        <f t="shared" si="33"/>
        <v>4.1238509840331396E-4</v>
      </c>
      <c r="Y288" s="41">
        <f t="shared" si="34"/>
        <v>1.6133996878015702E-3</v>
      </c>
      <c r="Z288" s="62"/>
    </row>
    <row r="289" spans="15:26" x14ac:dyDescent="0.25">
      <c r="O289" s="45" t="s">
        <v>33</v>
      </c>
      <c r="P289" s="39">
        <f>_xll.qlCalendarAdvance(Calendar,P288,O288,"f",,Trigger)</f>
        <v>42691</v>
      </c>
      <c r="Q289" s="39">
        <f>_xll.qlInterestRateIndexValueDate(Index,P289,Trigger)</f>
        <v>42695</v>
      </c>
      <c r="R289" s="39">
        <f>_xll.qlInterestRateIndexMaturity(Index,Q289,Trigger)</f>
        <v>42787</v>
      </c>
      <c r="S289" s="40">
        <f>_xll.qlDayCounterYearFraction(DayCounter,Q289,R289,,,Trigger)</f>
        <v>0.25555555555555554</v>
      </c>
      <c r="T289" s="41">
        <f>_xll.qlIndexFixing(Index,P289,,AllTriggers)</f>
        <v>1.4336206897353173E-4</v>
      </c>
      <c r="U289" s="42">
        <f>_xll.qlYieldTSDiscount(OisCurve,Q289,,AllTriggers)</f>
        <v>1.0023369207600659</v>
      </c>
      <c r="V289" s="42">
        <f>_xll.qlYieldTSDiscount(OisCurve,R289,,AllTriggers)</f>
        <v>1.002714055112385</v>
      </c>
      <c r="W289" s="41">
        <f t="shared" si="32"/>
        <v>-1.4717487106580033E-3</v>
      </c>
      <c r="X289" s="43">
        <f t="shared" si="33"/>
        <v>4.1282060990004772E-4</v>
      </c>
      <c r="Y289" s="41">
        <f t="shared" si="34"/>
        <v>1.615110779631535E-3</v>
      </c>
      <c r="Z289" s="62"/>
    </row>
    <row r="290" spans="15:26" x14ac:dyDescent="0.25">
      <c r="O290" s="45" t="s">
        <v>33</v>
      </c>
      <c r="P290" s="39">
        <f>_xll.qlCalendarAdvance(Calendar,P289,O289,"f",,Trigger)</f>
        <v>42698</v>
      </c>
      <c r="Q290" s="39">
        <f>_xll.qlInterestRateIndexValueDate(Index,P290,Trigger)</f>
        <v>42702</v>
      </c>
      <c r="R290" s="39">
        <f>_xll.qlInterestRateIndexMaturity(Index,Q290,Trigger)</f>
        <v>42794</v>
      </c>
      <c r="S290" s="40">
        <f>_xll.qlDayCounterYearFraction(DayCounter,Q290,R290,,,Trigger)</f>
        <v>0.25555555555555554</v>
      </c>
      <c r="T290" s="41">
        <f>_xll.qlIndexFixing(Index,P290,,AllTriggers)</f>
        <v>1.6236450164613706E-4</v>
      </c>
      <c r="U290" s="42">
        <f>_xll.qlYieldTSDiscount(OisCurve,Q290,,AllTriggers)</f>
        <v>1.002367799566914</v>
      </c>
      <c r="V290" s="42">
        <f>_xll.qlYieldTSDiscount(OisCurve,R290,,AllTriggers)</f>
        <v>1.0027401043080222</v>
      </c>
      <c r="W290" s="41">
        <f t="shared" si="32"/>
        <v>-1.4528636411967214E-3</v>
      </c>
      <c r="X290" s="43">
        <f t="shared" si="33"/>
        <v>4.1284860879958637E-4</v>
      </c>
      <c r="Y290" s="41">
        <f t="shared" si="34"/>
        <v>1.6152281428428584E-3</v>
      </c>
      <c r="Z290" s="62"/>
    </row>
    <row r="291" spans="15:26" x14ac:dyDescent="0.25">
      <c r="O291" s="45" t="s">
        <v>33</v>
      </c>
      <c r="P291" s="39">
        <f>_xll.qlCalendarAdvance(Calendar,P290,O290,"f",,Trigger)</f>
        <v>42705</v>
      </c>
      <c r="Q291" s="39">
        <f>_xll.qlInterestRateIndexValueDate(Index,P291,Trigger)</f>
        <v>42709</v>
      </c>
      <c r="R291" s="39">
        <f>_xll.qlInterestRateIndexMaturity(Index,Q291,Trigger)</f>
        <v>42800</v>
      </c>
      <c r="S291" s="40">
        <f>_xll.qlDayCounterYearFraction(DayCounter,Q291,R291,,,Trigger)</f>
        <v>0.25277777777777777</v>
      </c>
      <c r="T291" s="41">
        <f>_xll.qlIndexFixing(Index,P291,,AllTriggers)</f>
        <v>1.8047053539055642E-4</v>
      </c>
      <c r="U291" s="42">
        <f>_xll.qlYieldTSDiscount(OisCurve,Q291,,AllTriggers)</f>
        <v>1.0023986872345003</v>
      </c>
      <c r="V291" s="42">
        <f>_xll.qlYieldTSDiscount(OisCurve,R291,,AllTriggers)</f>
        <v>1.0027620553104204</v>
      </c>
      <c r="W291" s="41">
        <f t="shared" si="32"/>
        <v>-1.4335405622405014E-3</v>
      </c>
      <c r="X291" s="43">
        <f t="shared" si="33"/>
        <v>4.0805076891364984E-4</v>
      </c>
      <c r="Y291" s="41">
        <f t="shared" si="34"/>
        <v>1.6140110976310578E-3</v>
      </c>
      <c r="Z291" s="62"/>
    </row>
    <row r="292" spans="15:26" x14ac:dyDescent="0.25">
      <c r="O292" s="45" t="s">
        <v>33</v>
      </c>
      <c r="P292" s="39">
        <f>_xll.qlCalendarAdvance(Calendar,P291,O291,"f",,Trigger)</f>
        <v>42712</v>
      </c>
      <c r="Q292" s="39">
        <f>_xll.qlInterestRateIndexValueDate(Index,P292,Trigger)</f>
        <v>42716</v>
      </c>
      <c r="R292" s="39">
        <f>_xll.qlInterestRateIndexMaturity(Index,Q292,Trigger)</f>
        <v>42807</v>
      </c>
      <c r="S292" s="40">
        <f>_xll.qlDayCounterYearFraction(DayCounter,Q292,R292,,,Trigger)</f>
        <v>0.25277777777777777</v>
      </c>
      <c r="T292" s="41">
        <f>_xll.qlIndexFixing(Index,P292,,AllTriggers)</f>
        <v>2.0037472284132051E-4</v>
      </c>
      <c r="U292" s="42">
        <f>_xll.qlYieldTSDiscount(OisCurve,Q292,,AllTriggers)</f>
        <v>1.0024295090313784</v>
      </c>
      <c r="V292" s="42">
        <f>_xll.qlYieldTSDiscount(OisCurve,R292,,AllTriggers)</f>
        <v>1.0027872477015476</v>
      </c>
      <c r="W292" s="41">
        <f t="shared" si="32"/>
        <v>-1.4112962716766935E-3</v>
      </c>
      <c r="X292" s="43">
        <f t="shared" si="33"/>
        <v>4.0745697821946528E-4</v>
      </c>
      <c r="Y292" s="41">
        <f t="shared" si="34"/>
        <v>1.6116709945180141E-3</v>
      </c>
      <c r="Z292" s="62"/>
    </row>
    <row r="293" spans="15:26" x14ac:dyDescent="0.25">
      <c r="O293" s="45" t="s">
        <v>33</v>
      </c>
      <c r="P293" s="39">
        <f>_xll.qlCalendarAdvance(Calendar,P292,O292,"f",,Trigger)</f>
        <v>42719</v>
      </c>
      <c r="Q293" s="39">
        <f>_xll.qlInterestRateIndexValueDate(Index,P293,Trigger)</f>
        <v>42723</v>
      </c>
      <c r="R293" s="39">
        <f>_xll.qlInterestRateIndexMaturity(Index,Q293,Trigger)</f>
        <v>42814</v>
      </c>
      <c r="S293" s="40">
        <f>_xll.qlDayCounterYearFraction(DayCounter,Q293,R293,,,Trigger)</f>
        <v>0.25277777777777777</v>
      </c>
      <c r="T293" s="41">
        <f>_xll.qlIndexFixing(Index,P293,,AllTriggers)</f>
        <v>2.2044166548865728E-4</v>
      </c>
      <c r="U293" s="42">
        <f>_xll.qlYieldTSDiscount(OisCurve,Q293,,AllTriggers)</f>
        <v>1.0024601902169195</v>
      </c>
      <c r="V293" s="42">
        <f>_xll.qlYieldTSDiscount(OisCurve,R293,,AllTriggers)</f>
        <v>1.0028120152166056</v>
      </c>
      <c r="W293" s="41">
        <f t="shared" si="32"/>
        <v>-1.387932276911001E-3</v>
      </c>
      <c r="X293" s="43">
        <f t="shared" si="33"/>
        <v>4.0662119674326379E-4</v>
      </c>
      <c r="Y293" s="41">
        <f t="shared" si="34"/>
        <v>1.6083739423996583E-3</v>
      </c>
      <c r="Z293" s="62"/>
    </row>
    <row r="294" spans="15:26" x14ac:dyDescent="0.25">
      <c r="O294" s="45" t="s">
        <v>33</v>
      </c>
      <c r="P294" s="39">
        <f>_xll.qlCalendarAdvance(Calendar,P293,O293,"f",,Trigger)</f>
        <v>42726</v>
      </c>
      <c r="Q294" s="39">
        <f>_xll.qlInterestRateIndexValueDate(Index,P294,Trigger)</f>
        <v>42731</v>
      </c>
      <c r="R294" s="39">
        <f>_xll.qlInterestRateIndexMaturity(Index,Q294,Trigger)</f>
        <v>42821</v>
      </c>
      <c r="S294" s="40">
        <f>_xll.qlDayCounterYearFraction(DayCounter,Q294,R294,,,Trigger)</f>
        <v>0.25</v>
      </c>
      <c r="T294" s="41">
        <f>_xll.qlIndexFixing(Index,P294,,AllTriggers)</f>
        <v>2.418837154687381E-4</v>
      </c>
      <c r="U294" s="42">
        <f>_xll.qlYieldTSDiscount(OisCurve,Q294,,AllTriggers)</f>
        <v>1.0024949863625352</v>
      </c>
      <c r="V294" s="42">
        <f>_xll.qlYieldTSDiscount(OisCurve,R294,,AllTriggers)</f>
        <v>1.0028363833957399</v>
      </c>
      <c r="W294" s="41">
        <f t="shared" si="32"/>
        <v>-1.3617257564932927E-3</v>
      </c>
      <c r="X294" s="43">
        <f t="shared" si="33"/>
        <v>4.0095849963454812E-4</v>
      </c>
      <c r="Y294" s="41">
        <f t="shared" si="34"/>
        <v>1.6036094719620309E-3</v>
      </c>
      <c r="Z294" s="62"/>
    </row>
    <row r="295" spans="15:26" x14ac:dyDescent="0.25">
      <c r="O295" s="45" t="s">
        <v>33</v>
      </c>
      <c r="P295" s="39">
        <f>_xll.qlCalendarAdvance(Calendar,P294,O294,"f",,Trigger)</f>
        <v>42733</v>
      </c>
      <c r="Q295" s="39">
        <f>_xll.qlInterestRateIndexValueDate(Index,P295,Trigger)</f>
        <v>42737</v>
      </c>
      <c r="R295" s="39">
        <f>_xll.qlInterestRateIndexMaturity(Index,Q295,Trigger)</f>
        <v>42828</v>
      </c>
      <c r="S295" s="40">
        <f>_xll.qlDayCounterYearFraction(DayCounter,Q295,R295,,,Trigger)</f>
        <v>0.25277777777777777</v>
      </c>
      <c r="T295" s="41">
        <f>_xll.qlIndexFixing(Index,P295,,AllTriggers)</f>
        <v>2.590908365179529E-4</v>
      </c>
      <c r="U295" s="42">
        <f>_xll.qlYieldTSDiscount(OisCurve,Q295,,AllTriggers)</f>
        <v>1.0025125108231787</v>
      </c>
      <c r="V295" s="42">
        <f>_xll.qlYieldTSDiscount(OisCurve,R295,,AllTriggers)</f>
        <v>1.0028603777820799</v>
      </c>
      <c r="W295" s="41">
        <f t="shared" si="32"/>
        <v>-1.3722518216466582E-3</v>
      </c>
      <c r="X295" s="43">
        <f t="shared" si="33"/>
        <v>4.1242520235841633E-4</v>
      </c>
      <c r="Y295" s="41">
        <f t="shared" si="34"/>
        <v>1.631342658164611E-3</v>
      </c>
      <c r="Z295" s="62"/>
    </row>
    <row r="296" spans="15:26" x14ac:dyDescent="0.25">
      <c r="O296" s="45" t="s">
        <v>33</v>
      </c>
      <c r="P296" s="39">
        <f>_xll.qlCalendarAdvance(Calendar,P295,O295,"f",,Trigger)</f>
        <v>42740</v>
      </c>
      <c r="Q296" s="39">
        <f>_xll.qlInterestRateIndexValueDate(Index,P296,Trigger)</f>
        <v>42744</v>
      </c>
      <c r="R296" s="39">
        <f>_xll.qlInterestRateIndexMaturity(Index,Q296,Trigger)</f>
        <v>42835</v>
      </c>
      <c r="S296" s="40">
        <f>_xll.qlDayCounterYearFraction(DayCounter,Q296,R296,,,Trigger)</f>
        <v>0.25277777777777777</v>
      </c>
      <c r="T296" s="41">
        <f>_xll.qlIndexFixing(Index,P296,,AllTriggers)</f>
        <v>2.769593472830366E-4</v>
      </c>
      <c r="U296" s="42">
        <f>_xll.qlYieldTSDiscount(OisCurve,Q296,,AllTriggers)</f>
        <v>1.0025423213931721</v>
      </c>
      <c r="V296" s="42">
        <f>_xll.qlYieldTSDiscount(OisCurve,R296,,AllTriggers)</f>
        <v>1.0028840239216399</v>
      </c>
      <c r="W296" s="41">
        <f t="shared" si="32"/>
        <v>-1.3479028384797934E-3</v>
      </c>
      <c r="X296" s="43">
        <f t="shared" si="33"/>
        <v>4.1078466019257246E-4</v>
      </c>
      <c r="Y296" s="41">
        <f t="shared" si="34"/>
        <v>1.62486218576283E-3</v>
      </c>
      <c r="Z296" s="62"/>
    </row>
    <row r="297" spans="15:26" x14ac:dyDescent="0.25">
      <c r="O297" s="45" t="s">
        <v>33</v>
      </c>
      <c r="P297" s="39">
        <f>_xll.qlCalendarAdvance(Calendar,P296,O296,"f",,Trigger)</f>
        <v>42747</v>
      </c>
      <c r="Q297" s="39">
        <f>_xll.qlInterestRateIndexValueDate(Index,P297,Trigger)</f>
        <v>42751</v>
      </c>
      <c r="R297" s="39">
        <f>_xll.qlInterestRateIndexMaturity(Index,Q297,Trigger)</f>
        <v>42843</v>
      </c>
      <c r="S297" s="40">
        <f>_xll.qlDayCounterYearFraction(DayCounter,Q297,R297,,,Trigger)</f>
        <v>0.25555555555555554</v>
      </c>
      <c r="T297" s="41">
        <f>_xll.qlIndexFixing(Index,P297,,AllTriggers)</f>
        <v>2.9511652238489245E-4</v>
      </c>
      <c r="U297" s="42">
        <f>_xll.qlYieldTSDiscount(OisCurve,Q297,,AllTriggers)</f>
        <v>1.0025716923035144</v>
      </c>
      <c r="V297" s="42">
        <f>_xll.qlYieldTSDiscount(OisCurve,R297,,AllTriggers)</f>
        <v>1.002910654430613</v>
      </c>
      <c r="W297" s="41">
        <f t="shared" si="32"/>
        <v>-1.3225241301017617E-3</v>
      </c>
      <c r="X297" s="43">
        <f t="shared" si="33"/>
        <v>4.1345133935869567E-4</v>
      </c>
      <c r="Y297" s="41">
        <f t="shared" si="34"/>
        <v>1.6176406524866542E-3</v>
      </c>
      <c r="Z297" s="62"/>
    </row>
    <row r="298" spans="15:26" x14ac:dyDescent="0.25">
      <c r="O298" s="45" t="s">
        <v>33</v>
      </c>
      <c r="P298" s="39">
        <f>_xll.qlCalendarAdvance(Calendar,P297,O297,"f",,Trigger)</f>
        <v>42754</v>
      </c>
      <c r="Q298" s="39">
        <f>_xll.qlInterestRateIndexValueDate(Index,P298,Trigger)</f>
        <v>42758</v>
      </c>
      <c r="R298" s="39">
        <f>_xll.qlInterestRateIndexMaturity(Index,Q298,Trigger)</f>
        <v>42849</v>
      </c>
      <c r="S298" s="40">
        <f>_xll.qlDayCounterYearFraction(DayCounter,Q298,R298,,,Trigger)</f>
        <v>0.25277777777777777</v>
      </c>
      <c r="T298" s="41">
        <f>_xll.qlIndexFixing(Index,P298,,AllTriggers)</f>
        <v>3.1044448701305266E-4</v>
      </c>
      <c r="U298" s="42">
        <f>_xll.qlYieldTSDiscount(OisCurve,Q298,,AllTriggers)</f>
        <v>1.0026005487705545</v>
      </c>
      <c r="V298" s="42">
        <f>_xll.qlYieldTSDiscount(OisCurve,R298,,AllTriggers)</f>
        <v>1.0029303736583559</v>
      </c>
      <c r="W298" s="41">
        <f t="shared" si="32"/>
        <v>-1.3009893689631912E-3</v>
      </c>
      <c r="X298" s="43">
        <f t="shared" si="33"/>
        <v>4.0738567697136928E-4</v>
      </c>
      <c r="Y298" s="41">
        <f t="shared" si="34"/>
        <v>1.6114338559762439E-3</v>
      </c>
      <c r="Z298" s="62"/>
    </row>
    <row r="299" spans="15:26" x14ac:dyDescent="0.25">
      <c r="O299" s="45" t="s">
        <v>33</v>
      </c>
      <c r="P299" s="39">
        <f>_xll.qlCalendarAdvance(Calendar,P298,O298,"f",,Trigger)</f>
        <v>42761</v>
      </c>
      <c r="Q299" s="39">
        <f>_xll.qlInterestRateIndexValueDate(Index,P299,Trigger)</f>
        <v>42765</v>
      </c>
      <c r="R299" s="39">
        <f>_xll.qlInterestRateIndexMaturity(Index,Q299,Trigger)</f>
        <v>42853</v>
      </c>
      <c r="S299" s="40">
        <f>_xll.qlDayCounterYearFraction(DayCounter,Q299,R299,,,Trigger)</f>
        <v>0.24444444444444444</v>
      </c>
      <c r="T299" s="41">
        <f>_xll.qlIndexFixing(Index,P299,,AllTriggers)</f>
        <v>3.2308078225467602E-4</v>
      </c>
      <c r="U299" s="42">
        <f>_xll.qlYieldTSDiscount(OisCurve,Q299,,AllTriggers)</f>
        <v>1.0026288265312804</v>
      </c>
      <c r="V299" s="42">
        <f>_xll.qlYieldTSDiscount(OisCurve,R299,,AllTriggers)</f>
        <v>1.002943406967292</v>
      </c>
      <c r="W299" s="41">
        <f t="shared" si="32"/>
        <v>-1.283143153005716E-3</v>
      </c>
      <c r="X299" s="43">
        <f t="shared" si="33"/>
        <v>3.9267859983578237E-4</v>
      </c>
      <c r="Y299" s="41">
        <f t="shared" si="34"/>
        <v>1.6062239352603921E-3</v>
      </c>
      <c r="Z299" s="62"/>
    </row>
    <row r="300" spans="15:26" x14ac:dyDescent="0.25">
      <c r="O300" s="45" t="s">
        <v>33</v>
      </c>
      <c r="P300" s="39">
        <f>_xll.qlCalendarAdvance(Calendar,P299,O299,"f",,Trigger)</f>
        <v>42768</v>
      </c>
      <c r="Q300" s="39">
        <f>_xll.qlInterestRateIndexValueDate(Index,P300,Trigger)</f>
        <v>42772</v>
      </c>
      <c r="R300" s="39">
        <f>_xll.qlInterestRateIndexMaturity(Index,Q300,Trigger)</f>
        <v>42863</v>
      </c>
      <c r="S300" s="40">
        <f>_xll.qlDayCounterYearFraction(DayCounter,Q300,R300,,,Trigger)</f>
        <v>0.25277777777777777</v>
      </c>
      <c r="T300" s="41">
        <f>_xll.qlIndexFixing(Index,P300,,AllTriggers)</f>
        <v>3.4188989235464315E-4</v>
      </c>
      <c r="U300" s="42">
        <f>_xll.qlYieldTSDiscount(OisCurve,Q300,,AllTriggers)</f>
        <v>1.0026565262927967</v>
      </c>
      <c r="V300" s="42">
        <f>_xll.qlYieldTSDiscount(OisCurve,R300,,AllTriggers)</f>
        <v>1.0029755943474816</v>
      </c>
      <c r="W300" s="41">
        <f t="shared" si="32"/>
        <v>-1.2585024565072687E-3</v>
      </c>
      <c r="X300" s="43">
        <f t="shared" si="33"/>
        <v>4.0459049870126982E-4</v>
      </c>
      <c r="Y300" s="41">
        <f t="shared" si="34"/>
        <v>1.600392348861912E-3</v>
      </c>
      <c r="Z300" s="62"/>
    </row>
    <row r="301" spans="15:26" x14ac:dyDescent="0.25">
      <c r="O301" s="45" t="s">
        <v>33</v>
      </c>
      <c r="P301" s="39">
        <f>_xll.qlCalendarAdvance(Calendar,P300,O300,"f",,Trigger)</f>
        <v>42775</v>
      </c>
      <c r="Q301" s="39">
        <f>_xll.qlInterestRateIndexValueDate(Index,P301,Trigger)</f>
        <v>42779</v>
      </c>
      <c r="R301" s="39">
        <f>_xll.qlInterestRateIndexMaturity(Index,Q301,Trigger)</f>
        <v>42870</v>
      </c>
      <c r="S301" s="40">
        <f>_xll.qlDayCounterYearFraction(DayCounter,Q301,R301,,,Trigger)</f>
        <v>0.25277777777777777</v>
      </c>
      <c r="T301" s="41">
        <f>_xll.qlIndexFixing(Index,P301,,AllTriggers)</f>
        <v>3.5720874479789331E-4</v>
      </c>
      <c r="U301" s="42">
        <f>_xll.qlYieldTSDiscount(OisCurve,Q301,,AllTriggers)</f>
        <v>1.0026836735261728</v>
      </c>
      <c r="V301" s="42">
        <f>_xll.qlYieldTSDiscount(OisCurve,R301,,AllTriggers)</f>
        <v>1.0029977811679531</v>
      </c>
      <c r="W301" s="41">
        <f t="shared" si="32"/>
        <v>-1.2389096577713177E-3</v>
      </c>
      <c r="X301" s="43">
        <f t="shared" si="33"/>
        <v>4.0350823417312405E-4</v>
      </c>
      <c r="Y301" s="41">
        <f t="shared" si="34"/>
        <v>1.5961184025692111E-3</v>
      </c>
      <c r="Z301" s="62"/>
    </row>
    <row r="302" spans="15:26" x14ac:dyDescent="0.25">
      <c r="O302" s="45" t="s">
        <v>33</v>
      </c>
      <c r="P302" s="39">
        <f>_xll.qlCalendarAdvance(Calendar,P301,O301,"f",,Trigger)</f>
        <v>42782</v>
      </c>
      <c r="Q302" s="39">
        <f>_xll.qlInterestRateIndexValueDate(Index,P302,Trigger)</f>
        <v>42786</v>
      </c>
      <c r="R302" s="39">
        <f>_xll.qlInterestRateIndexMaturity(Index,Q302,Trigger)</f>
        <v>42877</v>
      </c>
      <c r="S302" s="40">
        <f>_xll.qlDayCounterYearFraction(DayCounter,Q302,R302,,,Trigger)</f>
        <v>0.25277777777777777</v>
      </c>
      <c r="T302" s="41">
        <f>_xll.qlIndexFixing(Index,P302,,AllTriggers)</f>
        <v>3.7245092857324556E-4</v>
      </c>
      <c r="U302" s="42">
        <f>_xll.qlYieldTSDiscount(OisCurve,Q302,,AllTriggers)</f>
        <v>1.0027102937549308</v>
      </c>
      <c r="V302" s="42">
        <f>_xll.qlYieldTSDiscount(OisCurve,R302,,AllTriggers)</f>
        <v>1.0030196770329516</v>
      </c>
      <c r="W302" s="41">
        <f t="shared" si="32"/>
        <v>-1.2202490889668583E-3</v>
      </c>
      <c r="X302" s="43">
        <f t="shared" si="33"/>
        <v>4.0264232057715118E-4</v>
      </c>
      <c r="Y302" s="41">
        <f t="shared" si="34"/>
        <v>1.5927000175401038E-3</v>
      </c>
      <c r="Z302" s="62"/>
    </row>
    <row r="303" spans="15:26" x14ac:dyDescent="0.25">
      <c r="O303" s="45" t="s">
        <v>33</v>
      </c>
      <c r="P303" s="39">
        <f>_xll.qlCalendarAdvance(Calendar,P302,O302,"f",,Trigger)</f>
        <v>42789</v>
      </c>
      <c r="Q303" s="39">
        <f>_xll.qlInterestRateIndexValueDate(Index,P303,Trigger)</f>
        <v>42793</v>
      </c>
      <c r="R303" s="39">
        <f>_xll.qlInterestRateIndexMaturity(Index,Q303,Trigger)</f>
        <v>42884</v>
      </c>
      <c r="S303" s="40">
        <f>_xll.qlDayCounterYearFraction(DayCounter,Q303,R303,,,Trigger)</f>
        <v>0.25277777777777777</v>
      </c>
      <c r="T303" s="41">
        <f>_xll.qlIndexFixing(Index,P303,,AllTriggers)</f>
        <v>3.8776087011019707E-4</v>
      </c>
      <c r="U303" s="42">
        <f>_xll.qlYieldTSDiscount(OisCurve,Q303,,AllTriggers)</f>
        <v>1.0027364125061671</v>
      </c>
      <c r="V303" s="42">
        <f>_xll.qlYieldTSDiscount(OisCurve,R303,,AllTriggers)</f>
        <v>1.0030412754875226</v>
      </c>
      <c r="W303" s="41">
        <f t="shared" si="32"/>
        <v>-1.2023945417670237E-3</v>
      </c>
      <c r="X303" s="43">
        <f t="shared" si="33"/>
        <v>4.0199734665471846E-4</v>
      </c>
      <c r="Y303" s="41">
        <f t="shared" si="34"/>
        <v>1.5901554118772207E-3</v>
      </c>
      <c r="Z303" s="62"/>
    </row>
    <row r="304" spans="15:26" x14ac:dyDescent="0.25">
      <c r="O304" s="45" t="s">
        <v>33</v>
      </c>
      <c r="P304" s="39">
        <f>_xll.qlCalendarAdvance(Calendar,P303,O303,"f",,Trigger)</f>
        <v>42796</v>
      </c>
      <c r="Q304" s="39">
        <f>_xll.qlInterestRateIndexValueDate(Index,P304,Trigger)</f>
        <v>42800</v>
      </c>
      <c r="R304" s="39">
        <f>_xll.qlInterestRateIndexMaturity(Index,Q304,Trigger)</f>
        <v>42892</v>
      </c>
      <c r="S304" s="40">
        <f>_xll.qlDayCounterYearFraction(DayCounter,Q304,R304,,,Trigger)</f>
        <v>0.25555555555555554</v>
      </c>
      <c r="T304" s="41">
        <f>_xll.qlIndexFixing(Index,P304,,AllTriggers)</f>
        <v>4.0447313401016714E-4</v>
      </c>
      <c r="U304" s="42">
        <f>_xll.qlYieldTSDiscount(OisCurve,Q304,,AllTriggers)</f>
        <v>1.0027620553104204</v>
      </c>
      <c r="V304" s="42">
        <f>_xll.qlYieldTSDiscount(OisCurve,R304,,AllTriggers)</f>
        <v>1.0030655869787726</v>
      </c>
      <c r="W304" s="41">
        <f t="shared" si="32"/>
        <v>-1.184102645639299E-3</v>
      </c>
      <c r="X304" s="43">
        <f t="shared" si="33"/>
        <v>4.060098179118488E-4</v>
      </c>
      <c r="Y304" s="41">
        <f t="shared" si="34"/>
        <v>1.5885757796494661E-3</v>
      </c>
      <c r="Z304" s="62"/>
    </row>
    <row r="305" spans="15:26" x14ac:dyDescent="0.25">
      <c r="O305" s="45" t="s">
        <v>33</v>
      </c>
      <c r="P305" s="39">
        <f>_xll.qlCalendarAdvance(Calendar,P304,O304,"f",,Trigger)</f>
        <v>42803</v>
      </c>
      <c r="Q305" s="39">
        <f>_xll.qlInterestRateIndexValueDate(Index,P305,Trigger)</f>
        <v>42807</v>
      </c>
      <c r="R305" s="39">
        <f>_xll.qlInterestRateIndexMaturity(Index,Q305,Trigger)</f>
        <v>42899</v>
      </c>
      <c r="S305" s="40">
        <f>_xll.qlDayCounterYearFraction(DayCounter,Q305,R305,,,Trigger)</f>
        <v>0.25555555555555554</v>
      </c>
      <c r="T305" s="41">
        <f>_xll.qlIndexFixing(Index,P305,,AllTriggers)</f>
        <v>4.2037222596185049E-4</v>
      </c>
      <c r="U305" s="42">
        <f>_xll.qlYieldTSDiscount(OisCurve,Q305,,AllTriggers)</f>
        <v>1.0027872477015476</v>
      </c>
      <c r="V305" s="42">
        <f>_xll.qlYieldTSDiscount(OisCurve,R305,,AllTriggers)</f>
        <v>1.0030865263878739</v>
      </c>
      <c r="W305" s="41">
        <f t="shared" si="32"/>
        <v>-1.1674870321794026E-3</v>
      </c>
      <c r="X305" s="43">
        <f t="shared" si="33"/>
        <v>4.0582500237739869E-4</v>
      </c>
      <c r="Y305" s="41">
        <f t="shared" si="34"/>
        <v>1.5878592581412532E-3</v>
      </c>
      <c r="Z305" s="62"/>
    </row>
    <row r="306" spans="15:26" x14ac:dyDescent="0.25">
      <c r="O306" s="45" t="s">
        <v>33</v>
      </c>
      <c r="P306" s="39">
        <f>_xll.qlCalendarAdvance(Calendar,P305,O305,"f",,Trigger)</f>
        <v>42810</v>
      </c>
      <c r="Q306" s="39">
        <f>_xll.qlInterestRateIndexValueDate(Index,P306,Trigger)</f>
        <v>42814</v>
      </c>
      <c r="R306" s="39">
        <f>_xll.qlInterestRateIndexMaturity(Index,Q306,Trigger)</f>
        <v>42906</v>
      </c>
      <c r="S306" s="40">
        <f>_xll.qlDayCounterYearFraction(DayCounter,Q306,R306,,,Trigger)</f>
        <v>0.25555555555555554</v>
      </c>
      <c r="T306" s="41">
        <f>_xll.qlIndexFixing(Index,P306,,AllTriggers)</f>
        <v>4.3677009338489341E-4</v>
      </c>
      <c r="U306" s="42">
        <f>_xll.qlYieldTSDiscount(OisCurve,Q306,,AllTriggers)</f>
        <v>1.0028120152166056</v>
      </c>
      <c r="V306" s="42">
        <f>_xll.qlYieldTSDiscount(OisCurve,R306,,AllTriggers)</f>
        <v>1.0031071480977274</v>
      </c>
      <c r="W306" s="41">
        <f t="shared" si="32"/>
        <v>-1.1512905654038233E-3</v>
      </c>
      <c r="X306" s="43">
        <f t="shared" si="33"/>
        <v>4.0587478578615931E-4</v>
      </c>
      <c r="Y306" s="41">
        <f t="shared" si="34"/>
        <v>1.5880606587887168E-3</v>
      </c>
      <c r="Z306" s="62"/>
    </row>
    <row r="307" spans="15:26" x14ac:dyDescent="0.25">
      <c r="O307" s="45" t="s">
        <v>33</v>
      </c>
      <c r="P307" s="39">
        <f>_xll.qlCalendarAdvance(Calendar,P306,O306,"f",,Trigger)</f>
        <v>42817</v>
      </c>
      <c r="Q307" s="39">
        <f>_xll.qlInterestRateIndexValueDate(Index,P307,Trigger)</f>
        <v>42821</v>
      </c>
      <c r="R307" s="39">
        <f>_xll.qlInterestRateIndexMaturity(Index,Q307,Trigger)</f>
        <v>42913</v>
      </c>
      <c r="S307" s="40">
        <f>_xll.qlDayCounterYearFraction(DayCounter,Q307,R307,,,Trigger)</f>
        <v>0.25555555555555554</v>
      </c>
      <c r="T307" s="41">
        <f>_xll.qlIndexFixing(Index,P307,,AllTriggers)</f>
        <v>4.5363557314808995E-4</v>
      </c>
      <c r="U307" s="42">
        <f>_xll.qlYieldTSDiscount(OisCurve,Q307,,AllTriggers)</f>
        <v>1.0028363833957399</v>
      </c>
      <c r="V307" s="42">
        <f>_xll.qlYieldTSDiscount(OisCurve,R307,,AllTriggers)</f>
        <v>1.0031274456522903</v>
      </c>
      <c r="W307" s="41">
        <f t="shared" si="32"/>
        <v>-1.1353883992495084E-3</v>
      </c>
      <c r="X307" s="43">
        <f t="shared" si="33"/>
        <v>4.0611928785161936E-4</v>
      </c>
      <c r="Y307" s="41">
        <f t="shared" si="34"/>
        <v>1.5890239723975984E-3</v>
      </c>
      <c r="Z307" s="62"/>
    </row>
    <row r="308" spans="15:26" x14ac:dyDescent="0.25">
      <c r="O308" s="45" t="s">
        <v>33</v>
      </c>
      <c r="P308" s="39">
        <f>_xll.qlCalendarAdvance(Calendar,P307,O307,"f",,Trigger)</f>
        <v>42824</v>
      </c>
      <c r="Q308" s="39">
        <f>_xll.qlInterestRateIndexValueDate(Index,P308,Trigger)</f>
        <v>42828</v>
      </c>
      <c r="R308" s="39">
        <f>_xll.qlInterestRateIndexMaturity(Index,Q308,Trigger)</f>
        <v>42919</v>
      </c>
      <c r="S308" s="40">
        <f>_xll.qlDayCounterYearFraction(DayCounter,Q308,R308,,,Trigger)</f>
        <v>0.25277777777777777</v>
      </c>
      <c r="T308" s="41">
        <f>_xll.qlIndexFixing(Index,P308,,AllTriggers)</f>
        <v>4.6946879024729166E-4</v>
      </c>
      <c r="U308" s="42">
        <f>_xll.qlYieldTSDiscount(OisCurve,Q308,,AllTriggers)</f>
        <v>1.0028603777820799</v>
      </c>
      <c r="V308" s="42">
        <f>_xll.qlYieldTSDiscount(OisCurve,R308,,AllTriggers)</f>
        <v>1.0031445806611035</v>
      </c>
      <c r="W308" s="41">
        <f t="shared" si="32"/>
        <v>-1.1207946526615221E-3</v>
      </c>
      <c r="X308" s="43">
        <f t="shared" si="33"/>
        <v>4.0201635872178426E-4</v>
      </c>
      <c r="Y308" s="41">
        <f t="shared" si="34"/>
        <v>1.5902634429088138E-3</v>
      </c>
      <c r="Z308" s="62"/>
    </row>
    <row r="309" spans="15:26" x14ac:dyDescent="0.25">
      <c r="O309" s="45" t="s">
        <v>33</v>
      </c>
      <c r="P309" s="39">
        <f>_xll.qlCalendarAdvance(Calendar,P308,O308,"f",,Trigger)</f>
        <v>42831</v>
      </c>
      <c r="Q309" s="39">
        <f>_xll.qlInterestRateIndexValueDate(Index,P309,Trigger)</f>
        <v>42835</v>
      </c>
      <c r="R309" s="39">
        <f>_xll.qlInterestRateIndexMaturity(Index,Q309,Trigger)</f>
        <v>42926</v>
      </c>
      <c r="S309" s="40">
        <f>_xll.qlDayCounterYearFraction(DayCounter,Q309,R309,,,Trigger)</f>
        <v>0.25277777777777777</v>
      </c>
      <c r="T309" s="41">
        <f>_xll.qlIndexFixing(Index,P309,,AllTriggers)</f>
        <v>4.8678852975536771E-4</v>
      </c>
      <c r="U309" s="42">
        <f>_xll.qlYieldTSDiscount(OisCurve,Q309,,AllTriggers)</f>
        <v>1.0028840239216399</v>
      </c>
      <c r="V309" s="42">
        <f>_xll.qlYieldTSDiscount(OisCurve,R309,,AllTriggers)</f>
        <v>1.0031642590840029</v>
      </c>
      <c r="W309" s="41">
        <f t="shared" si="32"/>
        <v>-1.1051257162503032E-3</v>
      </c>
      <c r="X309" s="43">
        <f t="shared" si="33"/>
        <v>4.0243200139203762E-4</v>
      </c>
      <c r="Y309" s="41">
        <f t="shared" si="34"/>
        <v>1.591914246005671E-3</v>
      </c>
      <c r="Z309" s="62"/>
    </row>
    <row r="310" spans="15:26" x14ac:dyDescent="0.25">
      <c r="O310" s="45" t="s">
        <v>33</v>
      </c>
      <c r="P310" s="39">
        <f>_xll.qlCalendarAdvance(Calendar,P309,O309,"f",,Trigger)</f>
        <v>42838</v>
      </c>
      <c r="Q310" s="39">
        <f>_xll.qlInterestRateIndexValueDate(Index,P310,Trigger)</f>
        <v>42844</v>
      </c>
      <c r="R310" s="39">
        <f>_xll.qlInterestRateIndexMaturity(Index,Q310,Trigger)</f>
        <v>42935</v>
      </c>
      <c r="S310" s="40">
        <f>_xll.qlDayCounterYearFraction(DayCounter,Q310,R310,,,Trigger)</f>
        <v>0.25277777777777777</v>
      </c>
      <c r="T310" s="41">
        <f>_xll.qlIndexFixing(Index,P310,,AllTriggers)</f>
        <v>5.0943903934813932E-4</v>
      </c>
      <c r="U310" s="42">
        <f>_xll.qlYieldTSDiscount(OisCurve,Q310,,AllTriggers)</f>
        <v>1.00291395550828</v>
      </c>
      <c r="V310" s="42">
        <f>_xll.qlYieldTSDiscount(OisCurve,R310,,AllTriggers)</f>
        <v>1.0031890555943792</v>
      </c>
      <c r="W310" s="41">
        <f t="shared" si="32"/>
        <v>-1.0848483910893584E-3</v>
      </c>
      <c r="X310" s="43">
        <f t="shared" si="33"/>
        <v>4.0302974973916751E-4</v>
      </c>
      <c r="Y310" s="41">
        <f t="shared" si="34"/>
        <v>1.5942874304374977E-3</v>
      </c>
      <c r="Z310" s="62"/>
    </row>
    <row r="311" spans="15:26" x14ac:dyDescent="0.25">
      <c r="O311" s="45" t="s">
        <v>33</v>
      </c>
      <c r="P311" s="39">
        <f>_xll.qlCalendarAdvance(Calendar,P310,O310,"f",,Trigger)</f>
        <v>42845</v>
      </c>
      <c r="Q311" s="39">
        <f>_xll.qlInterestRateIndexValueDate(Index,P311,Trigger)</f>
        <v>42849</v>
      </c>
      <c r="R311" s="39">
        <f>_xll.qlInterestRateIndexMaturity(Index,Q311,Trigger)</f>
        <v>42940</v>
      </c>
      <c r="S311" s="40">
        <f>_xll.qlDayCounterYearFraction(DayCounter,Q311,R311,,,Trigger)</f>
        <v>0.25277777777777777</v>
      </c>
      <c r="T311" s="41">
        <f>_xll.qlIndexFixing(Index,P311,,AllTriggers)</f>
        <v>5.2222055412921322E-4</v>
      </c>
      <c r="U311" s="42">
        <f>_xll.qlYieldTSDiscount(OisCurve,Q311,,AllTriggers)</f>
        <v>1.0029303736583559</v>
      </c>
      <c r="V311" s="42">
        <f>_xll.qlYieldTSDiscount(OisCurve,R311,,AllTriggers)</f>
        <v>1.0032025816664123</v>
      </c>
      <c r="W311" s="41">
        <f t="shared" si="32"/>
        <v>-1.0734291007000339E-3</v>
      </c>
      <c r="X311" s="43">
        <f t="shared" si="33"/>
        <v>4.0337288096016868E-4</v>
      </c>
      <c r="Y311" s="41">
        <f t="shared" si="34"/>
        <v>1.595649654829247E-3</v>
      </c>
      <c r="Z311" s="62"/>
    </row>
    <row r="312" spans="15:26" x14ac:dyDescent="0.25">
      <c r="O312" s="45" t="s">
        <v>33</v>
      </c>
      <c r="P312" s="39">
        <f>_xll.qlCalendarAdvance(Calendar,P311,O311,"f",,Trigger)</f>
        <v>42852</v>
      </c>
      <c r="Q312" s="39">
        <f>_xll.qlInterestRateIndexValueDate(Index,P312,Trigger)</f>
        <v>42857</v>
      </c>
      <c r="R312" s="39">
        <f>_xll.qlInterestRateIndexMaturity(Index,Q312,Trigger)</f>
        <v>42949</v>
      </c>
      <c r="S312" s="40">
        <f>_xll.qlDayCounterYearFraction(DayCounter,Q312,R312,,,Trigger)</f>
        <v>0.25555555555555554</v>
      </c>
      <c r="T312" s="41">
        <f>_xll.qlIndexFixing(Index,P312,,AllTriggers)</f>
        <v>5.4434419654325128E-4</v>
      </c>
      <c r="U312" s="42">
        <f>_xll.qlYieldTSDiscount(OisCurve,Q312,,AllTriggers)</f>
        <v>1.0029563503887271</v>
      </c>
      <c r="V312" s="42">
        <f>_xll.qlYieldTSDiscount(OisCurve,R312,,AllTriggers)</f>
        <v>1.0032264699230122</v>
      </c>
      <c r="W312" s="41">
        <f t="shared" si="32"/>
        <v>-1.0535901051995742E-3</v>
      </c>
      <c r="X312" s="43">
        <f t="shared" si="33"/>
        <v>4.0838756780459541E-4</v>
      </c>
      <c r="Y312" s="41">
        <f t="shared" si="34"/>
        <v>1.5979343017428255E-3</v>
      </c>
      <c r="Z312" s="62"/>
    </row>
    <row r="313" spans="15:26" x14ac:dyDescent="0.25">
      <c r="O313" s="45" t="s">
        <v>33</v>
      </c>
      <c r="P313" s="39">
        <f>_xll.qlCalendarAdvance(Calendar,P312,O312,"f",,Trigger)</f>
        <v>42859</v>
      </c>
      <c r="Q313" s="39">
        <f>_xll.qlInterestRateIndexValueDate(Index,P313,Trigger)</f>
        <v>42863</v>
      </c>
      <c r="R313" s="39">
        <f>_xll.qlInterestRateIndexMaturity(Index,Q313,Trigger)</f>
        <v>42955</v>
      </c>
      <c r="S313" s="40">
        <f>_xll.qlDayCounterYearFraction(DayCounter,Q313,R313,,,Trigger)</f>
        <v>0.25555555555555554</v>
      </c>
      <c r="T313" s="41">
        <f>_xll.qlIndexFixing(Index,P313,,AllTriggers)</f>
        <v>5.6020528438029669E-4</v>
      </c>
      <c r="U313" s="42">
        <f>_xll.qlYieldTSDiscount(OisCurve,Q313,,AllTriggers)</f>
        <v>1.0029755943474816</v>
      </c>
      <c r="V313" s="42">
        <f>_xll.qlYieldTSDiscount(OisCurve,R313,,AllTriggers)</f>
        <v>1.0032420621562868</v>
      </c>
      <c r="W313" s="41">
        <f t="shared" si="32"/>
        <v>-1.039330547176512E-3</v>
      </c>
      <c r="X313" s="43">
        <f t="shared" si="33"/>
        <v>4.0879530084370319E-4</v>
      </c>
      <c r="Y313" s="41">
        <f t="shared" si="34"/>
        <v>1.5995358315568087E-3</v>
      </c>
      <c r="Z313" s="62"/>
    </row>
    <row r="314" spans="15:26" x14ac:dyDescent="0.25">
      <c r="O314" s="45" t="s">
        <v>33</v>
      </c>
      <c r="P314" s="39">
        <f>_xll.qlCalendarAdvance(Calendar,P313,O313,"f",,Trigger)</f>
        <v>42866</v>
      </c>
      <c r="Q314" s="39">
        <f>_xll.qlInterestRateIndexValueDate(Index,P314,Trigger)</f>
        <v>42870</v>
      </c>
      <c r="R314" s="39">
        <f>_xll.qlInterestRateIndexMaturity(Index,Q314,Trigger)</f>
        <v>42962</v>
      </c>
      <c r="S314" s="40">
        <f>_xll.qlDayCounterYearFraction(DayCounter,Q314,R314,,,Trigger)</f>
        <v>0.25555555555555554</v>
      </c>
      <c r="T314" s="41">
        <f>_xll.qlIndexFixing(Index,P314,,AllTriggers)</f>
        <v>5.7901440630462372E-4</v>
      </c>
      <c r="U314" s="42">
        <f>_xll.qlYieldTSDiscount(OisCurve,Q314,,AllTriggers)</f>
        <v>1.0029977811679531</v>
      </c>
      <c r="V314" s="42">
        <f>_xll.qlYieldTSDiscount(OisCurve,R314,,AllTriggers)</f>
        <v>1.00325990983961</v>
      </c>
      <c r="W314" s="41">
        <f t="shared" si="32"/>
        <v>-1.0223879964028724E-3</v>
      </c>
      <c r="X314" s="43">
        <f t="shared" si="33"/>
        <v>4.0927047292400751E-4</v>
      </c>
      <c r="Y314" s="41">
        <f t="shared" si="34"/>
        <v>1.6014024027074961E-3</v>
      </c>
      <c r="Z314" s="62"/>
    </row>
    <row r="315" spans="15:26" x14ac:dyDescent="0.25">
      <c r="O315" s="45" t="s">
        <v>33</v>
      </c>
      <c r="P315" s="39">
        <f>_xll.qlCalendarAdvance(Calendar,P314,O314,"f",,Trigger)</f>
        <v>42873</v>
      </c>
      <c r="Q315" s="39">
        <f>_xll.qlInterestRateIndexValueDate(Index,P315,Trigger)</f>
        <v>42877</v>
      </c>
      <c r="R315" s="39">
        <f>_xll.qlInterestRateIndexMaturity(Index,Q315,Trigger)</f>
        <v>42969</v>
      </c>
      <c r="S315" s="40">
        <f>_xll.qlDayCounterYearFraction(DayCounter,Q315,R315,,,Trigger)</f>
        <v>0.25555555555555554</v>
      </c>
      <c r="T315" s="41">
        <f>_xll.qlIndexFixing(Index,P315,,AllTriggers)</f>
        <v>5.9816739373632353E-4</v>
      </c>
      <c r="U315" s="42">
        <f>_xll.qlYieldTSDiscount(OisCurve,Q315,,AllTriggers)</f>
        <v>1.0030196770329516</v>
      </c>
      <c r="V315" s="42">
        <f>_xll.qlYieldTSDiscount(OisCurve,R315,,AllTriggers)</f>
        <v>1.0032773817135301</v>
      </c>
      <c r="W315" s="41">
        <f t="shared" si="32"/>
        <v>-1.0051154725851266E-3</v>
      </c>
      <c r="X315" s="43">
        <f t="shared" si="33"/>
        <v>4.0974915586206631E-4</v>
      </c>
      <c r="Y315" s="41">
        <f t="shared" si="34"/>
        <v>1.6032828663214501E-3</v>
      </c>
      <c r="Z315" s="62"/>
    </row>
    <row r="316" spans="15:26" x14ac:dyDescent="0.25">
      <c r="O316" s="45" t="s">
        <v>33</v>
      </c>
      <c r="P316" s="39">
        <f>_xll.qlCalendarAdvance(Calendar,P315,O315,"f",,Trigger)</f>
        <v>42880</v>
      </c>
      <c r="Q316" s="39">
        <f>_xll.qlInterestRateIndexValueDate(Index,P316,Trigger)</f>
        <v>42884</v>
      </c>
      <c r="R316" s="39">
        <f>_xll.qlInterestRateIndexMaturity(Index,Q316,Trigger)</f>
        <v>42976</v>
      </c>
      <c r="S316" s="40">
        <f>_xll.qlDayCounterYearFraction(DayCounter,Q316,R316,,,Trigger)</f>
        <v>0.25555555555555554</v>
      </c>
      <c r="T316" s="41">
        <f>_xll.qlIndexFixing(Index,P316,,AllTriggers)</f>
        <v>6.1768096463806236E-4</v>
      </c>
      <c r="U316" s="42">
        <f>_xll.qlYieldTSDiscount(OisCurve,Q316,,AllTriggers)</f>
        <v>1.0030412754875226</v>
      </c>
      <c r="V316" s="42">
        <f>_xll.qlYieldTSDiscount(OisCurve,R316,,AllTriggers)</f>
        <v>1.0032944713208993</v>
      </c>
      <c r="W316" s="41">
        <f t="shared" si="32"/>
        <v>-9.8751297135416102E-4</v>
      </c>
      <c r="X316" s="43">
        <f t="shared" si="33"/>
        <v>4.1023562006234896E-4</v>
      </c>
      <c r="Y316" s="41">
        <f t="shared" si="34"/>
        <v>1.6051939359922234E-3</v>
      </c>
      <c r="Z316" s="62"/>
    </row>
    <row r="317" spans="15:26" x14ac:dyDescent="0.25">
      <c r="O317" s="45" t="s">
        <v>33</v>
      </c>
      <c r="P317" s="39">
        <f>_xll.qlCalendarAdvance(Calendar,P316,O316,"f",,Trigger)</f>
        <v>42887</v>
      </c>
      <c r="Q317" s="39">
        <f>_xll.qlInterestRateIndexValueDate(Index,P317,Trigger)</f>
        <v>42891</v>
      </c>
      <c r="R317" s="39">
        <f>_xll.qlInterestRateIndexMaturity(Index,Q317,Trigger)</f>
        <v>42983</v>
      </c>
      <c r="S317" s="40">
        <f>_xll.qlDayCounterYearFraction(DayCounter,Q317,R317,,,Trigger)</f>
        <v>0.25555555555555554</v>
      </c>
      <c r="T317" s="41">
        <f>_xll.qlIndexFixing(Index,P317,,AllTriggers)</f>
        <v>6.3757183740172877E-4</v>
      </c>
      <c r="U317" s="42">
        <f>_xll.qlYieldTSDiscount(OisCurve,Q317,,AllTriggers)</f>
        <v>1.003062570076418</v>
      </c>
      <c r="V317" s="42">
        <f>_xll.qlYieldTSDiscount(OisCurve,R317,,AllTriggers)</f>
        <v>1.0033111722045627</v>
      </c>
      <c r="W317" s="41">
        <f t="shared" si="32"/>
        <v>-9.695804882557126E-4</v>
      </c>
      <c r="X317" s="43">
        <f t="shared" si="33"/>
        <v>4.1073413592864996E-4</v>
      </c>
      <c r="Y317" s="41">
        <f t="shared" si="34"/>
        <v>1.6071523256574413E-3</v>
      </c>
      <c r="Z317" s="62"/>
    </row>
    <row r="318" spans="15:26" x14ac:dyDescent="0.25">
      <c r="O318" s="45" t="s">
        <v>33</v>
      </c>
      <c r="P318" s="39">
        <f>_xll.qlCalendarAdvance(Calendar,P317,O317,"f",,Trigger)</f>
        <v>42894</v>
      </c>
      <c r="Q318" s="39">
        <f>_xll.qlInterestRateIndexValueDate(Index,P318,Trigger)</f>
        <v>42898</v>
      </c>
      <c r="R318" s="39">
        <f>_xll.qlInterestRateIndexMaturity(Index,Q318,Trigger)</f>
        <v>42990</v>
      </c>
      <c r="S318" s="40">
        <f>_xll.qlDayCounterYearFraction(DayCounter,Q318,R318,,,Trigger)</f>
        <v>0.25555555555555554</v>
      </c>
      <c r="T318" s="41">
        <f>_xll.qlIndexFixing(Index,P318,,AllTriggers)</f>
        <v>6.578567308658101E-4</v>
      </c>
      <c r="U318" s="42">
        <f>_xll.qlYieldTSDiscount(OisCurve,Q318,,AllTriggers)</f>
        <v>1.0030835543441154</v>
      </c>
      <c r="V318" s="42">
        <f>_xll.qlYieldTSDiscount(OisCurve,R318,,AllTriggers)</f>
        <v>1.0033274779073849</v>
      </c>
      <c r="W318" s="41">
        <f t="shared" si="32"/>
        <v>-9.5131801875514776E-4</v>
      </c>
      <c r="X318" s="43">
        <f t="shared" si="33"/>
        <v>4.1124897386588541E-4</v>
      </c>
      <c r="Y318" s="41">
        <f t="shared" si="34"/>
        <v>1.6091747496209579E-3</v>
      </c>
      <c r="Z318" s="62"/>
    </row>
    <row r="319" spans="15:26" x14ac:dyDescent="0.25">
      <c r="O319" s="45" t="s">
        <v>33</v>
      </c>
      <c r="P319" s="39">
        <f>_xll.qlCalendarAdvance(Calendar,P318,O318,"f",,Trigger)</f>
        <v>42901</v>
      </c>
      <c r="Q319" s="39">
        <f>_xll.qlInterestRateIndexValueDate(Index,P319,Trigger)</f>
        <v>42905</v>
      </c>
      <c r="R319" s="39">
        <f>_xll.qlInterestRateIndexMaturity(Index,Q319,Trigger)</f>
        <v>42997</v>
      </c>
      <c r="S319" s="40">
        <f>_xll.qlDayCounterYearFraction(DayCounter,Q319,R319,,,Trigger)</f>
        <v>0.25555555555555554</v>
      </c>
      <c r="T319" s="41">
        <f>_xll.qlIndexFixing(Index,P319,,AllTriggers)</f>
        <v>6.7855184458244099E-4</v>
      </c>
      <c r="U319" s="42">
        <f>_xll.qlYieldTSDiscount(OisCurve,Q319,,AllTriggers)</f>
        <v>1.0031042218348385</v>
      </c>
      <c r="V319" s="42">
        <f>_xll.qlYieldTSDiscount(OisCurve,R319,,AllTriggers)</f>
        <v>1.0033433819722724</v>
      </c>
      <c r="W319" s="41">
        <f t="shared" si="32"/>
        <v>-9.3272555822920833E-4</v>
      </c>
      <c r="X319" s="43">
        <f t="shared" si="33"/>
        <v>4.1178427147579367E-4</v>
      </c>
      <c r="Y319" s="41">
        <f t="shared" si="34"/>
        <v>1.6112774028116494E-3</v>
      </c>
      <c r="Z319" s="62"/>
    </row>
    <row r="320" spans="15:26" x14ac:dyDescent="0.25">
      <c r="O320" s="45" t="s">
        <v>33</v>
      </c>
      <c r="P320" s="39">
        <f>_xll.qlCalendarAdvance(Calendar,P319,O319,"f",,Trigger)</f>
        <v>42908</v>
      </c>
      <c r="Q320" s="39">
        <f>_xll.qlInterestRateIndexValueDate(Index,P320,Trigger)</f>
        <v>42912</v>
      </c>
      <c r="R320" s="39">
        <f>_xll.qlInterestRateIndexMaturity(Index,Q320,Trigger)</f>
        <v>43004</v>
      </c>
      <c r="S320" s="40">
        <f>_xll.qlDayCounterYearFraction(DayCounter,Q320,R320,,,Trigger)</f>
        <v>0.25555555555555554</v>
      </c>
      <c r="T320" s="41">
        <f>_xll.qlIndexFixing(Index,P320,,AllTriggers)</f>
        <v>6.9966464836595361E-4</v>
      </c>
      <c r="U320" s="42">
        <f>_xll.qlYieldTSDiscount(OisCurve,Q320,,AllTriggers)</f>
        <v>1.0031245660925761</v>
      </c>
      <c r="V320" s="42">
        <f>_xll.qlYieldTSDiscount(OisCurve,R320,,AllTriggers)</f>
        <v>1.0033588779422018</v>
      </c>
      <c r="W320" s="41">
        <f t="shared" si="32"/>
        <v>-9.1380310197469977E-4</v>
      </c>
      <c r="X320" s="43">
        <f t="shared" si="33"/>
        <v>4.1234193570763918E-4</v>
      </c>
      <c r="Y320" s="41">
        <f t="shared" si="34"/>
        <v>1.6134677503406533E-3</v>
      </c>
      <c r="Z320" s="62"/>
    </row>
    <row r="321" spans="15:26" x14ac:dyDescent="0.25">
      <c r="O321" s="45" t="s">
        <v>33</v>
      </c>
      <c r="P321" s="39">
        <f>_xll.qlCalendarAdvance(Calendar,P320,O320,"f",,Trigger)</f>
        <v>42915</v>
      </c>
      <c r="Q321" s="39">
        <f>_xll.qlInterestRateIndexValueDate(Index,P321,Trigger)</f>
        <v>42919</v>
      </c>
      <c r="R321" s="39">
        <f>_xll.qlInterestRateIndexMaturity(Index,Q321,Trigger)</f>
        <v>43011</v>
      </c>
      <c r="S321" s="40">
        <f>_xll.qlDayCounterYearFraction(DayCounter,Q321,R321,,,Trigger)</f>
        <v>0.25555555555555554</v>
      </c>
      <c r="T321" s="41">
        <f>_xll.qlIndexFixing(Index,P321,,AllTriggers)</f>
        <v>7.2119536824597776E-4</v>
      </c>
      <c r="U321" s="42">
        <f>_xll.qlYieldTSDiscount(OisCurve,Q321,,AllTriggers)</f>
        <v>1.0031445806611035</v>
      </c>
      <c r="V321" s="42">
        <f>_xll.qlYieldTSDiscount(OisCurve,R321,,AllTriggers)</f>
        <v>1.0033739593602446</v>
      </c>
      <c r="W321" s="41">
        <f t="shared" si="32"/>
        <v>-8.9455064520371297E-4</v>
      </c>
      <c r="X321" s="43">
        <f t="shared" si="33"/>
        <v>4.1292202258665111E-4</v>
      </c>
      <c r="Y321" s="41">
        <f t="shared" si="34"/>
        <v>1.6157460134496907E-3</v>
      </c>
      <c r="Z321" s="62"/>
    </row>
    <row r="322" spans="15:26" x14ac:dyDescent="0.25">
      <c r="O322" s="45" t="s">
        <v>33</v>
      </c>
      <c r="P322" s="39">
        <f>_xll.qlCalendarAdvance(Calendar,P321,O321,"f",,Trigger)</f>
        <v>42922</v>
      </c>
      <c r="Q322" s="39">
        <f>_xll.qlInterestRateIndexValueDate(Index,P322,Trigger)</f>
        <v>42926</v>
      </c>
      <c r="R322" s="39">
        <f>_xll.qlInterestRateIndexMaturity(Index,Q322,Trigger)</f>
        <v>43018</v>
      </c>
      <c r="S322" s="40">
        <f>_xll.qlDayCounterYearFraction(DayCounter,Q322,R322,,,Trigger)</f>
        <v>0.25555555555555554</v>
      </c>
      <c r="T322" s="41">
        <f>_xll.qlIndexFixing(Index,P322,,AllTriggers)</f>
        <v>7.4314401111960518E-4</v>
      </c>
      <c r="U322" s="42">
        <f>_xll.qlYieldTSDiscount(OisCurve,Q322,,AllTriggers)</f>
        <v>1.0031642590840029</v>
      </c>
      <c r="V322" s="42">
        <f>_xll.qlYieldTSDiscount(OisCurve,R322,,AllTriggers)</f>
        <v>1.0033886197695934</v>
      </c>
      <c r="W322" s="41">
        <f t="shared" si="32"/>
        <v>-8.7496818304536169E-4</v>
      </c>
      <c r="X322" s="43">
        <f t="shared" si="33"/>
        <v>4.135245321135375E-4</v>
      </c>
      <c r="Y322" s="41">
        <f t="shared" si="34"/>
        <v>1.6181121941649668E-3</v>
      </c>
      <c r="Z322" s="62"/>
    </row>
    <row r="323" spans="15:26" x14ac:dyDescent="0.25">
      <c r="O323" s="45" t="s">
        <v>33</v>
      </c>
      <c r="P323" s="39">
        <f>_xll.qlCalendarAdvance(Calendar,P322,O322,"f",,Trigger)</f>
        <v>42929</v>
      </c>
      <c r="Q323" s="39">
        <f>_xll.qlInterestRateIndexValueDate(Index,P323,Trigger)</f>
        <v>42933</v>
      </c>
      <c r="R323" s="39">
        <f>_xll.qlInterestRateIndexMaturity(Index,Q323,Trigger)</f>
        <v>43025</v>
      </c>
      <c r="S323" s="40">
        <f>_xll.qlDayCounterYearFraction(DayCounter,Q323,R323,,,Trigger)</f>
        <v>0.25555555555555554</v>
      </c>
      <c r="T323" s="41">
        <f>_xll.qlIndexFixing(Index,P323,,AllTriggers)</f>
        <v>7.6551058401686455E-4</v>
      </c>
      <c r="U323" s="42">
        <f>_xll.qlYieldTSDiscount(OisCurve,Q323,,AllTriggers)</f>
        <v>1.0031835949046854</v>
      </c>
      <c r="V323" s="42">
        <f>_xll.qlYieldTSDiscount(OisCurve,R323,,AllTriggers)</f>
        <v>1.0034028527135896</v>
      </c>
      <c r="W323" s="41">
        <f t="shared" si="32"/>
        <v>-8.55055710545348E-4</v>
      </c>
      <c r="X323" s="43">
        <f t="shared" si="33"/>
        <v>4.14149464288386E-4</v>
      </c>
      <c r="Y323" s="41">
        <f t="shared" si="34"/>
        <v>1.6205662945622127E-3</v>
      </c>
      <c r="Z323" s="62"/>
    </row>
    <row r="324" spans="15:26" x14ac:dyDescent="0.25">
      <c r="O324" s="45" t="s">
        <v>33</v>
      </c>
      <c r="P324" s="39">
        <f>_xll.qlCalendarAdvance(Calendar,P323,O323,"f",,Trigger)</f>
        <v>42936</v>
      </c>
      <c r="Q324" s="39">
        <f>_xll.qlInterestRateIndexValueDate(Index,P324,Trigger)</f>
        <v>42940</v>
      </c>
      <c r="R324" s="39">
        <f>_xll.qlInterestRateIndexMaturity(Index,Q324,Trigger)</f>
        <v>43032</v>
      </c>
      <c r="S324" s="40">
        <f>_xll.qlDayCounterYearFraction(DayCounter,Q324,R324,,,Trigger)</f>
        <v>0.25555555555555554</v>
      </c>
      <c r="T324" s="41">
        <f>_xll.qlIndexFixing(Index,P324,,AllTriggers)</f>
        <v>7.8829509410159051E-4</v>
      </c>
      <c r="U324" s="42">
        <f>_xll.qlYieldTSDiscount(OisCurve,Q324,,AllTriggers)</f>
        <v>1.0032025816664123</v>
      </c>
      <c r="V324" s="42">
        <f>_xll.qlYieldTSDiscount(OisCurve,R324,,AllTriggers)</f>
        <v>1.0034166517357495</v>
      </c>
      <c r="W324" s="41">
        <f t="shared" ref="W324:W387" si="35">(U324/V324-1)/S324</f>
        <v>-8.3481322266422474E-4</v>
      </c>
      <c r="X324" s="43">
        <f t="shared" ref="X324:X387" si="36">LN((1+T324*S324)/(1+W324*S324))</f>
        <v>4.1479681911044168E-4</v>
      </c>
      <c r="Y324" s="41">
        <f t="shared" ref="Y324:Y387" si="37">T324-W324</f>
        <v>1.6231083167658152E-3</v>
      </c>
      <c r="Z324" s="62"/>
    </row>
    <row r="325" spans="15:26" x14ac:dyDescent="0.25">
      <c r="O325" s="45" t="s">
        <v>33</v>
      </c>
      <c r="P325" s="39">
        <f>_xll.qlCalendarAdvance(Calendar,P324,O324,"f",,Trigger)</f>
        <v>42943</v>
      </c>
      <c r="Q325" s="39">
        <f>_xll.qlInterestRateIndexValueDate(Index,P325,Trigger)</f>
        <v>42947</v>
      </c>
      <c r="R325" s="39">
        <f>_xll.qlInterestRateIndexMaturity(Index,Q325,Trigger)</f>
        <v>43039</v>
      </c>
      <c r="S325" s="40">
        <f>_xll.qlDayCounterYearFraction(DayCounter,Q325,R325,,,Trigger)</f>
        <v>0.25555555555555554</v>
      </c>
      <c r="T325" s="41">
        <f>_xll.qlIndexFixing(Index,P325,,AllTriggers)</f>
        <v>8.1149754866968618E-4</v>
      </c>
      <c r="U325" s="42">
        <f>_xll.qlYieldTSDiscount(OisCurve,Q325,,AllTriggers)</f>
        <v>1.0032212129123179</v>
      </c>
      <c r="V325" s="42">
        <f>_xll.qlYieldTSDiscount(OisCurve,R325,,AllTriggers)</f>
        <v>1.0034300103797935</v>
      </c>
      <c r="W325" s="41">
        <f t="shared" si="35"/>
        <v>-8.1424071428130558E-4</v>
      </c>
      <c r="X325" s="43">
        <f t="shared" si="36"/>
        <v>4.1546659658010462E-4</v>
      </c>
      <c r="Y325" s="41">
        <f t="shared" si="37"/>
        <v>1.6257382629509918E-3</v>
      </c>
      <c r="Z325" s="62"/>
    </row>
    <row r="326" spans="15:26" x14ac:dyDescent="0.25">
      <c r="O326" s="45" t="s">
        <v>33</v>
      </c>
      <c r="P326" s="39">
        <f>_xll.qlCalendarAdvance(Calendar,P325,O325,"f",,Trigger)</f>
        <v>42950</v>
      </c>
      <c r="Q326" s="39">
        <f>_xll.qlInterestRateIndexValueDate(Index,P326,Trigger)</f>
        <v>42954</v>
      </c>
      <c r="R326" s="39">
        <f>_xll.qlInterestRateIndexMaturity(Index,Q326,Trigger)</f>
        <v>43046</v>
      </c>
      <c r="S326" s="40">
        <f>_xll.qlDayCounterYearFraction(DayCounter,Q326,R326,,,Trigger)</f>
        <v>0.25555555555555554</v>
      </c>
      <c r="T326" s="41">
        <f>_xll.qlIndexFixing(Index,P326,,AllTriggers)</f>
        <v>8.3511795515433607E-4</v>
      </c>
      <c r="U326" s="42">
        <f>_xll.qlYieldTSDiscount(OisCurve,Q326,,AllTriggers)</f>
        <v>1.0032394821854307</v>
      </c>
      <c r="V326" s="42">
        <f>_xll.qlYieldTSDiscount(OisCurve,R326,,AllTriggers)</f>
        <v>1.0034429221896732</v>
      </c>
      <c r="W326" s="41">
        <f t="shared" si="35"/>
        <v>-7.9333818019423007E-4</v>
      </c>
      <c r="X326" s="43">
        <f t="shared" si="36"/>
        <v>4.1615879669804214E-4</v>
      </c>
      <c r="Y326" s="41">
        <f t="shared" si="37"/>
        <v>1.628456135348566E-3</v>
      </c>
      <c r="Z326" s="62"/>
    </row>
    <row r="327" spans="15:26" x14ac:dyDescent="0.25">
      <c r="O327" s="45" t="s">
        <v>33</v>
      </c>
      <c r="P327" s="39">
        <f>_xll.qlCalendarAdvance(Calendar,P326,O326,"f",,Trigger)</f>
        <v>42957</v>
      </c>
      <c r="Q327" s="39">
        <f>_xll.qlInterestRateIndexValueDate(Index,P327,Trigger)</f>
        <v>42961</v>
      </c>
      <c r="R327" s="39">
        <f>_xll.qlInterestRateIndexMaturity(Index,Q327,Trigger)</f>
        <v>43053</v>
      </c>
      <c r="S327" s="40">
        <f>_xll.qlDayCounterYearFraction(DayCounter,Q327,R327,,,Trigger)</f>
        <v>0.25555555555555554</v>
      </c>
      <c r="T327" s="41">
        <f>_xll.qlIndexFixing(Index,P327,,AllTriggers)</f>
        <v>8.5915632112079285E-4</v>
      </c>
      <c r="U327" s="42">
        <f>_xll.qlYieldTSDiscount(OisCurve,Q327,,AllTriggers)</f>
        <v>1.0032573830286988</v>
      </c>
      <c r="V327" s="42">
        <f>_xll.qlYieldTSDiscount(OisCurve,R327,,AllTriggers)</f>
        <v>1.0034553807095989</v>
      </c>
      <c r="W327" s="41">
        <f t="shared" si="35"/>
        <v>-7.7210561510897226E-4</v>
      </c>
      <c r="X327" s="43">
        <f t="shared" si="36"/>
        <v>4.1687341946319135E-4</v>
      </c>
      <c r="Y327" s="41">
        <f t="shared" si="37"/>
        <v>1.6312619362297651E-3</v>
      </c>
      <c r="Z327" s="62"/>
    </row>
    <row r="328" spans="15:26" x14ac:dyDescent="0.25">
      <c r="O328" s="45" t="s">
        <v>33</v>
      </c>
      <c r="P328" s="39">
        <f>_xll.qlCalendarAdvance(Calendar,P327,O327,"f",,Trigger)</f>
        <v>42964</v>
      </c>
      <c r="Q328" s="39">
        <f>_xll.qlInterestRateIndexValueDate(Index,P328,Trigger)</f>
        <v>42968</v>
      </c>
      <c r="R328" s="39">
        <f>_xll.qlInterestRateIndexMaturity(Index,Q328,Trigger)</f>
        <v>43060</v>
      </c>
      <c r="S328" s="40">
        <f>_xll.qlDayCounterYearFraction(DayCounter,Q328,R328,,,Trigger)</f>
        <v>0.25555555555555554</v>
      </c>
      <c r="T328" s="41">
        <f>_xll.qlIndexFixing(Index,P328,,AllTriggers)</f>
        <v>8.8361265426811536E-4</v>
      </c>
      <c r="U328" s="42">
        <f>_xll.qlYieldTSDiscount(OisCurve,Q328,,AllTriggers)</f>
        <v>1.0032749089850119</v>
      </c>
      <c r="V328" s="42">
        <f>_xll.qlYieldTSDiscount(OisCurve,R328,,AllTriggers)</f>
        <v>1.0034673794840714</v>
      </c>
      <c r="W328" s="41">
        <f t="shared" si="35"/>
        <v>-7.5054301365461097E-4</v>
      </c>
      <c r="X328" s="43">
        <f t="shared" si="36"/>
        <v>4.1761046487564423E-4</v>
      </c>
      <c r="Y328" s="41">
        <f t="shared" si="37"/>
        <v>1.6341556679227262E-3</v>
      </c>
      <c r="Z328" s="62"/>
    </row>
    <row r="329" spans="15:26" x14ac:dyDescent="0.25">
      <c r="O329" s="45" t="s">
        <v>33</v>
      </c>
      <c r="P329" s="39">
        <f>_xll.qlCalendarAdvance(Calendar,P328,O328,"f",,Trigger)</f>
        <v>42971</v>
      </c>
      <c r="Q329" s="39">
        <f>_xll.qlInterestRateIndexValueDate(Index,P329,Trigger)</f>
        <v>42975</v>
      </c>
      <c r="R329" s="39">
        <f>_xll.qlInterestRateIndexMaturity(Index,Q329,Trigger)</f>
        <v>43067</v>
      </c>
      <c r="S329" s="40">
        <f>_xll.qlDayCounterYearFraction(DayCounter,Q329,R329,,,Trigger)</f>
        <v>0.25555555555555554</v>
      </c>
      <c r="T329" s="41">
        <f>_xll.qlIndexFixing(Index,P329,,AllTriggers)</f>
        <v>9.0848696242916849E-4</v>
      </c>
      <c r="U329" s="42">
        <f>_xll.qlYieldTSDiscount(OisCurve,Q329,,AllTriggers)</f>
        <v>1.0032920535972245</v>
      </c>
      <c r="V329" s="42">
        <f>_xll.qlYieldTSDiscount(OisCurve,R329,,AllTriggers)</f>
        <v>1.0034789120579086</v>
      </c>
      <c r="W329" s="41">
        <f t="shared" si="35"/>
        <v>-7.2865037037811691E-4</v>
      </c>
      <c r="X329" s="43">
        <f t="shared" si="36"/>
        <v>4.1836993293598197E-4</v>
      </c>
      <c r="Y329" s="41">
        <f t="shared" si="37"/>
        <v>1.6371373328072855E-3</v>
      </c>
      <c r="Z329" s="62"/>
    </row>
    <row r="330" spans="15:26" x14ac:dyDescent="0.25">
      <c r="O330" s="45" t="s">
        <v>33</v>
      </c>
      <c r="P330" s="39">
        <f>_xll.qlCalendarAdvance(Calendar,P329,O329,"f",,Trigger)</f>
        <v>42978</v>
      </c>
      <c r="Q330" s="39">
        <f>_xll.qlInterestRateIndexValueDate(Index,P330,Trigger)</f>
        <v>42982</v>
      </c>
      <c r="R330" s="39">
        <f>_xll.qlInterestRateIndexMaturity(Index,Q330,Trigger)</f>
        <v>43073</v>
      </c>
      <c r="S330" s="40">
        <f>_xll.qlDayCounterYearFraction(DayCounter,Q330,R330,,,Trigger)</f>
        <v>0.25277777777777777</v>
      </c>
      <c r="T330" s="41">
        <f>_xll.qlIndexFixing(Index,P330,,AllTriggers)</f>
        <v>9.3189257480104024E-4</v>
      </c>
      <c r="U330" s="42">
        <f>_xll.qlYieldTSDiscount(OisCurve,Q330,,AllTriggers)</f>
        <v>1.0033088104081815</v>
      </c>
      <c r="V330" s="42">
        <f>_xll.qlYieldTSDiscount(OisCurve,R330,,AllTriggers)</f>
        <v>1.0034884211706621</v>
      </c>
      <c r="W330" s="41">
        <f t="shared" si="35"/>
        <v>-7.0807799707583996E-4</v>
      </c>
      <c r="X330" s="43">
        <f t="shared" si="36"/>
        <v>4.1453639644505177E-4</v>
      </c>
      <c r="Y330" s="41">
        <f t="shared" si="37"/>
        <v>1.6399705718768802E-3</v>
      </c>
      <c r="Z330" s="62"/>
    </row>
    <row r="331" spans="15:26" x14ac:dyDescent="0.25">
      <c r="O331" s="45" t="s">
        <v>33</v>
      </c>
      <c r="P331" s="39">
        <f>_xll.qlCalendarAdvance(Calendar,P330,O330,"f",,Trigger)</f>
        <v>42985</v>
      </c>
      <c r="Q331" s="39">
        <f>_xll.qlInterestRateIndexValueDate(Index,P331,Trigger)</f>
        <v>42989</v>
      </c>
      <c r="R331" s="39">
        <f>_xll.qlInterestRateIndexMaturity(Index,Q331,Trigger)</f>
        <v>43080</v>
      </c>
      <c r="S331" s="40">
        <f>_xll.qlDayCounterYearFraction(DayCounter,Q331,R331,,,Trigger)</f>
        <v>0.25277777777777777</v>
      </c>
      <c r="T331" s="41">
        <f>_xll.qlIndexFixing(Index,P331,,AllTriggers)</f>
        <v>9.5757293243835544E-4</v>
      </c>
      <c r="U331" s="42">
        <f>_xll.qlYieldTSDiscount(OisCurve,Q331,,AllTriggers)</f>
        <v>1.0033251729607429</v>
      </c>
      <c r="V331" s="42">
        <f>_xll.qlYieldTSDiscount(OisCurve,R331,,AllTriggers)</f>
        <v>1.0034990708185352</v>
      </c>
      <c r="W331" s="41">
        <f t="shared" si="35"/>
        <v>-6.8554878553818497E-4</v>
      </c>
      <c r="X331" s="43">
        <f t="shared" si="36"/>
        <v>4.1533038305600602E-4</v>
      </c>
      <c r="Y331" s="41">
        <f t="shared" si="37"/>
        <v>1.6431217179765404E-3</v>
      </c>
      <c r="Z331" s="62"/>
    </row>
    <row r="332" spans="15:26" x14ac:dyDescent="0.25">
      <c r="O332" s="45" t="s">
        <v>33</v>
      </c>
      <c r="P332" s="39">
        <f>_xll.qlCalendarAdvance(Calendar,P331,O331,"f",,Trigger)</f>
        <v>42992</v>
      </c>
      <c r="Q332" s="39">
        <f>_xll.qlInterestRateIndexValueDate(Index,P332,Trigger)</f>
        <v>42996</v>
      </c>
      <c r="R332" s="39">
        <f>_xll.qlInterestRateIndexMaturity(Index,Q332,Trigger)</f>
        <v>43087</v>
      </c>
      <c r="S332" s="40">
        <f>_xll.qlDayCounterYearFraction(DayCounter,Q332,R332,,,Trigger)</f>
        <v>0.25277777777777777</v>
      </c>
      <c r="T332" s="41">
        <f>_xll.qlIndexFixing(Index,P332,,AllTriggers)</f>
        <v>9.8367128581918319E-4</v>
      </c>
      <c r="U332" s="42">
        <f>_xll.qlYieldTSDiscount(OisCurve,Q332,,AllTriggers)</f>
        <v>1.0033411347978081</v>
      </c>
      <c r="V332" s="42">
        <f>_xll.qlYieldTSDiscount(OisCurve,R332,,AllTriggers)</f>
        <v>1.0035092358244158</v>
      </c>
      <c r="W332" s="41">
        <f t="shared" si="35"/>
        <v>-6.6268951652423511E-4</v>
      </c>
      <c r="X332" s="43">
        <f t="shared" si="36"/>
        <v>4.1614654858929253E-4</v>
      </c>
      <c r="Y332" s="41">
        <f t="shared" si="37"/>
        <v>1.6463608023434182E-3</v>
      </c>
      <c r="Z332" s="62"/>
    </row>
    <row r="333" spans="15:26" x14ac:dyDescent="0.25">
      <c r="O333" s="45" t="s">
        <v>33</v>
      </c>
      <c r="P333" s="39">
        <f>_xll.qlCalendarAdvance(Calendar,P332,O332,"f",,Trigger)</f>
        <v>42999</v>
      </c>
      <c r="Q333" s="39">
        <f>_xll.qlInterestRateIndexValueDate(Index,P333,Trigger)</f>
        <v>43003</v>
      </c>
      <c r="R333" s="39">
        <f>_xll.qlInterestRateIndexMaturity(Index,Q333,Trigger)</f>
        <v>43096</v>
      </c>
      <c r="S333" s="40">
        <f>_xll.qlDayCounterYearFraction(DayCounter,Q333,R333,,,Trigger)</f>
        <v>0.25833333333333336</v>
      </c>
      <c r="T333" s="41">
        <f>_xll.qlIndexFixing(Index,P333,,AllTriggers)</f>
        <v>1.0141434244364551E-3</v>
      </c>
      <c r="U333" s="42">
        <f>_xll.qlYieldTSDiscount(OisCurve,Q333,,AllTriggers)</f>
        <v>1.0033566894623422</v>
      </c>
      <c r="V333" s="42">
        <f>_xll.qlYieldTSDiscount(OisCurve,R333,,AllTriggers)</f>
        <v>1.0035215826046495</v>
      </c>
      <c r="W333" s="41">
        <f t="shared" si="35"/>
        <v>-6.3605611060306921E-4</v>
      </c>
      <c r="X333" s="43">
        <f t="shared" si="36"/>
        <v>4.2628073504280951E-4</v>
      </c>
      <c r="Y333" s="41">
        <f t="shared" si="37"/>
        <v>1.6501995350395242E-3</v>
      </c>
      <c r="Z333" s="62"/>
    </row>
    <row r="334" spans="15:26" x14ac:dyDescent="0.25">
      <c r="O334" s="45" t="s">
        <v>33</v>
      </c>
      <c r="P334" s="39">
        <f>_xll.qlCalendarAdvance(Calendar,P333,O333,"f",,Trigger)</f>
        <v>43006</v>
      </c>
      <c r="Q334" s="39">
        <f>_xll.qlInterestRateIndexValueDate(Index,P334,Trigger)</f>
        <v>43010</v>
      </c>
      <c r="R334" s="39">
        <f>_xll.qlInterestRateIndexMaturity(Index,Q334,Trigger)</f>
        <v>43102</v>
      </c>
      <c r="S334" s="40">
        <f>_xll.qlDayCounterYearFraction(DayCounter,Q334,R334,,,Trigger)</f>
        <v>0.25555555555555554</v>
      </c>
      <c r="T334" s="41">
        <f>_xll.qlIndexFixing(Index,P334,,AllTriggers)</f>
        <v>1.0391284119848838E-3</v>
      </c>
      <c r="U334" s="42">
        <f>_xll.qlYieldTSDiscount(OisCurve,Q334,,AllTriggers)</f>
        <v>1.0033718304974006</v>
      </c>
      <c r="V334" s="42">
        <f>_xll.qlYieldTSDiscount(OisCurve,R334,,AllTriggers)</f>
        <v>1.0035293560122474</v>
      </c>
      <c r="W334" s="41">
        <f t="shared" si="35"/>
        <v>-6.1423632984674409E-4</v>
      </c>
      <c r="X334" s="43">
        <f t="shared" si="36"/>
        <v>4.2250361295282052E-4</v>
      </c>
      <c r="Y334" s="41">
        <f t="shared" si="37"/>
        <v>1.6533647418316279E-3</v>
      </c>
      <c r="Z334" s="62"/>
    </row>
    <row r="335" spans="15:26" x14ac:dyDescent="0.25">
      <c r="O335" s="45" t="s">
        <v>33</v>
      </c>
      <c r="P335" s="39">
        <f>_xll.qlCalendarAdvance(Calendar,P334,O334,"f",,Trigger)</f>
        <v>43013</v>
      </c>
      <c r="Q335" s="39">
        <f>_xll.qlInterestRateIndexValueDate(Index,P335,Trigger)</f>
        <v>43017</v>
      </c>
      <c r="R335" s="39">
        <f>_xll.qlInterestRateIndexMaturity(Index,Q335,Trigger)</f>
        <v>43109</v>
      </c>
      <c r="S335" s="40">
        <f>_xll.qlDayCounterYearFraction(DayCounter,Q335,R335,,,Trigger)</f>
        <v>0.25555555555555554</v>
      </c>
      <c r="T335" s="41">
        <f>_xll.qlIndexFixing(Index,P335,,AllTriggers)</f>
        <v>1.0665107422281256E-3</v>
      </c>
      <c r="U335" s="42">
        <f>_xll.qlYieldTSDiscount(OisCurve,Q335,,AllTriggers)</f>
        <v>1.0033865514461582</v>
      </c>
      <c r="V335" s="42">
        <f>_xll.qlYieldTSDiscount(OisCurve,R335,,AllTriggers)</f>
        <v>1.0035379558450659</v>
      </c>
      <c r="W335" s="41">
        <f t="shared" si="35"/>
        <v>-5.9036331637980603E-4</v>
      </c>
      <c r="X335" s="43">
        <f t="shared" si="36"/>
        <v>4.2339761689878303E-4</v>
      </c>
      <c r="Y335" s="41">
        <f t="shared" si="37"/>
        <v>1.6568740586079317E-3</v>
      </c>
      <c r="Z335" s="62"/>
    </row>
    <row r="336" spans="15:26" x14ac:dyDescent="0.25">
      <c r="O336" s="45" t="s">
        <v>33</v>
      </c>
      <c r="P336" s="39">
        <f>_xll.qlCalendarAdvance(Calendar,P335,O335,"f",,Trigger)</f>
        <v>43020</v>
      </c>
      <c r="Q336" s="39">
        <f>_xll.qlInterestRateIndexValueDate(Index,P336,Trigger)</f>
        <v>43024</v>
      </c>
      <c r="R336" s="39">
        <f>_xll.qlInterestRateIndexMaturity(Index,Q336,Trigger)</f>
        <v>43116</v>
      </c>
      <c r="S336" s="40">
        <f>_xll.qlDayCounterYearFraction(DayCounter,Q336,R336,,,Trigger)</f>
        <v>0.25555555555555554</v>
      </c>
      <c r="T336" s="41">
        <f>_xll.qlIndexFixing(Index,P336,,AllTriggers)</f>
        <v>1.0943111060686709E-3</v>
      </c>
      <c r="U336" s="42">
        <f>_xll.qlYieldTSDiscount(OisCurve,Q336,,AllTriggers)</f>
        <v>1.0034008458519326</v>
      </c>
      <c r="V336" s="42">
        <f>_xll.qlYieldTSDiscount(OisCurve,R336,,AllTriggers)</f>
        <v>1.0035460443024335</v>
      </c>
      <c r="W336" s="41">
        <f t="shared" si="35"/>
        <v>-5.6616022056185059E-4</v>
      </c>
      <c r="X336" s="43">
        <f t="shared" si="36"/>
        <v>4.2431404349286108E-4</v>
      </c>
      <c r="Y336" s="41">
        <f t="shared" si="37"/>
        <v>1.6604713266305214E-3</v>
      </c>
      <c r="Z336" s="62"/>
    </row>
    <row r="337" spans="15:26" x14ac:dyDescent="0.25">
      <c r="O337" s="45" t="s">
        <v>33</v>
      </c>
      <c r="P337" s="39">
        <f>_xll.qlCalendarAdvance(Calendar,P336,O336,"f",,Trigger)</f>
        <v>43027</v>
      </c>
      <c r="Q337" s="39">
        <f>_xll.qlInterestRateIndexValueDate(Index,P337,Trigger)</f>
        <v>43031</v>
      </c>
      <c r="R337" s="39">
        <f>_xll.qlInterestRateIndexMaturity(Index,Q337,Trigger)</f>
        <v>43123</v>
      </c>
      <c r="S337" s="40">
        <f>_xll.qlDayCounterYearFraction(DayCounter,Q337,R337,,,Trigger)</f>
        <v>0.25555555555555554</v>
      </c>
      <c r="T337" s="41">
        <f>_xll.qlIndexFixing(Index,P337,,AllTriggers)</f>
        <v>1.1225295124098322E-3</v>
      </c>
      <c r="U337" s="42">
        <f>_xll.qlYieldTSDiscount(OisCurve,Q337,,AllTriggers)</f>
        <v>1.0034147072582136</v>
      </c>
      <c r="V337" s="42">
        <f>_xll.qlYieldTSDiscount(OisCurve,R337,,AllTriggers)</f>
        <v>1.0035536149328181</v>
      </c>
      <c r="W337" s="41">
        <f t="shared" si="35"/>
        <v>-5.4162703626777734E-4</v>
      </c>
      <c r="X337" s="43">
        <f t="shared" si="36"/>
        <v>4.2525289273466607E-4</v>
      </c>
      <c r="Y337" s="41">
        <f t="shared" si="37"/>
        <v>1.6641565486776094E-3</v>
      </c>
      <c r="Z337" s="62"/>
    </row>
    <row r="338" spans="15:26" x14ac:dyDescent="0.25">
      <c r="O338" s="45" t="s">
        <v>33</v>
      </c>
      <c r="P338" s="39">
        <f>_xll.qlCalendarAdvance(Calendar,P337,O337,"f",,Trigger)</f>
        <v>43034</v>
      </c>
      <c r="Q338" s="39">
        <f>_xll.qlInterestRateIndexValueDate(Index,P338,Trigger)</f>
        <v>43038</v>
      </c>
      <c r="R338" s="39">
        <f>_xll.qlInterestRateIndexMaturity(Index,Q338,Trigger)</f>
        <v>43130</v>
      </c>
      <c r="S338" s="40">
        <f>_xll.qlDayCounterYearFraction(DayCounter,Q338,R338,,,Trigger)</f>
        <v>0.25555555555555554</v>
      </c>
      <c r="T338" s="41">
        <f>_xll.qlIndexFixing(Index,P338,,AllTriggers)</f>
        <v>1.1511659702904662E-3</v>
      </c>
      <c r="U338" s="42">
        <f>_xll.qlYieldTSDiscount(OisCurve,Q338,,AllTriggers)</f>
        <v>1.0034281292086913</v>
      </c>
      <c r="V338" s="42">
        <f>_xll.qlYieldTSDiscount(OisCurve,R338,,AllTriggers)</f>
        <v>1.0035606612852892</v>
      </c>
      <c r="W338" s="41">
        <f t="shared" si="35"/>
        <v>-5.1676375728777096E-4</v>
      </c>
      <c r="X338" s="43">
        <f t="shared" si="36"/>
        <v>4.2621416462363277E-4</v>
      </c>
      <c r="Y338" s="41">
        <f t="shared" si="37"/>
        <v>1.6679297275782371E-3</v>
      </c>
      <c r="Z338" s="62"/>
    </row>
    <row r="339" spans="15:26" x14ac:dyDescent="0.25">
      <c r="O339" s="45" t="s">
        <v>33</v>
      </c>
      <c r="P339" s="39">
        <f>_xll.qlCalendarAdvance(Calendar,P338,O338,"f",,Trigger)</f>
        <v>43041</v>
      </c>
      <c r="Q339" s="39">
        <f>_xll.qlInterestRateIndexValueDate(Index,P339,Trigger)</f>
        <v>43045</v>
      </c>
      <c r="R339" s="39">
        <f>_xll.qlInterestRateIndexMaturity(Index,Q339,Trigger)</f>
        <v>43137</v>
      </c>
      <c r="S339" s="40">
        <f>_xll.qlDayCounterYearFraction(DayCounter,Q339,R339,,,Trigger)</f>
        <v>0.25555555555555554</v>
      </c>
      <c r="T339" s="41">
        <f>_xll.qlIndexFixing(Index,P339,,AllTriggers)</f>
        <v>1.1802204888841047E-3</v>
      </c>
      <c r="U339" s="42">
        <f>_xll.qlYieldTSDiscount(OisCurve,Q339,,AllTriggers)</f>
        <v>1.0034411052472814</v>
      </c>
      <c r="V339" s="42">
        <f>_xll.qlYieldTSDiscount(OisCurve,R339,,AllTriggers)</f>
        <v>1.0035671769095498</v>
      </c>
      <c r="W339" s="41">
        <f t="shared" si="35"/>
        <v>-4.9157037733338349E-4</v>
      </c>
      <c r="X339" s="43">
        <f t="shared" si="36"/>
        <v>4.2719785916057275E-4</v>
      </c>
      <c r="Y339" s="41">
        <f t="shared" si="37"/>
        <v>1.6717908662174882E-3</v>
      </c>
      <c r="Z339" s="62"/>
    </row>
    <row r="340" spans="15:26" x14ac:dyDescent="0.25">
      <c r="O340" s="45" t="s">
        <v>33</v>
      </c>
      <c r="P340" s="39">
        <f>_xll.qlCalendarAdvance(Calendar,P339,O339,"f",,Trigger)</f>
        <v>43048</v>
      </c>
      <c r="Q340" s="39">
        <f>_xll.qlInterestRateIndexValueDate(Index,P340,Trigger)</f>
        <v>43052</v>
      </c>
      <c r="R340" s="39">
        <f>_xll.qlInterestRateIndexMaturity(Index,Q340,Trigger)</f>
        <v>43144</v>
      </c>
      <c r="S340" s="40">
        <f>_xll.qlDayCounterYearFraction(DayCounter,Q340,R340,,,Trigger)</f>
        <v>0.25555555555555554</v>
      </c>
      <c r="T340" s="41">
        <f>_xll.qlIndexFixing(Index,P340,,AllTriggers)</f>
        <v>1.2096930774954783E-3</v>
      </c>
      <c r="U340" s="42">
        <f>_xll.qlYieldTSDiscount(OisCurve,Q340,,AllTriggers)</f>
        <v>1.0034536289181568</v>
      </c>
      <c r="V340" s="42">
        <f>_xll.qlYieldTSDiscount(OisCurve,R340,,AllTriggers)</f>
        <v>1.0035731553559712</v>
      </c>
      <c r="W340" s="41">
        <f t="shared" si="35"/>
        <v>-4.6604689002841107E-4</v>
      </c>
      <c r="X340" s="43">
        <f t="shared" si="36"/>
        <v>4.2820397634478919E-4</v>
      </c>
      <c r="Y340" s="41">
        <f t="shared" si="37"/>
        <v>1.6757399675238894E-3</v>
      </c>
      <c r="Z340" s="62"/>
    </row>
    <row r="341" spans="15:26" x14ac:dyDescent="0.25">
      <c r="O341" s="45" t="s">
        <v>33</v>
      </c>
      <c r="P341" s="39">
        <f>_xll.qlCalendarAdvance(Calendar,P340,O340,"f",,Trigger)</f>
        <v>43055</v>
      </c>
      <c r="Q341" s="39">
        <f>_xll.qlInterestRateIndexValueDate(Index,P341,Trigger)</f>
        <v>43059</v>
      </c>
      <c r="R341" s="39">
        <f>_xll.qlInterestRateIndexMaturity(Index,Q341,Trigger)</f>
        <v>43151</v>
      </c>
      <c r="S341" s="40">
        <f>_xll.qlDayCounterYearFraction(DayCounter,Q341,R341,,,Trigger)</f>
        <v>0.25555555555555554</v>
      </c>
      <c r="T341" s="41">
        <f>_xll.qlIndexFixing(Index,P341,,AllTriggers)</f>
        <v>1.2395837455674685E-3</v>
      </c>
      <c r="U341" s="42">
        <f>_xll.qlYieldTSDiscount(OisCurve,Q341,,AllTriggers)</f>
        <v>1.0034656937657742</v>
      </c>
      <c r="V341" s="42">
        <f>_xll.qlYieldTSDiscount(OisCurve,R341,,AllTriggers)</f>
        <v>1.0035785901756273</v>
      </c>
      <c r="W341" s="41">
        <f t="shared" si="35"/>
        <v>-4.4019328891584472E-4</v>
      </c>
      <c r="X341" s="43">
        <f t="shared" si="36"/>
        <v>4.2923251617718399E-4</v>
      </c>
      <c r="Y341" s="41">
        <f t="shared" si="37"/>
        <v>1.6797770344833133E-3</v>
      </c>
      <c r="Z341" s="62"/>
    </row>
    <row r="342" spans="15:26" x14ac:dyDescent="0.25">
      <c r="O342" s="45" t="s">
        <v>33</v>
      </c>
      <c r="P342" s="39">
        <f>_xll.qlCalendarAdvance(Calendar,P341,O341,"f",,Trigger)</f>
        <v>43062</v>
      </c>
      <c r="Q342" s="39">
        <f>_xll.qlInterestRateIndexValueDate(Index,P342,Trigger)</f>
        <v>43066</v>
      </c>
      <c r="R342" s="39">
        <f>_xll.qlInterestRateIndexMaturity(Index,Q342,Trigger)</f>
        <v>43158</v>
      </c>
      <c r="S342" s="40">
        <f>_xll.qlDayCounterYearFraction(DayCounter,Q342,R342,,,Trigger)</f>
        <v>0.25555555555555554</v>
      </c>
      <c r="T342" s="41">
        <f>_xll.qlIndexFixing(Index,P342,,AllTriggers)</f>
        <v>1.2698925026724177E-3</v>
      </c>
      <c r="U342" s="42">
        <f>_xll.qlYieldTSDiscount(OisCurve,Q342,,AllTriggers)</f>
        <v>1.0034772933349045</v>
      </c>
      <c r="V342" s="42">
        <f>_xll.qlYieldTSDiscount(OisCurve,R342,,AllTriggers)</f>
        <v>1.0035834749203285</v>
      </c>
      <c r="W342" s="41">
        <f t="shared" si="35"/>
        <v>-4.1400956745309202E-4</v>
      </c>
      <c r="X342" s="43">
        <f t="shared" si="36"/>
        <v>4.3028347865715075E-4</v>
      </c>
      <c r="Y342" s="41">
        <f t="shared" si="37"/>
        <v>1.6839020701255097E-3</v>
      </c>
      <c r="Z342" s="62"/>
    </row>
    <row r="343" spans="15:26" x14ac:dyDescent="0.25">
      <c r="O343" s="45" t="s">
        <v>33</v>
      </c>
      <c r="P343" s="39">
        <f>_xll.qlCalendarAdvance(Calendar,P342,O342,"f",,Trigger)</f>
        <v>43069</v>
      </c>
      <c r="Q343" s="39">
        <f>_xll.qlInterestRateIndexValueDate(Index,P343,Trigger)</f>
        <v>43073</v>
      </c>
      <c r="R343" s="39">
        <f>_xll.qlInterestRateIndexMaturity(Index,Q343,Trigger)</f>
        <v>43164</v>
      </c>
      <c r="S343" s="40">
        <f>_xll.qlDayCounterYearFraction(DayCounter,Q343,R343,,,Trigger)</f>
        <v>0.25277777777777777</v>
      </c>
      <c r="T343" s="41">
        <f>_xll.qlIndexFixing(Index,P343,,AllTriggers)</f>
        <v>1.2983433516519985E-3</v>
      </c>
      <c r="U343" s="42">
        <f>_xll.qlYieldTSDiscount(OisCurve,Q343,,AllTriggers)</f>
        <v>1.0034884211706621</v>
      </c>
      <c r="V343" s="42">
        <f>_xll.qlYieldTSDiscount(OisCurve,R343,,AllTriggers)</f>
        <v>1.0035872191423212</v>
      </c>
      <c r="W343" s="41">
        <f t="shared" si="35"/>
        <v>-3.8945206873529538E-4</v>
      </c>
      <c r="X343" s="43">
        <f t="shared" si="36"/>
        <v>4.2658817839118804E-4</v>
      </c>
      <c r="Y343" s="41">
        <f t="shared" si="37"/>
        <v>1.6877954203872939E-3</v>
      </c>
      <c r="Z343" s="62"/>
    </row>
    <row r="344" spans="15:26" x14ac:dyDescent="0.25">
      <c r="O344" s="45" t="s">
        <v>33</v>
      </c>
      <c r="P344" s="39">
        <f>_xll.qlCalendarAdvance(Calendar,P343,O343,"f",,Trigger)</f>
        <v>43076</v>
      </c>
      <c r="Q344" s="39">
        <f>_xll.qlInterestRateIndexValueDate(Index,P344,Trigger)</f>
        <v>43080</v>
      </c>
      <c r="R344" s="39">
        <f>_xll.qlInterestRateIndexMaturity(Index,Q344,Trigger)</f>
        <v>43171</v>
      </c>
      <c r="S344" s="40">
        <f>_xll.qlDayCounterYearFraction(DayCounter,Q344,R344,,,Trigger)</f>
        <v>0.25277777777777777</v>
      </c>
      <c r="T344" s="41">
        <f>_xll.qlIndexFixing(Index,P344,,AllTriggers)</f>
        <v>1.329458336795134E-3</v>
      </c>
      <c r="U344" s="42">
        <f>_xll.qlYieldTSDiscount(OisCurve,Q344,,AllTriggers)</f>
        <v>1.0034990708185352</v>
      </c>
      <c r="V344" s="42">
        <f>_xll.qlYieldTSDiscount(OisCurve,R344,,AllTriggers)</f>
        <v>1.0035910652144675</v>
      </c>
      <c r="W344" s="41">
        <f t="shared" si="35"/>
        <v>-3.6263164014956436E-4</v>
      </c>
      <c r="X344" s="43">
        <f t="shared" si="36"/>
        <v>4.2767049100308661E-4</v>
      </c>
      <c r="Y344" s="41">
        <f t="shared" si="37"/>
        <v>1.6920899769446985E-3</v>
      </c>
      <c r="Z344" s="62"/>
    </row>
    <row r="345" spans="15:26" x14ac:dyDescent="0.25">
      <c r="O345" s="45" t="s">
        <v>33</v>
      </c>
      <c r="P345" s="39">
        <f>_xll.qlCalendarAdvance(Calendar,P344,O344,"f",,Trigger)</f>
        <v>43083</v>
      </c>
      <c r="Q345" s="39">
        <f>_xll.qlInterestRateIndexValueDate(Index,P345,Trigger)</f>
        <v>43087</v>
      </c>
      <c r="R345" s="39">
        <f>_xll.qlInterestRateIndexMaturity(Index,Q345,Trigger)</f>
        <v>43178</v>
      </c>
      <c r="S345" s="40">
        <f>_xll.qlDayCounterYearFraction(DayCounter,Q345,R345,,,Trigger)</f>
        <v>0.25277777777777777</v>
      </c>
      <c r="T345" s="41">
        <f>_xll.qlIndexFixing(Index,P345,,AllTriggers)</f>
        <v>1.3609914355075313E-3</v>
      </c>
      <c r="U345" s="42">
        <f>_xll.qlYieldTSDiscount(OisCurve,Q345,,AllTriggers)</f>
        <v>1.0035092358244158</v>
      </c>
      <c r="V345" s="42">
        <f>_xll.qlYieldTSDiscount(OisCurve,R345,,AllTriggers)</f>
        <v>1.0035943427926368</v>
      </c>
      <c r="W345" s="41">
        <f t="shared" si="35"/>
        <v>-3.354810732704271E-4</v>
      </c>
      <c r="X345" s="43">
        <f t="shared" si="36"/>
        <v>4.2877498253878561E-4</v>
      </c>
      <c r="Y345" s="41">
        <f t="shared" si="37"/>
        <v>1.6964725087779584E-3</v>
      </c>
      <c r="Z345" s="62"/>
    </row>
    <row r="346" spans="15:26" x14ac:dyDescent="0.25">
      <c r="O346" s="45" t="s">
        <v>33</v>
      </c>
      <c r="P346" s="39">
        <f>_xll.qlCalendarAdvance(Calendar,P345,O345,"f",,Trigger)</f>
        <v>43090</v>
      </c>
      <c r="Q346" s="39">
        <f>_xll.qlInterestRateIndexValueDate(Index,P346,Trigger)</f>
        <v>43096</v>
      </c>
      <c r="R346" s="39">
        <f>_xll.qlInterestRateIndexMaturity(Index,Q346,Trigger)</f>
        <v>43186</v>
      </c>
      <c r="S346" s="40">
        <f>_xll.qlDayCounterYearFraction(DayCounter,Q346,R346,,,Trigger)</f>
        <v>0.25</v>
      </c>
      <c r="T346" s="41">
        <f>_xll.qlIndexFixing(Index,P346,,AllTriggers)</f>
        <v>1.3997767114286574E-3</v>
      </c>
      <c r="U346" s="42">
        <f>_xll.qlYieldTSDiscount(OisCurve,Q346,,AllTriggers)</f>
        <v>1.0035215826046495</v>
      </c>
      <c r="V346" s="42">
        <f>_xll.qlYieldTSDiscount(OisCurve,R346,,AllTriggers)</f>
        <v>1.0035973842135697</v>
      </c>
      <c r="W346" s="41">
        <f t="shared" si="35"/>
        <v>-3.021195954175937E-4</v>
      </c>
      <c r="X346" s="43">
        <f t="shared" si="36"/>
        <v>4.2541571305535278E-4</v>
      </c>
      <c r="Y346" s="41">
        <f t="shared" si="37"/>
        <v>1.7018963068462512E-3</v>
      </c>
      <c r="Z346" s="62"/>
    </row>
    <row r="347" spans="15:26" x14ac:dyDescent="0.25">
      <c r="O347" s="45" t="s">
        <v>33</v>
      </c>
      <c r="P347" s="39">
        <f>_xll.qlCalendarAdvance(Calendar,P346,O346,"f",,Trigger)</f>
        <v>43097</v>
      </c>
      <c r="Q347" s="39">
        <f>_xll.qlInterestRateIndexValueDate(Index,P347,Trigger)</f>
        <v>43102</v>
      </c>
      <c r="R347" s="39">
        <f>_xll.qlInterestRateIndexMaturity(Index,Q347,Trigger)</f>
        <v>43193</v>
      </c>
      <c r="S347" s="40">
        <f>_xll.qlDayCounterYearFraction(DayCounter,Q347,R347,,,Trigger)</f>
        <v>0.25277777777777777</v>
      </c>
      <c r="T347" s="41">
        <f>_xll.qlIndexFixing(Index,P347,,AllTriggers)</f>
        <v>1.4299703413967037E-3</v>
      </c>
      <c r="U347" s="42">
        <f>_xll.qlYieldTSDiscount(OisCurve,Q347,,AllTriggers)</f>
        <v>1.0035293560122474</v>
      </c>
      <c r="V347" s="42">
        <f>_xll.qlYieldTSDiscount(OisCurve,R347,,AllTriggers)</f>
        <v>1.0035994218889321</v>
      </c>
      <c r="W347" s="41">
        <f t="shared" si="35"/>
        <v>-2.761895652172539E-4</v>
      </c>
      <c r="X347" s="43">
        <f t="shared" si="36"/>
        <v>4.3121643424348281E-4</v>
      </c>
      <c r="Y347" s="41">
        <f t="shared" si="37"/>
        <v>1.7061599066139576E-3</v>
      </c>
      <c r="Z347" s="62"/>
    </row>
    <row r="348" spans="15:26" x14ac:dyDescent="0.25">
      <c r="O348" s="45" t="s">
        <v>33</v>
      </c>
      <c r="P348" s="39">
        <f>_xll.qlCalendarAdvance(Calendar,P347,O347,"f",,Trigger)</f>
        <v>43104</v>
      </c>
      <c r="Q348" s="39">
        <f>_xll.qlInterestRateIndexValueDate(Index,P348,Trigger)</f>
        <v>43108</v>
      </c>
      <c r="R348" s="39">
        <f>_xll.qlInterestRateIndexMaturity(Index,Q348,Trigger)</f>
        <v>43199</v>
      </c>
      <c r="S348" s="40">
        <f>_xll.qlDayCounterYearFraction(DayCounter,Q348,R348,,,Trigger)</f>
        <v>0.25277777777777777</v>
      </c>
      <c r="T348" s="41">
        <f>_xll.qlIndexFixing(Index,P348,,AllTriggers)</f>
        <v>1.458099513623367E-3</v>
      </c>
      <c r="U348" s="42">
        <f>_xll.qlYieldTSDiscount(OisCurve,Q348,,AllTriggers)</f>
        <v>1.0035367584557413</v>
      </c>
      <c r="V348" s="42">
        <f>_xll.qlYieldTSDiscount(OisCurve,R348,,AllTriggers)</f>
        <v>1.0036007001177358</v>
      </c>
      <c r="W348" s="41">
        <f t="shared" si="35"/>
        <v>-2.5204847450089631E-4</v>
      </c>
      <c r="X348" s="43">
        <f t="shared" si="36"/>
        <v>4.3222153068393743E-4</v>
      </c>
      <c r="Y348" s="41">
        <f t="shared" si="37"/>
        <v>1.7101479881242634E-3</v>
      </c>
      <c r="Z348" s="62"/>
    </row>
    <row r="349" spans="15:26" x14ac:dyDescent="0.25">
      <c r="O349" s="45" t="s">
        <v>33</v>
      </c>
      <c r="P349" s="39">
        <f>_xll.qlCalendarAdvance(Calendar,P348,O348,"f",,Trigger)</f>
        <v>43111</v>
      </c>
      <c r="Q349" s="39">
        <f>_xll.qlInterestRateIndexValueDate(Index,P349,Trigger)</f>
        <v>43115</v>
      </c>
      <c r="R349" s="39">
        <f>_xll.qlInterestRateIndexMaturity(Index,Q349,Trigger)</f>
        <v>43206</v>
      </c>
      <c r="S349" s="40">
        <f>_xll.qlDayCounterYearFraction(DayCounter,Q349,R349,,,Trigger)</f>
        <v>0.25277777777777777</v>
      </c>
      <c r="T349" s="41">
        <f>_xll.qlIndexFixing(Index,P349,,AllTriggers)</f>
        <v>1.491305167841726E-3</v>
      </c>
      <c r="U349" s="42">
        <f>_xll.qlYieldTSDiscount(OisCurve,Q349,,AllTriggers)</f>
        <v>1.0035449203617499</v>
      </c>
      <c r="V349" s="42">
        <f>_xll.qlYieldTSDiscount(OisCurve,R349,,AllTriggers)</f>
        <v>1.0036016392791562</v>
      </c>
      <c r="W349" s="41">
        <f t="shared" si="35"/>
        <v>-2.235772856644742E-4</v>
      </c>
      <c r="X349" s="43">
        <f t="shared" si="36"/>
        <v>4.3341473791203293E-4</v>
      </c>
      <c r="Y349" s="41">
        <f t="shared" si="37"/>
        <v>1.7148824535062003E-3</v>
      </c>
      <c r="Z349" s="62"/>
    </row>
    <row r="350" spans="15:26" x14ac:dyDescent="0.25">
      <c r="O350" s="45" t="s">
        <v>33</v>
      </c>
      <c r="P350" s="39">
        <f>_xll.qlCalendarAdvance(Calendar,P349,O349,"f",,Trigger)</f>
        <v>43118</v>
      </c>
      <c r="Q350" s="39">
        <f>_xll.qlInterestRateIndexValueDate(Index,P350,Trigger)</f>
        <v>43122</v>
      </c>
      <c r="R350" s="39">
        <f>_xll.qlInterestRateIndexMaturity(Index,Q350,Trigger)</f>
        <v>43213</v>
      </c>
      <c r="S350" s="40">
        <f>_xll.qlDayCounterYearFraction(DayCounter,Q350,R350,,,Trigger)</f>
        <v>0.25277777777777777</v>
      </c>
      <c r="T350" s="41">
        <f>_xll.qlIndexFixing(Index,P350,,AllTriggers)</f>
        <v>1.524928986908767E-3</v>
      </c>
      <c r="U350" s="42">
        <f>_xll.qlYieldTSDiscount(OisCurve,Q350,,AllTriggers)</f>
        <v>1.0035525653623871</v>
      </c>
      <c r="V350" s="42">
        <f>_xll.qlYieldTSDiscount(OisCurve,R350,,AllTriggers)</f>
        <v>1.0036019777310168</v>
      </c>
      <c r="W350" s="41">
        <f t="shared" si="35"/>
        <v>-1.9477592373127697E-4</v>
      </c>
      <c r="X350" s="43">
        <f t="shared" si="36"/>
        <v>4.3463012406346992E-4</v>
      </c>
      <c r="Y350" s="41">
        <f t="shared" si="37"/>
        <v>1.7197049106400439E-3</v>
      </c>
      <c r="Z350" s="62"/>
    </row>
    <row r="351" spans="15:26" x14ac:dyDescent="0.25">
      <c r="O351" s="45" t="s">
        <v>33</v>
      </c>
      <c r="P351" s="39">
        <f>_xll.qlCalendarAdvance(Calendar,P350,O350,"f",,Trigger)</f>
        <v>43125</v>
      </c>
      <c r="Q351" s="39">
        <f>_xll.qlInterestRateIndexValueDate(Index,P351,Trigger)</f>
        <v>43129</v>
      </c>
      <c r="R351" s="39">
        <f>_xll.qlInterestRateIndexMaturity(Index,Q351,Trigger)</f>
        <v>43220</v>
      </c>
      <c r="S351" s="40">
        <f>_xll.qlDayCounterYearFraction(DayCounter,Q351,R351,,,Trigger)</f>
        <v>0.25277777777777777</v>
      </c>
      <c r="T351" s="41">
        <f>_xll.qlIndexFixing(Index,P351,,AllTriggers)</f>
        <v>1.5589649813079151E-3</v>
      </c>
      <c r="U351" s="42">
        <f>_xll.qlYieldTSDiscount(OisCurve,Q351,,AllTriggers)</f>
        <v>1.0035596870066341</v>
      </c>
      <c r="V351" s="42">
        <f>_xll.qlYieldTSDiscount(OisCurve,R351,,AllTriggers)</f>
        <v>1.0036017102256418</v>
      </c>
      <c r="W351" s="41">
        <f t="shared" si="35"/>
        <v>-1.6564908157816092E-4</v>
      </c>
      <c r="X351" s="43">
        <f t="shared" si="36"/>
        <v>4.3586736115340974E-4</v>
      </c>
      <c r="Y351" s="41">
        <f t="shared" si="37"/>
        <v>1.7246140628860759E-3</v>
      </c>
      <c r="Z351" s="62"/>
    </row>
    <row r="352" spans="15:26" x14ac:dyDescent="0.25">
      <c r="O352" s="45" t="s">
        <v>33</v>
      </c>
      <c r="P352" s="39">
        <f>_xll.qlCalendarAdvance(Calendar,P351,O351,"f",,Trigger)</f>
        <v>43132</v>
      </c>
      <c r="Q352" s="39">
        <f>_xll.qlInterestRateIndexValueDate(Index,P352,Trigger)</f>
        <v>43136</v>
      </c>
      <c r="R352" s="39">
        <f>_xll.qlInterestRateIndexMaturity(Index,Q352,Trigger)</f>
        <v>43227</v>
      </c>
      <c r="S352" s="40">
        <f>_xll.qlDayCounterYearFraction(DayCounter,Q352,R352,,,Trigger)</f>
        <v>0.25277777777777777</v>
      </c>
      <c r="T352" s="41">
        <f>_xll.qlIndexFixing(Index,P352,,AllTriggers)</f>
        <v>1.5933701323086139E-3</v>
      </c>
      <c r="U352" s="42">
        <f>_xll.qlYieldTSDiscount(OisCurve,Q352,,AllTriggers)</f>
        <v>1.0035662788441018</v>
      </c>
      <c r="V352" s="42">
        <f>_xll.qlYieldTSDiscount(OisCurve,R352,,AllTriggers)</f>
        <v>1.0036008388751394</v>
      </c>
      <c r="W352" s="41">
        <f t="shared" si="35"/>
        <v>-1.3623045797812888E-4</v>
      </c>
      <c r="X352" s="43">
        <f t="shared" si="36"/>
        <v>4.3712409710553384E-4</v>
      </c>
      <c r="Y352" s="41">
        <f t="shared" si="37"/>
        <v>1.7296005902867429E-3</v>
      </c>
      <c r="Z352" s="62"/>
    </row>
    <row r="353" spans="15:26" x14ac:dyDescent="0.25">
      <c r="O353" s="45" t="s">
        <v>33</v>
      </c>
      <c r="P353" s="39">
        <f>_xll.qlCalendarAdvance(Calendar,P352,O352,"f",,Trigger)</f>
        <v>43139</v>
      </c>
      <c r="Q353" s="39">
        <f>_xll.qlInterestRateIndexValueDate(Index,P353,Trigger)</f>
        <v>43143</v>
      </c>
      <c r="R353" s="39">
        <f>_xll.qlInterestRateIndexMaturity(Index,Q353,Trigger)</f>
        <v>43234</v>
      </c>
      <c r="S353" s="40">
        <f>_xll.qlDayCounterYearFraction(DayCounter,Q353,R353,,,Trigger)</f>
        <v>0.25277777777777777</v>
      </c>
      <c r="T353" s="41">
        <f>_xll.qlIndexFixing(Index,P353,,AllTriggers)</f>
        <v>1.6280873080406404E-3</v>
      </c>
      <c r="U353" s="42">
        <f>_xll.qlYieldTSDiscount(OisCurve,Q353,,AllTriggers)</f>
        <v>1.0035723344250638</v>
      </c>
      <c r="V353" s="42">
        <f>_xll.qlYieldTSDiscount(OisCurve,R353,,AllTriggers)</f>
        <v>1.0035993685970597</v>
      </c>
      <c r="W353" s="41">
        <f t="shared" si="35"/>
        <v>-1.0656480671208184E-4</v>
      </c>
      <c r="X353" s="43">
        <f t="shared" si="36"/>
        <v>4.3839720847299991E-4</v>
      </c>
      <c r="Y353" s="41">
        <f t="shared" si="37"/>
        <v>1.7346521147527222E-3</v>
      </c>
      <c r="Z353" s="62"/>
    </row>
    <row r="354" spans="15:26" x14ac:dyDescent="0.25">
      <c r="O354" s="45" t="s">
        <v>33</v>
      </c>
      <c r="P354" s="39">
        <f>_xll.qlCalendarAdvance(Calendar,P353,O353,"f",,Trigger)</f>
        <v>43146</v>
      </c>
      <c r="Q354" s="39">
        <f>_xll.qlInterestRateIndexValueDate(Index,P354,Trigger)</f>
        <v>43150</v>
      </c>
      <c r="R354" s="39">
        <f>_xll.qlInterestRateIndexMaturity(Index,Q354,Trigger)</f>
        <v>43241</v>
      </c>
      <c r="S354" s="40">
        <f>_xll.qlDayCounterYearFraction(DayCounter,Q354,R354,,,Trigger)</f>
        <v>0.25277777777777777</v>
      </c>
      <c r="T354" s="41">
        <f>_xll.qlIndexFixing(Index,P354,,AllTriggers)</f>
        <v>1.6630593469318152E-3</v>
      </c>
      <c r="U354" s="42">
        <f>_xll.qlYieldTSDiscount(OisCurve,Q354,,AllTriggers)</f>
        <v>1.0035778473004908</v>
      </c>
      <c r="V354" s="42">
        <f>_xll.qlYieldTSDiscount(OisCurve,R354,,AllTriggers)</f>
        <v>1.0035973043155217</v>
      </c>
      <c r="W354" s="41">
        <f t="shared" si="35"/>
        <v>-7.6696904609736361E-5</v>
      </c>
      <c r="X354" s="43">
        <f t="shared" si="36"/>
        <v>4.3968357029007928E-4</v>
      </c>
      <c r="Y354" s="41">
        <f t="shared" si="37"/>
        <v>1.7397562515415515E-3</v>
      </c>
      <c r="Z354" s="62"/>
    </row>
    <row r="355" spans="15:26" x14ac:dyDescent="0.25">
      <c r="O355" s="45" t="s">
        <v>33</v>
      </c>
      <c r="P355" s="39">
        <f>_xll.qlCalendarAdvance(Calendar,P354,O354,"f",,Trigger)</f>
        <v>43153</v>
      </c>
      <c r="Q355" s="39">
        <f>_xll.qlInterestRateIndexValueDate(Index,P355,Trigger)</f>
        <v>43157</v>
      </c>
      <c r="R355" s="39">
        <f>_xll.qlInterestRateIndexMaturity(Index,Q355,Trigger)</f>
        <v>43248</v>
      </c>
      <c r="S355" s="40">
        <f>_xll.qlDayCounterYearFraction(DayCounter,Q355,R355,,,Trigger)</f>
        <v>0.25277777777777777</v>
      </c>
      <c r="T355" s="41">
        <f>_xll.qlIndexFixing(Index,P355,,AllTriggers)</f>
        <v>1.6982290854484516E-3</v>
      </c>
      <c r="U355" s="42">
        <f>_xll.qlYieldTSDiscount(OisCurve,Q355,,AllTriggers)</f>
        <v>1.0035828110220866</v>
      </c>
      <c r="V355" s="42">
        <f>_xll.qlYieldTSDiscount(OisCurve,R355,,AllTriggers)</f>
        <v>1.0035946509556655</v>
      </c>
      <c r="W355" s="41">
        <f t="shared" si="35"/>
        <v>-4.6671529815361872E-5</v>
      </c>
      <c r="X355" s="43">
        <f t="shared" si="36"/>
        <v>4.4098005759074494E-4</v>
      </c>
      <c r="Y355" s="41">
        <f t="shared" si="37"/>
        <v>1.7449006152638134E-3</v>
      </c>
      <c r="Z355" s="62"/>
    </row>
    <row r="356" spans="15:26" x14ac:dyDescent="0.25">
      <c r="O356" s="45" t="s">
        <v>33</v>
      </c>
      <c r="P356" s="39">
        <f>_xll.qlCalendarAdvance(Calendar,P355,O355,"f",,Trigger)</f>
        <v>43160</v>
      </c>
      <c r="Q356" s="39">
        <f>_xll.qlInterestRateIndexValueDate(Index,P356,Trigger)</f>
        <v>43164</v>
      </c>
      <c r="R356" s="39">
        <f>_xll.qlInterestRateIndexMaturity(Index,Q356,Trigger)</f>
        <v>43256</v>
      </c>
      <c r="S356" s="40">
        <f>_xll.qlDayCounterYearFraction(DayCounter,Q356,R356,,,Trigger)</f>
        <v>0.25555555555555554</v>
      </c>
      <c r="T356" s="41">
        <f>_xll.qlIndexFixing(Index,P356,,AllTriggers)</f>
        <v>1.736084342130679E-3</v>
      </c>
      <c r="U356" s="42">
        <f>_xll.qlYieldTSDiscount(OisCurve,Q356,,AllTriggers)</f>
        <v>1.0035872191423212</v>
      </c>
      <c r="V356" s="42">
        <f>_xll.qlYieldTSDiscount(OisCurve,R356,,AllTriggers)</f>
        <v>1.0035909035432902</v>
      </c>
      <c r="W356" s="41">
        <f t="shared" si="35"/>
        <v>-1.4365635571111925E-5</v>
      </c>
      <c r="X356" s="43">
        <f t="shared" si="36"/>
        <v>4.4723883260420989E-4</v>
      </c>
      <c r="Y356" s="41">
        <f t="shared" si="37"/>
        <v>1.7504499777017909E-3</v>
      </c>
      <c r="Z356" s="62"/>
    </row>
    <row r="357" spans="15:26" x14ac:dyDescent="0.25">
      <c r="O357" s="45" t="s">
        <v>33</v>
      </c>
      <c r="P357" s="39">
        <f>_xll.qlCalendarAdvance(Calendar,P356,O356,"f",,Trigger)</f>
        <v>43167</v>
      </c>
      <c r="Q357" s="39">
        <f>_xll.qlInterestRateIndexValueDate(Index,P357,Trigger)</f>
        <v>43171</v>
      </c>
      <c r="R357" s="39">
        <f>_xll.qlInterestRateIndexMaturity(Index,Q357,Trigger)</f>
        <v>43263</v>
      </c>
      <c r="S357" s="40">
        <f>_xll.qlDayCounterYearFraction(DayCounter,Q357,R357,,,Trigger)</f>
        <v>0.25555555555555554</v>
      </c>
      <c r="T357" s="41">
        <f>_xll.qlIndexFixing(Index,P357,,AllTriggers)</f>
        <v>1.7714686764819486E-3</v>
      </c>
      <c r="U357" s="42">
        <f>_xll.qlYieldTSDiscount(OisCurve,Q357,,AllTriggers)</f>
        <v>1.0035910652144675</v>
      </c>
      <c r="V357" s="42">
        <f>_xll.qlYieldTSDiscount(OisCurve,R357,,AllTriggers)</f>
        <v>1.0035870044619761</v>
      </c>
      <c r="W357" s="41">
        <f t="shared" si="35"/>
        <v>1.5833107625854005E-5</v>
      </c>
      <c r="X357" s="43">
        <f t="shared" si="36"/>
        <v>4.4855998968824641E-4</v>
      </c>
      <c r="Y357" s="41">
        <f t="shared" si="37"/>
        <v>1.7556355688560946E-3</v>
      </c>
      <c r="Z357" s="62"/>
    </row>
    <row r="358" spans="15:26" x14ac:dyDescent="0.25">
      <c r="O358" s="45" t="s">
        <v>33</v>
      </c>
      <c r="P358" s="39">
        <f>_xll.qlCalendarAdvance(Calendar,P357,O357,"f",,Trigger)</f>
        <v>43174</v>
      </c>
      <c r="Q358" s="39">
        <f>_xll.qlInterestRateIndexValueDate(Index,P358,Trigger)</f>
        <v>43178</v>
      </c>
      <c r="R358" s="39">
        <f>_xll.qlInterestRateIndexMaturity(Index,Q358,Trigger)</f>
        <v>43270</v>
      </c>
      <c r="S358" s="40">
        <f>_xll.qlDayCounterYearFraction(DayCounter,Q358,R358,,,Trigger)</f>
        <v>0.25555555555555554</v>
      </c>
      <c r="T358" s="41">
        <f>_xll.qlIndexFixing(Index,P358,,AllTriggers)</f>
        <v>1.8068753938503968E-3</v>
      </c>
      <c r="U358" s="42">
        <f>_xll.qlYieldTSDiscount(OisCurve,Q358,,AllTriggers)</f>
        <v>1.0035943427926368</v>
      </c>
      <c r="V358" s="42">
        <f>_xll.qlYieldTSDiscount(OisCurve,R358,,AllTriggers)</f>
        <v>1.0035825317876719</v>
      </c>
      <c r="W358" s="41">
        <f t="shared" si="35"/>
        <v>4.6051993220569656E-5</v>
      </c>
      <c r="X358" s="43">
        <f t="shared" si="36"/>
        <v>4.4988169465831374E-4</v>
      </c>
      <c r="Y358" s="41">
        <f t="shared" si="37"/>
        <v>1.7608234006298272E-3</v>
      </c>
      <c r="Z358" s="62"/>
    </row>
    <row r="359" spans="15:26" x14ac:dyDescent="0.25">
      <c r="O359" s="45" t="s">
        <v>33</v>
      </c>
      <c r="P359" s="39">
        <f>_xll.qlCalendarAdvance(Calendar,P358,O358,"f",,Trigger)</f>
        <v>43181</v>
      </c>
      <c r="Q359" s="39">
        <f>_xll.qlInterestRateIndexValueDate(Index,P359,Trigger)</f>
        <v>43185</v>
      </c>
      <c r="R359" s="39">
        <f>_xll.qlInterestRateIndexMaturity(Index,Q359,Trigger)</f>
        <v>43277</v>
      </c>
      <c r="S359" s="40">
        <f>_xll.qlDayCounterYearFraction(DayCounter,Q359,R359,,,Trigger)</f>
        <v>0.25555555555555554</v>
      </c>
      <c r="T359" s="41">
        <f>_xll.qlIndexFixing(Index,P359,,AllTriggers)</f>
        <v>1.8422479436213982E-3</v>
      </c>
      <c r="U359" s="42">
        <f>_xll.qlYieldTSDiscount(OisCurve,Q359,,AllTriggers)</f>
        <v>1.0035970454318148</v>
      </c>
      <c r="V359" s="42">
        <f>_xll.qlYieldTSDiscount(OisCurve,R359,,AllTriggers)</f>
        <v>1.0035774904494377</v>
      </c>
      <c r="W359" s="41">
        <f t="shared" si="35"/>
        <v>7.6246724329916929E-5</v>
      </c>
      <c r="X359" s="43">
        <f t="shared" si="36"/>
        <v>4.5120082255027335E-4</v>
      </c>
      <c r="Y359" s="41">
        <f t="shared" si="37"/>
        <v>1.7660012192914814E-3</v>
      </c>
      <c r="Z359" s="62"/>
    </row>
    <row r="360" spans="15:26" x14ac:dyDescent="0.25">
      <c r="O360" s="45" t="s">
        <v>33</v>
      </c>
      <c r="P360" s="39">
        <f>_xll.qlCalendarAdvance(Calendar,P359,O359,"f",,Trigger)</f>
        <v>43188</v>
      </c>
      <c r="Q360" s="39">
        <f>_xll.qlInterestRateIndexValueDate(Index,P360,Trigger)</f>
        <v>43194</v>
      </c>
      <c r="R360" s="39">
        <f>_xll.qlInterestRateIndexMaturity(Index,Q360,Trigger)</f>
        <v>43285</v>
      </c>
      <c r="S360" s="40">
        <f>_xll.qlDayCounterYearFraction(DayCounter,Q360,R360,,,Trigger)</f>
        <v>0.25277777777777777</v>
      </c>
      <c r="T360" s="41">
        <f>_xll.qlIndexFixing(Index,P360,,AllTriggers)</f>
        <v>1.88510413414639E-3</v>
      </c>
      <c r="U360" s="42">
        <f>_xll.qlYieldTSDiscount(OisCurve,Q360,,AllTriggers)</f>
        <v>1.0035996650747261</v>
      </c>
      <c r="V360" s="42">
        <f>_xll.qlYieldTSDiscount(OisCurve,R360,,AllTriggers)</f>
        <v>1.0035710389209977</v>
      </c>
      <c r="W360" s="41">
        <f t="shared" si="35"/>
        <v>1.1284335443117411E-4</v>
      </c>
      <c r="X360" s="43">
        <f t="shared" si="36"/>
        <v>4.4787505235253233E-4</v>
      </c>
      <c r="Y360" s="41">
        <f t="shared" si="37"/>
        <v>1.7722607797152159E-3</v>
      </c>
      <c r="Z360" s="62"/>
    </row>
    <row r="361" spans="15:26" x14ac:dyDescent="0.25">
      <c r="O361" s="45" t="s">
        <v>33</v>
      </c>
      <c r="P361" s="39">
        <f>_xll.qlCalendarAdvance(Calendar,P360,O360,"f",,Trigger)</f>
        <v>43195</v>
      </c>
      <c r="Q361" s="39">
        <f>_xll.qlInterestRateIndexValueDate(Index,P361,Trigger)</f>
        <v>43199</v>
      </c>
      <c r="R361" s="39">
        <f>_xll.qlInterestRateIndexMaturity(Index,Q361,Trigger)</f>
        <v>43290</v>
      </c>
      <c r="S361" s="40">
        <f>_xll.qlDayCounterYearFraction(DayCounter,Q361,R361,,,Trigger)</f>
        <v>0.25277777777777777</v>
      </c>
      <c r="T361" s="41">
        <f>_xll.qlIndexFixing(Index,P361,,AllTriggers)</f>
        <v>1.9101977968739082E-3</v>
      </c>
      <c r="U361" s="42">
        <f>_xll.qlYieldTSDiscount(OisCurve,Q361,,AllTriggers)</f>
        <v>1.0036007001177358</v>
      </c>
      <c r="V361" s="42">
        <f>_xll.qlYieldTSDiscount(OisCurve,R361,,AllTriggers)</f>
        <v>1.0035666360809286</v>
      </c>
      <c r="W361" s="41">
        <f t="shared" si="35"/>
        <v>1.3427989939578341E-4</v>
      </c>
      <c r="X361" s="43">
        <f t="shared" si="36"/>
        <v>4.4879661845919364E-4</v>
      </c>
      <c r="Y361" s="41">
        <f t="shared" si="37"/>
        <v>1.7759178974781247E-3</v>
      </c>
      <c r="Z361" s="62"/>
    </row>
    <row r="362" spans="15:26" x14ac:dyDescent="0.25">
      <c r="O362" s="45" t="s">
        <v>33</v>
      </c>
      <c r="P362" s="39">
        <f>_xll.qlCalendarAdvance(Calendar,P361,O361,"f",,Trigger)</f>
        <v>43202</v>
      </c>
      <c r="Q362" s="39">
        <f>_xll.qlInterestRateIndexValueDate(Index,P362,Trigger)</f>
        <v>43206</v>
      </c>
      <c r="R362" s="39">
        <f>_xll.qlInterestRateIndexMaturity(Index,Q362,Trigger)</f>
        <v>43297</v>
      </c>
      <c r="S362" s="40">
        <f>_xll.qlDayCounterYearFraction(DayCounter,Q362,R362,,,Trigger)</f>
        <v>0.25277777777777777</v>
      </c>
      <c r="T362" s="41">
        <f>_xll.qlIndexFixing(Index,P362,,AllTriggers)</f>
        <v>1.9451506841054842E-3</v>
      </c>
      <c r="U362" s="42">
        <f>_xll.qlYieldTSDiscount(OisCurve,Q362,,AllTriggers)</f>
        <v>1.0036016392791562</v>
      </c>
      <c r="V362" s="42">
        <f>_xll.qlYieldTSDiscount(OisCurve,R362,,AllTriggers)</f>
        <v>1.0035599971564064</v>
      </c>
      <c r="W362" s="41">
        <f t="shared" si="35"/>
        <v>1.6415368138196146E-4</v>
      </c>
      <c r="X362" s="43">
        <f t="shared" si="36"/>
        <v>4.5007648510083233E-4</v>
      </c>
      <c r="Y362" s="41">
        <f t="shared" si="37"/>
        <v>1.7809970027235227E-3</v>
      </c>
      <c r="Z362" s="62"/>
    </row>
    <row r="363" spans="15:26" x14ac:dyDescent="0.25">
      <c r="O363" s="45" t="s">
        <v>33</v>
      </c>
      <c r="P363" s="39">
        <f>_xll.qlCalendarAdvance(Calendar,P362,O362,"f",,Trigger)</f>
        <v>43209</v>
      </c>
      <c r="Q363" s="39">
        <f>_xll.qlInterestRateIndexValueDate(Index,P363,Trigger)</f>
        <v>43213</v>
      </c>
      <c r="R363" s="39">
        <f>_xll.qlInterestRateIndexMaturity(Index,Q363,Trigger)</f>
        <v>43304</v>
      </c>
      <c r="S363" s="40">
        <f>_xll.qlDayCounterYearFraction(DayCounter,Q363,R363,,,Trigger)</f>
        <v>0.25277777777777777</v>
      </c>
      <c r="T363" s="41">
        <f>_xll.qlIndexFixing(Index,P363,,AllTriggers)</f>
        <v>1.9798438898203305E-3</v>
      </c>
      <c r="U363" s="42">
        <f>_xll.qlYieldTSDiscount(OisCurve,Q363,,AllTriggers)</f>
        <v>1.0036019777310168</v>
      </c>
      <c r="V363" s="42">
        <f>_xll.qlYieldTSDiscount(OisCurve,R363,,AllTriggers)</f>
        <v>1.0035528085879739</v>
      </c>
      <c r="W363" s="41">
        <f t="shared" si="35"/>
        <v>1.9382666212876707E-4</v>
      </c>
      <c r="X363" s="43">
        <f t="shared" si="36"/>
        <v>4.5134147749888772E-4</v>
      </c>
      <c r="Y363" s="41">
        <f t="shared" si="37"/>
        <v>1.7860172276915635E-3</v>
      </c>
      <c r="Z363" s="62"/>
    </row>
    <row r="364" spans="15:26" x14ac:dyDescent="0.25">
      <c r="O364" s="45" t="s">
        <v>33</v>
      </c>
      <c r="P364" s="39">
        <f>_xll.qlCalendarAdvance(Calendar,P363,O363,"f",,Trigger)</f>
        <v>43216</v>
      </c>
      <c r="Q364" s="39">
        <f>_xll.qlInterestRateIndexValueDate(Index,P364,Trigger)</f>
        <v>43220</v>
      </c>
      <c r="R364" s="39">
        <f>_xll.qlInterestRateIndexMaturity(Index,Q364,Trigger)</f>
        <v>43312</v>
      </c>
      <c r="S364" s="40">
        <f>_xll.qlDayCounterYearFraction(DayCounter,Q364,R364,,,Trigger)</f>
        <v>0.25555555555555554</v>
      </c>
      <c r="T364" s="41">
        <f>_xll.qlIndexFixing(Index,P364,,AllTriggers)</f>
        <v>2.0166247003790094E-3</v>
      </c>
      <c r="U364" s="42">
        <f>_xll.qlYieldTSDiscount(OisCurve,Q364,,AllTriggers)</f>
        <v>1.0036017102256418</v>
      </c>
      <c r="V364" s="42">
        <f>_xll.qlYieldTSDiscount(OisCurve,R364,,AllTriggers)</f>
        <v>1.00354392637597</v>
      </c>
      <c r="W364" s="41">
        <f t="shared" si="35"/>
        <v>2.2531222616596204E-4</v>
      </c>
      <c r="X364" s="43">
        <f t="shared" si="36"/>
        <v>4.5764875999959831E-4</v>
      </c>
      <c r="Y364" s="41">
        <f t="shared" si="37"/>
        <v>1.7913124742130473E-3</v>
      </c>
      <c r="Z364" s="62"/>
    </row>
    <row r="365" spans="15:26" x14ac:dyDescent="0.25">
      <c r="O365" s="45" t="s">
        <v>33</v>
      </c>
      <c r="P365" s="39">
        <f>_xll.qlCalendarAdvance(Calendar,P364,O364,"f",,Trigger)</f>
        <v>43223</v>
      </c>
      <c r="Q365" s="39">
        <f>_xll.qlInterestRateIndexValueDate(Index,P365,Trigger)</f>
        <v>43227</v>
      </c>
      <c r="R365" s="39">
        <f>_xll.qlInterestRateIndexMaturity(Index,Q365,Trigger)</f>
        <v>43319</v>
      </c>
      <c r="S365" s="40">
        <f>_xll.qlDayCounterYearFraction(DayCounter,Q365,R365,,,Trigger)</f>
        <v>0.25555555555555554</v>
      </c>
      <c r="T365" s="41">
        <f>_xll.qlIndexFixing(Index,P365,,AllTriggers)</f>
        <v>2.0506590066322705E-3</v>
      </c>
      <c r="U365" s="42">
        <f>_xll.qlYieldTSDiscount(OisCurve,Q365,,AllTriggers)</f>
        <v>1.0036008388751394</v>
      </c>
      <c r="V365" s="42">
        <f>_xll.qlYieldTSDiscount(OisCurve,R365,,AllTriggers)</f>
        <v>1.0035355766113745</v>
      </c>
      <c r="W365" s="41">
        <f t="shared" si="35"/>
        <v>2.5447436199906812E-4</v>
      </c>
      <c r="X365" s="43">
        <f t="shared" si="36"/>
        <v>4.5888980917869858E-4</v>
      </c>
      <c r="Y365" s="41">
        <f t="shared" si="37"/>
        <v>1.7961846446332024E-3</v>
      </c>
      <c r="Z365" s="62"/>
    </row>
    <row r="366" spans="15:26" x14ac:dyDescent="0.25">
      <c r="O366" s="45" t="s">
        <v>33</v>
      </c>
      <c r="P366" s="39">
        <f>_xll.qlCalendarAdvance(Calendar,P365,O365,"f",,Trigger)</f>
        <v>43230</v>
      </c>
      <c r="Q366" s="39">
        <f>_xll.qlInterestRateIndexValueDate(Index,P366,Trigger)</f>
        <v>43234</v>
      </c>
      <c r="R366" s="39">
        <f>_xll.qlInterestRateIndexMaturity(Index,Q366,Trigger)</f>
        <v>43326</v>
      </c>
      <c r="S366" s="40">
        <f>_xll.qlDayCounterYearFraction(DayCounter,Q366,R366,,,Trigger)</f>
        <v>0.25555555555555554</v>
      </c>
      <c r="T366" s="41">
        <f>_xll.qlIndexFixing(Index,P366,,AllTriggers)</f>
        <v>2.0843682659674543E-3</v>
      </c>
      <c r="U366" s="42">
        <f>_xll.qlYieldTSDiscount(OisCurve,Q366,,AllTriggers)</f>
        <v>1.0035993685970597</v>
      </c>
      <c r="V366" s="42">
        <f>_xll.qlYieldTSDiscount(OisCurve,R366,,AllTriggers)</f>
        <v>1.0035266927091784</v>
      </c>
      <c r="W366" s="41">
        <f t="shared" si="35"/>
        <v>2.8338449905380801E-4</v>
      </c>
      <c r="X366" s="43">
        <f t="shared" si="36"/>
        <v>4.6011221002522826E-4</v>
      </c>
      <c r="Y366" s="41">
        <f t="shared" si="37"/>
        <v>1.8009837669136462E-3</v>
      </c>
      <c r="Z366" s="62"/>
    </row>
    <row r="367" spans="15:26" x14ac:dyDescent="0.25">
      <c r="O367" s="45" t="s">
        <v>33</v>
      </c>
      <c r="P367" s="39">
        <f>_xll.qlCalendarAdvance(Calendar,P366,O366,"f",,Trigger)</f>
        <v>43237</v>
      </c>
      <c r="Q367" s="39">
        <f>_xll.qlInterestRateIndexValueDate(Index,P367,Trigger)</f>
        <v>43241</v>
      </c>
      <c r="R367" s="39">
        <f>_xll.qlInterestRateIndexMaturity(Index,Q367,Trigger)</f>
        <v>43333</v>
      </c>
      <c r="S367" s="40">
        <f>_xll.qlDayCounterYearFraction(DayCounter,Q367,R367,,,Trigger)</f>
        <v>0.25555555555555554</v>
      </c>
      <c r="T367" s="41">
        <f>_xll.qlIndexFixing(Index,P367,,AllTriggers)</f>
        <v>2.1177524699843237E-3</v>
      </c>
      <c r="U367" s="42">
        <f>_xll.qlYieldTSDiscount(OisCurve,Q367,,AllTriggers)</f>
        <v>1.0035973043155217</v>
      </c>
      <c r="V367" s="42">
        <f>_xll.qlYieldTSDiscount(OisCurve,R367,,AllTriggers)</f>
        <v>1.0035172796046634</v>
      </c>
      <c r="W367" s="41">
        <f t="shared" si="35"/>
        <v>3.1204263173987087E-4</v>
      </c>
      <c r="X367" s="43">
        <f t="shared" si="36"/>
        <v>4.6131596253988017E-4</v>
      </c>
      <c r="Y367" s="41">
        <f t="shared" si="37"/>
        <v>1.8057098382444528E-3</v>
      </c>
      <c r="Z367" s="62"/>
    </row>
    <row r="368" spans="15:26" x14ac:dyDescent="0.25">
      <c r="O368" s="45" t="s">
        <v>33</v>
      </c>
      <c r="P368" s="39">
        <f>_xll.qlCalendarAdvance(Calendar,P367,O367,"f",,Trigger)</f>
        <v>43244</v>
      </c>
      <c r="Q368" s="39">
        <f>_xll.qlInterestRateIndexValueDate(Index,P368,Trigger)</f>
        <v>43248</v>
      </c>
      <c r="R368" s="39">
        <f>_xll.qlInterestRateIndexMaturity(Index,Q368,Trigger)</f>
        <v>43340</v>
      </c>
      <c r="S368" s="40">
        <f>_xll.qlDayCounterYearFraction(DayCounter,Q368,R368,,,Trigger)</f>
        <v>0.25555555555555554</v>
      </c>
      <c r="T368" s="41">
        <f>_xll.qlIndexFixing(Index,P368,,AllTriggers)</f>
        <v>2.1508116103634472E-3</v>
      </c>
      <c r="U368" s="42">
        <f>_xll.qlYieldTSDiscount(OisCurve,Q368,,AllTriggers)</f>
        <v>1.0035946509556655</v>
      </c>
      <c r="V368" s="42">
        <f>_xll.qlYieldTSDiscount(OisCurve,R368,,AllTriggers)</f>
        <v>1.0035073422337688</v>
      </c>
      <c r="W368" s="41">
        <f t="shared" si="35"/>
        <v>3.4044875451820923E-4</v>
      </c>
      <c r="X368" s="43">
        <f t="shared" si="36"/>
        <v>4.6250106672274797E-4</v>
      </c>
      <c r="Y368" s="41">
        <f t="shared" si="37"/>
        <v>1.8103628558452378E-3</v>
      </c>
      <c r="Z368" s="62"/>
    </row>
    <row r="369" spans="15:26" x14ac:dyDescent="0.25">
      <c r="O369" s="45" t="s">
        <v>33</v>
      </c>
      <c r="P369" s="39">
        <f>_xll.qlCalendarAdvance(Calendar,P368,O368,"f",,Trigger)</f>
        <v>43251</v>
      </c>
      <c r="Q369" s="39">
        <f>_xll.qlInterestRateIndexValueDate(Index,P369,Trigger)</f>
        <v>43255</v>
      </c>
      <c r="R369" s="39">
        <f>_xll.qlInterestRateIndexMaturity(Index,Q369,Trigger)</f>
        <v>43347</v>
      </c>
      <c r="S369" s="40">
        <f>_xll.qlDayCounterYearFraction(DayCounter,Q369,R369,,,Trigger)</f>
        <v>0.25555555555555554</v>
      </c>
      <c r="T369" s="41">
        <f>_xll.qlIndexFixing(Index,P369,,AllTriggers)</f>
        <v>2.1835456788635906E-3</v>
      </c>
      <c r="U369" s="42">
        <f>_xll.qlYieldTSDiscount(OisCurve,Q369,,AllTriggers)</f>
        <v>1.0035914134436215</v>
      </c>
      <c r="V369" s="42">
        <f>_xll.qlYieldTSDiscount(OisCurve,R369,,AllTriggers)</f>
        <v>1.0034968855330662</v>
      </c>
      <c r="W369" s="41">
        <f t="shared" si="35"/>
        <v>3.6860286189669463E-4</v>
      </c>
      <c r="X369" s="43">
        <f t="shared" si="36"/>
        <v>4.636675225733261E-4</v>
      </c>
      <c r="Y369" s="41">
        <f t="shared" si="37"/>
        <v>1.814942816966896E-3</v>
      </c>
      <c r="Z369" s="62"/>
    </row>
    <row r="370" spans="15:26" x14ac:dyDescent="0.25">
      <c r="O370" s="45" t="s">
        <v>33</v>
      </c>
      <c r="P370" s="39">
        <f>_xll.qlCalendarAdvance(Calendar,P369,O369,"f",,Trigger)</f>
        <v>43258</v>
      </c>
      <c r="Q370" s="39">
        <f>_xll.qlInterestRateIndexValueDate(Index,P370,Trigger)</f>
        <v>43262</v>
      </c>
      <c r="R370" s="39">
        <f>_xll.qlInterestRateIndexMaturity(Index,Q370,Trigger)</f>
        <v>43354</v>
      </c>
      <c r="S370" s="40">
        <f>_xll.qlDayCounterYearFraction(DayCounter,Q370,R370,,,Trigger)</f>
        <v>0.25555555555555554</v>
      </c>
      <c r="T370" s="41">
        <f>_xll.qlIndexFixing(Index,P370,,AllTriggers)</f>
        <v>2.2159546673278002E-3</v>
      </c>
      <c r="U370" s="42">
        <f>_xll.qlYieldTSDiscount(OisCurve,Q370,,AllTriggers)</f>
        <v>1.0035875967064827</v>
      </c>
      <c r="V370" s="42">
        <f>_xll.qlYieldTSDiscount(OisCurve,R370,,AllTriggers)</f>
        <v>1.0034859144397328</v>
      </c>
      <c r="W370" s="41">
        <f t="shared" si="35"/>
        <v>3.965049484353307E-4</v>
      </c>
      <c r="X370" s="43">
        <f t="shared" si="36"/>
        <v>4.6481533009184138E-4</v>
      </c>
      <c r="Y370" s="41">
        <f t="shared" si="37"/>
        <v>1.8194497188924695E-3</v>
      </c>
      <c r="Z370" s="62"/>
    </row>
    <row r="371" spans="15:26" x14ac:dyDescent="0.25">
      <c r="O371" s="45" t="s">
        <v>33</v>
      </c>
      <c r="P371" s="39">
        <f>_xll.qlCalendarAdvance(Calendar,P370,O370,"f",,Trigger)</f>
        <v>43265</v>
      </c>
      <c r="Q371" s="39">
        <f>_xll.qlInterestRateIndexValueDate(Index,P371,Trigger)</f>
        <v>43269</v>
      </c>
      <c r="R371" s="39">
        <f>_xll.qlInterestRateIndexMaturity(Index,Q371,Trigger)</f>
        <v>43361</v>
      </c>
      <c r="S371" s="40">
        <f>_xll.qlDayCounterYearFraction(DayCounter,Q371,R371,,,Trigger)</f>
        <v>0.25555555555555554</v>
      </c>
      <c r="T371" s="41">
        <f>_xll.qlIndexFixing(Index,P371,,AllTriggers)</f>
        <v>2.2480385676790591E-3</v>
      </c>
      <c r="U371" s="42">
        <f>_xll.qlYieldTSDiscount(OisCurve,Q371,,AllTriggers)</f>
        <v>1.003583205672276</v>
      </c>
      <c r="V371" s="42">
        <f>_xll.qlYieldTSDiscount(OisCurve,R371,,AllTriggers)</f>
        <v>1.0034744338915274</v>
      </c>
      <c r="W371" s="41">
        <f t="shared" si="35"/>
        <v>4.2415500873930253E-4</v>
      </c>
      <c r="X371" s="43">
        <f t="shared" si="36"/>
        <v>4.6594448927836526E-4</v>
      </c>
      <c r="Y371" s="41">
        <f t="shared" si="37"/>
        <v>1.8238835589397566E-3</v>
      </c>
      <c r="Z371" s="62"/>
    </row>
    <row r="372" spans="15:26" x14ac:dyDescent="0.25">
      <c r="O372" s="45" t="s">
        <v>33</v>
      </c>
      <c r="P372" s="39">
        <f>_xll.qlCalendarAdvance(Calendar,P371,O371,"f",,Trigger)</f>
        <v>43272</v>
      </c>
      <c r="Q372" s="39">
        <f>_xll.qlInterestRateIndexValueDate(Index,P372,Trigger)</f>
        <v>43276</v>
      </c>
      <c r="R372" s="39">
        <f>_xll.qlInterestRateIndexMaturity(Index,Q372,Trigger)</f>
        <v>43368</v>
      </c>
      <c r="S372" s="40">
        <f>_xll.qlDayCounterYearFraction(DayCounter,Q372,R372,,,Trigger)</f>
        <v>0.25555555555555554</v>
      </c>
      <c r="T372" s="41">
        <f>_xll.qlIndexFixing(Index,P372,,AllTriggers)</f>
        <v>2.2797973719211545E-3</v>
      </c>
      <c r="U372" s="42">
        <f>_xll.qlYieldTSDiscount(OisCurve,Q372,,AllTriggers)</f>
        <v>1.0035782452699336</v>
      </c>
      <c r="V372" s="42">
        <f>_xll.qlYieldTSDiscount(OisCurve,R372,,AllTriggers)</f>
        <v>1.0034624488267641</v>
      </c>
      <c r="W372" s="41">
        <f t="shared" si="35"/>
        <v>4.5155303746505834E-4</v>
      </c>
      <c r="X372" s="43">
        <f t="shared" si="36"/>
        <v>4.6705500013259198E-4</v>
      </c>
      <c r="Y372" s="41">
        <f t="shared" si="37"/>
        <v>1.8282443344560962E-3</v>
      </c>
      <c r="Z372" s="62"/>
    </row>
    <row r="373" spans="15:26" x14ac:dyDescent="0.25">
      <c r="O373" s="45" t="s">
        <v>33</v>
      </c>
      <c r="P373" s="39">
        <f>_xll.qlCalendarAdvance(Calendar,P372,O372,"f",,Trigger)</f>
        <v>43279</v>
      </c>
      <c r="Q373" s="39">
        <f>_xll.qlInterestRateIndexValueDate(Index,P373,Trigger)</f>
        <v>43283</v>
      </c>
      <c r="R373" s="39">
        <f>_xll.qlInterestRateIndexMaturity(Index,Q373,Trigger)</f>
        <v>43375</v>
      </c>
      <c r="S373" s="40">
        <f>_xll.qlDayCounterYearFraction(DayCounter,Q373,R373,,,Trigger)</f>
        <v>0.25555555555555554</v>
      </c>
      <c r="T373" s="41">
        <f>_xll.qlIndexFixing(Index,P373,,AllTriggers)</f>
        <v>2.3112310721378109E-3</v>
      </c>
      <c r="U373" s="42">
        <f>_xll.qlYieldTSDiscount(OisCurve,Q373,,AllTriggers)</f>
        <v>1.0035727204292648</v>
      </c>
      <c r="V373" s="42">
        <f>_xll.qlYieldTSDiscount(OisCurve,R373,,AllTriggers)</f>
        <v>1.003449964184288</v>
      </c>
      <c r="W373" s="41">
        <f t="shared" si="35"/>
        <v>4.7869902931596547E-4</v>
      </c>
      <c r="X373" s="43">
        <f t="shared" si="36"/>
        <v>4.681468626545041E-4</v>
      </c>
      <c r="Y373" s="41">
        <f t="shared" si="37"/>
        <v>1.8325320428218455E-3</v>
      </c>
      <c r="Z373" s="62"/>
    </row>
    <row r="374" spans="15:26" x14ac:dyDescent="0.25">
      <c r="O374" s="45" t="s">
        <v>33</v>
      </c>
      <c r="P374" s="39">
        <f>_xll.qlCalendarAdvance(Calendar,P373,O373,"f",,Trigger)</f>
        <v>43286</v>
      </c>
      <c r="Q374" s="39">
        <f>_xll.qlInterestRateIndexValueDate(Index,P374,Trigger)</f>
        <v>43290</v>
      </c>
      <c r="R374" s="39">
        <f>_xll.qlInterestRateIndexMaturity(Index,Q374,Trigger)</f>
        <v>43382</v>
      </c>
      <c r="S374" s="40">
        <f>_xll.qlDayCounterYearFraction(DayCounter,Q374,R374,,,Trigger)</f>
        <v>0.25555555555555554</v>
      </c>
      <c r="T374" s="41">
        <f>_xll.qlIndexFixing(Index,P374,,AllTriggers)</f>
        <v>2.342339660495294E-3</v>
      </c>
      <c r="U374" s="42">
        <f>_xll.qlYieldTSDiscount(OisCurve,Q374,,AllTriggers)</f>
        <v>1.0035666360809286</v>
      </c>
      <c r="V374" s="42">
        <f>_xll.qlYieldTSDiscount(OisCurve,R374,,AllTriggers)</f>
        <v>1.0034369849034508</v>
      </c>
      <c r="W374" s="41">
        <f t="shared" si="35"/>
        <v>5.0559297904231013E-4</v>
      </c>
      <c r="X374" s="43">
        <f t="shared" si="36"/>
        <v>4.6922007684481671E-4</v>
      </c>
      <c r="Y374" s="41">
        <f t="shared" si="37"/>
        <v>1.8367466814529839E-3</v>
      </c>
      <c r="Z374" s="62"/>
    </row>
    <row r="375" spans="15:26" x14ac:dyDescent="0.25">
      <c r="O375" s="45" t="s">
        <v>33</v>
      </c>
      <c r="P375" s="39">
        <f>_xll.qlCalendarAdvance(Calendar,P374,O374,"f",,Trigger)</f>
        <v>43293</v>
      </c>
      <c r="Q375" s="39">
        <f>_xll.qlInterestRateIndexValueDate(Index,P375,Trigger)</f>
        <v>43297</v>
      </c>
      <c r="R375" s="39">
        <f>_xll.qlInterestRateIndexMaturity(Index,Q375,Trigger)</f>
        <v>43389</v>
      </c>
      <c r="S375" s="40">
        <f>_xll.qlDayCounterYearFraction(DayCounter,Q375,R375,,,Trigger)</f>
        <v>0.25555555555555554</v>
      </c>
      <c r="T375" s="41">
        <f>_xll.qlIndexFixing(Index,P375,,AllTriggers)</f>
        <v>2.373123129240675E-3</v>
      </c>
      <c r="U375" s="42">
        <f>_xll.qlYieldTSDiscount(OisCurve,Q375,,AllTriggers)</f>
        <v>1.0035599971564064</v>
      </c>
      <c r="V375" s="42">
        <f>_xll.qlYieldTSDiscount(OisCurve,R375,,AllTriggers)</f>
        <v>1.003423515924085</v>
      </c>
      <c r="W375" s="41">
        <f t="shared" si="35"/>
        <v>5.3223488144824873E-4</v>
      </c>
      <c r="X375" s="43">
        <f t="shared" si="36"/>
        <v>4.7027464270275784E-4</v>
      </c>
      <c r="Y375" s="41">
        <f t="shared" si="37"/>
        <v>1.8408882477924263E-3</v>
      </c>
      <c r="Z375" s="62"/>
    </row>
    <row r="376" spans="15:26" x14ac:dyDescent="0.25">
      <c r="O376" s="45" t="s">
        <v>33</v>
      </c>
      <c r="P376" s="39">
        <f>_xll.qlCalendarAdvance(Calendar,P375,O375,"f",,Trigger)</f>
        <v>43300</v>
      </c>
      <c r="Q376" s="39">
        <f>_xll.qlInterestRateIndexValueDate(Index,P376,Trigger)</f>
        <v>43304</v>
      </c>
      <c r="R376" s="39">
        <f>_xll.qlInterestRateIndexMaturity(Index,Q376,Trigger)</f>
        <v>43396</v>
      </c>
      <c r="S376" s="40">
        <f>_xll.qlDayCounterYearFraction(DayCounter,Q376,R376,,,Trigger)</f>
        <v>0.25555555555555554</v>
      </c>
      <c r="T376" s="41">
        <f>_xll.qlIndexFixing(Index,P376,,AllTriggers)</f>
        <v>2.4035814707009614E-3</v>
      </c>
      <c r="U376" s="42">
        <f>_xll.qlYieldTSDiscount(OisCurve,Q376,,AllTriggers)</f>
        <v>1.0035528085879739</v>
      </c>
      <c r="V376" s="42">
        <f>_xll.qlYieldTSDiscount(OisCurve,R376,,AllTriggers)</f>
        <v>1.0034095621864816</v>
      </c>
      <c r="W376" s="41">
        <f t="shared" si="35"/>
        <v>5.5862473138311864E-4</v>
      </c>
      <c r="X376" s="43">
        <f t="shared" si="36"/>
        <v>4.7131056022850981E-4</v>
      </c>
      <c r="Y376" s="41">
        <f t="shared" si="37"/>
        <v>1.8449567393178426E-3</v>
      </c>
      <c r="Z376" s="62"/>
    </row>
    <row r="377" spans="15:26" x14ac:dyDescent="0.25">
      <c r="O377" s="45" t="s">
        <v>33</v>
      </c>
      <c r="P377" s="39">
        <f>_xll.qlCalendarAdvance(Calendar,P376,O376,"f",,Trigger)</f>
        <v>43307</v>
      </c>
      <c r="Q377" s="39">
        <f>_xll.qlInterestRateIndexValueDate(Index,P377,Trigger)</f>
        <v>43311</v>
      </c>
      <c r="R377" s="39">
        <f>_xll.qlInterestRateIndexMaturity(Index,Q377,Trigger)</f>
        <v>43403</v>
      </c>
      <c r="S377" s="40">
        <f>_xll.qlDayCounterYearFraction(DayCounter,Q377,R377,,,Trigger)</f>
        <v>0.25555555555555554</v>
      </c>
      <c r="T377" s="41">
        <f>_xll.qlIndexFixing(Index,P377,,AllTriggers)</f>
        <v>2.4337146772857032E-3</v>
      </c>
      <c r="U377" s="42">
        <f>_xll.qlYieldTSDiscount(OisCurve,Q377,,AllTriggers)</f>
        <v>1.0035450753086739</v>
      </c>
      <c r="V377" s="42">
        <f>_xll.qlYieldTSDiscount(OisCurve,R377,,AllTriggers)</f>
        <v>1.0033951286313645</v>
      </c>
      <c r="W377" s="41">
        <f t="shared" si="35"/>
        <v>5.8476252374578303E-4</v>
      </c>
      <c r="X377" s="43">
        <f t="shared" si="36"/>
        <v>4.7232782942232144E-4</v>
      </c>
      <c r="Y377" s="41">
        <f t="shared" si="37"/>
        <v>1.8489521535399202E-3</v>
      </c>
      <c r="Z377" s="62"/>
    </row>
    <row r="378" spans="15:26" x14ac:dyDescent="0.25">
      <c r="O378" s="45" t="s">
        <v>33</v>
      </c>
      <c r="P378" s="39">
        <f>_xll.qlCalendarAdvance(Calendar,P377,O377,"f",,Trigger)</f>
        <v>43314</v>
      </c>
      <c r="Q378" s="39">
        <f>_xll.qlInterestRateIndexValueDate(Index,P378,Trigger)</f>
        <v>43318</v>
      </c>
      <c r="R378" s="39">
        <f>_xll.qlInterestRateIndexMaturity(Index,Q378,Trigger)</f>
        <v>43410</v>
      </c>
      <c r="S378" s="40">
        <f>_xll.qlDayCounterYearFraction(DayCounter,Q378,R378,,,Trigger)</f>
        <v>0.25555555555555554</v>
      </c>
      <c r="T378" s="41">
        <f>_xll.qlIndexFixing(Index,P378,,AllTriggers)</f>
        <v>2.4635227414835179E-3</v>
      </c>
      <c r="U378" s="42">
        <f>_xll.qlYieldTSDiscount(OisCurve,Q378,,AllTriggers)</f>
        <v>1.0035368022522904</v>
      </c>
      <c r="V378" s="42">
        <f>_xll.qlYieldTSDiscount(OisCurve,R378,,AllTriggers)</f>
        <v>1.0033802201998683</v>
      </c>
      <c r="W378" s="41">
        <f t="shared" si="35"/>
        <v>6.106482534811551E-4</v>
      </c>
      <c r="X378" s="43">
        <f t="shared" si="36"/>
        <v>4.7332645028428624E-4</v>
      </c>
      <c r="Y378" s="41">
        <f t="shared" si="37"/>
        <v>1.8528744880023629E-3</v>
      </c>
      <c r="Z378" s="62"/>
    </row>
    <row r="379" spans="15:26" x14ac:dyDescent="0.25">
      <c r="O379" s="45" t="s">
        <v>33</v>
      </c>
      <c r="P379" s="39">
        <f>_xll.qlCalendarAdvance(Calendar,P378,O378,"f",,Trigger)</f>
        <v>43321</v>
      </c>
      <c r="Q379" s="39">
        <f>_xll.qlInterestRateIndexValueDate(Index,P379,Trigger)</f>
        <v>43325</v>
      </c>
      <c r="R379" s="39">
        <f>_xll.qlInterestRateIndexMaturity(Index,Q379,Trigger)</f>
        <v>43417</v>
      </c>
      <c r="S379" s="40">
        <f>_xll.qlDayCounterYearFraction(DayCounter,Q379,R379,,,Trigger)</f>
        <v>0.25555555555555554</v>
      </c>
      <c r="T379" s="41">
        <f>_xll.qlIndexFixing(Index,P379,,AllTriggers)</f>
        <v>2.4930056558664336E-3</v>
      </c>
      <c r="U379" s="42">
        <f>_xll.qlYieldTSDiscount(OisCurve,Q379,,AllTriggers)</f>
        <v>1.0035279943533213</v>
      </c>
      <c r="V379" s="42">
        <f>_xll.qlYieldTSDiscount(OisCurve,R379,,AllTriggers)</f>
        <v>1.0033648418335133</v>
      </c>
      <c r="W379" s="41">
        <f t="shared" si="35"/>
        <v>6.3628191558888676E-4</v>
      </c>
      <c r="X379" s="43">
        <f t="shared" si="36"/>
        <v>4.7430642281389839E-4</v>
      </c>
      <c r="Y379" s="41">
        <f t="shared" si="37"/>
        <v>1.856723740277547E-3</v>
      </c>
      <c r="Z379" s="62"/>
    </row>
    <row r="380" spans="15:26" x14ac:dyDescent="0.25">
      <c r="O380" s="45" t="s">
        <v>33</v>
      </c>
      <c r="P380" s="39">
        <f>_xll.qlCalendarAdvance(Calendar,P379,O379,"f",,Trigger)</f>
        <v>43328</v>
      </c>
      <c r="Q380" s="39">
        <f>_xll.qlInterestRateIndexValueDate(Index,P380,Trigger)</f>
        <v>43332</v>
      </c>
      <c r="R380" s="39">
        <f>_xll.qlInterestRateIndexMaturity(Index,Q380,Trigger)</f>
        <v>43424</v>
      </c>
      <c r="S380" s="40">
        <f>_xll.qlDayCounterYearFraction(DayCounter,Q380,R380,,,Trigger)</f>
        <v>0.25555555555555554</v>
      </c>
      <c r="T380" s="41">
        <f>_xll.qlIndexFixing(Index,P380,,AllTriggers)</f>
        <v>2.5221634130846776E-3</v>
      </c>
      <c r="U380" s="42">
        <f>_xll.qlYieldTSDiscount(OisCurve,Q380,,AllTriggers)</f>
        <v>1.0035186565469525</v>
      </c>
      <c r="V380" s="42">
        <f>_xll.qlYieldTSDiscount(OisCurve,R380,,AllTriggers)</f>
        <v>1.0033489984741839</v>
      </c>
      <c r="W380" s="41">
        <f t="shared" si="35"/>
        <v>6.6166350511207375E-4</v>
      </c>
      <c r="X380" s="43">
        <f t="shared" si="36"/>
        <v>4.7526774701116243E-4</v>
      </c>
      <c r="Y380" s="41">
        <f t="shared" si="37"/>
        <v>1.8604999079726038E-3</v>
      </c>
      <c r="Z380" s="62"/>
    </row>
    <row r="381" spans="15:26" x14ac:dyDescent="0.25">
      <c r="O381" s="45" t="s">
        <v>33</v>
      </c>
      <c r="P381" s="39">
        <f>_xll.qlCalendarAdvance(Calendar,P380,O380,"f",,Trigger)</f>
        <v>43335</v>
      </c>
      <c r="Q381" s="39">
        <f>_xll.qlInterestRateIndexValueDate(Index,P381,Trigger)</f>
        <v>43339</v>
      </c>
      <c r="R381" s="39">
        <f>_xll.qlInterestRateIndexMaturity(Index,Q381,Trigger)</f>
        <v>43431</v>
      </c>
      <c r="S381" s="40">
        <f>_xll.qlDayCounterYearFraction(DayCounter,Q381,R381,,,Trigger)</f>
        <v>0.25555555555555554</v>
      </c>
      <c r="T381" s="41">
        <f>_xll.qlIndexFixing(Index,P381,,AllTriggers)</f>
        <v>2.5509960058718887E-3</v>
      </c>
      <c r="U381" s="42">
        <f>_xll.qlYieldTSDiscount(OisCurve,Q381,,AllTriggers)</f>
        <v>1.0035087937690303</v>
      </c>
      <c r="V381" s="42">
        <f>_xll.qlYieldTSDiscount(OisCurve,R381,,AllTriggers)</f>
        <v>1.0033326950641037</v>
      </c>
      <c r="W381" s="41">
        <f t="shared" si="35"/>
        <v>6.8679301714507485E-4</v>
      </c>
      <c r="X381" s="43">
        <f t="shared" si="36"/>
        <v>4.7621042287637137E-4</v>
      </c>
      <c r="Y381" s="41">
        <f t="shared" si="37"/>
        <v>1.8642029887268139E-3</v>
      </c>
      <c r="Z381" s="62"/>
    </row>
    <row r="382" spans="15:26" x14ac:dyDescent="0.25">
      <c r="O382" s="45" t="s">
        <v>33</v>
      </c>
      <c r="P382" s="39">
        <f>_xll.qlCalendarAdvance(Calendar,P381,O381,"f",,Trigger)</f>
        <v>43342</v>
      </c>
      <c r="Q382" s="39">
        <f>_xll.qlInterestRateIndexValueDate(Index,P382,Trigger)</f>
        <v>43346</v>
      </c>
      <c r="R382" s="39">
        <f>_xll.qlInterestRateIndexMaturity(Index,Q382,Trigger)</f>
        <v>43437</v>
      </c>
      <c r="S382" s="40">
        <f>_xll.qlDayCounterYearFraction(DayCounter,Q382,R382,,,Trigger)</f>
        <v>0.25277777777777777</v>
      </c>
      <c r="T382" s="41">
        <f>_xll.qlIndexFixing(Index,P382,,AllTriggers)</f>
        <v>2.5775193750229579E-3</v>
      </c>
      <c r="U382" s="42">
        <f>_xll.qlYieldTSDiscount(OisCurve,Q382,,AllTriggers)</f>
        <v>1.0034984109560376</v>
      </c>
      <c r="V382" s="42">
        <f>_xll.qlYieldTSDiscount(OisCurve,R382,,AllTriggers)</f>
        <v>1.0033183582962897</v>
      </c>
      <c r="W382" s="41">
        <f t="shared" si="35"/>
        <v>7.0994039975055671E-4</v>
      </c>
      <c r="X382" s="43">
        <f t="shared" si="36"/>
        <v>4.7188640391379849E-4</v>
      </c>
      <c r="Y382" s="41">
        <f t="shared" si="37"/>
        <v>1.8675789752724012E-3</v>
      </c>
      <c r="Z382" s="62"/>
    </row>
    <row r="383" spans="15:26" x14ac:dyDescent="0.25">
      <c r="O383" s="45" t="s">
        <v>33</v>
      </c>
      <c r="P383" s="39">
        <f>_xll.qlCalendarAdvance(Calendar,P382,O382,"f",,Trigger)</f>
        <v>43349</v>
      </c>
      <c r="Q383" s="39">
        <f>_xll.qlInterestRateIndexValueDate(Index,P383,Trigger)</f>
        <v>43353</v>
      </c>
      <c r="R383" s="39">
        <f>_xll.qlInterestRateIndexMaturity(Index,Q383,Trigger)</f>
        <v>43444</v>
      </c>
      <c r="S383" s="40">
        <f>_xll.qlDayCounterYearFraction(DayCounter,Q383,R383,,,Trigger)</f>
        <v>0.25277777777777777</v>
      </c>
      <c r="T383" s="41">
        <f>_xll.qlIndexFixing(Index,P383,,AllTriggers)</f>
        <v>2.6057246421373748E-3</v>
      </c>
      <c r="U383" s="42">
        <f>_xll.qlYieldTSDiscount(OisCurve,Q383,,AllTriggers)</f>
        <v>1.0034875130450676</v>
      </c>
      <c r="V383" s="42">
        <f>_xll.qlYieldTSDiscount(OisCurve,R383,,AllTriggers)</f>
        <v>1.0033012136193351</v>
      </c>
      <c r="W383" s="41">
        <f t="shared" si="35"/>
        <v>7.3458369946964998E-4</v>
      </c>
      <c r="X383" s="43">
        <f t="shared" si="36"/>
        <v>4.7278325958213791E-4</v>
      </c>
      <c r="Y383" s="41">
        <f t="shared" si="37"/>
        <v>1.8711409426677248E-3</v>
      </c>
      <c r="Z383" s="62"/>
    </row>
    <row r="384" spans="15:26" x14ac:dyDescent="0.25">
      <c r="O384" s="45" t="s">
        <v>33</v>
      </c>
      <c r="P384" s="39">
        <f>_xll.qlCalendarAdvance(Calendar,P383,O383,"f",,Trigger)</f>
        <v>43356</v>
      </c>
      <c r="Q384" s="39">
        <f>_xll.qlInterestRateIndexValueDate(Index,P384,Trigger)</f>
        <v>43360</v>
      </c>
      <c r="R384" s="39">
        <f>_xll.qlInterestRateIndexMaturity(Index,Q384,Trigger)</f>
        <v>43451</v>
      </c>
      <c r="S384" s="40">
        <f>_xll.qlDayCounterYearFraction(DayCounter,Q384,R384,,,Trigger)</f>
        <v>0.25277777777777777</v>
      </c>
      <c r="T384" s="41">
        <f>_xll.qlIndexFixing(Index,P384,,AllTriggers)</f>
        <v>2.6336047241685354E-3</v>
      </c>
      <c r="U384" s="42">
        <f>_xll.qlYieldTSDiscount(OisCurve,Q384,,AllTriggers)</f>
        <v>1.0034761049737966</v>
      </c>
      <c r="V384" s="42">
        <f>_xll.qlYieldTSDiscount(OisCurve,R384,,AllTriggers)</f>
        <v>1.0032836230139439</v>
      </c>
      <c r="W384" s="41">
        <f t="shared" si="35"/>
        <v>7.589749064526067E-4</v>
      </c>
      <c r="X384" s="43">
        <f t="shared" si="36"/>
        <v>4.7366166961719107E-4</v>
      </c>
      <c r="Y384" s="41">
        <f t="shared" si="37"/>
        <v>1.8746298177159287E-3</v>
      </c>
      <c r="Z384" s="62"/>
    </row>
    <row r="385" spans="15:26" x14ac:dyDescent="0.25">
      <c r="O385" s="45" t="s">
        <v>33</v>
      </c>
      <c r="P385" s="39">
        <f>_xll.qlCalendarAdvance(Calendar,P384,O384,"f",,Trigger)</f>
        <v>43363</v>
      </c>
      <c r="Q385" s="39">
        <f>_xll.qlInterestRateIndexValueDate(Index,P385,Trigger)</f>
        <v>43367</v>
      </c>
      <c r="R385" s="39">
        <f>_xll.qlInterestRateIndexMaturity(Index,Q385,Trigger)</f>
        <v>43458</v>
      </c>
      <c r="S385" s="40">
        <f>_xll.qlDayCounterYearFraction(DayCounter,Q385,R385,,,Trigger)</f>
        <v>0.25277777777777777</v>
      </c>
      <c r="T385" s="41">
        <f>_xll.qlIndexFixing(Index,P385,,AllTriggers)</f>
        <v>2.6611596142445738E-3</v>
      </c>
      <c r="U385" s="42">
        <f>_xll.qlYieldTSDiscount(OisCurve,Q385,,AllTriggers)</f>
        <v>1.0034641916804612</v>
      </c>
      <c r="V385" s="42">
        <f>_xll.qlYieldTSDiscount(OisCurve,R385,,AllTriggers)</f>
        <v>1.0032655914234423</v>
      </c>
      <c r="W385" s="41">
        <f t="shared" si="35"/>
        <v>7.8311401603414765E-4</v>
      </c>
      <c r="X385" s="43">
        <f t="shared" si="36"/>
        <v>4.7452163401940489E-4</v>
      </c>
      <c r="Y385" s="41">
        <f t="shared" si="37"/>
        <v>1.8780455982104261E-3</v>
      </c>
      <c r="Z385" s="62"/>
    </row>
    <row r="386" spans="15:26" x14ac:dyDescent="0.25">
      <c r="O386" s="45" t="s">
        <v>33</v>
      </c>
      <c r="P386" s="39">
        <f>_xll.qlCalendarAdvance(Calendar,P385,O385,"f",,Trigger)</f>
        <v>43370</v>
      </c>
      <c r="Q386" s="39">
        <f>_xll.qlInterestRateIndexValueDate(Index,P386,Trigger)</f>
        <v>43374</v>
      </c>
      <c r="R386" s="39">
        <f>_xll.qlInterestRateIndexMaturity(Index,Q386,Trigger)</f>
        <v>43467</v>
      </c>
      <c r="S386" s="40">
        <f>_xll.qlDayCounterYearFraction(DayCounter,Q386,R386,,,Trigger)</f>
        <v>0.25833333333333336</v>
      </c>
      <c r="T386" s="41">
        <f>_xll.qlIndexFixing(Index,P386,,AllTriggers)</f>
        <v>2.6921710192288669E-3</v>
      </c>
      <c r="U386" s="42">
        <f>_xll.qlYieldTSDiscount(OisCurve,Q386,,AllTriggers)</f>
        <v>1.0034517781038319</v>
      </c>
      <c r="V386" s="42">
        <f>_xll.qlYieldTSDiscount(OisCurve,R386,,AllTriggers)</f>
        <v>1.0032417679276571</v>
      </c>
      <c r="W386" s="41">
        <f t="shared" si="35"/>
        <v>8.1031576180270375E-4</v>
      </c>
      <c r="X386" s="43">
        <f t="shared" si="36"/>
        <v>4.8592611588543663E-4</v>
      </c>
      <c r="Y386" s="41">
        <f t="shared" si="37"/>
        <v>1.8818552574261633E-3</v>
      </c>
      <c r="Z386" s="62"/>
    </row>
    <row r="387" spans="15:26" x14ac:dyDescent="0.25">
      <c r="O387" s="45" t="s">
        <v>33</v>
      </c>
      <c r="P387" s="39">
        <f>_xll.qlCalendarAdvance(Calendar,P386,O386,"f",,Trigger)</f>
        <v>43377</v>
      </c>
      <c r="Q387" s="39">
        <f>_xll.qlInterestRateIndexValueDate(Index,P387,Trigger)</f>
        <v>43381</v>
      </c>
      <c r="R387" s="39">
        <f>_xll.qlInterestRateIndexMaturity(Index,Q387,Trigger)</f>
        <v>43473</v>
      </c>
      <c r="S387" s="40">
        <f>_xll.qlDayCounterYearFraction(DayCounter,Q387,R387,,,Trigger)</f>
        <v>0.25555555555555554</v>
      </c>
      <c r="T387" s="41">
        <f>_xll.qlIndexFixing(Index,P387,,AllTriggers)</f>
        <v>2.717162712774755E-3</v>
      </c>
      <c r="U387" s="42">
        <f>_xll.qlYieldTSDiscount(OisCurve,Q387,,AllTriggers)</f>
        <v>1.0034388691831901</v>
      </c>
      <c r="V387" s="42">
        <f>_xll.qlYieldTSDiscount(OisCurve,R387,,AllTriggers)</f>
        <v>1.0032254903396223</v>
      </c>
      <c r="W387" s="41">
        <f t="shared" si="35"/>
        <v>8.3227619340059649E-4</v>
      </c>
      <c r="X387" s="43">
        <f t="shared" si="36"/>
        <v>4.8147486309506863E-4</v>
      </c>
      <c r="Y387" s="41">
        <f t="shared" si="37"/>
        <v>1.8848865193741584E-3</v>
      </c>
      <c r="Z387" s="62"/>
    </row>
    <row r="388" spans="15:26" x14ac:dyDescent="0.25">
      <c r="O388" s="45" t="s">
        <v>33</v>
      </c>
      <c r="P388" s="39">
        <f>_xll.qlCalendarAdvance(Calendar,P387,O387,"f",,Trigger)</f>
        <v>43384</v>
      </c>
      <c r="Q388" s="39">
        <f>_xll.qlInterestRateIndexValueDate(Index,P388,Trigger)</f>
        <v>43388</v>
      </c>
      <c r="R388" s="39">
        <f>_xll.qlInterestRateIndexMaturity(Index,Q388,Trigger)</f>
        <v>43480</v>
      </c>
      <c r="S388" s="40">
        <f>_xll.qlDayCounterYearFraction(DayCounter,Q388,R388,,,Trigger)</f>
        <v>0.25555555555555554</v>
      </c>
      <c r="T388" s="41">
        <f>_xll.qlIndexFixing(Index,P388,,AllTriggers)</f>
        <v>2.7437189578629331E-3</v>
      </c>
      <c r="U388" s="42">
        <f>_xll.qlYieldTSDiscount(OisCurve,Q388,,AllTriggers)</f>
        <v>1.0034254698583005</v>
      </c>
      <c r="V388" s="42">
        <f>_xll.qlYieldTSDiscount(OisCurve,R388,,AllTriggers)</f>
        <v>1.0032061049804399</v>
      </c>
      <c r="W388" s="41">
        <f t="shared" ref="W388:W451" si="38">(U388/V388-1)/S388</f>
        <v>8.556410297045758E-4</v>
      </c>
      <c r="X388" s="43">
        <f t="shared" ref="X388:X451" si="39">LN((1+T388*S388)/(1+W388*S388))</f>
        <v>4.8228700063614589E-4</v>
      </c>
      <c r="Y388" s="41">
        <f t="shared" ref="Y388:Y451" si="40">T388-W388</f>
        <v>1.8880779281583572E-3</v>
      </c>
      <c r="Z388" s="62"/>
    </row>
    <row r="389" spans="15:26" x14ac:dyDescent="0.25">
      <c r="O389" s="45" t="s">
        <v>33</v>
      </c>
      <c r="P389" s="39">
        <f>_xll.qlCalendarAdvance(Calendar,P388,O388,"f",,Trigger)</f>
        <v>43391</v>
      </c>
      <c r="Q389" s="39">
        <f>_xll.qlInterestRateIndexValueDate(Index,P389,Trigger)</f>
        <v>43395</v>
      </c>
      <c r="R389" s="39">
        <f>_xll.qlInterestRateIndexMaturity(Index,Q389,Trigger)</f>
        <v>43487</v>
      </c>
      <c r="S389" s="40">
        <f>_xll.qlDayCounterYearFraction(DayCounter,Q389,R389,,,Trigger)</f>
        <v>0.25555555555555554</v>
      </c>
      <c r="T389" s="41">
        <f>_xll.qlIndexFixing(Index,P389,,AllTriggers)</f>
        <v>2.769949983297295E-3</v>
      </c>
      <c r="U389" s="42">
        <f>_xll.qlYieldTSDiscount(OisCurve,Q389,,AllTriggers)</f>
        <v>1.0034115850693903</v>
      </c>
      <c r="V389" s="42">
        <f>_xll.qlYieldTSDiscount(OisCurve,R389,,AllTriggers)</f>
        <v>1.0031862991178746</v>
      </c>
      <c r="W389" s="41">
        <f t="shared" si="38"/>
        <v>8.7875375102053831E-4</v>
      </c>
      <c r="X389" s="43">
        <f t="shared" si="39"/>
        <v>4.8308048984458004E-4</v>
      </c>
      <c r="Y389" s="41">
        <f t="shared" si="40"/>
        <v>1.8911962322767568E-3</v>
      </c>
      <c r="Z389" s="62"/>
    </row>
    <row r="390" spans="15:26" x14ac:dyDescent="0.25">
      <c r="O390" s="45" t="s">
        <v>33</v>
      </c>
      <c r="P390" s="39">
        <f>_xll.qlCalendarAdvance(Calendar,P389,O389,"f",,Trigger)</f>
        <v>43398</v>
      </c>
      <c r="Q390" s="39">
        <f>_xll.qlInterestRateIndexValueDate(Index,P390,Trigger)</f>
        <v>43402</v>
      </c>
      <c r="R390" s="39">
        <f>_xll.qlInterestRateIndexMaturity(Index,Q390,Trigger)</f>
        <v>43494</v>
      </c>
      <c r="S390" s="40">
        <f>_xll.qlDayCounterYearFraction(DayCounter,Q390,R390,,,Trigger)</f>
        <v>0.25555555555555554</v>
      </c>
      <c r="T390" s="41">
        <f>_xll.qlIndexFixing(Index,P390,,AllTriggers)</f>
        <v>2.795855782540462E-3</v>
      </c>
      <c r="U390" s="42">
        <f>_xll.qlYieldTSDiscount(OisCurve,Q390,,AllTriggers)</f>
        <v>1.0033972197571233</v>
      </c>
      <c r="V390" s="42">
        <f>_xll.qlYieldTSDiscount(OisCurve,R390,,AllTriggers)</f>
        <v>1.0031660776962195</v>
      </c>
      <c r="W390" s="41">
        <f t="shared" si="38"/>
        <v>9.0161435287814697E-4</v>
      </c>
      <c r="X390" s="43">
        <f t="shared" si="39"/>
        <v>4.8385533072126265E-4</v>
      </c>
      <c r="Y390" s="41">
        <f t="shared" si="40"/>
        <v>1.8942414296623149E-3</v>
      </c>
      <c r="Z390" s="62"/>
    </row>
    <row r="391" spans="15:26" x14ac:dyDescent="0.25">
      <c r="O391" s="45" t="s">
        <v>33</v>
      </c>
      <c r="P391" s="39">
        <f>_xll.qlCalendarAdvance(Calendar,P390,O390,"f",,Trigger)</f>
        <v>43405</v>
      </c>
      <c r="Q391" s="39">
        <f>_xll.qlInterestRateIndexValueDate(Index,P391,Trigger)</f>
        <v>43409</v>
      </c>
      <c r="R391" s="39">
        <f>_xll.qlInterestRateIndexMaturity(Index,Q391,Trigger)</f>
        <v>43501</v>
      </c>
      <c r="S391" s="40">
        <f>_xll.qlDayCounterYearFraction(DayCounter,Q391,R391,,,Trigger)</f>
        <v>0.25555555555555554</v>
      </c>
      <c r="T391" s="41">
        <f>_xll.qlIndexFixing(Index,P391,,AllTriggers)</f>
        <v>2.8214363491358588E-3</v>
      </c>
      <c r="U391" s="42">
        <f>_xll.qlYieldTSDiscount(OisCurve,Q391,,AllTriggers)</f>
        <v>1.0033823788625764</v>
      </c>
      <c r="V391" s="42">
        <f>_xll.qlYieldTSDiscount(OisCurve,R391,,AllTriggers)</f>
        <v>1.0031454456598907</v>
      </c>
      <c r="W391" s="41">
        <f t="shared" si="38"/>
        <v>9.2422283086093435E-4</v>
      </c>
      <c r="X391" s="43">
        <f t="shared" si="39"/>
        <v>4.8461152326559809E-4</v>
      </c>
      <c r="Y391" s="41">
        <f t="shared" si="40"/>
        <v>1.8972135182749243E-3</v>
      </c>
      <c r="Z391" s="62"/>
    </row>
    <row r="392" spans="15:26" x14ac:dyDescent="0.25">
      <c r="O392" s="45" t="s">
        <v>33</v>
      </c>
      <c r="P392" s="39">
        <f>_xll.qlCalendarAdvance(Calendar,P391,O391,"f",,Trigger)</f>
        <v>43412</v>
      </c>
      <c r="Q392" s="39">
        <f>_xll.qlInterestRateIndexValueDate(Index,P392,Trigger)</f>
        <v>43416</v>
      </c>
      <c r="R392" s="39">
        <f>_xll.qlInterestRateIndexMaturity(Index,Q392,Trigger)</f>
        <v>43508</v>
      </c>
      <c r="S392" s="40">
        <f>_xll.qlDayCounterYearFraction(DayCounter,Q392,R392,,,Trigger)</f>
        <v>0.25555555555555554</v>
      </c>
      <c r="T392" s="41">
        <f>_xll.qlIndexFixing(Index,P392,,AllTriggers)</f>
        <v>2.8466916767059792E-3</v>
      </c>
      <c r="U392" s="42">
        <f>_xll.qlYieldTSDiscount(OisCurve,Q392,,AllTriggers)</f>
        <v>1.0033670673272166</v>
      </c>
      <c r="V392" s="42">
        <f>_xll.qlYieldTSDiscount(OisCurve,R392,,AllTriggers)</f>
        <v>1.0031244079534096</v>
      </c>
      <c r="W392" s="41">
        <f t="shared" si="38"/>
        <v>9.4657918059413927E-4</v>
      </c>
      <c r="X392" s="43">
        <f t="shared" si="39"/>
        <v>4.8534906747794504E-4</v>
      </c>
      <c r="Y392" s="41">
        <f t="shared" si="40"/>
        <v>1.9001124961118398E-3</v>
      </c>
      <c r="Z392" s="62"/>
    </row>
    <row r="393" spans="15:26" x14ac:dyDescent="0.25">
      <c r="O393" s="45" t="s">
        <v>33</v>
      </c>
      <c r="P393" s="39">
        <f>_xll.qlCalendarAdvance(Calendar,P392,O392,"f",,Trigger)</f>
        <v>43419</v>
      </c>
      <c r="Q393" s="39">
        <f>_xll.qlInterestRateIndexValueDate(Index,P393,Trigger)</f>
        <v>43423</v>
      </c>
      <c r="R393" s="39">
        <f>_xll.qlInterestRateIndexMaturity(Index,Q393,Trigger)</f>
        <v>43515</v>
      </c>
      <c r="S393" s="40">
        <f>_xll.qlDayCounterYearFraction(DayCounter,Q393,R393,,,Trigger)</f>
        <v>0.25555555555555554</v>
      </c>
      <c r="T393" s="41">
        <f>_xll.qlIndexFixing(Index,P393,,AllTriggers)</f>
        <v>2.8716217589567269E-3</v>
      </c>
      <c r="U393" s="42">
        <f>_xll.qlYieldTSDiscount(OisCurve,Q393,,AllTriggers)</f>
        <v>1.0033512900928774</v>
      </c>
      <c r="V393" s="42">
        <f>_xll.qlYieldTSDiscount(OisCurve,R393,,AllTriggers)</f>
        <v>1.0031029695213796</v>
      </c>
      <c r="W393" s="41">
        <f t="shared" si="38"/>
        <v>9.6868339775860787E-4</v>
      </c>
      <c r="X393" s="43">
        <f t="shared" si="39"/>
        <v>4.8606796335828477E-4</v>
      </c>
      <c r="Y393" s="41">
        <f t="shared" si="40"/>
        <v>1.902938361198119E-3</v>
      </c>
      <c r="Z393" s="62"/>
    </row>
    <row r="394" spans="15:26" x14ac:dyDescent="0.25">
      <c r="O394" s="45" t="s">
        <v>33</v>
      </c>
      <c r="P394" s="39">
        <f>_xll.qlCalendarAdvance(Calendar,P393,O393,"f",,Trigger)</f>
        <v>43426</v>
      </c>
      <c r="Q394" s="39">
        <f>_xll.qlInterestRateIndexValueDate(Index,P394,Trigger)</f>
        <v>43430</v>
      </c>
      <c r="R394" s="39">
        <f>_xll.qlInterestRateIndexMaturity(Index,Q394,Trigger)</f>
        <v>43522</v>
      </c>
      <c r="S394" s="40">
        <f>_xll.qlDayCounterYearFraction(DayCounter,Q394,R394,,,Trigger)</f>
        <v>0.25555555555555554</v>
      </c>
      <c r="T394" s="41">
        <f>_xll.qlIndexFixing(Index,P394,,AllTriggers)</f>
        <v>2.8962265896739421E-3</v>
      </c>
      <c r="U394" s="42">
        <f>_xll.qlYieldTSDiscount(OisCurve,Q394,,AllTriggers)</f>
        <v>1.0033350521017359</v>
      </c>
      <c r="V394" s="42">
        <f>_xll.qlYieldTSDiscount(OisCurve,R394,,AllTriggers)</f>
        <v>1.0030811353084683</v>
      </c>
      <c r="W394" s="41">
        <f t="shared" si="38"/>
        <v>9.9053547808123656E-4</v>
      </c>
      <c r="X394" s="43">
        <f t="shared" si="39"/>
        <v>4.8676821090644292E-4</v>
      </c>
      <c r="Y394" s="41">
        <f t="shared" si="40"/>
        <v>1.9056911115927055E-3</v>
      </c>
      <c r="Z394" s="62"/>
    </row>
    <row r="395" spans="15:26" x14ac:dyDescent="0.25">
      <c r="O395" s="45" t="s">
        <v>33</v>
      </c>
      <c r="P395" s="39">
        <f>_xll.qlCalendarAdvance(Calendar,P394,O394,"f",,Trigger)</f>
        <v>43433</v>
      </c>
      <c r="Q395" s="39">
        <f>_xll.qlInterestRateIndexValueDate(Index,P395,Trigger)</f>
        <v>43437</v>
      </c>
      <c r="R395" s="39">
        <f>_xll.qlInterestRateIndexMaturity(Index,Q395,Trigger)</f>
        <v>43528</v>
      </c>
      <c r="S395" s="40">
        <f>_xll.qlDayCounterYearFraction(DayCounter,Q395,R395,,,Trigger)</f>
        <v>0.25277777777777777</v>
      </c>
      <c r="T395" s="41">
        <f>_xll.qlIndexFixing(Index,P395,,AllTriggers)</f>
        <v>2.9188215025631992E-3</v>
      </c>
      <c r="U395" s="42">
        <f>_xll.qlYieldTSDiscount(OisCurve,Q395,,AllTriggers)</f>
        <v>1.0033183582962897</v>
      </c>
      <c r="V395" s="42">
        <f>_xll.qlYieldTSDiscount(OisCurve,R395,,AllTriggers)</f>
        <v>1.0030621090077345</v>
      </c>
      <c r="W395" s="41">
        <f t="shared" si="38"/>
        <v>1.0106387631692881E-3</v>
      </c>
      <c r="X395" s="43">
        <f t="shared" si="39"/>
        <v>4.8210676823868772E-4</v>
      </c>
      <c r="Y395" s="41">
        <f t="shared" si="40"/>
        <v>1.9081827393939111E-3</v>
      </c>
      <c r="Z395" s="62"/>
    </row>
    <row r="396" spans="15:26" x14ac:dyDescent="0.25">
      <c r="O396" s="45" t="s">
        <v>33</v>
      </c>
      <c r="P396" s="39">
        <f>_xll.qlCalendarAdvance(Calendar,P395,O395,"f",,Trigger)</f>
        <v>43440</v>
      </c>
      <c r="Q396" s="39">
        <f>_xll.qlInterestRateIndexValueDate(Index,P396,Trigger)</f>
        <v>43444</v>
      </c>
      <c r="R396" s="39">
        <f>_xll.qlInterestRateIndexMaturity(Index,Q396,Trigger)</f>
        <v>43535</v>
      </c>
      <c r="S396" s="40">
        <f>_xll.qlDayCounterYearFraction(DayCounter,Q396,R396,,,Trigger)</f>
        <v>0.25277777777777777</v>
      </c>
      <c r="T396" s="41">
        <f>_xll.qlIndexFixing(Index,P396,,AllTriggers)</f>
        <v>2.9427988503961289E-3</v>
      </c>
      <c r="U396" s="42">
        <f>_xll.qlYieldTSDiscount(OisCurve,Q396,,AllTriggers)</f>
        <v>1.0033012136193351</v>
      </c>
      <c r="V396" s="42">
        <f>_xll.qlYieldTSDiscount(OisCurve,R396,,AllTriggers)</f>
        <v>1.0030395528918288</v>
      </c>
      <c r="W396" s="41">
        <f t="shared" si="38"/>
        <v>1.0320045073005694E-3</v>
      </c>
      <c r="X396" s="43">
        <f t="shared" si="39"/>
        <v>4.8276383068025818E-4</v>
      </c>
      <c r="Y396" s="41">
        <f t="shared" si="40"/>
        <v>1.9107943430955595E-3</v>
      </c>
      <c r="Z396" s="62"/>
    </row>
    <row r="397" spans="15:26" x14ac:dyDescent="0.25">
      <c r="O397" s="45" t="s">
        <v>33</v>
      </c>
      <c r="P397" s="39">
        <f>_xll.qlCalendarAdvance(Calendar,P396,O396,"f",,Trigger)</f>
        <v>43447</v>
      </c>
      <c r="Q397" s="39">
        <f>_xll.qlInterestRateIndexValueDate(Index,P397,Trigger)</f>
        <v>43451</v>
      </c>
      <c r="R397" s="39">
        <f>_xll.qlInterestRateIndexMaturity(Index,Q397,Trigger)</f>
        <v>43542</v>
      </c>
      <c r="S397" s="40">
        <f>_xll.qlDayCounterYearFraction(DayCounter,Q397,R397,,,Trigger)</f>
        <v>0.25277777777777777</v>
      </c>
      <c r="T397" s="41">
        <f>_xll.qlIndexFixing(Index,P397,,AllTriggers)</f>
        <v>2.9664509300430467E-3</v>
      </c>
      <c r="U397" s="42">
        <f>_xll.qlYieldTSDiscount(OisCurve,Q397,,AllTriggers)</f>
        <v>1.0032836230139439</v>
      </c>
      <c r="V397" s="42">
        <f>_xll.qlYieldTSDiscount(OisCurve,R397,,AllTriggers)</f>
        <v>1.0030166151228403</v>
      </c>
      <c r="W397" s="41">
        <f t="shared" si="38"/>
        <v>1.0531181018242834E-3</v>
      </c>
      <c r="X397" s="43">
        <f t="shared" si="39"/>
        <v>4.8340244748842518E-4</v>
      </c>
      <c r="Y397" s="41">
        <f t="shared" si="40"/>
        <v>1.9133328282187633E-3</v>
      </c>
      <c r="Z397" s="62"/>
    </row>
    <row r="398" spans="15:26" x14ac:dyDescent="0.25">
      <c r="O398" s="45" t="s">
        <v>33</v>
      </c>
      <c r="P398" s="39">
        <f>_xll.qlCalendarAdvance(Calendar,P397,O397,"f",,Trigger)</f>
        <v>43454</v>
      </c>
      <c r="Q398" s="39">
        <f>_xll.qlInterestRateIndexValueDate(Index,P398,Trigger)</f>
        <v>43458</v>
      </c>
      <c r="R398" s="39">
        <f>_xll.qlInterestRateIndexMaturity(Index,Q398,Trigger)</f>
        <v>43549</v>
      </c>
      <c r="S398" s="40">
        <f>_xll.qlDayCounterYearFraction(DayCounter,Q398,R398,,,Trigger)</f>
        <v>0.25277777777777777</v>
      </c>
      <c r="T398" s="41">
        <f>_xll.qlIndexFixing(Index,P398,,AllTriggers)</f>
        <v>2.9897777356721338E-3</v>
      </c>
      <c r="U398" s="42">
        <f>_xll.qlYieldTSDiscount(OisCurve,Q398,,AllTriggers)</f>
        <v>1.0032655914234423</v>
      </c>
      <c r="V398" s="42">
        <f>_xll.qlYieldTSDiscount(OisCurve,R398,,AllTriggers)</f>
        <v>1.0029933006455019</v>
      </c>
      <c r="W398" s="41">
        <f t="shared" si="38"/>
        <v>1.0739795426997067E-3</v>
      </c>
      <c r="X398" s="43">
        <f t="shared" si="39"/>
        <v>4.8402261866412722E-4</v>
      </c>
      <c r="Y398" s="41">
        <f t="shared" si="40"/>
        <v>1.9157981929724271E-3</v>
      </c>
      <c r="Z398" s="62"/>
    </row>
    <row r="399" spans="15:26" x14ac:dyDescent="0.25">
      <c r="O399" s="45" t="s">
        <v>33</v>
      </c>
      <c r="P399" s="39">
        <f>_xll.qlCalendarAdvance(Calendar,P398,O398,"f",,Trigger)</f>
        <v>43461</v>
      </c>
      <c r="Q399" s="39">
        <f>_xll.qlInterestRateIndexValueDate(Index,P399,Trigger)</f>
        <v>43465</v>
      </c>
      <c r="R399" s="39">
        <f>_xll.qlInterestRateIndexMaturity(Index,Q399,Trigger)</f>
        <v>43553</v>
      </c>
      <c r="S399" s="40">
        <f>_xll.qlDayCounterYearFraction(DayCounter,Q399,R399,,,Trigger)</f>
        <v>0.24444444444444444</v>
      </c>
      <c r="T399" s="41">
        <f>_xll.qlIndexFixing(Index,P399,,AllTriggers)</f>
        <v>3.0079886515426753E-3</v>
      </c>
      <c r="U399" s="42">
        <f>_xll.qlYieldTSDiscount(OisCurve,Q399,,AllTriggers)</f>
        <v>1.0032471237913885</v>
      </c>
      <c r="V399" s="42">
        <f>_xll.qlYieldTSDiscount(OisCurve,R399,,AllTriggers)</f>
        <v>1.0029798108555805</v>
      </c>
      <c r="W399" s="41">
        <f t="shared" si="38"/>
        <v>1.0903040194614794E-3</v>
      </c>
      <c r="X399" s="43">
        <f t="shared" si="39"/>
        <v>4.6853267392578293E-4</v>
      </c>
      <c r="Y399" s="41">
        <f t="shared" si="40"/>
        <v>1.917684632081196E-3</v>
      </c>
      <c r="Z399" s="62"/>
    </row>
    <row r="400" spans="15:26" x14ac:dyDescent="0.25">
      <c r="O400" s="45" t="s">
        <v>33</v>
      </c>
      <c r="P400" s="39">
        <f>_xll.qlCalendarAdvance(Calendar,P399,O399,"f",,Trigger)</f>
        <v>43468</v>
      </c>
      <c r="Q400" s="39">
        <f>_xll.qlInterestRateIndexValueDate(Index,P400,Trigger)</f>
        <v>43472</v>
      </c>
      <c r="R400" s="39">
        <f>_xll.qlInterestRateIndexMaturity(Index,Q400,Trigger)</f>
        <v>43563</v>
      </c>
      <c r="S400" s="40">
        <f>_xll.qlDayCounterYearFraction(DayCounter,Q400,R400,,,Trigger)</f>
        <v>0.25277777777777777</v>
      </c>
      <c r="T400" s="41">
        <f>_xll.qlIndexFixing(Index,P400,,AllTriggers)</f>
        <v>3.0354555019536152E-3</v>
      </c>
      <c r="U400" s="42">
        <f>_xll.qlYieldTSDiscount(OisCurve,Q400,,AllTriggers)</f>
        <v>1.003228225061551</v>
      </c>
      <c r="V400" s="42">
        <f>_xll.qlYieldTSDiscount(OisCurve,R400,,AllTriggers)</f>
        <v>1.0029455613445366</v>
      </c>
      <c r="W400" s="41">
        <f t="shared" si="38"/>
        <v>1.1149459476027964E-3</v>
      </c>
      <c r="X400" s="43">
        <f t="shared" si="39"/>
        <v>4.8520762411723107E-4</v>
      </c>
      <c r="Y400" s="41">
        <f t="shared" si="40"/>
        <v>1.9205095543508189E-3</v>
      </c>
      <c r="Z400" s="62"/>
    </row>
    <row r="401" spans="15:26" x14ac:dyDescent="0.25">
      <c r="O401" s="45" t="s">
        <v>33</v>
      </c>
      <c r="P401" s="39">
        <f>_xll.qlCalendarAdvance(Calendar,P400,O400,"f",,Trigger)</f>
        <v>43475</v>
      </c>
      <c r="Q401" s="39">
        <f>_xll.qlInterestRateIndexValueDate(Index,P401,Trigger)</f>
        <v>43479</v>
      </c>
      <c r="R401" s="39">
        <f>_xll.qlInterestRateIndexMaturity(Index,Q401,Trigger)</f>
        <v>43570</v>
      </c>
      <c r="S401" s="40">
        <f>_xll.qlDayCounterYearFraction(DayCounter,Q401,R401,,,Trigger)</f>
        <v>0.25277777777777777</v>
      </c>
      <c r="T401" s="41">
        <f>_xll.qlIndexFixing(Index,P401,,AllTriggers)</f>
        <v>3.0578064513429306E-3</v>
      </c>
      <c r="U401" s="42">
        <f>_xll.qlYieldTSDiscount(OisCurve,Q401,,AllTriggers)</f>
        <v>1.0032089001778881</v>
      </c>
      <c r="V401" s="42">
        <f>_xll.qlYieldTSDiscount(OisCurve,R401,,AllTriggers)</f>
        <v>1.0029211464101548</v>
      </c>
      <c r="W401" s="41">
        <f t="shared" si="38"/>
        <v>1.1350509037967294E-3</v>
      </c>
      <c r="X401" s="43">
        <f t="shared" si="39"/>
        <v>4.8577245839451368E-4</v>
      </c>
      <c r="Y401" s="41">
        <f t="shared" si="40"/>
        <v>1.9227555475462013E-3</v>
      </c>
      <c r="Z401" s="62"/>
    </row>
    <row r="402" spans="15:26" x14ac:dyDescent="0.25">
      <c r="O402" s="45" t="s">
        <v>33</v>
      </c>
      <c r="P402" s="39">
        <f>_xll.qlCalendarAdvance(Calendar,P401,O401,"f",,Trigger)</f>
        <v>43482</v>
      </c>
      <c r="Q402" s="39">
        <f>_xll.qlInterestRateIndexValueDate(Index,P402,Trigger)</f>
        <v>43486</v>
      </c>
      <c r="R402" s="39">
        <f>_xll.qlInterestRateIndexMaturity(Index,Q402,Trigger)</f>
        <v>43578</v>
      </c>
      <c r="S402" s="40">
        <f>_xll.qlDayCounterYearFraction(DayCounter,Q402,R402,,,Trigger)</f>
        <v>0.25555555555555554</v>
      </c>
      <c r="T402" s="41">
        <f>_xll.qlIndexFixing(Index,P402,,AllTriggers)</f>
        <v>3.0813554612726343E-3</v>
      </c>
      <c r="U402" s="42">
        <f>_xll.qlYieldTSDiscount(OisCurve,Q402,,AllTriggers)</f>
        <v>1.0031891540845259</v>
      </c>
      <c r="V402" s="42">
        <f>_xll.qlYieldTSDiscount(OisCurve,R402,,AllTriggers)</f>
        <v>1.0028928068592922</v>
      </c>
      <c r="W402" s="41">
        <f t="shared" si="38"/>
        <v>1.1562746976255475E-3</v>
      </c>
      <c r="X402" s="43">
        <f t="shared" si="39"/>
        <v>4.9169885133663654E-4</v>
      </c>
      <c r="Y402" s="41">
        <f t="shared" si="40"/>
        <v>1.9250807636470868E-3</v>
      </c>
      <c r="Z402" s="62"/>
    </row>
    <row r="403" spans="15:26" x14ac:dyDescent="0.25">
      <c r="O403" s="45" t="s">
        <v>33</v>
      </c>
      <c r="P403" s="39">
        <f>_xll.qlCalendarAdvance(Calendar,P402,O402,"f",,Trigger)</f>
        <v>43489</v>
      </c>
      <c r="Q403" s="39">
        <f>_xll.qlInterestRateIndexValueDate(Index,P403,Trigger)</f>
        <v>43493</v>
      </c>
      <c r="R403" s="39">
        <f>_xll.qlInterestRateIndexMaturity(Index,Q403,Trigger)</f>
        <v>43584</v>
      </c>
      <c r="S403" s="40">
        <f>_xll.qlDayCounterYearFraction(DayCounter,Q403,R403,,,Trigger)</f>
        <v>0.25277777777777777</v>
      </c>
      <c r="T403" s="41">
        <f>_xll.qlIndexFixing(Index,P403,,AllTriggers)</f>
        <v>3.101534196251025E-3</v>
      </c>
      <c r="U403" s="42">
        <f>_xll.qlYieldTSDiscount(OisCurve,Q403,,AllTriggers)</f>
        <v>1.0031689917257385</v>
      </c>
      <c r="V403" s="42">
        <f>_xll.qlYieldTSDiscount(OisCurve,R403,,AllTriggers)</f>
        <v>1.0028712501837138</v>
      </c>
      <c r="W403" s="41">
        <f t="shared" si="38"/>
        <v>1.174506326284588E-3</v>
      </c>
      <c r="X403" s="43">
        <f t="shared" si="39"/>
        <v>4.8684671891392647E-4</v>
      </c>
      <c r="Y403" s="41">
        <f t="shared" si="40"/>
        <v>1.927027869966437E-3</v>
      </c>
      <c r="Z403" s="62"/>
    </row>
    <row r="404" spans="15:26" x14ac:dyDescent="0.25">
      <c r="O404" s="45" t="s">
        <v>33</v>
      </c>
      <c r="P404" s="39">
        <f>_xll.qlCalendarAdvance(Calendar,P403,O403,"f",,Trigger)</f>
        <v>43496</v>
      </c>
      <c r="Q404" s="39">
        <f>_xll.qlInterestRateIndexValueDate(Index,P404,Trigger)</f>
        <v>43500</v>
      </c>
      <c r="R404" s="39">
        <f>_xll.qlInterestRateIndexMaturity(Index,Q404,Trigger)</f>
        <v>43591</v>
      </c>
      <c r="S404" s="40">
        <f>_xll.qlDayCounterYearFraction(DayCounter,Q404,R404,,,Trigger)</f>
        <v>0.25277777777777777</v>
      </c>
      <c r="T404" s="41">
        <f>_xll.qlIndexFixing(Index,P404,,AllTriggers)</f>
        <v>3.1229315688685103E-3</v>
      </c>
      <c r="U404" s="42">
        <f>_xll.qlYieldTSDiscount(OisCurve,Q404,,AllTriggers)</f>
        <v>1.0031484180459254</v>
      </c>
      <c r="V404" s="42">
        <f>_xll.qlYieldTSDiscount(OisCurve,R404,,AllTriggers)</f>
        <v>1.0028457727220168</v>
      </c>
      <c r="W404" s="41">
        <f t="shared" si="38"/>
        <v>1.1938806913682741E-3</v>
      </c>
      <c r="X404" s="43">
        <f t="shared" si="39"/>
        <v>4.873553040432697E-4</v>
      </c>
      <c r="Y404" s="41">
        <f t="shared" si="40"/>
        <v>1.9290508775002362E-3</v>
      </c>
      <c r="Z404" s="62"/>
    </row>
    <row r="405" spans="15:26" x14ac:dyDescent="0.25">
      <c r="O405" s="45" t="s">
        <v>33</v>
      </c>
      <c r="P405" s="39">
        <f>_xll.qlCalendarAdvance(Calendar,P404,O404,"f",,Trigger)</f>
        <v>43503</v>
      </c>
      <c r="Q405" s="39">
        <f>_xll.qlInterestRateIndexValueDate(Index,P405,Trigger)</f>
        <v>43507</v>
      </c>
      <c r="R405" s="39">
        <f>_xll.qlInterestRateIndexMaturity(Index,Q405,Trigger)</f>
        <v>43598</v>
      </c>
      <c r="S405" s="40">
        <f>_xll.qlDayCounterYearFraction(DayCounter,Q405,R405,,,Trigger)</f>
        <v>0.25277777777777777</v>
      </c>
      <c r="T405" s="41">
        <f>_xll.qlIndexFixing(Index,P405,,AllTriggers)</f>
        <v>3.1440527728121316E-3</v>
      </c>
      <c r="U405" s="42">
        <f>_xll.qlYieldTSDiscount(OisCurve,Q405,,AllTriggers)</f>
        <v>1.0031274379895938</v>
      </c>
      <c r="V405" s="42">
        <f>_xll.qlYieldTSDiscount(OisCurve,R405,,AllTriggers)</f>
        <v>1.0028199387026249</v>
      </c>
      <c r="W405" s="41">
        <f t="shared" si="38"/>
        <v>1.2130599410248484E-3</v>
      </c>
      <c r="X405" s="43">
        <f t="shared" si="39"/>
        <v>4.8784343579330488E-4</v>
      </c>
      <c r="Y405" s="41">
        <f t="shared" si="40"/>
        <v>1.9309928317872832E-3</v>
      </c>
      <c r="Z405" s="62"/>
    </row>
    <row r="406" spans="15:26" x14ac:dyDescent="0.25">
      <c r="O406" s="45" t="s">
        <v>33</v>
      </c>
      <c r="P406" s="39">
        <f>_xll.qlCalendarAdvance(Calendar,P405,O405,"f",,Trigger)</f>
        <v>43510</v>
      </c>
      <c r="Q406" s="39">
        <f>_xll.qlInterestRateIndexValueDate(Index,P406,Trigger)</f>
        <v>43514</v>
      </c>
      <c r="R406" s="39">
        <f>_xll.qlInterestRateIndexMaturity(Index,Q406,Trigger)</f>
        <v>43605</v>
      </c>
      <c r="S406" s="40">
        <f>_xll.qlDayCounterYearFraction(DayCounter,Q406,R406,,,Trigger)</f>
        <v>0.25277777777777777</v>
      </c>
      <c r="T406" s="41">
        <f>_xll.qlIndexFixing(Index,P406,,AllTriggers)</f>
        <v>3.1649264709596751E-3</v>
      </c>
      <c r="U406" s="42">
        <f>_xll.qlYieldTSDiscount(OisCurve,Q406,,AllTriggers)</f>
        <v>1.0031060565013374</v>
      </c>
      <c r="V406" s="42">
        <f>_xll.qlYieldTSDiscount(OisCurve,R406,,AllTriggers)</f>
        <v>1.002793744635325</v>
      </c>
      <c r="W406" s="41">
        <f t="shared" si="38"/>
        <v>1.2320773604232176E-3</v>
      </c>
      <c r="X406" s="43">
        <f t="shared" si="39"/>
        <v>4.8830994297892826E-4</v>
      </c>
      <c r="Y406" s="41">
        <f t="shared" si="40"/>
        <v>1.9328491105364575E-3</v>
      </c>
      <c r="Z406" s="62"/>
    </row>
    <row r="407" spans="15:26" x14ac:dyDescent="0.25">
      <c r="O407" s="45" t="s">
        <v>33</v>
      </c>
      <c r="P407" s="39">
        <f>_xll.qlCalendarAdvance(Calendar,P406,O406,"f",,Trigger)</f>
        <v>43517</v>
      </c>
      <c r="Q407" s="39">
        <f>_xll.qlInterestRateIndexValueDate(Index,P407,Trigger)</f>
        <v>43521</v>
      </c>
      <c r="R407" s="39">
        <f>_xll.qlInterestRateIndexMaturity(Index,Q407,Trigger)</f>
        <v>43612</v>
      </c>
      <c r="S407" s="40">
        <f>_xll.qlDayCounterYearFraction(DayCounter,Q407,R407,,,Trigger)</f>
        <v>0.25277777777777777</v>
      </c>
      <c r="T407" s="41">
        <f>_xll.qlIndexFixing(Index,P407,,AllTriggers)</f>
        <v>3.1855813268451046E-3</v>
      </c>
      <c r="U407" s="42">
        <f>_xll.qlYieldTSDiscount(OisCurve,Q407,,AllTriggers)</f>
        <v>1.0030842785258154</v>
      </c>
      <c r="V407" s="42">
        <f>_xll.qlYieldTSDiscount(OisCurve,R407,,AllTriggers)</f>
        <v>1.0027671870306567</v>
      </c>
      <c r="W407" s="41">
        <f t="shared" si="38"/>
        <v>1.2509662353928589E-3</v>
      </c>
      <c r="X407" s="43">
        <f t="shared" si="39"/>
        <v>4.8875365441608976E-4</v>
      </c>
      <c r="Y407" s="41">
        <f t="shared" si="40"/>
        <v>1.9346150914522457E-3</v>
      </c>
      <c r="Z407" s="62"/>
    </row>
    <row r="408" spans="15:26" x14ac:dyDescent="0.25">
      <c r="O408" s="45" t="s">
        <v>33</v>
      </c>
      <c r="P408" s="39">
        <f>_xll.qlCalendarAdvance(Calendar,P407,O407,"f",,Trigger)</f>
        <v>43524</v>
      </c>
      <c r="Q408" s="39">
        <f>_xll.qlInterestRateIndexValueDate(Index,P408,Trigger)</f>
        <v>43528</v>
      </c>
      <c r="R408" s="39">
        <f>_xll.qlInterestRateIndexMaturity(Index,Q408,Trigger)</f>
        <v>43620</v>
      </c>
      <c r="S408" s="40">
        <f>_xll.qlDayCounterYearFraction(DayCounter,Q408,R408,,,Trigger)</f>
        <v>0.25555555555555554</v>
      </c>
      <c r="T408" s="41">
        <f>_xll.qlIndexFixing(Index,P408,,AllTriggers)</f>
        <v>3.2074891530717181E-3</v>
      </c>
      <c r="U408" s="42">
        <f>_xll.qlYieldTSDiscount(OisCurve,Q408,,AllTriggers)</f>
        <v>1.0030621090077345</v>
      </c>
      <c r="V408" s="42">
        <f>_xll.qlYieldTSDiscount(OisCurve,R408,,AllTriggers)</f>
        <v>1.0027363858594076</v>
      </c>
      <c r="W408" s="41">
        <f t="shared" si="38"/>
        <v>1.2710906468076282E-3</v>
      </c>
      <c r="X408" s="43">
        <f t="shared" si="39"/>
        <v>4.9457437952678469E-4</v>
      </c>
      <c r="Y408" s="41">
        <f t="shared" si="40"/>
        <v>1.9363985062640899E-3</v>
      </c>
      <c r="Z408" s="62"/>
    </row>
    <row r="409" spans="15:26" x14ac:dyDescent="0.25">
      <c r="O409" s="45" t="s">
        <v>33</v>
      </c>
      <c r="P409" s="39">
        <f>_xll.qlCalendarAdvance(Calendar,P408,O408,"f",,Trigger)</f>
        <v>43531</v>
      </c>
      <c r="Q409" s="39">
        <f>_xll.qlInterestRateIndexValueDate(Index,P409,Trigger)</f>
        <v>43535</v>
      </c>
      <c r="R409" s="39">
        <f>_xll.qlInterestRateIndexMaturity(Index,Q409,Trigger)</f>
        <v>43627</v>
      </c>
      <c r="S409" s="40">
        <f>_xll.qlDayCounterYearFraction(DayCounter,Q409,R409,,,Trigger)</f>
        <v>0.25555555555555554</v>
      </c>
      <c r="T409" s="41">
        <f>_xll.qlIndexFixing(Index,P409,,AllTriggers)</f>
        <v>3.227788693883482E-3</v>
      </c>
      <c r="U409" s="42">
        <f>_xll.qlYieldTSDiscount(OisCurve,Q409,,AllTriggers)</f>
        <v>1.0030395528918288</v>
      </c>
      <c r="V409" s="42">
        <f>_xll.qlYieldTSDiscount(OisCurve,R409,,AllTriggers)</f>
        <v>1.0027090374994447</v>
      </c>
      <c r="W409" s="41">
        <f t="shared" si="38"/>
        <v>1.2898269111632813E-3</v>
      </c>
      <c r="X409" s="43">
        <f t="shared" si="39"/>
        <v>4.9497118758481647E-4</v>
      </c>
      <c r="Y409" s="41">
        <f t="shared" si="40"/>
        <v>1.9379617827202007E-3</v>
      </c>
      <c r="Z409" s="62"/>
    </row>
    <row r="410" spans="15:26" x14ac:dyDescent="0.25">
      <c r="O410" s="45" t="s">
        <v>33</v>
      </c>
      <c r="P410" s="39">
        <f>_xll.qlCalendarAdvance(Calendar,P409,O409,"f",,Trigger)</f>
        <v>43538</v>
      </c>
      <c r="Q410" s="39">
        <f>_xll.qlInterestRateIndexValueDate(Index,P410,Trigger)</f>
        <v>43542</v>
      </c>
      <c r="R410" s="39">
        <f>_xll.qlInterestRateIndexMaturity(Index,Q410,Trigger)</f>
        <v>43634</v>
      </c>
      <c r="S410" s="40">
        <f>_xll.qlDayCounterYearFraction(DayCounter,Q410,R410,,,Trigger)</f>
        <v>0.25555555555555554</v>
      </c>
      <c r="T410" s="41">
        <f>_xll.qlIndexFixing(Index,P410,,AllTriggers)</f>
        <v>3.2479573453532721E-3</v>
      </c>
      <c r="U410" s="42">
        <f>_xll.qlYieldTSDiscount(OisCurve,Q410,,AllTriggers)</f>
        <v>1.0030166151228403</v>
      </c>
      <c r="V410" s="42">
        <f>_xll.qlYieldTSDiscount(OisCurve,R410,,AllTriggers)</f>
        <v>1.0026813146402807</v>
      </c>
      <c r="W410" s="41">
        <f t="shared" si="38"/>
        <v>1.3085367677455751E-3</v>
      </c>
      <c r="X410" s="43">
        <f t="shared" si="39"/>
        <v>4.9534131632711321E-4</v>
      </c>
      <c r="Y410" s="41">
        <f t="shared" si="40"/>
        <v>1.939420577607697E-3</v>
      </c>
      <c r="Z410" s="62"/>
    </row>
    <row r="411" spans="15:26" x14ac:dyDescent="0.25">
      <c r="O411" s="45" t="s">
        <v>33</v>
      </c>
      <c r="P411" s="39">
        <f>_xll.qlCalendarAdvance(Calendar,P410,O410,"f",,Trigger)</f>
        <v>43545</v>
      </c>
      <c r="Q411" s="39">
        <f>_xll.qlInterestRateIndexValueDate(Index,P411,Trigger)</f>
        <v>43549</v>
      </c>
      <c r="R411" s="39">
        <f>_xll.qlInterestRateIndexMaturity(Index,Q411,Trigger)</f>
        <v>43641</v>
      </c>
      <c r="S411" s="40">
        <f>_xll.qlDayCounterYearFraction(DayCounter,Q411,R411,,,Trigger)</f>
        <v>0.25555555555555554</v>
      </c>
      <c r="T411" s="41">
        <f>_xll.qlIndexFixing(Index,P411,,AllTriggers)</f>
        <v>3.2680234621492673E-3</v>
      </c>
      <c r="U411" s="42">
        <f>_xll.qlYieldTSDiscount(OisCurve,Q411,,AllTriggers)</f>
        <v>1.0029933006455019</v>
      </c>
      <c r="V411" s="42">
        <f>_xll.qlYieldTSDiscount(OisCurve,R411,,AllTriggers)</f>
        <v>1.0026532137957094</v>
      </c>
      <c r="W411" s="41">
        <f t="shared" si="38"/>
        <v>1.3272531432723836E-3</v>
      </c>
      <c r="X411" s="43">
        <f t="shared" si="39"/>
        <v>4.9568359456711485E-4</v>
      </c>
      <c r="Y411" s="41">
        <f t="shared" si="40"/>
        <v>1.9407703188768837E-3</v>
      </c>
      <c r="Z411" s="62"/>
    </row>
    <row r="412" spans="15:26" x14ac:dyDescent="0.25">
      <c r="O412" s="45" t="s">
        <v>33</v>
      </c>
      <c r="P412" s="39">
        <f>_xll.qlCalendarAdvance(Calendar,P411,O411,"f",,Trigger)</f>
        <v>43552</v>
      </c>
      <c r="Q412" s="39">
        <f>_xll.qlInterestRateIndexValueDate(Index,P412,Trigger)</f>
        <v>43556</v>
      </c>
      <c r="R412" s="39">
        <f>_xll.qlInterestRateIndexMaturity(Index,Q412,Trigger)</f>
        <v>43647</v>
      </c>
      <c r="S412" s="40">
        <f>_xll.qlDayCounterYearFraction(DayCounter,Q412,R412,,,Trigger)</f>
        <v>0.25277777777777777</v>
      </c>
      <c r="T412" s="41">
        <f>_xll.qlIndexFixing(Index,P412,,AllTriggers)</f>
        <v>3.286576239835116E-3</v>
      </c>
      <c r="U412" s="42">
        <f>_xll.qlYieldTSDiscount(OisCurve,Q412,,AllTriggers)</f>
        <v>1.0029696144045155</v>
      </c>
      <c r="V412" s="42">
        <f>_xll.qlYieldTSDiscount(OisCurve,R412,,AllTriggers)</f>
        <v>1.0026288238699712</v>
      </c>
      <c r="W412" s="41">
        <f t="shared" si="38"/>
        <v>1.3446474930347172E-3</v>
      </c>
      <c r="X412" s="43">
        <f t="shared" si="39"/>
        <v>4.9058928387696538E-4</v>
      </c>
      <c r="Y412" s="41">
        <f t="shared" si="40"/>
        <v>1.9419287468003987E-3</v>
      </c>
      <c r="Z412" s="62"/>
    </row>
    <row r="413" spans="15:26" x14ac:dyDescent="0.25">
      <c r="O413" s="45" t="s">
        <v>33</v>
      </c>
      <c r="P413" s="39">
        <f>_xll.qlCalendarAdvance(Calendar,P412,O412,"f",,Trigger)</f>
        <v>43559</v>
      </c>
      <c r="Q413" s="39">
        <f>_xll.qlInterestRateIndexValueDate(Index,P413,Trigger)</f>
        <v>43563</v>
      </c>
      <c r="R413" s="39">
        <f>_xll.qlInterestRateIndexMaturity(Index,Q413,Trigger)</f>
        <v>43654</v>
      </c>
      <c r="S413" s="40">
        <f>_xll.qlDayCounterYearFraction(DayCounter,Q413,R413,,,Trigger)</f>
        <v>0.25277777777777777</v>
      </c>
      <c r="T413" s="41">
        <f>_xll.qlIndexFixing(Index,P413,,AllTriggers)</f>
        <v>3.3065200111227475E-3</v>
      </c>
      <c r="U413" s="42">
        <f>_xll.qlYieldTSDiscount(OisCurve,Q413,,AllTriggers)</f>
        <v>1.0029455613445366</v>
      </c>
      <c r="V413" s="42">
        <f>_xll.qlYieldTSDiscount(OisCurve,R413,,AllTriggers)</f>
        <v>1.0026000118061886</v>
      </c>
      <c r="W413" s="41">
        <f t="shared" si="38"/>
        <v>1.36346413983454E-3</v>
      </c>
      <c r="X413" s="43">
        <f t="shared" si="39"/>
        <v>4.9087162592844442E-4</v>
      </c>
      <c r="Y413" s="41">
        <f t="shared" si="40"/>
        <v>1.9430558712882076E-3</v>
      </c>
      <c r="Z413" s="62"/>
    </row>
    <row r="414" spans="15:26" x14ac:dyDescent="0.25">
      <c r="O414" s="45" t="s">
        <v>33</v>
      </c>
      <c r="P414" s="39">
        <f>_xll.qlCalendarAdvance(Calendar,P413,O413,"f",,Trigger)</f>
        <v>43566</v>
      </c>
      <c r="Q414" s="39">
        <f>_xll.qlInterestRateIndexValueDate(Index,P414,Trigger)</f>
        <v>43570</v>
      </c>
      <c r="R414" s="39">
        <f>_xll.qlInterestRateIndexMaturity(Index,Q414,Trigger)</f>
        <v>43661</v>
      </c>
      <c r="S414" s="40">
        <f>_xll.qlDayCounterYearFraction(DayCounter,Q414,R414,,,Trigger)</f>
        <v>0.25277777777777777</v>
      </c>
      <c r="T414" s="41">
        <f>_xll.qlIndexFixing(Index,P414,,AllTriggers)</f>
        <v>3.3264456020520618E-3</v>
      </c>
      <c r="U414" s="42">
        <f>_xll.qlYieldTSDiscount(OisCurve,Q414,,AllTriggers)</f>
        <v>1.0029211464101548</v>
      </c>
      <c r="V414" s="42">
        <f>_xll.qlYieldTSDiscount(OisCurve,R414,,AllTriggers)</f>
        <v>1.0025708118009706</v>
      </c>
      <c r="W414" s="41">
        <f t="shared" si="38"/>
        <v>1.3823852609141395E-3</v>
      </c>
      <c r="X414" s="43">
        <f t="shared" si="39"/>
        <v>4.9112297393372737E-4</v>
      </c>
      <c r="Y414" s="41">
        <f t="shared" si="40"/>
        <v>1.9440603411379222E-3</v>
      </c>
      <c r="Z414" s="62"/>
    </row>
    <row r="415" spans="15:26" x14ac:dyDescent="0.25">
      <c r="O415" s="45" t="s">
        <v>33</v>
      </c>
      <c r="P415" s="39">
        <f>_xll.qlCalendarAdvance(Calendar,P414,O414,"f",,Trigger)</f>
        <v>43573</v>
      </c>
      <c r="Q415" s="39">
        <f>_xll.qlInterestRateIndexValueDate(Index,P415,Trigger)</f>
        <v>43579</v>
      </c>
      <c r="R415" s="39">
        <f>_xll.qlInterestRateIndexMaturity(Index,Q415,Trigger)</f>
        <v>43670</v>
      </c>
      <c r="S415" s="40">
        <f>_xll.qlDayCounterYearFraction(DayCounter,Q415,R415,,,Trigger)</f>
        <v>0.25277777777777777</v>
      </c>
      <c r="T415" s="41">
        <f>_xll.qlIndexFixing(Index,P415,,AllTriggers)</f>
        <v>3.3520836418293913E-3</v>
      </c>
      <c r="U415" s="42">
        <f>_xll.qlYieldTSDiscount(OisCurve,Q415,,AllTriggers)</f>
        <v>1.0028892320037464</v>
      </c>
      <c r="V415" s="42">
        <f>_xll.qlYieldTSDiscount(OisCurve,R415,,AllTriggers)</f>
        <v>1.0025326932955743</v>
      </c>
      <c r="W415" s="41">
        <f t="shared" si="38"/>
        <v>1.4069195059593701E-3</v>
      </c>
      <c r="X415" s="43">
        <f t="shared" si="39"/>
        <v>4.9139870856135107E-4</v>
      </c>
      <c r="Y415" s="41">
        <f t="shared" si="40"/>
        <v>1.9451641358700213E-3</v>
      </c>
      <c r="Z415" s="62"/>
    </row>
    <row r="416" spans="15:26" x14ac:dyDescent="0.25">
      <c r="O416" s="45" t="s">
        <v>33</v>
      </c>
      <c r="P416" s="39">
        <f>_xll.qlCalendarAdvance(Calendar,P415,O415,"f",,Trigger)</f>
        <v>43580</v>
      </c>
      <c r="Q416" s="39">
        <f>_xll.qlInterestRateIndexValueDate(Index,P416,Trigger)</f>
        <v>43584</v>
      </c>
      <c r="R416" s="39">
        <f>_xll.qlInterestRateIndexMaturity(Index,Q416,Trigger)</f>
        <v>43675</v>
      </c>
      <c r="S416" s="40">
        <f>_xll.qlDayCounterYearFraction(DayCounter,Q416,R416,,,Trigger)</f>
        <v>0.25277777777777777</v>
      </c>
      <c r="T416" s="41">
        <f>_xll.qlIndexFixing(Index,P416,,AllTriggers)</f>
        <v>3.3663551754598681E-3</v>
      </c>
      <c r="U416" s="42">
        <f>_xll.qlYieldTSDiscount(OisCurve,Q416,,AllTriggers)</f>
        <v>1.0028712501837138</v>
      </c>
      <c r="V416" s="42">
        <f>_xll.qlYieldTSDiscount(OisCurve,R416,,AllTriggers)</f>
        <v>1.0025112340352105</v>
      </c>
      <c r="W416" s="41">
        <f t="shared" si="38"/>
        <v>1.4206720683142225E-3</v>
      </c>
      <c r="X416" s="43">
        <f t="shared" si="39"/>
        <v>4.9152807420324368E-4</v>
      </c>
      <c r="Y416" s="41">
        <f t="shared" si="40"/>
        <v>1.9456831071456456E-3</v>
      </c>
      <c r="Z416" s="62"/>
    </row>
    <row r="417" spans="15:26" x14ac:dyDescent="0.25">
      <c r="O417" s="45" t="s">
        <v>33</v>
      </c>
      <c r="P417" s="39">
        <f>_xll.qlCalendarAdvance(Calendar,P416,O416,"f",,Trigger)</f>
        <v>43587</v>
      </c>
      <c r="Q417" s="39">
        <f>_xll.qlInterestRateIndexValueDate(Index,P417,Trigger)</f>
        <v>43591</v>
      </c>
      <c r="R417" s="39">
        <f>_xll.qlInterestRateIndexMaturity(Index,Q417,Trigger)</f>
        <v>43683</v>
      </c>
      <c r="S417" s="40">
        <f>_xll.qlDayCounterYearFraction(DayCounter,Q417,R417,,,Trigger)</f>
        <v>0.25555555555555554</v>
      </c>
      <c r="T417" s="41">
        <f>_xll.qlIndexFixing(Index,P417,,AllTriggers)</f>
        <v>3.3878310597120717E-3</v>
      </c>
      <c r="U417" s="42">
        <f>_xll.qlYieldTSDiscount(OisCurve,Q417,,AllTriggers)</f>
        <v>1.0028457727220168</v>
      </c>
      <c r="V417" s="42">
        <f>_xll.qlYieldTSDiscount(OisCurve,R417,,AllTriggers)</f>
        <v>1.0024764759121199</v>
      </c>
      <c r="W417" s="41">
        <f t="shared" si="38"/>
        <v>1.441504622036231E-3</v>
      </c>
      <c r="X417" s="43">
        <f t="shared" si="39"/>
        <v>4.9708780048930061E-4</v>
      </c>
      <c r="Y417" s="41">
        <f t="shared" si="40"/>
        <v>1.9463264376758406E-3</v>
      </c>
      <c r="Z417" s="62"/>
    </row>
    <row r="418" spans="15:26" x14ac:dyDescent="0.25">
      <c r="O418" s="45" t="s">
        <v>33</v>
      </c>
      <c r="P418" s="39">
        <f>_xll.qlCalendarAdvance(Calendar,P417,O417,"f",,Trigger)</f>
        <v>43594</v>
      </c>
      <c r="Q418" s="39">
        <f>_xll.qlInterestRateIndexValueDate(Index,P418,Trigger)</f>
        <v>43598</v>
      </c>
      <c r="R418" s="39">
        <f>_xll.qlInterestRateIndexMaturity(Index,Q418,Trigger)</f>
        <v>43690</v>
      </c>
      <c r="S418" s="40">
        <f>_xll.qlDayCounterYearFraction(DayCounter,Q418,R418,,,Trigger)</f>
        <v>0.25555555555555554</v>
      </c>
      <c r="T418" s="41">
        <f>_xll.qlIndexFixing(Index,P418,,AllTriggers)</f>
        <v>3.4079027121695616E-3</v>
      </c>
      <c r="U418" s="42">
        <f>_xll.qlYieldTSDiscount(OisCurve,Q418,,AllTriggers)</f>
        <v>1.0028199387026249</v>
      </c>
      <c r="V418" s="42">
        <f>_xll.qlYieldTSDiscount(OisCurve,R418,,AllTriggers)</f>
        <v>1.002445631626439</v>
      </c>
      <c r="W418" s="41">
        <f t="shared" si="38"/>
        <v>1.4611065349846913E-3</v>
      </c>
      <c r="X418" s="43">
        <f t="shared" si="39"/>
        <v>4.9720525202815694E-4</v>
      </c>
      <c r="Y418" s="41">
        <f t="shared" si="40"/>
        <v>1.9467961771848703E-3</v>
      </c>
      <c r="Z418" s="62"/>
    </row>
    <row r="419" spans="15:26" x14ac:dyDescent="0.25">
      <c r="O419" s="45" t="s">
        <v>33</v>
      </c>
      <c r="P419" s="39">
        <f>_xll.qlCalendarAdvance(Calendar,P418,O418,"f",,Trigger)</f>
        <v>43601</v>
      </c>
      <c r="Q419" s="39">
        <f>_xll.qlInterestRateIndexValueDate(Index,P419,Trigger)</f>
        <v>43605</v>
      </c>
      <c r="R419" s="39">
        <f>_xll.qlInterestRateIndexMaturity(Index,Q419,Trigger)</f>
        <v>43697</v>
      </c>
      <c r="S419" s="40">
        <f>_xll.qlDayCounterYearFraction(DayCounter,Q419,R419,,,Trigger)</f>
        <v>0.25555555555555554</v>
      </c>
      <c r="T419" s="41">
        <f>_xll.qlIndexFixing(Index,P419,,AllTriggers)</f>
        <v>3.4280217162644452E-3</v>
      </c>
      <c r="U419" s="42">
        <f>_xll.qlYieldTSDiscount(OisCurve,Q419,,AllTriggers)</f>
        <v>1.002793744635325</v>
      </c>
      <c r="V419" s="42">
        <f>_xll.qlYieldTSDiscount(OisCurve,R419,,AllTriggers)</f>
        <v>1.0024143814963251</v>
      </c>
      <c r="W419" s="41">
        <f t="shared" si="38"/>
        <v>1.4808890258935625E-3</v>
      </c>
      <c r="X419" s="43">
        <f t="shared" si="39"/>
        <v>4.9728866251534209E-4</v>
      </c>
      <c r="Y419" s="41">
        <f t="shared" si="40"/>
        <v>1.9471326903708827E-3</v>
      </c>
      <c r="Z419" s="62"/>
    </row>
    <row r="420" spans="15:26" x14ac:dyDescent="0.25">
      <c r="O420" s="45" t="s">
        <v>33</v>
      </c>
      <c r="P420" s="39">
        <f>_xll.qlCalendarAdvance(Calendar,P419,O419,"f",,Trigger)</f>
        <v>43608</v>
      </c>
      <c r="Q420" s="39">
        <f>_xll.qlInterestRateIndexValueDate(Index,P420,Trigger)</f>
        <v>43612</v>
      </c>
      <c r="R420" s="39">
        <f>_xll.qlInterestRateIndexMaturity(Index,Q420,Trigger)</f>
        <v>43704</v>
      </c>
      <c r="S420" s="40">
        <f>_xll.qlDayCounterYearFraction(DayCounter,Q420,R420,,,Trigger)</f>
        <v>0.25555555555555554</v>
      </c>
      <c r="T420" s="41">
        <f>_xll.qlIndexFixing(Index,P420,,AllTriggers)</f>
        <v>3.4481880727257044E-3</v>
      </c>
      <c r="U420" s="42">
        <f>_xll.qlYieldTSDiscount(OisCurve,Q420,,AllTriggers)</f>
        <v>1.0027671870306567</v>
      </c>
      <c r="V420" s="42">
        <f>_xll.qlYieldTSDiscount(OisCurve,R420,,AllTriggers)</f>
        <v>1.0023827220434325</v>
      </c>
      <c r="W420" s="41">
        <f t="shared" si="38"/>
        <v>1.5008520975006545E-3</v>
      </c>
      <c r="X420" s="43">
        <f t="shared" si="39"/>
        <v>4.9733803195049688E-4</v>
      </c>
      <c r="Y420" s="41">
        <f t="shared" si="40"/>
        <v>1.9473359752250499E-3</v>
      </c>
      <c r="Z420" s="62"/>
    </row>
    <row r="421" spans="15:26" x14ac:dyDescent="0.25">
      <c r="O421" s="45" t="s">
        <v>33</v>
      </c>
      <c r="P421" s="39">
        <f>_xll.qlCalendarAdvance(Calendar,P420,O420,"f",,Trigger)</f>
        <v>43615</v>
      </c>
      <c r="Q421" s="39">
        <f>_xll.qlInterestRateIndexValueDate(Index,P421,Trigger)</f>
        <v>43619</v>
      </c>
      <c r="R421" s="39">
        <f>_xll.qlInterestRateIndexMaturity(Index,Q421,Trigger)</f>
        <v>43711</v>
      </c>
      <c r="S421" s="40">
        <f>_xll.qlDayCounterYearFraction(DayCounter,Q421,R421,,,Trigger)</f>
        <v>0.25555555555555554</v>
      </c>
      <c r="T421" s="41">
        <f>_xll.qlIndexFixing(Index,P421,,AllTriggers)</f>
        <v>3.4684017822831903E-3</v>
      </c>
      <c r="U421" s="42">
        <f>_xll.qlYieldTSDiscount(OisCurve,Q421,,AllTriggers)</f>
        <v>1.0027402623999246</v>
      </c>
      <c r="V421" s="42">
        <f>_xll.qlYieldTSDiscount(OisCurve,R421,,AllTriggers)</f>
        <v>1.0023506497903583</v>
      </c>
      <c r="W421" s="41">
        <f t="shared" si="38"/>
        <v>1.52099575256463E-3</v>
      </c>
      <c r="X421" s="43">
        <f t="shared" si="39"/>
        <v>4.9735336033400251E-4</v>
      </c>
      <c r="Y421" s="41">
        <f t="shared" si="40"/>
        <v>1.9474060297185603E-3</v>
      </c>
      <c r="Z421" s="62"/>
    </row>
    <row r="422" spans="15:26" x14ac:dyDescent="0.25">
      <c r="O422" s="45" t="s">
        <v>33</v>
      </c>
      <c r="P422" s="39">
        <f>_xll.qlCalendarAdvance(Calendar,P421,O421,"f",,Trigger)</f>
        <v>43622</v>
      </c>
      <c r="Q422" s="39">
        <f>_xll.qlInterestRateIndexValueDate(Index,P422,Trigger)</f>
        <v>43626</v>
      </c>
      <c r="R422" s="39">
        <f>_xll.qlInterestRateIndexMaturity(Index,Q422,Trigger)</f>
        <v>43718</v>
      </c>
      <c r="S422" s="40">
        <f>_xll.qlDayCounterYearFraction(DayCounter,Q422,R422,,,Trigger)</f>
        <v>0.25555555555555554</v>
      </c>
      <c r="T422" s="41">
        <f>_xll.qlIndexFixing(Index,P422,,AllTriggers)</f>
        <v>3.4886628456693609E-3</v>
      </c>
      <c r="U422" s="42">
        <f>_xll.qlYieldTSDiscount(OisCurve,Q422,,AllTriggers)</f>
        <v>1.0027129672552124</v>
      </c>
      <c r="V422" s="42">
        <f>_xll.qlYieldTSDiscount(OisCurve,R422,,AllTriggers)</f>
        <v>1.0023181612606562</v>
      </c>
      <c r="W422" s="41">
        <f t="shared" si="38"/>
        <v>1.5413199938763002E-3</v>
      </c>
      <c r="X422" s="43">
        <f t="shared" si="39"/>
        <v>4.9733464766520499E-4</v>
      </c>
      <c r="Y422" s="41">
        <f t="shared" si="40"/>
        <v>1.9473428517930607E-3</v>
      </c>
      <c r="Z422" s="62"/>
    </row>
    <row r="423" spans="15:26" x14ac:dyDescent="0.25">
      <c r="O423" s="45" t="s">
        <v>33</v>
      </c>
      <c r="P423" s="39">
        <f>_xll.qlCalendarAdvance(Calendar,P422,O422,"f",,Trigger)</f>
        <v>43629</v>
      </c>
      <c r="Q423" s="39">
        <f>_xll.qlInterestRateIndexValueDate(Index,P423,Trigger)</f>
        <v>43633</v>
      </c>
      <c r="R423" s="39">
        <f>_xll.qlInterestRateIndexMaturity(Index,Q423,Trigger)</f>
        <v>43725</v>
      </c>
      <c r="S423" s="40">
        <f>_xll.qlDayCounterYearFraction(DayCounter,Q423,R423,,,Trigger)</f>
        <v>0.25555555555555554</v>
      </c>
      <c r="T423" s="41">
        <f>_xll.qlIndexFixing(Index,P423,,AllTriggers)</f>
        <v>3.5089712636166732E-3</v>
      </c>
      <c r="U423" s="42">
        <f>_xll.qlYieldTSDiscount(OisCurve,Q423,,AllTriggers)</f>
        <v>1.0026852981093941</v>
      </c>
      <c r="V423" s="42">
        <f>_xll.qlYieldTSDiscount(OisCurve,R423,,AllTriggers)</f>
        <v>1.0022852529788522</v>
      </c>
      <c r="W423" s="41">
        <f t="shared" si="38"/>
        <v>1.5618248242447225E-3</v>
      </c>
      <c r="X423" s="43">
        <f t="shared" si="39"/>
        <v>4.9728189394441255E-4</v>
      </c>
      <c r="Y423" s="41">
        <f t="shared" si="40"/>
        <v>1.9471464393719508E-3</v>
      </c>
      <c r="Z423" s="62"/>
    </row>
    <row r="424" spans="15:26" x14ac:dyDescent="0.25">
      <c r="O424" s="45" t="s">
        <v>33</v>
      </c>
      <c r="P424" s="39">
        <f>_xll.qlCalendarAdvance(Calendar,P423,O423,"f",,Trigger)</f>
        <v>43636</v>
      </c>
      <c r="Q424" s="39">
        <f>_xll.qlInterestRateIndexValueDate(Index,P424,Trigger)</f>
        <v>43640</v>
      </c>
      <c r="R424" s="39">
        <f>_xll.qlInterestRateIndexMaturity(Index,Q424,Trigger)</f>
        <v>43732</v>
      </c>
      <c r="S424" s="40">
        <f>_xll.qlDayCounterYearFraction(DayCounter,Q424,R424,,,Trigger)</f>
        <v>0.25555555555555554</v>
      </c>
      <c r="T424" s="41">
        <f>_xll.qlIndexFixing(Index,P424,,AllTriggers)</f>
        <v>3.529327036862798E-3</v>
      </c>
      <c r="U424" s="42">
        <f>_xll.qlYieldTSDiscount(OisCurve,Q424,,AllTriggers)</f>
        <v>1.0026572514761485</v>
      </c>
      <c r="V424" s="42">
        <f>_xll.qlYieldTSDiscount(OisCurve,R424,,AllTriggers)</f>
        <v>1.0022519214704582</v>
      </c>
      <c r="W424" s="41">
        <f t="shared" si="38"/>
        <v>1.5825102465084956E-3</v>
      </c>
      <c r="X424" s="43">
        <f t="shared" si="39"/>
        <v>4.9719509917156438E-4</v>
      </c>
      <c r="Y424" s="41">
        <f t="shared" si="40"/>
        <v>1.9468167903543025E-3</v>
      </c>
      <c r="Z424" s="62"/>
    </row>
    <row r="425" spans="15:26" x14ac:dyDescent="0.25">
      <c r="O425" s="45" t="s">
        <v>33</v>
      </c>
      <c r="P425" s="39">
        <f>_xll.qlCalendarAdvance(Calendar,P424,O424,"f",,Trigger)</f>
        <v>43643</v>
      </c>
      <c r="Q425" s="39">
        <f>_xll.qlInterestRateIndexValueDate(Index,P425,Trigger)</f>
        <v>43647</v>
      </c>
      <c r="R425" s="39">
        <f>_xll.qlInterestRateIndexMaturity(Index,Q425,Trigger)</f>
        <v>43739</v>
      </c>
      <c r="S425" s="40">
        <f>_xll.qlDayCounterYearFraction(DayCounter,Q425,R425,,,Trigger)</f>
        <v>0.25555555555555554</v>
      </c>
      <c r="T425" s="41">
        <f>_xll.qlIndexFixing(Index,P425,,AllTriggers)</f>
        <v>3.5497301661436688E-3</v>
      </c>
      <c r="U425" s="42">
        <f>_xll.qlYieldTSDiscount(OisCurve,Q425,,AllTriggers)</f>
        <v>1.0026288238699712</v>
      </c>
      <c r="V425" s="42">
        <f>_xll.qlYieldTSDiscount(OisCurve,R425,,AllTriggers)</f>
        <v>1.0022181632619871</v>
      </c>
      <c r="W425" s="41">
        <f t="shared" si="38"/>
        <v>1.6033762635279405E-3</v>
      </c>
      <c r="X425" s="43">
        <f t="shared" si="39"/>
        <v>4.9707426334667391E-4</v>
      </c>
      <c r="Y425" s="41">
        <f t="shared" si="40"/>
        <v>1.9463539026157283E-3</v>
      </c>
      <c r="Z425" s="62"/>
    </row>
    <row r="426" spans="15:26" x14ac:dyDescent="0.25">
      <c r="O426" s="45" t="s">
        <v>33</v>
      </c>
      <c r="P426" s="39">
        <f>_xll.qlCalendarAdvance(Calendar,P425,O425,"f",,Trigger)</f>
        <v>43650</v>
      </c>
      <c r="Q426" s="39">
        <f>_xll.qlInterestRateIndexValueDate(Index,P426,Trigger)</f>
        <v>43654</v>
      </c>
      <c r="R426" s="39">
        <f>_xll.qlInterestRateIndexMaturity(Index,Q426,Trigger)</f>
        <v>43746</v>
      </c>
      <c r="S426" s="40">
        <f>_xll.qlDayCounterYearFraction(DayCounter,Q426,R426,,,Trigger)</f>
        <v>0.25555555555555554</v>
      </c>
      <c r="T426" s="41">
        <f>_xll.qlIndexFixing(Index,P426,,AllTriggers)</f>
        <v>3.570180652198694E-3</v>
      </c>
      <c r="U426" s="42">
        <f>_xll.qlYieldTSDiscount(OisCurve,Q426,,AllTriggers)</f>
        <v>1.0026000118061886</v>
      </c>
      <c r="V426" s="42">
        <f>_xll.qlYieldTSDiscount(OisCurve,R426,,AllTriggers)</f>
        <v>1.0021839748809678</v>
      </c>
      <c r="W426" s="41">
        <f t="shared" si="38"/>
        <v>1.6244228781894438E-3</v>
      </c>
      <c r="X426" s="43">
        <f t="shared" si="39"/>
        <v>4.9691938647005156E-4</v>
      </c>
      <c r="Y426" s="41">
        <f t="shared" si="40"/>
        <v>1.9457577740092501E-3</v>
      </c>
      <c r="Z426" s="62"/>
    </row>
    <row r="427" spans="15:26" x14ac:dyDescent="0.25">
      <c r="O427" s="45" t="s">
        <v>33</v>
      </c>
      <c r="P427" s="39">
        <f>_xll.qlCalendarAdvance(Calendar,P426,O426,"f",,Trigger)</f>
        <v>43657</v>
      </c>
      <c r="Q427" s="39">
        <f>_xll.qlInterestRateIndexValueDate(Index,P427,Trigger)</f>
        <v>43661</v>
      </c>
      <c r="R427" s="39">
        <f>_xll.qlInterestRateIndexMaturity(Index,Q427,Trigger)</f>
        <v>43753</v>
      </c>
      <c r="S427" s="40">
        <f>_xll.qlDayCounterYearFraction(DayCounter,Q427,R427,,,Trigger)</f>
        <v>0.25555555555555554</v>
      </c>
      <c r="T427" s="41">
        <f>_xll.qlIndexFixing(Index,P427,,AllTriggers)</f>
        <v>3.5906784957690195E-3</v>
      </c>
      <c r="U427" s="42">
        <f>_xll.qlYieldTSDiscount(OisCurve,Q427,,AllTriggers)</f>
        <v>1.0025708118009706</v>
      </c>
      <c r="V427" s="42">
        <f>_xll.qlYieldTSDiscount(OisCurve,R427,,AllTriggers)</f>
        <v>1.0021493528559591</v>
      </c>
      <c r="W427" s="41">
        <f t="shared" si="38"/>
        <v>1.6456500934037205E-3</v>
      </c>
      <c r="X427" s="43">
        <f t="shared" si="39"/>
        <v>4.9673046854208178E-4</v>
      </c>
      <c r="Y427" s="41">
        <f t="shared" si="40"/>
        <v>1.945028402365299E-3</v>
      </c>
      <c r="Z427" s="62"/>
    </row>
    <row r="428" spans="15:26" x14ac:dyDescent="0.25">
      <c r="O428" s="45" t="s">
        <v>33</v>
      </c>
      <c r="P428" s="39">
        <f>_xll.qlCalendarAdvance(Calendar,P427,O427,"f",,Trigger)</f>
        <v>43664</v>
      </c>
      <c r="Q428" s="39">
        <f>_xll.qlInterestRateIndexValueDate(Index,P428,Trigger)</f>
        <v>43668</v>
      </c>
      <c r="R428" s="39">
        <f>_xll.qlInterestRateIndexMaturity(Index,Q428,Trigger)</f>
        <v>43760</v>
      </c>
      <c r="S428" s="40">
        <f>_xll.qlDayCounterYearFraction(DayCounter,Q428,R428,,,Trigger)</f>
        <v>0.25555555555555554</v>
      </c>
      <c r="T428" s="41">
        <f>_xll.qlIndexFixing(Index,P428,,AllTriggers)</f>
        <v>3.6112236975957921E-3</v>
      </c>
      <c r="U428" s="42">
        <f>_xll.qlYieldTSDiscount(OisCurve,Q428,,AllTriggers)</f>
        <v>1.0025412203713451</v>
      </c>
      <c r="V428" s="42">
        <f>_xll.qlYieldTSDiscount(OisCurve,R428,,AllTriggers)</f>
        <v>1.0021142937165659</v>
      </c>
      <c r="W428" s="41">
        <f t="shared" si="38"/>
        <v>1.6670579121110278E-3</v>
      </c>
      <c r="X428" s="43">
        <f t="shared" si="39"/>
        <v>4.9650750956122642E-4</v>
      </c>
      <c r="Y428" s="41">
        <f t="shared" si="40"/>
        <v>1.9441657854847643E-3</v>
      </c>
      <c r="Z428" s="62"/>
    </row>
    <row r="429" spans="15:26" x14ac:dyDescent="0.25">
      <c r="O429" s="45" t="s">
        <v>33</v>
      </c>
      <c r="P429" s="39">
        <f>_xll.qlCalendarAdvance(Calendar,P428,O428,"f",,Trigger)</f>
        <v>43671</v>
      </c>
      <c r="Q429" s="39">
        <f>_xll.qlInterestRateIndexValueDate(Index,P429,Trigger)</f>
        <v>43675</v>
      </c>
      <c r="R429" s="39">
        <f>_xll.qlInterestRateIndexMaturity(Index,Q429,Trigger)</f>
        <v>43767</v>
      </c>
      <c r="S429" s="40">
        <f>_xll.qlDayCounterYearFraction(DayCounter,Q429,R429,,,Trigger)</f>
        <v>0.25555555555555554</v>
      </c>
      <c r="T429" s="41">
        <f>_xll.qlIndexFixing(Index,P429,,AllTriggers)</f>
        <v>3.6318162584253709E-3</v>
      </c>
      <c r="U429" s="42">
        <f>_xll.qlYieldTSDiscount(OisCurve,Q429,,AllTriggers)</f>
        <v>1.0025112340352105</v>
      </c>
      <c r="V429" s="42">
        <f>_xll.qlYieldTSDiscount(OisCurve,R429,,AllTriggers)</f>
        <v>1.0020787939934541</v>
      </c>
      <c r="W429" s="41">
        <f t="shared" si="38"/>
        <v>1.688646337270737E-3</v>
      </c>
      <c r="X429" s="43">
        <f t="shared" si="39"/>
        <v>4.9625050952890719E-4</v>
      </c>
      <c r="Y429" s="41">
        <f t="shared" si="40"/>
        <v>1.9431699211546339E-3</v>
      </c>
      <c r="Z429" s="62"/>
    </row>
    <row r="430" spans="15:26" x14ac:dyDescent="0.25">
      <c r="O430" s="45" t="s">
        <v>33</v>
      </c>
      <c r="P430" s="39">
        <f>_xll.qlCalendarAdvance(Calendar,P429,O429,"f",,Trigger)</f>
        <v>43678</v>
      </c>
      <c r="Q430" s="39">
        <f>_xll.qlInterestRateIndexValueDate(Index,P430,Trigger)</f>
        <v>43682</v>
      </c>
      <c r="R430" s="39">
        <f>_xll.qlInterestRateIndexMaturity(Index,Q430,Trigger)</f>
        <v>43774</v>
      </c>
      <c r="S430" s="40">
        <f>_xll.qlDayCounterYearFraction(DayCounter,Q430,R430,,,Trigger)</f>
        <v>0.25555555555555554</v>
      </c>
      <c r="T430" s="41">
        <f>_xll.qlIndexFixing(Index,P430,,AllTriggers)</f>
        <v>3.6524561790006404E-3</v>
      </c>
      <c r="U430" s="42">
        <f>_xll.qlYieldTSDiscount(OisCurve,Q430,,AllTriggers)</f>
        <v>1.0024808493113493</v>
      </c>
      <c r="V430" s="42">
        <f>_xll.qlYieldTSDiscount(OisCurve,R430,,AllTriggers)</f>
        <v>1.0020428502183654</v>
      </c>
      <c r="W430" s="41">
        <f t="shared" si="38"/>
        <v>1.7104153718691553E-3</v>
      </c>
      <c r="X430" s="43">
        <f t="shared" si="39"/>
        <v>4.9595946844417898E-4</v>
      </c>
      <c r="Y430" s="41">
        <f t="shared" si="40"/>
        <v>1.942040807131485E-3</v>
      </c>
      <c r="Z430" s="62"/>
    </row>
    <row r="431" spans="15:26" x14ac:dyDescent="0.25">
      <c r="O431" s="45" t="s">
        <v>33</v>
      </c>
      <c r="P431" s="39">
        <f>_xll.qlCalendarAdvance(Calendar,P430,O430,"f",,Trigger)</f>
        <v>43685</v>
      </c>
      <c r="Q431" s="39">
        <f>_xll.qlInterestRateIndexValueDate(Index,P431,Trigger)</f>
        <v>43689</v>
      </c>
      <c r="R431" s="39">
        <f>_xll.qlInterestRateIndexMaturity(Index,Q431,Trigger)</f>
        <v>43781</v>
      </c>
      <c r="S431" s="40">
        <f>_xll.qlDayCounterYearFraction(DayCounter,Q431,R431,,,Trigger)</f>
        <v>0.25555555555555554</v>
      </c>
      <c r="T431" s="41">
        <f>_xll.qlIndexFixing(Index,P431,,AllTriggers)</f>
        <v>3.6731434600705661E-3</v>
      </c>
      <c r="U431" s="42">
        <f>_xll.qlYieldTSDiscount(OisCurve,Q431,,AllTriggers)</f>
        <v>1.0024500627194439</v>
      </c>
      <c r="V431" s="42">
        <f>_xll.qlYieldTSDiscount(OisCurve,R431,,AllTriggers)</f>
        <v>1.0020064589241338</v>
      </c>
      <c r="W431" s="41">
        <f t="shared" si="38"/>
        <v>1.7323650189177869E-3</v>
      </c>
      <c r="X431" s="43">
        <f t="shared" si="39"/>
        <v>4.9563438630794657E-4</v>
      </c>
      <c r="Y431" s="41">
        <f t="shared" si="40"/>
        <v>1.9407784411527792E-3</v>
      </c>
      <c r="Z431" s="62"/>
    </row>
    <row r="432" spans="15:26" x14ac:dyDescent="0.25">
      <c r="O432" s="45" t="s">
        <v>33</v>
      </c>
      <c r="P432" s="39">
        <f>_xll.qlCalendarAdvance(Calendar,P431,O431,"f",,Trigger)</f>
        <v>43692</v>
      </c>
      <c r="Q432" s="39">
        <f>_xll.qlInterestRateIndexValueDate(Index,P432,Trigger)</f>
        <v>43696</v>
      </c>
      <c r="R432" s="39">
        <f>_xll.qlInterestRateIndexMaturity(Index,Q432,Trigger)</f>
        <v>43788</v>
      </c>
      <c r="S432" s="40">
        <f>_xll.qlDayCounterYearFraction(DayCounter,Q432,R432,,,Trigger)</f>
        <v>0.25555555555555554</v>
      </c>
      <c r="T432" s="41">
        <f>_xll.qlIndexFixing(Index,P432,,AllTriggers)</f>
        <v>3.6938781023858518E-3</v>
      </c>
      <c r="U432" s="42">
        <f>_xll.qlYieldTSDiscount(OisCurve,Q432,,AllTriggers)</f>
        <v>1.0024188707800878</v>
      </c>
      <c r="V432" s="42">
        <f>_xll.qlYieldTSDiscount(OisCurve,R432,,AllTriggers)</f>
        <v>1.0019696166446992</v>
      </c>
      <c r="W432" s="41">
        <f t="shared" si="38"/>
        <v>1.7544952814550704E-3</v>
      </c>
      <c r="X432" s="43">
        <f t="shared" si="39"/>
        <v>4.952752631196362E-4</v>
      </c>
      <c r="Y432" s="41">
        <f t="shared" si="40"/>
        <v>1.9393828209307814E-3</v>
      </c>
      <c r="Z432" s="62"/>
    </row>
    <row r="433" spans="15:26" x14ac:dyDescent="0.25">
      <c r="O433" s="45" t="s">
        <v>33</v>
      </c>
      <c r="P433" s="39">
        <f>_xll.qlCalendarAdvance(Calendar,P432,O432,"f",,Trigger)</f>
        <v>43699</v>
      </c>
      <c r="Q433" s="39">
        <f>_xll.qlInterestRateIndexValueDate(Index,P433,Trigger)</f>
        <v>43703</v>
      </c>
      <c r="R433" s="39">
        <f>_xll.qlInterestRateIndexMaturity(Index,Q433,Trigger)</f>
        <v>43795</v>
      </c>
      <c r="S433" s="40">
        <f>_xll.qlDayCounterYearFraction(DayCounter,Q433,R433,,,Trigger)</f>
        <v>0.25555555555555554</v>
      </c>
      <c r="T433" s="41">
        <f>_xll.qlIndexFixing(Index,P433,,AllTriggers)</f>
        <v>3.7146601066954644E-3</v>
      </c>
      <c r="U433" s="42">
        <f>_xll.qlYieldTSDiscount(OisCurve,Q433,,AllTriggers)</f>
        <v>1.0023872700148024</v>
      </c>
      <c r="V433" s="42">
        <f>_xll.qlYieldTSDiscount(OisCurve,R433,,AllTriggers)</f>
        <v>1.0019323199151253</v>
      </c>
      <c r="W433" s="41">
        <f t="shared" si="38"/>
        <v>1.776806162542036E-3</v>
      </c>
      <c r="X433" s="43">
        <f t="shared" si="39"/>
        <v>4.9488209887897021E-4</v>
      </c>
      <c r="Y433" s="41">
        <f t="shared" si="40"/>
        <v>1.9378539441534284E-3</v>
      </c>
      <c r="Z433" s="62"/>
    </row>
    <row r="434" spans="15:26" x14ac:dyDescent="0.25">
      <c r="O434" s="45" t="s">
        <v>33</v>
      </c>
      <c r="P434" s="39">
        <f>_xll.qlCalendarAdvance(Calendar,P433,O433,"f",,Trigger)</f>
        <v>43706</v>
      </c>
      <c r="Q434" s="39">
        <f>_xll.qlInterestRateIndexValueDate(Index,P434,Trigger)</f>
        <v>43710</v>
      </c>
      <c r="R434" s="39">
        <f>_xll.qlInterestRateIndexMaturity(Index,Q434,Trigger)</f>
        <v>43801</v>
      </c>
      <c r="S434" s="40">
        <f>_xll.qlDayCounterYearFraction(DayCounter,Q434,R434,,,Trigger)</f>
        <v>0.25277777777777777</v>
      </c>
      <c r="T434" s="41">
        <f>_xll.qlIndexFixing(Index,P434,,AllTriggers)</f>
        <v>3.7339733793994526E-3</v>
      </c>
      <c r="U434" s="42">
        <f>_xll.qlYieldTSDiscount(OisCurve,Q434,,AllTriggers)</f>
        <v>1.0023552569460485</v>
      </c>
      <c r="V434" s="42">
        <f>_xll.qlYieldTSDiscount(OisCurve,R434,,AllTriggers)</f>
        <v>1.0018999869589129</v>
      </c>
      <c r="W434" s="41">
        <f t="shared" si="38"/>
        <v>1.7976525645464409E-3</v>
      </c>
      <c r="X434" s="43">
        <f t="shared" si="39"/>
        <v>4.8911692312455081E-4</v>
      </c>
      <c r="Y434" s="41">
        <f t="shared" si="40"/>
        <v>1.9363208148530117E-3</v>
      </c>
      <c r="Z434" s="62"/>
    </row>
    <row r="435" spans="15:26" x14ac:dyDescent="0.25">
      <c r="O435" s="45" t="s">
        <v>33</v>
      </c>
      <c r="P435" s="39">
        <f>_xll.qlCalendarAdvance(Calendar,P434,O434,"f",,Trigger)</f>
        <v>43713</v>
      </c>
      <c r="Q435" s="39">
        <f>_xll.qlInterestRateIndexValueDate(Index,P435,Trigger)</f>
        <v>43717</v>
      </c>
      <c r="R435" s="39">
        <f>_xll.qlInterestRateIndexMaturity(Index,Q435,Trigger)</f>
        <v>43808</v>
      </c>
      <c r="S435" s="40">
        <f>_xll.qlDayCounterYearFraction(DayCounter,Q435,R435,,,Trigger)</f>
        <v>0.25277777777777777</v>
      </c>
      <c r="T435" s="41">
        <f>_xll.qlIndexFixing(Index,P435,,AllTriggers)</f>
        <v>3.7548465097857731E-3</v>
      </c>
      <c r="U435" s="42">
        <f>_xll.qlYieldTSDiscount(OisCurve,Q435,,AllTriggers)</f>
        <v>1.0023228280972434</v>
      </c>
      <c r="V435" s="42">
        <f>_xll.qlYieldTSDiscount(OisCurve,R435,,AllTriggers)</f>
        <v>1.0018618370617154</v>
      </c>
      <c r="W435" s="41">
        <f t="shared" si="38"/>
        <v>1.8203116761488665E-3</v>
      </c>
      <c r="X435" s="43">
        <f t="shared" si="39"/>
        <v>4.8866309540142262E-4</v>
      </c>
      <c r="Y435" s="41">
        <f t="shared" si="40"/>
        <v>1.9345348336369066E-3</v>
      </c>
      <c r="Z435" s="62"/>
    </row>
    <row r="436" spans="15:26" x14ac:dyDescent="0.25">
      <c r="O436" s="45" t="s">
        <v>33</v>
      </c>
      <c r="P436" s="39">
        <f>_xll.qlCalendarAdvance(Calendar,P435,O435,"f",,Trigger)</f>
        <v>43720</v>
      </c>
      <c r="Q436" s="39">
        <f>_xll.qlInterestRateIndexValueDate(Index,P436,Trigger)</f>
        <v>43724</v>
      </c>
      <c r="R436" s="39">
        <f>_xll.qlInterestRateIndexMaturity(Index,Q436,Trigger)</f>
        <v>43815</v>
      </c>
      <c r="S436" s="40">
        <f>_xll.qlDayCounterYearFraction(DayCounter,Q436,R436,,,Trigger)</f>
        <v>0.25277777777777777</v>
      </c>
      <c r="T436" s="41">
        <f>_xll.qlIndexFixing(Index,P436,,AllTriggers)</f>
        <v>3.7757670026701932E-3</v>
      </c>
      <c r="U436" s="42">
        <f>_xll.qlYieldTSDiscount(OisCurve,Q436,,AllTriggers)</f>
        <v>1.0022899799927723</v>
      </c>
      <c r="V436" s="42">
        <f>_xll.qlYieldTSDiscount(OisCurve,R436,,AllTriggers)</f>
        <v>1.0018232228208872</v>
      </c>
      <c r="W436" s="41">
        <f t="shared" si="38"/>
        <v>1.8431514130576524E-3</v>
      </c>
      <c r="X436" s="43">
        <f t="shared" si="39"/>
        <v>4.8817559663811449E-4</v>
      </c>
      <c r="Y436" s="41">
        <f t="shared" si="40"/>
        <v>1.9326155896125408E-3</v>
      </c>
      <c r="Z436" s="62"/>
    </row>
    <row r="437" spans="15:26" x14ac:dyDescent="0.25">
      <c r="O437" s="45" t="s">
        <v>33</v>
      </c>
      <c r="P437" s="39">
        <f>_xll.qlCalendarAdvance(Calendar,P436,O436,"f",,Trigger)</f>
        <v>43727</v>
      </c>
      <c r="Q437" s="39">
        <f>_xll.qlInterestRateIndexValueDate(Index,P437,Trigger)</f>
        <v>43731</v>
      </c>
      <c r="R437" s="39">
        <f>_xll.qlInterestRateIndexMaturity(Index,Q437,Trigger)</f>
        <v>43822</v>
      </c>
      <c r="S437" s="40">
        <f>_xll.qlDayCounterYearFraction(DayCounter,Q437,R437,,,Trigger)</f>
        <v>0.25277777777777777</v>
      </c>
      <c r="T437" s="41">
        <f>_xll.qlIndexFixing(Index,P437,,AllTriggers)</f>
        <v>3.7967348588028816E-3</v>
      </c>
      <c r="U437" s="42">
        <f>_xll.qlYieldTSDiscount(OisCurve,Q437,,AllTriggers)</f>
        <v>1.0022567091580057</v>
      </c>
      <c r="V437" s="42">
        <f>_xll.qlYieldTSDiscount(OisCurve,R437,,AllTriggers)</f>
        <v>1.0017841407759713</v>
      </c>
      <c r="W437" s="41">
        <f t="shared" si="38"/>
        <v>1.8661717783999673E-3</v>
      </c>
      <c r="X437" s="43">
        <f t="shared" si="39"/>
        <v>4.8765442683443061E-4</v>
      </c>
      <c r="Y437" s="41">
        <f t="shared" si="40"/>
        <v>1.9305630804029143E-3</v>
      </c>
      <c r="Z437" s="62"/>
    </row>
    <row r="438" spans="15:26" x14ac:dyDescent="0.25">
      <c r="O438" s="45" t="s">
        <v>33</v>
      </c>
      <c r="P438" s="39">
        <f>_xll.qlCalendarAdvance(Calendar,P437,O437,"f",,Trigger)</f>
        <v>43734</v>
      </c>
      <c r="Q438" s="39">
        <f>_xll.qlInterestRateIndexValueDate(Index,P438,Trigger)</f>
        <v>43738</v>
      </c>
      <c r="R438" s="39">
        <f>_xll.qlInterestRateIndexMaturity(Index,Q438,Trigger)</f>
        <v>43830</v>
      </c>
      <c r="S438" s="40">
        <f>_xll.qlDayCounterYearFraction(DayCounter,Q438,R438,,,Trigger)</f>
        <v>0.25555555555555554</v>
      </c>
      <c r="T438" s="41">
        <f>_xll.qlIndexFixing(Index,P438,,AllTriggers)</f>
        <v>3.8192805845781589E-3</v>
      </c>
      <c r="U438" s="42">
        <f>_xll.qlYieldTSDiscount(OisCurve,Q438,,AllTriggers)</f>
        <v>1.0022230121193128</v>
      </c>
      <c r="V438" s="42">
        <f>_xll.qlYieldTSDiscount(OisCurve,R438,,AllTriggers)</f>
        <v>1.0017388983229751</v>
      </c>
      <c r="W438" s="41">
        <f t="shared" si="38"/>
        <v>1.8910699551210682E-3</v>
      </c>
      <c r="X438" s="43">
        <f t="shared" si="39"/>
        <v>4.9240566189802436E-4</v>
      </c>
      <c r="Y438" s="41">
        <f t="shared" si="40"/>
        <v>1.9282106294570907E-3</v>
      </c>
      <c r="Z438" s="62"/>
    </row>
    <row r="439" spans="15:26" x14ac:dyDescent="0.25">
      <c r="O439" s="45" t="s">
        <v>33</v>
      </c>
      <c r="P439" s="39">
        <f>_xll.qlCalendarAdvance(Calendar,P438,O438,"f",,Trigger)</f>
        <v>43741</v>
      </c>
      <c r="Q439" s="39">
        <f>_xll.qlInterestRateIndexValueDate(Index,P439,Trigger)</f>
        <v>43745</v>
      </c>
      <c r="R439" s="39">
        <f>_xll.qlInterestRateIndexMaturity(Index,Q439,Trigger)</f>
        <v>43837</v>
      </c>
      <c r="S439" s="40">
        <f>_xll.qlDayCounterYearFraction(DayCounter,Q439,R439,,,Trigger)</f>
        <v>0.25555555555555554</v>
      </c>
      <c r="T439" s="41">
        <f>_xll.qlIndexFixing(Index,P439,,AllTriggers)</f>
        <v>3.8403467767271194E-3</v>
      </c>
      <c r="U439" s="42">
        <f>_xll.qlYieldTSDiscount(OisCurve,Q439,,AllTriggers)</f>
        <v>1.0021888854040759</v>
      </c>
      <c r="V439" s="42">
        <f>_xll.qlYieldTSDiscount(OisCurve,R439,,AllTriggers)</f>
        <v>1.0016988021937723</v>
      </c>
      <c r="W439" s="41">
        <f t="shared" si="38"/>
        <v>1.9144646131987937E-3</v>
      </c>
      <c r="X439" s="43">
        <f t="shared" si="39"/>
        <v>4.9180825134579329E-4</v>
      </c>
      <c r="Y439" s="41">
        <f t="shared" si="40"/>
        <v>1.9258821635283257E-3</v>
      </c>
      <c r="Z439" s="62"/>
    </row>
    <row r="440" spans="15:26" x14ac:dyDescent="0.25">
      <c r="O440" s="45" t="s">
        <v>33</v>
      </c>
      <c r="P440" s="39">
        <f>_xll.qlCalendarAdvance(Calendar,P439,O439,"f",,Trigger)</f>
        <v>43748</v>
      </c>
      <c r="Q440" s="39">
        <f>_xll.qlInterestRateIndexValueDate(Index,P440,Trigger)</f>
        <v>43752</v>
      </c>
      <c r="R440" s="39">
        <f>_xll.qlInterestRateIndexMaturity(Index,Q440,Trigger)</f>
        <v>43844</v>
      </c>
      <c r="S440" s="40">
        <f>_xll.qlDayCounterYearFraction(DayCounter,Q440,R440,,,Trigger)</f>
        <v>0.25555555555555554</v>
      </c>
      <c r="T440" s="41">
        <f>_xll.qlIndexFixing(Index,P440,,AllTriggers)</f>
        <v>3.8614603361748589E-3</v>
      </c>
      <c r="U440" s="42">
        <f>_xll.qlYieldTSDiscount(OisCurve,Q440,,AllTriggers)</f>
        <v>1.0021543255407062</v>
      </c>
      <c r="V440" s="42">
        <f>_xll.qlYieldTSDiscount(OisCurve,R440,,AllTriggers)</f>
        <v>1.0016582273926504</v>
      </c>
      <c r="W440" s="41">
        <f t="shared" si="38"/>
        <v>1.9380399119563248E-3</v>
      </c>
      <c r="X440" s="43">
        <f t="shared" si="39"/>
        <v>4.9117679974157555E-4</v>
      </c>
      <c r="Y440" s="41">
        <f t="shared" si="40"/>
        <v>1.9234204242185341E-3</v>
      </c>
      <c r="Z440" s="62"/>
    </row>
    <row r="441" spans="15:26" x14ac:dyDescent="0.25">
      <c r="O441" s="45" t="s">
        <v>33</v>
      </c>
      <c r="P441" s="39">
        <f>_xll.qlCalendarAdvance(Calendar,P440,O440,"f",,Trigger)</f>
        <v>43755</v>
      </c>
      <c r="Q441" s="39">
        <f>_xll.qlInterestRateIndexValueDate(Index,P441,Trigger)</f>
        <v>43759</v>
      </c>
      <c r="R441" s="39">
        <f>_xll.qlInterestRateIndexMaturity(Index,Q441,Trigger)</f>
        <v>43851</v>
      </c>
      <c r="S441" s="40">
        <f>_xll.qlDayCounterYearFraction(DayCounter,Q441,R441,,,Trigger)</f>
        <v>0.25555555555555554</v>
      </c>
      <c r="T441" s="41">
        <f>_xll.qlIndexFixing(Index,P441,,AllTriggers)</f>
        <v>3.8826212636885898E-3</v>
      </c>
      <c r="U441" s="42">
        <f>_xll.qlYieldTSDiscount(OisCurve,Q441,,AllTriggers)</f>
        <v>1.0021193290586581</v>
      </c>
      <c r="V441" s="42">
        <f>_xll.qlYieldTSDiscount(OisCurve,R441,,AllTriggers)</f>
        <v>1.0016171704642325</v>
      </c>
      <c r="W441" s="41">
        <f t="shared" si="38"/>
        <v>1.9617958546571381E-3</v>
      </c>
      <c r="X441" s="43">
        <f t="shared" si="39"/>
        <v>4.9051130708546893E-4</v>
      </c>
      <c r="Y441" s="41">
        <f t="shared" si="40"/>
        <v>1.9208254090314516E-3</v>
      </c>
      <c r="Z441" s="62"/>
    </row>
    <row r="442" spans="15:26" x14ac:dyDescent="0.25">
      <c r="O442" s="45" t="s">
        <v>33</v>
      </c>
      <c r="P442" s="39">
        <f>_xll.qlCalendarAdvance(Calendar,P441,O441,"f",,Trigger)</f>
        <v>43762</v>
      </c>
      <c r="Q442" s="39">
        <f>_xll.qlInterestRateIndexValueDate(Index,P442,Trigger)</f>
        <v>43766</v>
      </c>
      <c r="R442" s="39">
        <f>_xll.qlInterestRateIndexMaturity(Index,Q442,Trigger)</f>
        <v>43858</v>
      </c>
      <c r="S442" s="40">
        <f>_xll.qlDayCounterYearFraction(DayCounter,Q442,R442,,,Trigger)</f>
        <v>0.25555555555555554</v>
      </c>
      <c r="T442" s="41">
        <f>_xll.qlIndexFixing(Index,P442,,AllTriggers)</f>
        <v>3.9038295600346555E-3</v>
      </c>
      <c r="U442" s="42">
        <f>_xll.qlYieldTSDiscount(OisCurve,Q442,,AllTriggers)</f>
        <v>1.0020838924884452</v>
      </c>
      <c r="V442" s="42">
        <f>_xll.qlYieldTSDiscount(OisCurve,R442,,AllTriggers)</f>
        <v>1.0015756279544104</v>
      </c>
      <c r="W442" s="41">
        <f t="shared" si="38"/>
        <v>1.9857324445864315E-3</v>
      </c>
      <c r="X442" s="43">
        <f t="shared" si="39"/>
        <v>4.8981177337786765E-4</v>
      </c>
      <c r="Y442" s="41">
        <f t="shared" si="40"/>
        <v>1.918097115448224E-3</v>
      </c>
      <c r="Z442" s="62"/>
    </row>
    <row r="443" spans="15:26" x14ac:dyDescent="0.25">
      <c r="O443" s="45" t="s">
        <v>33</v>
      </c>
      <c r="P443" s="39">
        <f>_xll.qlCalendarAdvance(Calendar,P442,O442,"f",,Trigger)</f>
        <v>43769</v>
      </c>
      <c r="Q443" s="39">
        <f>_xll.qlInterestRateIndexValueDate(Index,P443,Trigger)</f>
        <v>43773</v>
      </c>
      <c r="R443" s="39">
        <f>_xll.qlInterestRateIndexMaturity(Index,Q443,Trigger)</f>
        <v>43865</v>
      </c>
      <c r="S443" s="40">
        <f>_xll.qlDayCounterYearFraction(DayCounter,Q443,R443,,,Trigger)</f>
        <v>0.25555555555555554</v>
      </c>
      <c r="T443" s="41">
        <f>_xll.qlIndexFixing(Index,P443,,AllTriggers)</f>
        <v>3.9250852259802684E-3</v>
      </c>
      <c r="U443" s="42">
        <f>_xll.qlYieldTSDiscount(OisCurve,Q443,,AllTriggers)</f>
        <v>1.0020480123616544</v>
      </c>
      <c r="V443" s="42">
        <f>_xll.qlYieldTSDiscount(OisCurve,R443,,AllTriggers)</f>
        <v>1.0015335964103613</v>
      </c>
      <c r="W443" s="41">
        <f t="shared" si="38"/>
        <v>2.0098496850580764E-3</v>
      </c>
      <c r="X443" s="43">
        <f t="shared" si="39"/>
        <v>4.8907819861790901E-4</v>
      </c>
      <c r="Y443" s="41">
        <f t="shared" si="40"/>
        <v>1.915235540922192E-3</v>
      </c>
      <c r="Z443" s="62"/>
    </row>
    <row r="444" spans="15:26" x14ac:dyDescent="0.25">
      <c r="O444" s="45" t="s">
        <v>33</v>
      </c>
      <c r="P444" s="39">
        <f>_xll.qlCalendarAdvance(Calendar,P443,O443,"f",,Trigger)</f>
        <v>43776</v>
      </c>
      <c r="Q444" s="39">
        <f>_xll.qlInterestRateIndexValueDate(Index,P444,Trigger)</f>
        <v>43780</v>
      </c>
      <c r="R444" s="39">
        <f>_xll.qlInterestRateIndexMaturity(Index,Q444,Trigger)</f>
        <v>43872</v>
      </c>
      <c r="S444" s="40">
        <f>_xll.qlDayCounterYearFraction(DayCounter,Q444,R444,,,Trigger)</f>
        <v>0.25555555555555554</v>
      </c>
      <c r="T444" s="41">
        <f>_xll.qlIndexFixing(Index,P444,,AllTriggers)</f>
        <v>3.9463882622952475E-3</v>
      </c>
      <c r="U444" s="42">
        <f>_xll.qlYieldTSDiscount(OisCurve,Q444,,AllTriggers)</f>
        <v>1.0020116852109626</v>
      </c>
      <c r="V444" s="42">
        <f>_xll.qlYieldTSDiscount(OisCurve,R444,,AllTriggers)</f>
        <v>1.0014910723805663</v>
      </c>
      <c r="W444" s="41">
        <f t="shared" si="38"/>
        <v>2.0341475794076651E-3</v>
      </c>
      <c r="X444" s="43">
        <f t="shared" si="39"/>
        <v>4.8831058280569286E-4</v>
      </c>
      <c r="Y444" s="41">
        <f t="shared" si="40"/>
        <v>1.9122406828875824E-3</v>
      </c>
      <c r="Z444" s="62"/>
    </row>
    <row r="445" spans="15:26" x14ac:dyDescent="0.25">
      <c r="O445" s="45" t="s">
        <v>33</v>
      </c>
      <c r="P445" s="39">
        <f>_xll.qlCalendarAdvance(Calendar,P444,O444,"f",,Trigger)</f>
        <v>43783</v>
      </c>
      <c r="Q445" s="39">
        <f>_xll.qlInterestRateIndexValueDate(Index,P445,Trigger)</f>
        <v>43787</v>
      </c>
      <c r="R445" s="39">
        <f>_xll.qlInterestRateIndexMaturity(Index,Q445,Trigger)</f>
        <v>43879</v>
      </c>
      <c r="S445" s="40">
        <f>_xll.qlDayCounterYearFraction(DayCounter,Q445,R445,,,Trigger)</f>
        <v>0.25555555555555554</v>
      </c>
      <c r="T445" s="41">
        <f>_xll.qlIndexFixing(Index,P445,,AllTriggers)</f>
        <v>3.9677386697520179E-3</v>
      </c>
      <c r="U445" s="42">
        <f>_xll.qlYieldTSDiscount(OisCurve,Q445,,AllTriggers)</f>
        <v>1.001974907570151</v>
      </c>
      <c r="V445" s="42">
        <f>_xll.qlYieldTSDiscount(OisCurve,R445,,AllTriggers)</f>
        <v>1.001448052414825</v>
      </c>
      <c r="W445" s="41">
        <f t="shared" si="38"/>
        <v>2.058626130995988E-3</v>
      </c>
      <c r="X445" s="43">
        <f t="shared" si="39"/>
        <v>4.8750892594205946E-4</v>
      </c>
      <c r="Y445" s="41">
        <f t="shared" si="40"/>
        <v>1.9091125387560299E-3</v>
      </c>
      <c r="Z445" s="62"/>
    </row>
    <row r="446" spans="15:26" x14ac:dyDescent="0.25">
      <c r="O446" s="45" t="s">
        <v>33</v>
      </c>
      <c r="P446" s="39">
        <f>_xll.qlCalendarAdvance(Calendar,P445,O445,"f",,Trigger)</f>
        <v>43790</v>
      </c>
      <c r="Q446" s="39">
        <f>_xll.qlInterestRateIndexValueDate(Index,P446,Trigger)</f>
        <v>43794</v>
      </c>
      <c r="R446" s="39">
        <f>_xll.qlInterestRateIndexMaturity(Index,Q446,Trigger)</f>
        <v>43886</v>
      </c>
      <c r="S446" s="40">
        <f>_xll.qlDayCounterYearFraction(DayCounter,Q446,R446,,,Trigger)</f>
        <v>0.25555555555555554</v>
      </c>
      <c r="T446" s="41">
        <f>_xll.qlIndexFixing(Index,P446,,AllTriggers)</f>
        <v>3.9891364491230069E-3</v>
      </c>
      <c r="U446" s="42">
        <f>_xll.qlYieldTSDiscount(OisCurve,Q446,,AllTriggers)</f>
        <v>1.0019376759741216</v>
      </c>
      <c r="V446" s="42">
        <f>_xll.qlYieldTSDiscount(OisCurve,R446,,AllTriggers)</f>
        <v>1.0014045330642749</v>
      </c>
      <c r="W446" s="41">
        <f t="shared" si="38"/>
        <v>2.0832853432099004E-3</v>
      </c>
      <c r="X446" s="43">
        <f t="shared" si="39"/>
        <v>4.8667322802614839E-4</v>
      </c>
      <c r="Y446" s="41">
        <f t="shared" si="40"/>
        <v>1.9058511059131065E-3</v>
      </c>
      <c r="Z446" s="62"/>
    </row>
    <row r="447" spans="15:26" x14ac:dyDescent="0.25">
      <c r="O447" s="45" t="s">
        <v>33</v>
      </c>
      <c r="P447" s="39">
        <f>_xll.qlCalendarAdvance(Calendar,P446,O446,"f",,Trigger)</f>
        <v>43797</v>
      </c>
      <c r="Q447" s="39">
        <f>_xll.qlInterestRateIndexValueDate(Index,P447,Trigger)</f>
        <v>43801</v>
      </c>
      <c r="R447" s="39">
        <f>_xll.qlInterestRateIndexMaturity(Index,Q447,Trigger)</f>
        <v>43892</v>
      </c>
      <c r="S447" s="40">
        <f>_xll.qlDayCounterYearFraction(DayCounter,Q447,R447,,,Trigger)</f>
        <v>0.25277777777777777</v>
      </c>
      <c r="T447" s="41">
        <f>_xll.qlIndexFixing(Index,P447,,AllTriggers)</f>
        <v>4.0090185648925369E-3</v>
      </c>
      <c r="U447" s="42">
        <f>_xll.qlYieldTSDiscount(OisCurve,Q447,,AllTriggers)</f>
        <v>1.0018999869589129</v>
      </c>
      <c r="V447" s="42">
        <f>_xll.qlYieldTSDiscount(OisCurve,R447,,AllTriggers)</f>
        <v>1.0013668306809524</v>
      </c>
      <c r="W447" s="41">
        <f t="shared" si="38"/>
        <v>2.1063107009623794E-3</v>
      </c>
      <c r="X447" s="43">
        <f t="shared" si="39"/>
        <v>4.8059082156797352E-4</v>
      </c>
      <c r="Y447" s="41">
        <f t="shared" si="40"/>
        <v>1.9027078639301575E-3</v>
      </c>
      <c r="Z447" s="62"/>
    </row>
    <row r="448" spans="15:26" x14ac:dyDescent="0.25">
      <c r="O448" s="45" t="s">
        <v>33</v>
      </c>
      <c r="P448" s="39">
        <f>_xll.qlCalendarAdvance(Calendar,P447,O447,"f",,Trigger)</f>
        <v>43804</v>
      </c>
      <c r="Q448" s="39">
        <f>_xll.qlInterestRateIndexValueDate(Index,P448,Trigger)</f>
        <v>43808</v>
      </c>
      <c r="R448" s="39">
        <f>_xll.qlInterestRateIndexMaturity(Index,Q448,Trigger)</f>
        <v>43899</v>
      </c>
      <c r="S448" s="40">
        <f>_xll.qlDayCounterYearFraction(DayCounter,Q448,R448,,,Trigger)</f>
        <v>0.25277777777777777</v>
      </c>
      <c r="T448" s="41">
        <f>_xll.qlIndexFixing(Index,P448,,AllTriggers)</f>
        <v>4.0305074667100656E-3</v>
      </c>
      <c r="U448" s="42">
        <f>_xll.qlYieldTSDiscount(OisCurve,Q448,,AllTriggers)</f>
        <v>1.0018618370617154</v>
      </c>
      <c r="V448" s="42">
        <f>_xll.qlYieldTSDiscount(OisCurve,R448,,AllTriggers)</f>
        <v>1.0013223747560587</v>
      </c>
      <c r="W448" s="41">
        <f t="shared" si="38"/>
        <v>2.1313181924316367E-3</v>
      </c>
      <c r="X448" s="43">
        <f t="shared" si="39"/>
        <v>4.7969927031813185E-4</v>
      </c>
      <c r="Y448" s="41">
        <f t="shared" si="40"/>
        <v>1.8991892742784289E-3</v>
      </c>
      <c r="Z448" s="62"/>
    </row>
    <row r="449" spans="15:26" x14ac:dyDescent="0.25">
      <c r="O449" s="45" t="s">
        <v>33</v>
      </c>
      <c r="P449" s="39">
        <f>_xll.qlCalendarAdvance(Calendar,P448,O448,"f",,Trigger)</f>
        <v>43811</v>
      </c>
      <c r="Q449" s="39">
        <f>_xll.qlInterestRateIndexValueDate(Index,P449,Trigger)</f>
        <v>43815</v>
      </c>
      <c r="R449" s="39">
        <f>_xll.qlInterestRateIndexMaturity(Index,Q449,Trigger)</f>
        <v>43906</v>
      </c>
      <c r="S449" s="40">
        <f>_xll.qlDayCounterYearFraction(DayCounter,Q449,R449,,,Trigger)</f>
        <v>0.25277777777777777</v>
      </c>
      <c r="T449" s="41">
        <f>_xll.qlIndexFixing(Index,P449,,AllTriggers)</f>
        <v>4.0520437409026274E-3</v>
      </c>
      <c r="U449" s="42">
        <f>_xll.qlYieldTSDiscount(OisCurve,Q449,,AllTriggers)</f>
        <v>1.0018232228208872</v>
      </c>
      <c r="V449" s="42">
        <f>_xll.qlYieldTSDiscount(OisCurve,R449,,AllTriggers)</f>
        <v>1.0012774095999835</v>
      </c>
      <c r="W449" s="41">
        <f t="shared" si="38"/>
        <v>2.1565063517692516E-3</v>
      </c>
      <c r="X449" s="43">
        <f t="shared" si="39"/>
        <v>4.787740480279325E-4</v>
      </c>
      <c r="Y449" s="41">
        <f t="shared" si="40"/>
        <v>1.8955373891333758E-3</v>
      </c>
      <c r="Z449" s="62"/>
    </row>
    <row r="450" spans="15:26" x14ac:dyDescent="0.25">
      <c r="O450" s="45" t="s">
        <v>33</v>
      </c>
      <c r="P450" s="39">
        <f>_xll.qlCalendarAdvance(Calendar,P449,O449,"f",,Trigger)</f>
        <v>43818</v>
      </c>
      <c r="Q450" s="39">
        <f>_xll.qlInterestRateIndexValueDate(Index,P450,Trigger)</f>
        <v>43822</v>
      </c>
      <c r="R450" s="39">
        <f>_xll.qlInterestRateIndexMaturity(Index,Q450,Trigger)</f>
        <v>43913</v>
      </c>
      <c r="S450" s="40">
        <f>_xll.qlDayCounterYearFraction(DayCounter,Q450,R450,,,Trigger)</f>
        <v>0.25277777777777777</v>
      </c>
      <c r="T450" s="41">
        <f>_xll.qlIndexFixing(Index,P450,,AllTriggers)</f>
        <v>4.0736273882414744E-3</v>
      </c>
      <c r="U450" s="42">
        <f>_xll.qlYieldTSDiscount(OisCurve,Q450,,AllTriggers)</f>
        <v>1.0017841407759713</v>
      </c>
      <c r="V450" s="42">
        <f>_xll.qlYieldTSDiscount(OisCurve,R450,,AllTriggers)</f>
        <v>1.0012319317691838</v>
      </c>
      <c r="W450" s="41">
        <f t="shared" si="38"/>
        <v>2.1818751824212597E-3</v>
      </c>
      <c r="X450" s="43">
        <f t="shared" si="39"/>
        <v>4.7781515469757461E-4</v>
      </c>
      <c r="Y450" s="41">
        <f t="shared" si="40"/>
        <v>1.8917522058202146E-3</v>
      </c>
      <c r="Z450" s="62"/>
    </row>
    <row r="451" spans="15:26" x14ac:dyDescent="0.25">
      <c r="O451" s="45" t="s">
        <v>33</v>
      </c>
      <c r="P451" s="39">
        <f>_xll.qlCalendarAdvance(Calendar,P450,O450,"f",,Trigger)</f>
        <v>43826</v>
      </c>
      <c r="Q451" s="39">
        <f>_xll.qlInterestRateIndexValueDate(Index,P451,Trigger)</f>
        <v>43830</v>
      </c>
      <c r="R451" s="39">
        <f>_xll.qlInterestRateIndexMaturity(Index,Q451,Trigger)</f>
        <v>43921</v>
      </c>
      <c r="S451" s="40">
        <f>_xll.qlDayCounterYearFraction(DayCounter,Q451,R451,,,Trigger)</f>
        <v>0.25277777777777777</v>
      </c>
      <c r="T451" s="41">
        <f>_xll.qlIndexFixing(Index,P451,,AllTriggers)</f>
        <v>4.0983524226991053E-3</v>
      </c>
      <c r="U451" s="42">
        <f>_xll.qlYieldTSDiscount(OisCurve,Q451,,AllTriggers)</f>
        <v>1.0017388983229751</v>
      </c>
      <c r="V451" s="42">
        <f>_xll.qlYieldTSDiscount(OisCurve,R451,,AllTriggers)</f>
        <v>1.0011793249249603</v>
      </c>
      <c r="W451" s="41">
        <f t="shared" si="38"/>
        <v>2.2110893663784947E-3</v>
      </c>
      <c r="X451" s="43">
        <f t="shared" si="39"/>
        <v>4.7667804675949468E-4</v>
      </c>
      <c r="Y451" s="41">
        <f t="shared" si="40"/>
        <v>1.8872630563206106E-3</v>
      </c>
      <c r="Z451" s="62"/>
    </row>
    <row r="452" spans="15:26" x14ac:dyDescent="0.25">
      <c r="O452" s="45" t="s">
        <v>33</v>
      </c>
      <c r="P452" s="39">
        <f>_xll.qlCalendarAdvance(Calendar,P451,O451,"f",,Trigger)</f>
        <v>43833</v>
      </c>
      <c r="Q452" s="39">
        <f>_xll.qlInterestRateIndexValueDate(Index,P452,Trigger)</f>
        <v>43837</v>
      </c>
      <c r="R452" s="39">
        <f>_xll.qlInterestRateIndexMaturity(Index,Q452,Trigger)</f>
        <v>43928</v>
      </c>
      <c r="S452" s="40">
        <f>_xll.qlDayCounterYearFraction(DayCounter,Q452,R452,,,Trigger)</f>
        <v>0.25277777777777777</v>
      </c>
      <c r="T452" s="41">
        <f>_xll.qlIndexFixing(Index,P452,,AllTriggers)</f>
        <v>4.1200375865298681E-3</v>
      </c>
      <c r="U452" s="42">
        <f>_xll.qlYieldTSDiscount(OisCurve,Q452,,AllTriggers)</f>
        <v>1.0016988021937723</v>
      </c>
      <c r="V452" s="42">
        <f>_xll.qlYieldTSDiscount(OisCurve,R452,,AllTriggers)</f>
        <v>1.0011327369164971</v>
      </c>
      <c r="W452" s="41">
        <f t="shared" ref="W452:W515" si="41">(U452/V452-1)/S452</f>
        <v>2.2368453615735657E-3</v>
      </c>
      <c r="X452" s="43">
        <f t="shared" ref="X452:X515" si="42">LN((1+T452*S452)/(1+W452*S452))</f>
        <v>4.7564700119931207E-4</v>
      </c>
      <c r="Y452" s="41">
        <f t="shared" ref="Y452:Y515" si="43">T452-W452</f>
        <v>1.8831922249563024E-3</v>
      </c>
      <c r="Z452" s="62"/>
    </row>
    <row r="453" spans="15:26" x14ac:dyDescent="0.25">
      <c r="O453" s="45" t="s">
        <v>33</v>
      </c>
      <c r="P453" s="39">
        <f>_xll.qlCalendarAdvance(Calendar,P452,O452,"f",,Trigger)</f>
        <v>43840</v>
      </c>
      <c r="Q453" s="39">
        <f>_xll.qlInterestRateIndexValueDate(Index,P453,Trigger)</f>
        <v>43844</v>
      </c>
      <c r="R453" s="39">
        <f>_xll.qlInterestRateIndexMaturity(Index,Q453,Trigger)</f>
        <v>43935</v>
      </c>
      <c r="S453" s="40">
        <f>_xll.qlDayCounterYearFraction(DayCounter,Q453,R453,,,Trigger)</f>
        <v>0.25277777777777777</v>
      </c>
      <c r="T453" s="41">
        <f>_xll.qlIndexFixing(Index,P453,,AllTriggers)</f>
        <v>4.1417701259445269E-3</v>
      </c>
      <c r="U453" s="42">
        <f>_xll.qlYieldTSDiscount(OisCurve,Q453,,AllTriggers)</f>
        <v>1.0016582273926504</v>
      </c>
      <c r="V453" s="42">
        <f>_xll.qlYieldTSDiscount(OisCurve,R453,,AllTriggers)</f>
        <v>1.0010856254200862</v>
      </c>
      <c r="W453" s="41">
        <f t="shared" si="41"/>
        <v>2.2627820390799468E-3</v>
      </c>
      <c r="X453" s="43">
        <f t="shared" si="42"/>
        <v>4.7458228459869805E-4</v>
      </c>
      <c r="Y453" s="41">
        <f t="shared" si="43"/>
        <v>1.87898808686458E-3</v>
      </c>
      <c r="Z453" s="62"/>
    </row>
    <row r="454" spans="15:26" x14ac:dyDescent="0.25">
      <c r="O454" s="45" t="s">
        <v>33</v>
      </c>
      <c r="P454" s="39">
        <f>_xll.qlCalendarAdvance(Calendar,P453,O453,"f",,Trigger)</f>
        <v>43847</v>
      </c>
      <c r="Q454" s="39">
        <f>_xll.qlInterestRateIndexValueDate(Index,P454,Trigger)</f>
        <v>43851</v>
      </c>
      <c r="R454" s="39">
        <f>_xll.qlInterestRateIndexMaturity(Index,Q454,Trigger)</f>
        <v>43942</v>
      </c>
      <c r="S454" s="40">
        <f>_xll.qlDayCounterYearFraction(DayCounter,Q454,R454,,,Trigger)</f>
        <v>0.25277777777777777</v>
      </c>
      <c r="T454" s="41">
        <f>_xll.qlIndexFixing(Index,P454,,AllTriggers)</f>
        <v>4.163550041719602E-3</v>
      </c>
      <c r="U454" s="42">
        <f>_xll.qlYieldTSDiscount(OisCurve,Q454,,AllTriggers)</f>
        <v>1.0016171704642325</v>
      </c>
      <c r="V454" s="42">
        <f>_xll.qlYieldTSDiscount(OisCurve,R454,,AllTriggers)</f>
        <v>1.0010379869981929</v>
      </c>
      <c r="W454" s="41">
        <f t="shared" si="41"/>
        <v>2.2888994024464482E-3</v>
      </c>
      <c r="X454" s="43">
        <f t="shared" si="42"/>
        <v>4.7348389695730007E-4</v>
      </c>
      <c r="Y454" s="41">
        <f t="shared" si="43"/>
        <v>1.8746506392731538E-3</v>
      </c>
      <c r="Z454" s="62"/>
    </row>
    <row r="455" spans="15:26" x14ac:dyDescent="0.25">
      <c r="O455" s="45" t="s">
        <v>33</v>
      </c>
      <c r="P455" s="39">
        <f>_xll.qlCalendarAdvance(Calendar,P454,O454,"f",,Trigger)</f>
        <v>43854</v>
      </c>
      <c r="Q455" s="39">
        <f>_xll.qlInterestRateIndexValueDate(Index,P455,Trigger)</f>
        <v>43858</v>
      </c>
      <c r="R455" s="39">
        <f>_xll.qlInterestRateIndexMaturity(Index,Q455,Trigger)</f>
        <v>43949</v>
      </c>
      <c r="S455" s="40">
        <f>_xll.qlDayCounterYearFraction(DayCounter,Q455,R455,,,Trigger)</f>
        <v>0.25277777777777777</v>
      </c>
      <c r="T455" s="41">
        <f>_xll.qlIndexFixing(Index,P455,,AllTriggers)</f>
        <v>4.1853772611642305E-3</v>
      </c>
      <c r="U455" s="42">
        <f>_xll.qlYieldTSDiscount(OisCurve,Q455,,AllTriggers)</f>
        <v>1.0015756279544104</v>
      </c>
      <c r="V455" s="42">
        <f>_xll.qlYieldTSDiscount(OisCurve,R455,,AllTriggers)</f>
        <v>1.0009898183724415</v>
      </c>
      <c r="W455" s="41">
        <f t="shared" si="41"/>
        <v>2.3151968317803606E-3</v>
      </c>
      <c r="X455" s="43">
        <f t="shared" si="42"/>
        <v>4.7235197722917153E-4</v>
      </c>
      <c r="Y455" s="41">
        <f t="shared" si="43"/>
        <v>1.87018042938387E-3</v>
      </c>
      <c r="Z455" s="62"/>
    </row>
    <row r="456" spans="15:26" x14ac:dyDescent="0.25">
      <c r="O456" s="45" t="s">
        <v>33</v>
      </c>
      <c r="P456" s="39">
        <f>_xll.qlCalendarAdvance(Calendar,P455,O455,"f",,Trigger)</f>
        <v>43861</v>
      </c>
      <c r="Q456" s="39">
        <f>_xll.qlInterestRateIndexValueDate(Index,P456,Trigger)</f>
        <v>43865</v>
      </c>
      <c r="R456" s="39">
        <f>_xll.qlInterestRateIndexMaturity(Index,Q456,Trigger)</f>
        <v>43955</v>
      </c>
      <c r="S456" s="40">
        <f>_xll.qlDayCounterYearFraction(DayCounter,Q456,R456,,,Trigger)</f>
        <v>0.25</v>
      </c>
      <c r="T456" s="41">
        <f>_xll.qlIndexFixing(Index,P456,,AllTriggers)</f>
        <v>4.2056549660056675E-3</v>
      </c>
      <c r="U456" s="42">
        <f>_xll.qlYieldTSDiscount(OisCurve,Q456,,AllTriggers)</f>
        <v>1.0015335964103613</v>
      </c>
      <c r="V456" s="42">
        <f>_xll.qlYieldTSDiscount(OisCurve,R456,,AllTriggers)</f>
        <v>1.0009481084215681</v>
      </c>
      <c r="W456" s="41">
        <f t="shared" si="41"/>
        <v>2.3397336340105213E-3</v>
      </c>
      <c r="X456" s="43">
        <f t="shared" si="42"/>
        <v>4.6609899156573823E-4</v>
      </c>
      <c r="Y456" s="41">
        <f t="shared" si="43"/>
        <v>1.8659213319951462E-3</v>
      </c>
      <c r="Z456" s="62"/>
    </row>
    <row r="457" spans="15:26" x14ac:dyDescent="0.25">
      <c r="O457" s="45" t="s">
        <v>33</v>
      </c>
      <c r="P457" s="39">
        <f>_xll.qlCalendarAdvance(Calendar,P456,O456,"f",,Trigger)</f>
        <v>43868</v>
      </c>
      <c r="Q457" s="39">
        <f>_xll.qlInterestRateIndexValueDate(Index,P457,Trigger)</f>
        <v>43872</v>
      </c>
      <c r="R457" s="39">
        <f>_xll.qlInterestRateIndexMaturity(Index,Q457,Trigger)</f>
        <v>43962</v>
      </c>
      <c r="S457" s="40">
        <f>_xll.qlDayCounterYearFraction(DayCounter,Q457,R457,,,Trigger)</f>
        <v>0.25</v>
      </c>
      <c r="T457" s="41">
        <f>_xll.qlIndexFixing(Index,P457,,AllTriggers)</f>
        <v>4.2275688326736116E-3</v>
      </c>
      <c r="U457" s="42">
        <f>_xll.qlYieldTSDiscount(OisCurve,Q457,,AllTriggers)</f>
        <v>1.0014910723805663</v>
      </c>
      <c r="V457" s="42">
        <f>_xll.qlYieldTSDiscount(OisCurve,R457,,AllTriggers)</f>
        <v>1.0008989552087992</v>
      </c>
      <c r="W457" s="41">
        <f t="shared" si="41"/>
        <v>2.366341452094467E-3</v>
      </c>
      <c r="X457" s="43">
        <f t="shared" si="42"/>
        <v>4.6492364542539077E-4</v>
      </c>
      <c r="Y457" s="41">
        <f t="shared" si="43"/>
        <v>1.8612273805791446E-3</v>
      </c>
      <c r="Z457" s="62"/>
    </row>
    <row r="458" spans="15:26" x14ac:dyDescent="0.25">
      <c r="O458" s="45" t="s">
        <v>33</v>
      </c>
      <c r="P458" s="39">
        <f>_xll.qlCalendarAdvance(Calendar,P457,O457,"f",,Trigger)</f>
        <v>43875</v>
      </c>
      <c r="Q458" s="39">
        <f>_xll.qlInterestRateIndexValueDate(Index,P458,Trigger)</f>
        <v>43879</v>
      </c>
      <c r="R458" s="39">
        <f>_xll.qlInterestRateIndexMaturity(Index,Q458,Trigger)</f>
        <v>43969</v>
      </c>
      <c r="S458" s="40">
        <f>_xll.qlDayCounterYearFraction(DayCounter,Q458,R458,,,Trigger)</f>
        <v>0.25</v>
      </c>
      <c r="T458" s="41">
        <f>_xll.qlIndexFixing(Index,P458,,AllTriggers)</f>
        <v>4.2495242753677331E-3</v>
      </c>
      <c r="U458" s="42">
        <f>_xll.qlYieldTSDiscount(OisCurve,Q458,,AllTriggers)</f>
        <v>1.001448052414825</v>
      </c>
      <c r="V458" s="42">
        <f>_xll.qlYieldTSDiscount(OisCurve,R458,,AllTriggers)</f>
        <v>1.0008492741354438</v>
      </c>
      <c r="W458" s="41">
        <f t="shared" si="41"/>
        <v>2.3930807359517914E-3</v>
      </c>
      <c r="X458" s="43">
        <f t="shared" si="42"/>
        <v>4.6372584971420786E-4</v>
      </c>
      <c r="Y458" s="41">
        <f t="shared" si="43"/>
        <v>1.8564435394159418E-3</v>
      </c>
      <c r="Z458" s="62"/>
    </row>
    <row r="459" spans="15:26" x14ac:dyDescent="0.25">
      <c r="O459" s="45" t="s">
        <v>33</v>
      </c>
      <c r="P459" s="39">
        <f>_xll.qlCalendarAdvance(Calendar,P458,O458,"f",,Trigger)</f>
        <v>43882</v>
      </c>
      <c r="Q459" s="39">
        <f>_xll.qlInterestRateIndexValueDate(Index,P459,Trigger)</f>
        <v>43886</v>
      </c>
      <c r="R459" s="39">
        <f>_xll.qlInterestRateIndexMaturity(Index,Q459,Trigger)</f>
        <v>43976</v>
      </c>
      <c r="S459" s="40">
        <f>_xll.qlDayCounterYearFraction(DayCounter,Q459,R459,,,Trigger)</f>
        <v>0.25</v>
      </c>
      <c r="T459" s="41">
        <f>_xll.qlIndexFixing(Index,P459,,AllTriggers)</f>
        <v>4.2715189059174818E-3</v>
      </c>
      <c r="U459" s="42">
        <f>_xll.qlYieldTSDiscount(OisCurve,Q459,,AllTriggers)</f>
        <v>1.0014045330642749</v>
      </c>
      <c r="V459" s="42">
        <f>_xll.qlYieldTSDiscount(OisCurve,R459,,AllTriggers)</f>
        <v>1.0007990668384126</v>
      </c>
      <c r="W459" s="41">
        <f t="shared" si="41"/>
        <v>2.4199312166626186E-3</v>
      </c>
      <c r="X459" s="43">
        <f t="shared" si="42"/>
        <v>4.6251007268023728E-4</v>
      </c>
      <c r="Y459" s="41">
        <f t="shared" si="43"/>
        <v>1.8515876892548633E-3</v>
      </c>
      <c r="Z459" s="62"/>
    </row>
    <row r="460" spans="15:26" x14ac:dyDescent="0.25">
      <c r="O460" s="45" t="s">
        <v>33</v>
      </c>
      <c r="P460" s="39">
        <f>_xll.qlCalendarAdvance(Calendar,P459,O459,"f",,Trigger)</f>
        <v>43889</v>
      </c>
      <c r="Q460" s="39">
        <f>_xll.qlInterestRateIndexValueDate(Index,P460,Trigger)</f>
        <v>43893</v>
      </c>
      <c r="R460" s="39">
        <f>_xll.qlInterestRateIndexMaturity(Index,Q460,Trigger)</f>
        <v>43985</v>
      </c>
      <c r="S460" s="40">
        <f>_xll.qlDayCounterYearFraction(DayCounter,Q460,R460,,,Trigger)</f>
        <v>0.25555555555555554</v>
      </c>
      <c r="T460" s="41">
        <f>_xll.qlIndexFixing(Index,P460,,AllTriggers)</f>
        <v>4.2967626216271629E-3</v>
      </c>
      <c r="U460" s="42">
        <f>_xll.qlYieldTSDiscount(OisCurve,Q460,,AllTriggers)</f>
        <v>1.0013605108814068</v>
      </c>
      <c r="V460" s="42">
        <f>_xll.qlYieldTSDiscount(OisCurve,R460,,AllTriggers)</f>
        <v>1.0007337440079676</v>
      </c>
      <c r="W460" s="41">
        <f t="shared" si="41"/>
        <v>2.4507677903204289E-3</v>
      </c>
      <c r="X460" s="43">
        <f t="shared" si="42"/>
        <v>4.7134785461461502E-4</v>
      </c>
      <c r="Y460" s="41">
        <f t="shared" si="43"/>
        <v>1.8459948313067341E-3</v>
      </c>
      <c r="Z460" s="62"/>
    </row>
    <row r="461" spans="15:26" x14ac:dyDescent="0.25">
      <c r="O461" s="45" t="s">
        <v>33</v>
      </c>
      <c r="P461" s="39">
        <f>_xll.qlCalendarAdvance(Calendar,P460,O460,"f",,Trigger)</f>
        <v>43896</v>
      </c>
      <c r="Q461" s="39">
        <f>_xll.qlInterestRateIndexValueDate(Index,P461,Trigger)</f>
        <v>43900</v>
      </c>
      <c r="R461" s="39">
        <f>_xll.qlInterestRateIndexMaturity(Index,Q461,Trigger)</f>
        <v>43992</v>
      </c>
      <c r="S461" s="40">
        <f>_xll.qlDayCounterYearFraction(DayCounter,Q461,R461,,,Trigger)</f>
        <v>0.25555555555555554</v>
      </c>
      <c r="T461" s="41">
        <f>_xll.qlIndexFixing(Index,P461,,AllTriggers)</f>
        <v>4.3188326206016108E-3</v>
      </c>
      <c r="U461" s="42">
        <f>_xll.qlYieldTSDiscount(OisCurve,Q461,,AllTriggers)</f>
        <v>1.0013159824200841</v>
      </c>
      <c r="V461" s="42">
        <f>_xll.qlYieldTSDiscount(OisCurve,R461,,AllTriggers)</f>
        <v>1.0006823400634963</v>
      </c>
      <c r="W461" s="41">
        <f t="shared" si="41"/>
        <v>2.4777794028410637E-3</v>
      </c>
      <c r="X461" s="43">
        <f t="shared" si="42"/>
        <v>4.7008314002166499E-4</v>
      </c>
      <c r="Y461" s="41">
        <f t="shared" si="43"/>
        <v>1.8410532177605471E-3</v>
      </c>
      <c r="Z461" s="62"/>
    </row>
    <row r="462" spans="15:26" x14ac:dyDescent="0.25">
      <c r="O462" s="45" t="s">
        <v>33</v>
      </c>
      <c r="P462" s="39">
        <f>_xll.qlCalendarAdvance(Calendar,P461,O461,"f",,Trigger)</f>
        <v>43903</v>
      </c>
      <c r="Q462" s="39">
        <f>_xll.qlInterestRateIndexValueDate(Index,P462,Trigger)</f>
        <v>43907</v>
      </c>
      <c r="R462" s="39">
        <f>_xll.qlInterestRateIndexMaturity(Index,Q462,Trigger)</f>
        <v>43999</v>
      </c>
      <c r="S462" s="40">
        <f>_xll.qlDayCounterYearFraction(DayCounter,Q462,R462,,,Trigger)</f>
        <v>0.25555555555555554</v>
      </c>
      <c r="T462" s="41">
        <f>_xll.qlIndexFixing(Index,P462,,AllTriggers)</f>
        <v>4.3409343122914673E-3</v>
      </c>
      <c r="U462" s="42">
        <f>_xll.qlYieldTSDiscount(OisCurve,Q462,,AllTriggers)</f>
        <v>1.0012709442355587</v>
      </c>
      <c r="V462" s="42">
        <f>_xll.qlYieldTSDiscount(OisCurve,R462,,AllTriggers)</f>
        <v>1.0006304152773766</v>
      </c>
      <c r="W462" s="41">
        <f t="shared" si="41"/>
        <v>2.5048385739474643E-3</v>
      </c>
      <c r="X462" s="43">
        <f t="shared" si="42"/>
        <v>4.6881438546766252E-4</v>
      </c>
      <c r="Y462" s="41">
        <f t="shared" si="43"/>
        <v>1.836095738344003E-3</v>
      </c>
      <c r="Z462" s="62"/>
    </row>
    <row r="463" spans="15:26" x14ac:dyDescent="0.25">
      <c r="O463" s="45" t="s">
        <v>33</v>
      </c>
      <c r="P463" s="39">
        <f>_xll.qlCalendarAdvance(Calendar,P462,O462,"f",,Trigger)</f>
        <v>43910</v>
      </c>
      <c r="Q463" s="39">
        <f>_xll.qlInterestRateIndexValueDate(Index,P463,Trigger)</f>
        <v>43914</v>
      </c>
      <c r="R463" s="39">
        <f>_xll.qlInterestRateIndexMaturity(Index,Q463,Trigger)</f>
        <v>44006</v>
      </c>
      <c r="S463" s="40">
        <f>_xll.qlDayCounterYearFraction(DayCounter,Q463,R463,,,Trigger)</f>
        <v>0.25555555555555554</v>
      </c>
      <c r="T463" s="41">
        <f>_xll.qlIndexFixing(Index,P463,,AllTriggers)</f>
        <v>4.3630653601987807E-3</v>
      </c>
      <c r="U463" s="42">
        <f>_xll.qlYieldTSDiscount(OisCurve,Q463,,AllTriggers)</f>
        <v>1.0012253928844896</v>
      </c>
      <c r="V463" s="42">
        <f>_xll.qlYieldTSDiscount(OisCurve,R463,,AllTriggers)</f>
        <v>1.0005779712886844</v>
      </c>
      <c r="W463" s="41">
        <f t="shared" si="41"/>
        <v>2.5319254729225613E-3</v>
      </c>
      <c r="X463" s="43">
        <f t="shared" si="42"/>
        <v>4.6754605919950196E-4</v>
      </c>
      <c r="Y463" s="41">
        <f t="shared" si="43"/>
        <v>1.8311398872762194E-3</v>
      </c>
      <c r="Z463" s="62"/>
    </row>
    <row r="464" spans="15:26" x14ac:dyDescent="0.25">
      <c r="O464" s="45" t="s">
        <v>33</v>
      </c>
      <c r="P464" s="39">
        <f>_xll.qlCalendarAdvance(Calendar,P463,O463,"f",,Trigger)</f>
        <v>43917</v>
      </c>
      <c r="Q464" s="39">
        <f>_xll.qlInterestRateIndexValueDate(Index,P464,Trigger)</f>
        <v>43921</v>
      </c>
      <c r="R464" s="39">
        <f>_xll.qlInterestRateIndexMaturity(Index,Q464,Trigger)</f>
        <v>44012</v>
      </c>
      <c r="S464" s="40">
        <f>_xll.qlDayCounterYearFraction(DayCounter,Q464,R464,,,Trigger)</f>
        <v>0.25277777777777777</v>
      </c>
      <c r="T464" s="41">
        <f>_xll.qlIndexFixing(Index,P464,,AllTriggers)</f>
        <v>4.3836097794186452E-3</v>
      </c>
      <c r="U464" s="42">
        <f>_xll.qlYieldTSDiscount(OisCurve,Q464,,AllTriggers)</f>
        <v>1.0011793249249603</v>
      </c>
      <c r="V464" s="42">
        <f>_xll.qlYieldTSDiscount(OisCurve,R464,,AllTriggers)</f>
        <v>1.0005326072983143</v>
      </c>
      <c r="W464" s="41">
        <f t="shared" si="41"/>
        <v>2.5570814379237586E-3</v>
      </c>
      <c r="X464" s="43">
        <f t="shared" si="42"/>
        <v>4.6130111794843081E-4</v>
      </c>
      <c r="Y464" s="41">
        <f t="shared" si="43"/>
        <v>1.8265283414948866E-3</v>
      </c>
      <c r="Z464" s="62"/>
    </row>
    <row r="465" spans="15:26" x14ac:dyDescent="0.25">
      <c r="O465" s="45" t="s">
        <v>33</v>
      </c>
      <c r="P465" s="39">
        <f>_xll.qlCalendarAdvance(Calendar,P464,O464,"f",,Trigger)</f>
        <v>43924</v>
      </c>
      <c r="Q465" s="39">
        <f>_xll.qlInterestRateIndexValueDate(Index,P465,Trigger)</f>
        <v>43928</v>
      </c>
      <c r="R465" s="39">
        <f>_xll.qlInterestRateIndexMaturity(Index,Q465,Trigger)</f>
        <v>44019</v>
      </c>
      <c r="S465" s="40">
        <f>_xll.qlDayCounterYearFraction(DayCounter,Q465,R465,,,Trigger)</f>
        <v>0.25277777777777777</v>
      </c>
      <c r="T465" s="41">
        <f>_xll.qlIndexFixing(Index,P465,,AllTriggers)</f>
        <v>4.4057909574663611E-3</v>
      </c>
      <c r="U465" s="42">
        <f>_xll.qlYieldTSDiscount(OisCurve,Q465,,AllTriggers)</f>
        <v>1.0011327369164971</v>
      </c>
      <c r="V465" s="42">
        <f>_xll.qlYieldTSDiscount(OisCurve,R465,,AllTriggers)</f>
        <v>1.0004792034264827</v>
      </c>
      <c r="W465" s="41">
        <f t="shared" si="41"/>
        <v>2.584168870666296E-3</v>
      </c>
      <c r="X465" s="43">
        <f t="shared" si="42"/>
        <v>4.6005915041941056E-4</v>
      </c>
      <c r="Y465" s="41">
        <f t="shared" si="43"/>
        <v>1.8216220868000651E-3</v>
      </c>
      <c r="Z465" s="62"/>
    </row>
    <row r="466" spans="15:26" x14ac:dyDescent="0.25">
      <c r="O466" s="45" t="s">
        <v>33</v>
      </c>
      <c r="P466" s="39">
        <f>_xll.qlCalendarAdvance(Calendar,P465,O465,"f",,Trigger)</f>
        <v>43935</v>
      </c>
      <c r="Q466" s="39">
        <f>_xll.qlInterestRateIndexValueDate(Index,P466,Trigger)</f>
        <v>43937</v>
      </c>
      <c r="R466" s="39">
        <f>_xll.qlInterestRateIndexMaturity(Index,Q466,Trigger)</f>
        <v>44028</v>
      </c>
      <c r="S466" s="40">
        <f>_xll.qlDayCounterYearFraction(DayCounter,Q466,R466,,,Trigger)</f>
        <v>0.25277777777777777</v>
      </c>
      <c r="T466" s="41">
        <f>_xll.qlIndexFixing(Index,P466,,AllTriggers)</f>
        <v>4.4343422091149866E-3</v>
      </c>
      <c r="U466" s="42">
        <f>_xll.qlYieldTSDiscount(OisCurve,Q466,,AllTriggers)</f>
        <v>1.0010720683606011</v>
      </c>
      <c r="V466" s="42">
        <f>_xll.qlYieldTSDiscount(OisCurve,R466,,AllTriggers)</f>
        <v>1.0004097855103924</v>
      </c>
      <c r="W466" s="41">
        <f t="shared" si="41"/>
        <v>2.6189468602841174E-3</v>
      </c>
      <c r="X466" s="43">
        <f t="shared" si="42"/>
        <v>4.5848289215161606E-4</v>
      </c>
      <c r="Y466" s="41">
        <f t="shared" si="43"/>
        <v>1.8153953488308692E-3</v>
      </c>
      <c r="Z466" s="62"/>
    </row>
    <row r="467" spans="15:26" x14ac:dyDescent="0.25">
      <c r="O467" s="45" t="s">
        <v>33</v>
      </c>
      <c r="P467" s="39">
        <f>_xll.qlCalendarAdvance(Calendar,P466,O466,"f",,Trigger)</f>
        <v>43942</v>
      </c>
      <c r="Q467" s="39">
        <f>_xll.qlInterestRateIndexValueDate(Index,P467,Trigger)</f>
        <v>43944</v>
      </c>
      <c r="R467" s="39">
        <f>_xll.qlInterestRateIndexMaturity(Index,Q467,Trigger)</f>
        <v>44035</v>
      </c>
      <c r="S467" s="40">
        <f>_xll.qlDayCounterYearFraction(DayCounter,Q467,R467,,,Trigger)</f>
        <v>0.25277777777777777</v>
      </c>
      <c r="T467" s="41">
        <f>_xll.qlIndexFixing(Index,P467,,AllTriggers)</f>
        <v>4.4565711322084216E-3</v>
      </c>
      <c r="U467" s="42">
        <f>_xll.qlYieldTSDiscount(OisCurve,Q467,,AllTriggers)</f>
        <v>1.0010242787573949</v>
      </c>
      <c r="V467" s="42">
        <f>_xll.qlYieldTSDiscount(OisCurve,R467,,AllTriggers)</f>
        <v>1.0003552080111835</v>
      </c>
      <c r="W467" s="41">
        <f t="shared" si="41"/>
        <v>2.6459334249654982E-3</v>
      </c>
      <c r="X467" s="43">
        <f t="shared" si="42"/>
        <v>4.5727849528362307E-4</v>
      </c>
      <c r="Y467" s="41">
        <f t="shared" si="43"/>
        <v>1.8106377072429234E-3</v>
      </c>
      <c r="Z467" s="62"/>
    </row>
    <row r="468" spans="15:26" x14ac:dyDescent="0.25">
      <c r="O468" s="45" t="s">
        <v>33</v>
      </c>
      <c r="P468" s="39">
        <f>_xll.qlCalendarAdvance(Calendar,P467,O467,"f",,Trigger)</f>
        <v>43949</v>
      </c>
      <c r="Q468" s="39">
        <f>_xll.qlInterestRateIndexValueDate(Index,P468,Trigger)</f>
        <v>43951</v>
      </c>
      <c r="R468" s="39">
        <f>_xll.qlInterestRateIndexMaturity(Index,Q468,Trigger)</f>
        <v>44043</v>
      </c>
      <c r="S468" s="40">
        <f>_xll.qlDayCounterYearFraction(DayCounter,Q468,R468,,,Trigger)</f>
        <v>0.25555555555555554</v>
      </c>
      <c r="T468" s="41">
        <f>_xll.qlIndexFixing(Index,P468,,AllTriggers)</f>
        <v>4.4804374062237451E-3</v>
      </c>
      <c r="U468" s="42">
        <f>_xll.qlYieldTSDiscount(OisCurve,Q468,,AllTriggers)</f>
        <v>1.0009759583433244</v>
      </c>
      <c r="V468" s="42">
        <f>_xll.qlYieldTSDiscount(OisCurve,R468,,AllTriggers)</f>
        <v>1.0002922083948544</v>
      </c>
      <c r="W468" s="41">
        <f t="shared" si="41"/>
        <v>2.6747616888019806E-3</v>
      </c>
      <c r="X468" s="43">
        <f t="shared" si="42"/>
        <v>4.6102896183525651E-4</v>
      </c>
      <c r="Y468" s="41">
        <f t="shared" si="43"/>
        <v>1.8056757174217644E-3</v>
      </c>
      <c r="Z468" s="62"/>
    </row>
    <row r="469" spans="15:26" x14ac:dyDescent="0.25">
      <c r="O469" s="45" t="s">
        <v>33</v>
      </c>
      <c r="P469" s="39">
        <f>_xll.qlCalendarAdvance(Calendar,P468,O468,"f",,Trigger)</f>
        <v>43956</v>
      </c>
      <c r="Q469" s="39">
        <f>_xll.qlInterestRateIndexValueDate(Index,P469,Trigger)</f>
        <v>43958</v>
      </c>
      <c r="R469" s="39">
        <f>_xll.qlInterestRateIndexMaturity(Index,Q469,Trigger)</f>
        <v>44050</v>
      </c>
      <c r="S469" s="40">
        <f>_xll.qlDayCounterYearFraction(DayCounter,Q469,R469,,,Trigger)</f>
        <v>0.25555555555555554</v>
      </c>
      <c r="T469" s="41">
        <f>_xll.qlIndexFixing(Index,P469,,AllTriggers)</f>
        <v>4.5027017242929212E-3</v>
      </c>
      <c r="U469" s="42">
        <f>_xll.qlYieldTSDiscount(OisCurve,Q469,,AllTriggers)</f>
        <v>1.0009271074999126</v>
      </c>
      <c r="V469" s="42">
        <f>_xll.qlYieldTSDiscount(OisCurve,R469,,AllTriggers)</f>
        <v>1.0002365384084866</v>
      </c>
      <c r="W469" s="41">
        <f t="shared" si="41"/>
        <v>2.7015878502029377E-3</v>
      </c>
      <c r="X469" s="43">
        <f t="shared" si="42"/>
        <v>4.5986134033448753E-4</v>
      </c>
      <c r="Y469" s="41">
        <f t="shared" si="43"/>
        <v>1.8011138740899836E-3</v>
      </c>
      <c r="Z469" s="62"/>
    </row>
    <row r="470" spans="15:26" x14ac:dyDescent="0.25">
      <c r="O470" s="45" t="s">
        <v>33</v>
      </c>
      <c r="P470" s="39">
        <f>_xll.qlCalendarAdvance(Calendar,P469,O469,"f",,Trigger)</f>
        <v>43963</v>
      </c>
      <c r="Q470" s="39">
        <f>_xll.qlInterestRateIndexValueDate(Index,P470,Trigger)</f>
        <v>43965</v>
      </c>
      <c r="R470" s="39">
        <f>_xll.qlInterestRateIndexMaturity(Index,Q470,Trigger)</f>
        <v>44057</v>
      </c>
      <c r="S470" s="40">
        <f>_xll.qlDayCounterYearFraction(DayCounter,Q470,R470,,,Trigger)</f>
        <v>0.25555555555555554</v>
      </c>
      <c r="T470" s="41">
        <f>_xll.qlIndexFixing(Index,P470,,AllTriggers)</f>
        <v>4.5249827143571857E-3</v>
      </c>
      <c r="U470" s="42">
        <f>_xll.qlYieldTSDiscount(OisCurve,Q470,,AllTriggers)</f>
        <v>1.0008777278607739</v>
      </c>
      <c r="V470" s="42">
        <f>_xll.qlYieldTSDiscount(OisCurve,R470,,AllTriggers)</f>
        <v>1.0001803611754452</v>
      </c>
      <c r="W470" s="41">
        <f t="shared" si="41"/>
        <v>2.7283340744409189E-3</v>
      </c>
      <c r="X470" s="43">
        <f t="shared" si="42"/>
        <v>4.587184033207564E-4</v>
      </c>
      <c r="Y470" s="41">
        <f t="shared" si="43"/>
        <v>1.7966486399162668E-3</v>
      </c>
      <c r="Z470" s="62"/>
    </row>
    <row r="471" spans="15:26" x14ac:dyDescent="0.25">
      <c r="O471" s="45" t="s">
        <v>33</v>
      </c>
      <c r="P471" s="39">
        <f>_xll.qlCalendarAdvance(Calendar,P470,O470,"f",,Trigger)</f>
        <v>43970</v>
      </c>
      <c r="Q471" s="39">
        <f>_xll.qlInterestRateIndexValueDate(Index,P471,Trigger)</f>
        <v>43972</v>
      </c>
      <c r="R471" s="39">
        <f>_xll.qlInterestRateIndexMaturity(Index,Q471,Trigger)</f>
        <v>44064</v>
      </c>
      <c r="S471" s="40">
        <f>_xll.qlDayCounterYearFraction(DayCounter,Q471,R471,,,Trigger)</f>
        <v>0.25555555555555554</v>
      </c>
      <c r="T471" s="41">
        <f>_xll.qlIndexFixing(Index,P471,,AllTriggers)</f>
        <v>4.5472803766997911E-3</v>
      </c>
      <c r="U471" s="42">
        <f>_xll.qlYieldTSDiscount(OisCurve,Q471,,AllTriggers)</f>
        <v>1.0008278210625174</v>
      </c>
      <c r="V471" s="42">
        <f>_xll.qlYieldTSDiscount(OisCurve,R471,,AllTriggers)</f>
        <v>1.000123678338561</v>
      </c>
      <c r="W471" s="41">
        <f t="shared" si="41"/>
        <v>2.7550003598754971E-3</v>
      </c>
      <c r="X471" s="43">
        <f t="shared" si="42"/>
        <v>4.5760015079414292E-4</v>
      </c>
      <c r="Y471" s="41">
        <f t="shared" si="43"/>
        <v>1.792280016824294E-3</v>
      </c>
      <c r="Z471" s="62"/>
    </row>
    <row r="472" spans="15:26" x14ac:dyDescent="0.25">
      <c r="O472" s="45" t="s">
        <v>33</v>
      </c>
      <c r="P472" s="39">
        <f>_xll.qlCalendarAdvance(Calendar,P471,O471,"f",,Trigger)</f>
        <v>43977</v>
      </c>
      <c r="Q472" s="39">
        <f>_xll.qlInterestRateIndexValueDate(Index,P472,Trigger)</f>
        <v>43979</v>
      </c>
      <c r="R472" s="39">
        <f>_xll.qlInterestRateIndexMaturity(Index,Q472,Trigger)</f>
        <v>44071</v>
      </c>
      <c r="S472" s="40">
        <f>_xll.qlDayCounterYearFraction(DayCounter,Q472,R472,,,Trigger)</f>
        <v>0.25555555555555554</v>
      </c>
      <c r="T472" s="41">
        <f>_xll.qlIndexFixing(Index,P472,,AllTriggers)</f>
        <v>4.5695947116048581E-3</v>
      </c>
      <c r="U472" s="42">
        <f>_xll.qlYieldTSDiscount(OisCurve,Q472,,AllTriggers)</f>
        <v>1.0007773887422775</v>
      </c>
      <c r="V472" s="42">
        <f>_xll.qlYieldTSDiscount(OisCurve,R472,,AllTriggers)</f>
        <v>1.0000664915410804</v>
      </c>
      <c r="W472" s="41">
        <f t="shared" si="41"/>
        <v>2.7815867048714585E-3</v>
      </c>
      <c r="X472" s="43">
        <f t="shared" si="42"/>
        <v>4.5650658275467424E-4</v>
      </c>
      <c r="Y472" s="41">
        <f t="shared" si="43"/>
        <v>1.7880080067333996E-3</v>
      </c>
      <c r="Z472" s="62"/>
    </row>
    <row r="473" spans="15:26" x14ac:dyDescent="0.25">
      <c r="O473" s="45" t="s">
        <v>33</v>
      </c>
      <c r="P473" s="39">
        <f>_xll.qlCalendarAdvance(Calendar,P472,O472,"f",,Trigger)</f>
        <v>43984</v>
      </c>
      <c r="Q473" s="39">
        <f>_xll.qlInterestRateIndexValueDate(Index,P473,Trigger)</f>
        <v>43986</v>
      </c>
      <c r="R473" s="39">
        <f>_xll.qlInterestRateIndexMaturity(Index,Q473,Trigger)</f>
        <v>44078</v>
      </c>
      <c r="S473" s="40">
        <f>_xll.qlDayCounterYearFraction(DayCounter,Q473,R473,,,Trigger)</f>
        <v>0.25555555555555554</v>
      </c>
      <c r="T473" s="41">
        <f>_xll.qlIndexFixing(Index,P473,,AllTriggers)</f>
        <v>4.5919257193547686E-3</v>
      </c>
      <c r="U473" s="42">
        <f>_xll.qlYieldTSDiscount(OisCurve,Q473,,AllTriggers)</f>
        <v>1.0007264325377023</v>
      </c>
      <c r="V473" s="42">
        <f>_xll.qlYieldTSDiscount(OisCurve,R473,,AllTriggers)</f>
        <v>1.0000088024266569</v>
      </c>
      <c r="W473" s="41">
        <f t="shared" si="41"/>
        <v>2.8080931077961967E-3</v>
      </c>
      <c r="X473" s="43">
        <f t="shared" si="42"/>
        <v>4.5543769920254693E-4</v>
      </c>
      <c r="Y473" s="41">
        <f t="shared" si="43"/>
        <v>1.783832611558572E-3</v>
      </c>
      <c r="Z473" s="62"/>
    </row>
    <row r="474" spans="15:26" x14ac:dyDescent="0.25">
      <c r="O474" s="45" t="s">
        <v>33</v>
      </c>
      <c r="P474" s="39">
        <f>_xll.qlCalendarAdvance(Calendar,P473,O473,"f",,Trigger)</f>
        <v>43991</v>
      </c>
      <c r="Q474" s="39">
        <f>_xll.qlInterestRateIndexValueDate(Index,P474,Trigger)</f>
        <v>43993</v>
      </c>
      <c r="R474" s="39">
        <f>_xll.qlInterestRateIndexMaturity(Index,Q474,Trigger)</f>
        <v>44085</v>
      </c>
      <c r="S474" s="40">
        <f>_xll.qlDayCounterYearFraction(DayCounter,Q474,R474,,,Trigger)</f>
        <v>0.25555555555555554</v>
      </c>
      <c r="T474" s="41">
        <f>_xll.qlIndexFixing(Index,P474,,AllTriggers)</f>
        <v>4.6142734002336434E-3</v>
      </c>
      <c r="U474" s="42">
        <f>_xll.qlYieldTSDiscount(OisCurve,Q474,,AllTriggers)</f>
        <v>1.000674954086948</v>
      </c>
      <c r="V474" s="42">
        <f>_xll.qlYieldTSDiscount(OisCurve,R474,,AllTriggers)</f>
        <v>0.99995061263934326</v>
      </c>
      <c r="W474" s="41">
        <f t="shared" si="41"/>
        <v>2.8345195670240551E-3</v>
      </c>
      <c r="X474" s="43">
        <f t="shared" si="42"/>
        <v>4.5439350013768288E-4</v>
      </c>
      <c r="Y474" s="41">
        <f t="shared" si="43"/>
        <v>1.7797538332095884E-3</v>
      </c>
      <c r="Z474" s="62"/>
    </row>
    <row r="475" spans="15:26" x14ac:dyDescent="0.25">
      <c r="O475" s="45" t="s">
        <v>33</v>
      </c>
      <c r="P475" s="39">
        <f>_xll.qlCalendarAdvance(Calendar,P474,O474,"f",,Trigger)</f>
        <v>43998</v>
      </c>
      <c r="Q475" s="39">
        <f>_xll.qlInterestRateIndexValueDate(Index,P475,Trigger)</f>
        <v>44000</v>
      </c>
      <c r="R475" s="39">
        <f>_xll.qlInterestRateIndexMaturity(Index,Q475,Trigger)</f>
        <v>44092</v>
      </c>
      <c r="S475" s="40">
        <f>_xll.qlDayCounterYearFraction(DayCounter,Q475,R475,,,Trigger)</f>
        <v>0.25555555555555554</v>
      </c>
      <c r="T475" s="41">
        <f>_xll.qlIndexFixing(Index,P475,,AllTriggers)</f>
        <v>4.6366377545256033E-3</v>
      </c>
      <c r="U475" s="42">
        <f>_xll.qlYieldTSDiscount(OisCurve,Q475,,AllTriggers)</f>
        <v>1.0006229550286696</v>
      </c>
      <c r="V475" s="42">
        <f>_xll.qlYieldTSDiscount(OisCurve,R475,,AllTriggers)</f>
        <v>0.99989192382358316</v>
      </c>
      <c r="W475" s="41">
        <f t="shared" si="41"/>
        <v>2.8608660809363285E-3</v>
      </c>
      <c r="X475" s="43">
        <f t="shared" si="42"/>
        <v>4.5337398555995155E-4</v>
      </c>
      <c r="Y475" s="41">
        <f t="shared" si="43"/>
        <v>1.7757716735892748E-3</v>
      </c>
      <c r="Z475" s="62"/>
    </row>
    <row r="476" spans="15:26" x14ac:dyDescent="0.25">
      <c r="O476" s="45" t="s">
        <v>33</v>
      </c>
      <c r="P476" s="39">
        <f>_xll.qlCalendarAdvance(Calendar,P475,O475,"f",,Trigger)</f>
        <v>44005</v>
      </c>
      <c r="Q476" s="39">
        <f>_xll.qlInterestRateIndexValueDate(Index,P476,Trigger)</f>
        <v>44007</v>
      </c>
      <c r="R476" s="39">
        <f>_xll.qlInterestRateIndexMaturity(Index,Q476,Trigger)</f>
        <v>44099</v>
      </c>
      <c r="S476" s="40">
        <f>_xll.qlDayCounterYearFraction(DayCounter,Q476,R476,,,Trigger)</f>
        <v>0.25555555555555554</v>
      </c>
      <c r="T476" s="41">
        <f>_xll.qlIndexFixing(Index,P476,,AllTriggers)</f>
        <v>4.6590187825147683E-3</v>
      </c>
      <c r="U476" s="42">
        <f>_xll.qlYieldTSDiscount(OisCurve,Q476,,AllTriggers)</f>
        <v>1.0005704370020114</v>
      </c>
      <c r="V476" s="42">
        <f>_xll.qlYieldTSDiscount(OisCurve,R476,,AllTriggers)</f>
        <v>0.99983273762420366</v>
      </c>
      <c r="W476" s="41">
        <f t="shared" si="41"/>
        <v>2.8871326479134431E-3</v>
      </c>
      <c r="X476" s="43">
        <f t="shared" si="42"/>
        <v>4.5237915547005739E-4</v>
      </c>
      <c r="Y476" s="41">
        <f t="shared" si="43"/>
        <v>1.7718861346013252E-3</v>
      </c>
      <c r="Z476" s="62"/>
    </row>
    <row r="477" spans="15:26" x14ac:dyDescent="0.25">
      <c r="O477" s="45" t="s">
        <v>33</v>
      </c>
      <c r="P477" s="39">
        <f>_xll.qlCalendarAdvance(Calendar,P476,O476,"f",,Trigger)</f>
        <v>44012</v>
      </c>
      <c r="Q477" s="39">
        <f>_xll.qlInterestRateIndexValueDate(Index,P477,Trigger)</f>
        <v>44014</v>
      </c>
      <c r="R477" s="39">
        <f>_xll.qlInterestRateIndexMaturity(Index,Q477,Trigger)</f>
        <v>44106</v>
      </c>
      <c r="S477" s="40">
        <f>_xll.qlDayCounterYearFraction(DayCounter,Q477,R477,,,Trigger)</f>
        <v>0.25555555555555554</v>
      </c>
      <c r="T477" s="41">
        <f>_xll.qlIndexFixing(Index,P477,,AllTriggers)</f>
        <v>4.6814164844852599E-3</v>
      </c>
      <c r="U477" s="42">
        <f>_xll.qlYieldTSDiscount(OisCurve,Q477,,AllTriggers)</f>
        <v>1.0005174016466012</v>
      </c>
      <c r="V477" s="42">
        <f>_xll.qlYieldTSDiscount(OisCurve,R477,,AllTriggers)</f>
        <v>0.99977305568640717</v>
      </c>
      <c r="W477" s="41">
        <f t="shared" si="41"/>
        <v>2.9133192663479885E-3</v>
      </c>
      <c r="X477" s="43">
        <f t="shared" si="42"/>
        <v>4.5140900986709884E-4</v>
      </c>
      <c r="Y477" s="41">
        <f t="shared" si="43"/>
        <v>1.7680972181372714E-3</v>
      </c>
      <c r="Z477" s="62"/>
    </row>
    <row r="478" spans="15:26" x14ac:dyDescent="0.25">
      <c r="O478" s="45" t="s">
        <v>33</v>
      </c>
      <c r="P478" s="39">
        <f>_xll.qlCalendarAdvance(Calendar,P477,O477,"f",,Trigger)</f>
        <v>44019</v>
      </c>
      <c r="Q478" s="39">
        <f>_xll.qlInterestRateIndexValueDate(Index,P478,Trigger)</f>
        <v>44021</v>
      </c>
      <c r="R478" s="39">
        <f>_xll.qlInterestRateIndexMaturity(Index,Q478,Trigger)</f>
        <v>44113</v>
      </c>
      <c r="S478" s="40">
        <f>_xll.qlDayCounterYearFraction(DayCounter,Q478,R478,,,Trigger)</f>
        <v>0.25555555555555554</v>
      </c>
      <c r="T478" s="41">
        <f>_xll.qlIndexFixing(Index,P478,,AllTriggers)</f>
        <v>4.7038308607203292E-3</v>
      </c>
      <c r="U478" s="42">
        <f>_xll.qlYieldTSDiscount(OisCurve,Q478,,AllTriggers)</f>
        <v>1.0004638506025394</v>
      </c>
      <c r="V478" s="42">
        <f>_xll.qlYieldTSDiscount(OisCurve,R478,,AllTriggers)</f>
        <v>0.99971287965576305</v>
      </c>
      <c r="W478" s="41">
        <f t="shared" si="41"/>
        <v>2.9394259346325557E-3</v>
      </c>
      <c r="X478" s="43">
        <f t="shared" si="42"/>
        <v>4.5046354875078761E-4</v>
      </c>
      <c r="Y478" s="41">
        <f t="shared" si="43"/>
        <v>1.7644049260877735E-3</v>
      </c>
      <c r="Z478" s="62"/>
    </row>
    <row r="479" spans="15:26" x14ac:dyDescent="0.25">
      <c r="O479" s="45" t="s">
        <v>33</v>
      </c>
      <c r="P479" s="39">
        <f>_xll.qlCalendarAdvance(Calendar,P478,O478,"f",,Trigger)</f>
        <v>44026</v>
      </c>
      <c r="Q479" s="39">
        <f>_xll.qlInterestRateIndexValueDate(Index,P479,Trigger)</f>
        <v>44028</v>
      </c>
      <c r="R479" s="39">
        <f>_xll.qlInterestRateIndexMaturity(Index,Q479,Trigger)</f>
        <v>44120</v>
      </c>
      <c r="S479" s="40">
        <f>_xll.qlDayCounterYearFraction(DayCounter,Q479,R479,,,Trigger)</f>
        <v>0.25555555555555554</v>
      </c>
      <c r="T479" s="41">
        <f>_xll.qlIndexFixing(Index,P479,,AllTriggers)</f>
        <v>4.7262619115067033E-3</v>
      </c>
      <c r="U479" s="42">
        <f>_xll.qlYieldTSDiscount(OisCurve,Q479,,AllTriggers)</f>
        <v>1.0004097855103924</v>
      </c>
      <c r="V479" s="42">
        <f>_xll.qlYieldTSDiscount(OisCurve,R479,,AllTriggers)</f>
        <v>0.99965221117820047</v>
      </c>
      <c r="W479" s="41">
        <f t="shared" si="41"/>
        <v>2.965452651164947E-3</v>
      </c>
      <c r="X479" s="43">
        <f t="shared" si="42"/>
        <v>4.4954277212211444E-4</v>
      </c>
      <c r="Y479" s="41">
        <f t="shared" si="43"/>
        <v>1.7608092603417563E-3</v>
      </c>
      <c r="Z479" s="62"/>
    </row>
    <row r="480" spans="15:26" x14ac:dyDescent="0.25">
      <c r="O480" s="45" t="s">
        <v>33</v>
      </c>
      <c r="P480" s="39">
        <f>_xll.qlCalendarAdvance(Calendar,P479,O479,"f",,Trigger)</f>
        <v>44033</v>
      </c>
      <c r="Q480" s="39">
        <f>_xll.qlInterestRateIndexValueDate(Index,P480,Trigger)</f>
        <v>44035</v>
      </c>
      <c r="R480" s="39">
        <f>_xll.qlInterestRateIndexMaturity(Index,Q480,Trigger)</f>
        <v>44127</v>
      </c>
      <c r="S480" s="40">
        <f>_xll.qlDayCounterYearFraction(DayCounter,Q480,R480,,,Trigger)</f>
        <v>0.25555555555555554</v>
      </c>
      <c r="T480" s="41">
        <f>_xll.qlIndexFixing(Index,P480,,AllTriggers)</f>
        <v>4.7487096371276348E-3</v>
      </c>
      <c r="U480" s="42">
        <f>_xll.qlYieldTSDiscount(OisCurve,Q480,,AllTriggers)</f>
        <v>1.0003552080111835</v>
      </c>
      <c r="V480" s="42">
        <f>_xll.qlYieldTSDiscount(OisCurve,R480,,AllTriggers)</f>
        <v>0.99959105189999942</v>
      </c>
      <c r="W480" s="41">
        <f t="shared" si="41"/>
        <v>2.991399414349049E-3</v>
      </c>
      <c r="X480" s="43">
        <f t="shared" si="42"/>
        <v>4.4864667998046394E-4</v>
      </c>
      <c r="Y480" s="41">
        <f t="shared" si="43"/>
        <v>1.7573102227785857E-3</v>
      </c>
      <c r="Z480" s="62"/>
    </row>
    <row r="481" spans="15:26" x14ac:dyDescent="0.25">
      <c r="O481" s="45" t="s">
        <v>33</v>
      </c>
      <c r="P481" s="39">
        <f>_xll.qlCalendarAdvance(Calendar,P480,O480,"f",,Trigger)</f>
        <v>44040</v>
      </c>
      <c r="Q481" s="39">
        <f>_xll.qlInterestRateIndexValueDate(Index,P481,Trigger)</f>
        <v>44042</v>
      </c>
      <c r="R481" s="39">
        <f>_xll.qlInterestRateIndexMaturity(Index,Q481,Trigger)</f>
        <v>44134</v>
      </c>
      <c r="S481" s="40">
        <f>_xll.qlDayCounterYearFraction(DayCounter,Q481,R481,,,Trigger)</f>
        <v>0.25555555555555554</v>
      </c>
      <c r="T481" s="41">
        <f>_xll.qlIndexFixing(Index,P481,,AllTriggers)</f>
        <v>4.7711740378707174E-3</v>
      </c>
      <c r="U481" s="42">
        <f>_xll.qlYieldTSDiscount(OisCurve,Q481,,AllTriggers)</f>
        <v>1.0003001197463857</v>
      </c>
      <c r="V481" s="42">
        <f>_xll.qlYieldTSDiscount(OisCurve,R481,,AllTriggers)</f>
        <v>0.99952940346778385</v>
      </c>
      <c r="W481" s="41">
        <f t="shared" si="41"/>
        <v>3.0172662225930904E-3</v>
      </c>
      <c r="X481" s="43">
        <f t="shared" si="42"/>
        <v>4.4777527232649987E-4</v>
      </c>
      <c r="Y481" s="41">
        <f t="shared" si="43"/>
        <v>1.753907815277627E-3</v>
      </c>
      <c r="Z481" s="62"/>
    </row>
    <row r="482" spans="15:26" x14ac:dyDescent="0.25">
      <c r="O482" s="45" t="s">
        <v>33</v>
      </c>
      <c r="P482" s="39">
        <f>_xll.qlCalendarAdvance(Calendar,P481,O481,"f",,Trigger)</f>
        <v>44047</v>
      </c>
      <c r="Q482" s="39">
        <f>_xll.qlInterestRateIndexValueDate(Index,P482,Trigger)</f>
        <v>44049</v>
      </c>
      <c r="R482" s="39">
        <f>_xll.qlInterestRateIndexMaturity(Index,Q482,Trigger)</f>
        <v>44141</v>
      </c>
      <c r="S482" s="40">
        <f>_xll.qlDayCounterYearFraction(DayCounter,Q482,R482,,,Trigger)</f>
        <v>0.25555555555555554</v>
      </c>
      <c r="T482" s="41">
        <f>_xll.qlIndexFixing(Index,P482,,AllTriggers)</f>
        <v>4.7936551140183364E-3</v>
      </c>
      <c r="U482" s="42">
        <f>_xll.qlYieldTSDiscount(OisCurve,Q482,,AllTriggers)</f>
        <v>1.0002445223579124</v>
      </c>
      <c r="V482" s="42">
        <f>_xll.qlYieldTSDiscount(OisCurve,R482,,AllTriggers)</f>
        <v>0.99946726752851345</v>
      </c>
      <c r="W482" s="41">
        <f t="shared" si="41"/>
        <v>3.0430530743113843E-3</v>
      </c>
      <c r="X482" s="43">
        <f t="shared" si="42"/>
        <v>4.4692854915927982E-4</v>
      </c>
      <c r="Y482" s="41">
        <f t="shared" si="43"/>
        <v>1.7506020397069521E-3</v>
      </c>
      <c r="Z482" s="62"/>
    </row>
    <row r="483" spans="15:26" x14ac:dyDescent="0.25">
      <c r="O483" s="45" t="s">
        <v>33</v>
      </c>
      <c r="P483" s="39">
        <f>_xll.qlCalendarAdvance(Calendar,P482,O482,"f",,Trigger)</f>
        <v>44054</v>
      </c>
      <c r="Q483" s="39">
        <f>_xll.qlInterestRateIndexValueDate(Index,P483,Trigger)</f>
        <v>44056</v>
      </c>
      <c r="R483" s="39">
        <f>_xll.qlInterestRateIndexMaturity(Index,Q483,Trigger)</f>
        <v>44148</v>
      </c>
      <c r="S483" s="40">
        <f>_xll.qlDayCounterYearFraction(DayCounter,Q483,R483,,,Trigger)</f>
        <v>0.25555555555555554</v>
      </c>
      <c r="T483" s="41">
        <f>_xll.qlIndexFixing(Index,P483,,AllTriggers)</f>
        <v>4.8161528658580872E-3</v>
      </c>
      <c r="U483" s="42">
        <f>_xll.qlYieldTSDiscount(OisCurve,Q483,,AllTriggers)</f>
        <v>1.0001884174881097</v>
      </c>
      <c r="V483" s="42">
        <f>_xll.qlYieldTSDiscount(OisCurve,R483,,AllTriggers)</f>
        <v>0.99940464572947552</v>
      </c>
      <c r="W483" s="41">
        <f t="shared" si="41"/>
        <v>3.0687599679208484E-3</v>
      </c>
      <c r="X483" s="43">
        <f t="shared" si="42"/>
        <v>4.4610651047958448E-4</v>
      </c>
      <c r="Y483" s="41">
        <f t="shared" si="43"/>
        <v>1.7473928979372388E-3</v>
      </c>
      <c r="Z483" s="62"/>
    </row>
    <row r="484" spans="15:26" x14ac:dyDescent="0.25">
      <c r="O484" s="45" t="s">
        <v>33</v>
      </c>
      <c r="P484" s="39">
        <f>_xll.qlCalendarAdvance(Calendar,P483,O483,"f",,Trigger)</f>
        <v>44061</v>
      </c>
      <c r="Q484" s="39">
        <f>_xll.qlInterestRateIndexValueDate(Index,P484,Trigger)</f>
        <v>44063</v>
      </c>
      <c r="R484" s="39">
        <f>_xll.qlInterestRateIndexMaturity(Index,Q484,Trigger)</f>
        <v>44155</v>
      </c>
      <c r="S484" s="40">
        <f>_xll.qlDayCounterYearFraction(DayCounter,Q484,R484,,,Trigger)</f>
        <v>0.25555555555555554</v>
      </c>
      <c r="T484" s="41">
        <f>_xll.qlIndexFixing(Index,P484,,AllTriggers)</f>
        <v>4.8386672936749581E-3</v>
      </c>
      <c r="U484" s="42">
        <f>_xll.qlYieldTSDiscount(OisCurve,Q484,,AllTriggers)</f>
        <v>1.0001318067797487</v>
      </c>
      <c r="V484" s="42">
        <f>_xll.qlYieldTSDiscount(OisCurve,R484,,AllTriggers)</f>
        <v>0.99934153971827744</v>
      </c>
      <c r="W484" s="41">
        <f t="shared" si="41"/>
        <v>3.0943869018453521E-3</v>
      </c>
      <c r="X484" s="43">
        <f t="shared" si="42"/>
        <v>4.4530915628703227E-4</v>
      </c>
      <c r="Y484" s="41">
        <f t="shared" si="43"/>
        <v>1.7442803918296061E-3</v>
      </c>
      <c r="Z484" s="62"/>
    </row>
    <row r="485" spans="15:26" x14ac:dyDescent="0.25">
      <c r="O485" s="45" t="s">
        <v>33</v>
      </c>
      <c r="P485" s="39">
        <f>_xll.qlCalendarAdvance(Calendar,P484,O484,"f",,Trigger)</f>
        <v>44068</v>
      </c>
      <c r="Q485" s="39">
        <f>_xll.qlInterestRateIndexValueDate(Index,P485,Trigger)</f>
        <v>44070</v>
      </c>
      <c r="R485" s="39">
        <f>_xll.qlInterestRateIndexMaturity(Index,Q485,Trigger)</f>
        <v>44162</v>
      </c>
      <c r="S485" s="40">
        <f>_xll.qlDayCounterYearFraction(DayCounter,Q485,R485,,,Trigger)</f>
        <v>0.25555555555555554</v>
      </c>
      <c r="T485" s="41">
        <f>_xll.qlIndexFixing(Index,P485,,AllTriggers)</f>
        <v>4.861198397755678E-3</v>
      </c>
      <c r="U485" s="42">
        <f>_xll.qlYieldTSDiscount(OisCurve,Q485,,AllTriggers)</f>
        <v>1.0000746918760166</v>
      </c>
      <c r="V485" s="42">
        <f>_xll.qlYieldTSDiscount(OisCurve,R485,,AllTriggers)</f>
        <v>0.99927795114283924</v>
      </c>
      <c r="W485" s="41">
        <f t="shared" si="41"/>
        <v>3.1199338745131096E-3</v>
      </c>
      <c r="X485" s="43">
        <f t="shared" si="42"/>
        <v>4.4453648658163294E-4</v>
      </c>
      <c r="Y485" s="41">
        <f t="shared" si="43"/>
        <v>1.7412645232425684E-3</v>
      </c>
      <c r="Z485" s="62"/>
    </row>
    <row r="486" spans="15:26" x14ac:dyDescent="0.25">
      <c r="O486" s="45" t="s">
        <v>33</v>
      </c>
      <c r="P486" s="39">
        <f>_xll.qlCalendarAdvance(Calendar,P485,O485,"f",,Trigger)</f>
        <v>44075</v>
      </c>
      <c r="Q486" s="39">
        <f>_xll.qlInterestRateIndexValueDate(Index,P486,Trigger)</f>
        <v>44077</v>
      </c>
      <c r="R486" s="39">
        <f>_xll.qlInterestRateIndexMaturity(Index,Q486,Trigger)</f>
        <v>44168</v>
      </c>
      <c r="S486" s="40">
        <f>_xll.qlDayCounterYearFraction(DayCounter,Q486,R486,,,Trigger)</f>
        <v>0.25277777777777777</v>
      </c>
      <c r="T486" s="41">
        <f>_xll.qlIndexFixing(Index,P486,,AllTriggers)</f>
        <v>4.8820994040995273E-3</v>
      </c>
      <c r="U486" s="42">
        <f>_xll.qlYieldTSDiscount(OisCurve,Q486,,AllTriggers)</f>
        <v>1.0000170744205092</v>
      </c>
      <c r="V486" s="42">
        <f>_xll.qlYieldTSDiscount(OisCurve,R486,,AllTriggers)</f>
        <v>0.99922306381723913</v>
      </c>
      <c r="W486" s="41">
        <f t="shared" si="41"/>
        <v>3.1435832116424043E-3</v>
      </c>
      <c r="X486" s="43">
        <f t="shared" si="42"/>
        <v>4.3901295091064473E-4</v>
      </c>
      <c r="Y486" s="41">
        <f t="shared" si="43"/>
        <v>1.738516192457123E-3</v>
      </c>
      <c r="Z486" s="62"/>
    </row>
    <row r="487" spans="15:26" x14ac:dyDescent="0.25">
      <c r="O487" s="45" t="s">
        <v>33</v>
      </c>
      <c r="P487" s="39">
        <f>_xll.qlCalendarAdvance(Calendar,P486,O486,"f",,Trigger)</f>
        <v>44082</v>
      </c>
      <c r="Q487" s="39">
        <f>_xll.qlInterestRateIndexValueDate(Index,P487,Trigger)</f>
        <v>44084</v>
      </c>
      <c r="R487" s="39">
        <f>_xll.qlInterestRateIndexMaturity(Index,Q487,Trigger)</f>
        <v>44175</v>
      </c>
      <c r="S487" s="40">
        <f>_xll.qlDayCounterYearFraction(DayCounter,Q487,R487,,,Trigger)</f>
        <v>0.25277777777777777</v>
      </c>
      <c r="T487" s="41">
        <f>_xll.qlIndexFixing(Index,P487,,AllTriggers)</f>
        <v>4.9046623638339471E-3</v>
      </c>
      <c r="U487" s="42">
        <f>_xll.qlYieldTSDiscount(OisCurve,Q487,,AllTriggers)</f>
        <v>0.99995895605722296</v>
      </c>
      <c r="V487" s="42">
        <f>_xll.qlYieldTSDiscount(OisCurve,R487,,AllTriggers)</f>
        <v>0.99915858342413444</v>
      </c>
      <c r="W487" s="41">
        <f t="shared" si="41"/>
        <v>3.1689757464346017E-3</v>
      </c>
      <c r="X487" s="43">
        <f t="shared" si="42"/>
        <v>4.3829576813154801E-4</v>
      </c>
      <c r="Y487" s="41">
        <f t="shared" si="43"/>
        <v>1.7356866173993454E-3</v>
      </c>
      <c r="Z487" s="62"/>
    </row>
    <row r="488" spans="15:26" x14ac:dyDescent="0.25">
      <c r="O488" s="45" t="s">
        <v>33</v>
      </c>
      <c r="P488" s="39">
        <f>_xll.qlCalendarAdvance(Calendar,P487,O487,"f",,Trigger)</f>
        <v>44089</v>
      </c>
      <c r="Q488" s="39">
        <f>_xll.qlInterestRateIndexValueDate(Index,P488,Trigger)</f>
        <v>44091</v>
      </c>
      <c r="R488" s="39">
        <f>_xll.qlInterestRateIndexMaturity(Index,Q488,Trigger)</f>
        <v>44182</v>
      </c>
      <c r="S488" s="40">
        <f>_xll.qlDayCounterYearFraction(DayCounter,Q488,R488,,,Trigger)</f>
        <v>0.25277777777777777</v>
      </c>
      <c r="T488" s="41">
        <f>_xll.qlIndexFixing(Index,P488,,AllTriggers)</f>
        <v>4.9272419990293789E-3</v>
      </c>
      <c r="U488" s="42">
        <f>_xll.qlYieldTSDiscount(OisCurve,Q488,,AllTriggers)</f>
        <v>0.99990033843054604</v>
      </c>
      <c r="V488" s="42">
        <f>_xll.qlYieldTSDiscount(OisCurve,R488,,AllTriggers)</f>
        <v>0.9990936251767838</v>
      </c>
      <c r="W488" s="41">
        <f t="shared" si="41"/>
        <v>3.1942883143128292E-3</v>
      </c>
      <c r="X488" s="43">
        <f t="shared" si="42"/>
        <v>4.3760300153025054E-4</v>
      </c>
      <c r="Y488" s="41">
        <f t="shared" si="43"/>
        <v>1.7329536847165497E-3</v>
      </c>
      <c r="Z488" s="62"/>
    </row>
    <row r="489" spans="15:26" x14ac:dyDescent="0.25">
      <c r="O489" s="45" t="s">
        <v>33</v>
      </c>
      <c r="P489" s="39">
        <f>_xll.qlCalendarAdvance(Calendar,P488,O488,"f",,Trigger)</f>
        <v>44096</v>
      </c>
      <c r="Q489" s="39">
        <f>_xll.qlInterestRateIndexValueDate(Index,P489,Trigger)</f>
        <v>44098</v>
      </c>
      <c r="R489" s="39">
        <f>_xll.qlInterestRateIndexMaturity(Index,Q489,Trigger)</f>
        <v>44189</v>
      </c>
      <c r="S489" s="40">
        <f>_xll.qlDayCounterYearFraction(DayCounter,Q489,R489,,,Trigger)</f>
        <v>0.25277777777777777</v>
      </c>
      <c r="T489" s="41">
        <f>_xll.qlIndexFixing(Index,P489,,AllTriggers)</f>
        <v>4.949838309971308E-3</v>
      </c>
      <c r="U489" s="42">
        <f>_xll.qlYieldTSDiscount(OisCurve,Q489,,AllTriggers)</f>
        <v>0.99984122318525137</v>
      </c>
      <c r="V489" s="42">
        <f>_xll.qlYieldTSDiscount(OisCurve,R489,,AllTriggers)</f>
        <v>0.9990281907242391</v>
      </c>
      <c r="W489" s="41">
        <f t="shared" si="41"/>
        <v>3.2195209137424905E-3</v>
      </c>
      <c r="X489" s="43">
        <f t="shared" si="42"/>
        <v>4.3693465110644875E-4</v>
      </c>
      <c r="Y489" s="41">
        <f t="shared" si="43"/>
        <v>1.7303173962288174E-3</v>
      </c>
      <c r="Z489" s="62"/>
    </row>
    <row r="490" spans="15:26" x14ac:dyDescent="0.25">
      <c r="O490" s="45" t="s">
        <v>33</v>
      </c>
      <c r="P490" s="39">
        <f>_xll.qlCalendarAdvance(Calendar,P489,O489,"f",,Trigger)</f>
        <v>44103</v>
      </c>
      <c r="Q490" s="39">
        <f>_xll.qlInterestRateIndexValueDate(Index,P490,Trigger)</f>
        <v>44105</v>
      </c>
      <c r="R490" s="39">
        <f>_xll.qlInterestRateIndexMaturity(Index,Q490,Trigger)</f>
        <v>44200</v>
      </c>
      <c r="S490" s="40">
        <f>_xll.qlDayCounterYearFraction(DayCounter,Q490,R490,,,Trigger)</f>
        <v>0.2638888888888889</v>
      </c>
      <c r="T490" s="41">
        <f>_xll.qlIndexFixing(Index,P490,,AllTriggers)</f>
        <v>4.9790633473079807E-3</v>
      </c>
      <c r="U490" s="42">
        <f>_xll.qlYieldTSDiscount(OisCurve,Q490,,AllTriggers)</f>
        <v>0.99978161196648807</v>
      </c>
      <c r="V490" s="42">
        <f>_xll.qlYieldTSDiscount(OisCurve,R490,,AllTriggers)</f>
        <v>0.99892440699422513</v>
      </c>
      <c r="W490" s="41">
        <f t="shared" si="41"/>
        <v>3.2518533550892331E-3</v>
      </c>
      <c r="X490" s="43">
        <f t="shared" si="42"/>
        <v>4.5529707017492692E-4</v>
      </c>
      <c r="Y490" s="41">
        <f t="shared" si="43"/>
        <v>1.7272099922187477E-3</v>
      </c>
      <c r="Z490" s="62"/>
    </row>
    <row r="491" spans="15:26" x14ac:dyDescent="0.25">
      <c r="O491" s="45" t="s">
        <v>33</v>
      </c>
      <c r="P491" s="39">
        <f>_xll.qlCalendarAdvance(Calendar,P490,O490,"f",,Trigger)</f>
        <v>44110</v>
      </c>
      <c r="Q491" s="39">
        <f>_xll.qlInterestRateIndexValueDate(Index,P491,Trigger)</f>
        <v>44112</v>
      </c>
      <c r="R491" s="39">
        <f>_xll.qlInterestRateIndexMaturity(Index,Q491,Trigger)</f>
        <v>44204</v>
      </c>
      <c r="S491" s="40">
        <f>_xll.qlDayCounterYearFraction(DayCounter,Q491,R491,,,Trigger)</f>
        <v>0.25555555555555554</v>
      </c>
      <c r="T491" s="41">
        <f>_xll.qlIndexFixing(Index,P491,,AllTriggers)</f>
        <v>4.9967352398105902E-3</v>
      </c>
      <c r="U491" s="42">
        <f>_xll.qlYieldTSDiscount(OisCurve,Q491,,AllTriggers)</f>
        <v>0.99972150641977353</v>
      </c>
      <c r="V491" s="42">
        <f>_xll.qlYieldTSDiscount(OisCurve,R491,,AllTriggers)</f>
        <v>0.99888637816207781</v>
      </c>
      <c r="W491" s="41">
        <f t="shared" si="41"/>
        <v>3.2715364367074747E-3</v>
      </c>
      <c r="X491" s="43">
        <f t="shared" si="42"/>
        <v>4.4041884258181691E-4</v>
      </c>
      <c r="Y491" s="41">
        <f t="shared" si="43"/>
        <v>1.7251988031031155E-3</v>
      </c>
      <c r="Z491" s="62"/>
    </row>
    <row r="492" spans="15:26" x14ac:dyDescent="0.25">
      <c r="O492" s="45" t="s">
        <v>33</v>
      </c>
      <c r="P492" s="39">
        <f>_xll.qlCalendarAdvance(Calendar,P491,O491,"f",,Trigger)</f>
        <v>44117</v>
      </c>
      <c r="Q492" s="39">
        <f>_xll.qlInterestRateIndexValueDate(Index,P492,Trigger)</f>
        <v>44119</v>
      </c>
      <c r="R492" s="39">
        <f>_xll.qlInterestRateIndexMaturity(Index,Q492,Trigger)</f>
        <v>44211</v>
      </c>
      <c r="S492" s="40">
        <f>_xll.qlDayCounterYearFraction(DayCounter,Q492,R492,,,Trigger)</f>
        <v>0.25555555555555554</v>
      </c>
      <c r="T492" s="41">
        <f>_xll.qlIndexFixing(Index,P492,,AllTriggers)</f>
        <v>5.019383085759656E-3</v>
      </c>
      <c r="U492" s="42">
        <f>_xll.qlYieldTSDiscount(OisCurve,Q492,,AllTriggers)</f>
        <v>0.99966090819098619</v>
      </c>
      <c r="V492" s="42">
        <f>_xll.qlYieldTSDiscount(OisCurve,R492,,AllTriggers)</f>
        <v>0.99881945780332537</v>
      </c>
      <c r="W492" s="41">
        <f t="shared" si="41"/>
        <v>3.2965236369720194E-3</v>
      </c>
      <c r="X492" s="43">
        <f t="shared" si="42"/>
        <v>4.3981896428723624E-4</v>
      </c>
      <c r="Y492" s="41">
        <f t="shared" si="43"/>
        <v>1.7228594487876366E-3</v>
      </c>
      <c r="Z492" s="62"/>
    </row>
    <row r="493" spans="15:26" x14ac:dyDescent="0.25">
      <c r="O493" s="45" t="s">
        <v>33</v>
      </c>
      <c r="P493" s="39">
        <f>_xll.qlCalendarAdvance(Calendar,P492,O492,"f",,Trigger)</f>
        <v>44124</v>
      </c>
      <c r="Q493" s="39">
        <f>_xll.qlInterestRateIndexValueDate(Index,P493,Trigger)</f>
        <v>44126</v>
      </c>
      <c r="R493" s="39">
        <f>_xll.qlInterestRateIndexMaturity(Index,Q493,Trigger)</f>
        <v>44218</v>
      </c>
      <c r="S493" s="40">
        <f>_xll.qlDayCounterYearFraction(DayCounter,Q493,R493,,,Trigger)</f>
        <v>0.25555555555555554</v>
      </c>
      <c r="T493" s="41">
        <f>_xll.qlIndexFixing(Index,P493,,AllTriggers)</f>
        <v>5.0420476102681251E-3</v>
      </c>
      <c r="U493" s="42">
        <f>_xll.qlYieldTSDiscount(OisCurve,Q493,,AllTriggers)</f>
        <v>0.9995998189263563</v>
      </c>
      <c r="V493" s="42">
        <f>_xll.qlYieldTSDiscount(OisCurve,R493,,AllTriggers)</f>
        <v>0.99875206807400962</v>
      </c>
      <c r="W493" s="41">
        <f t="shared" si="41"/>
        <v>3.3214308635801711E-3</v>
      </c>
      <c r="X493" s="43">
        <f t="shared" si="42"/>
        <v>4.392437704797731E-4</v>
      </c>
      <c r="Y493" s="41">
        <f t="shared" si="43"/>
        <v>1.720616746687954E-3</v>
      </c>
      <c r="Z493" s="62"/>
    </row>
    <row r="494" spans="15:26" x14ac:dyDescent="0.25">
      <c r="O494" s="45" t="s">
        <v>33</v>
      </c>
      <c r="P494" s="39">
        <f>_xll.qlCalendarAdvance(Calendar,P493,O493,"f",,Trigger)</f>
        <v>44131</v>
      </c>
      <c r="Q494" s="39">
        <f>_xll.qlInterestRateIndexValueDate(Index,P494,Trigger)</f>
        <v>44133</v>
      </c>
      <c r="R494" s="39">
        <f>_xll.qlInterestRateIndexMaturity(Index,Q494,Trigger)</f>
        <v>44225</v>
      </c>
      <c r="S494" s="40">
        <f>_xll.qlDayCounterYearFraction(DayCounter,Q494,R494,,,Trigger)</f>
        <v>0.25555555555555554</v>
      </c>
      <c r="T494" s="41">
        <f>_xll.qlIndexFixing(Index,P494,,AllTriggers)</f>
        <v>5.064728813622724E-3</v>
      </c>
      <c r="U494" s="42">
        <f>_xll.qlYieldTSDiscount(OisCurve,Q494,,AllTriggers)</f>
        <v>0.99953824027245919</v>
      </c>
      <c r="V494" s="42">
        <f>_xll.qlYieldTSDiscount(OisCurve,R494,,AllTriggers)</f>
        <v>0.99868421062451529</v>
      </c>
      <c r="W494" s="41">
        <f t="shared" si="41"/>
        <v>3.3462581150035873E-3</v>
      </c>
      <c r="X494" s="43">
        <f t="shared" si="42"/>
        <v>4.3869326115940902E-4</v>
      </c>
      <c r="Y494" s="41">
        <f t="shared" si="43"/>
        <v>1.7184706986191367E-3</v>
      </c>
      <c r="Z494" s="62"/>
    </row>
    <row r="495" spans="15:26" x14ac:dyDescent="0.25">
      <c r="O495" s="45" t="s">
        <v>33</v>
      </c>
      <c r="P495" s="39">
        <f>_xll.qlCalendarAdvance(Calendar,P494,O494,"f",,Trigger)</f>
        <v>44138</v>
      </c>
      <c r="Q495" s="39">
        <f>_xll.qlInterestRateIndexValueDate(Index,P495,Trigger)</f>
        <v>44140</v>
      </c>
      <c r="R495" s="39">
        <f>_xll.qlInterestRateIndexMaturity(Index,Q495,Trigger)</f>
        <v>44232</v>
      </c>
      <c r="S495" s="40">
        <f>_xll.qlDayCounterYearFraction(DayCounter,Q495,R495,,,Trigger)</f>
        <v>0.25555555555555554</v>
      </c>
      <c r="T495" s="41">
        <f>_xll.qlIndexFixing(Index,P495,,AllTriggers)</f>
        <v>5.0874266961136562E-3</v>
      </c>
      <c r="U495" s="42">
        <f>_xll.qlYieldTSDiscount(OisCurve,Q495,,AllTriggers)</f>
        <v>0.99947617387620691</v>
      </c>
      <c r="V495" s="42">
        <f>_xll.qlYieldTSDiscount(OisCurve,R495,,AllTriggers)</f>
        <v>0.99861588710546323</v>
      </c>
      <c r="W495" s="41">
        <f t="shared" si="41"/>
        <v>3.371005389720007E-3</v>
      </c>
      <c r="X495" s="43">
        <f t="shared" si="42"/>
        <v>4.381674363265168E-4</v>
      </c>
      <c r="Y495" s="41">
        <f t="shared" si="43"/>
        <v>1.7164213063936493E-3</v>
      </c>
      <c r="Z495" s="62"/>
    </row>
    <row r="496" spans="15:26" x14ac:dyDescent="0.25">
      <c r="O496" s="45" t="s">
        <v>33</v>
      </c>
      <c r="P496" s="39">
        <f>_xll.qlCalendarAdvance(Calendar,P495,O495,"f",,Trigger)</f>
        <v>44145</v>
      </c>
      <c r="Q496" s="39">
        <f>_xll.qlInterestRateIndexValueDate(Index,P496,Trigger)</f>
        <v>44147</v>
      </c>
      <c r="R496" s="39">
        <f>_xll.qlInterestRateIndexMaturity(Index,Q496,Trigger)</f>
        <v>44239</v>
      </c>
      <c r="S496" s="40">
        <f>_xll.qlDayCounterYearFraction(DayCounter,Q496,R496,,,Trigger)</f>
        <v>0.25555555555555554</v>
      </c>
      <c r="T496" s="41">
        <f>_xll.qlIndexFixing(Index,P496,,AllTriggers)</f>
        <v>5.1101412580276482E-3</v>
      </c>
      <c r="U496" s="42">
        <f>_xll.qlYieldTSDiscount(OisCurve,Q496,,AllTriggers)</f>
        <v>0.99941362138484058</v>
      </c>
      <c r="V496" s="42">
        <f>_xll.qlYieldTSDiscount(OisCurve,R496,,AllTriggers)</f>
        <v>0.99854709916770279</v>
      </c>
      <c r="W496" s="41">
        <f t="shared" si="41"/>
        <v>3.3956726862115149E-3</v>
      </c>
      <c r="X496" s="43">
        <f t="shared" si="42"/>
        <v>4.3766629598075105E-4</v>
      </c>
      <c r="Y496" s="41">
        <f t="shared" si="43"/>
        <v>1.7144685718161333E-3</v>
      </c>
      <c r="Z496" s="62"/>
    </row>
    <row r="497" spans="15:26" x14ac:dyDescent="0.25">
      <c r="O497" s="45" t="s">
        <v>33</v>
      </c>
      <c r="P497" s="39">
        <f>_xll.qlCalendarAdvance(Calendar,P496,O496,"f",,Trigger)</f>
        <v>44152</v>
      </c>
      <c r="Q497" s="39">
        <f>_xll.qlInterestRateIndexValueDate(Index,P497,Trigger)</f>
        <v>44154</v>
      </c>
      <c r="R497" s="39">
        <f>_xll.qlInterestRateIndexMaturity(Index,Q497,Trigger)</f>
        <v>44246</v>
      </c>
      <c r="S497" s="40">
        <f>_xll.qlDayCounterYearFraction(DayCounter,Q497,R497,,,Trigger)</f>
        <v>0.25555555555555554</v>
      </c>
      <c r="T497" s="41">
        <f>_xll.qlIndexFixing(Index,P497,,AllTriggers)</f>
        <v>5.1328724996540344E-3</v>
      </c>
      <c r="U497" s="42">
        <f>_xll.qlYieldTSDiscount(OisCurve,Q497,,AllTriggers)</f>
        <v>0.9993505844459224</v>
      </c>
      <c r="V497" s="42">
        <f>_xll.qlYieldTSDiscount(OisCurve,R497,,AllTriggers)</f>
        <v>0.99847784846230425</v>
      </c>
      <c r="W497" s="41">
        <f t="shared" si="41"/>
        <v>3.4202600029636693E-3</v>
      </c>
      <c r="X497" s="43">
        <f t="shared" si="42"/>
        <v>4.3718984012237997E-4</v>
      </c>
      <c r="Y497" s="41">
        <f t="shared" si="43"/>
        <v>1.7126124966903651E-3</v>
      </c>
      <c r="Z497" s="62"/>
    </row>
    <row r="498" spans="15:26" x14ac:dyDescent="0.25">
      <c r="O498" s="45" t="s">
        <v>33</v>
      </c>
      <c r="P498" s="39">
        <f>_xll.qlCalendarAdvance(Calendar,P497,O497,"f",,Trigger)</f>
        <v>44159</v>
      </c>
      <c r="Q498" s="39">
        <f>_xll.qlInterestRateIndexValueDate(Index,P498,Trigger)</f>
        <v>44161</v>
      </c>
      <c r="R498" s="39">
        <f>_xll.qlInterestRateIndexMaturity(Index,Q498,Trigger)</f>
        <v>44253</v>
      </c>
      <c r="S498" s="40">
        <f>_xll.qlDayCounterYearFraction(DayCounter,Q498,R498,,,Trigger)</f>
        <v>0.25555555555555554</v>
      </c>
      <c r="T498" s="41">
        <f>_xll.qlIndexFixing(Index,P498,,AllTriggers)</f>
        <v>5.1556204212804104E-3</v>
      </c>
      <c r="U498" s="42">
        <f>_xll.qlYieldTSDiscount(OisCurve,Q498,,AllTriggers)</f>
        <v>0.9992870647073282</v>
      </c>
      <c r="V498" s="42">
        <f>_xll.qlYieldTSDiscount(OisCurve,R498,,AllTriggers)</f>
        <v>0.99840813664055139</v>
      </c>
      <c r="W498" s="41">
        <f t="shared" si="41"/>
        <v>3.4447673384689808E-3</v>
      </c>
      <c r="X498" s="43">
        <f t="shared" si="42"/>
        <v>4.367380687511751E-4</v>
      </c>
      <c r="Y498" s="41">
        <f t="shared" si="43"/>
        <v>1.7108530828114296E-3</v>
      </c>
      <c r="Z498" s="62"/>
    </row>
    <row r="499" spans="15:26" x14ac:dyDescent="0.25">
      <c r="O499" s="45" t="s">
        <v>33</v>
      </c>
      <c r="P499" s="39">
        <f>_xll.qlCalendarAdvance(Calendar,P498,O498,"f",,Trigger)</f>
        <v>44166</v>
      </c>
      <c r="Q499" s="39">
        <f>_xll.qlInterestRateIndexValueDate(Index,P499,Trigger)</f>
        <v>44168</v>
      </c>
      <c r="R499" s="39">
        <f>_xll.qlInterestRateIndexMaturity(Index,Q499,Trigger)</f>
        <v>44258</v>
      </c>
      <c r="S499" s="40">
        <f>_xll.qlDayCounterYearFraction(DayCounter,Q499,R499,,,Trigger)</f>
        <v>0.25</v>
      </c>
      <c r="T499" s="41">
        <f>_xll.qlIndexFixing(Index,P499,,AllTriggers)</f>
        <v>5.1750524331080072E-3</v>
      </c>
      <c r="U499" s="42">
        <f>_xll.qlYieldTSDiscount(OisCurve,Q499,,AllTriggers)</f>
        <v>0.99922306381723913</v>
      </c>
      <c r="V499" s="42">
        <f>_xll.qlYieldTSDiscount(OisCurve,R499,,AllTriggers)</f>
        <v>0.99835806108083269</v>
      </c>
      <c r="W499" s="41">
        <f t="shared" si="41"/>
        <v>3.4657014156627142E-3</v>
      </c>
      <c r="X499" s="43">
        <f t="shared" si="42"/>
        <v>4.2687669379620541E-4</v>
      </c>
      <c r="Y499" s="41">
        <f t="shared" si="43"/>
        <v>1.7093510174452931E-3</v>
      </c>
      <c r="Z499" s="62"/>
    </row>
    <row r="500" spans="15:26" x14ac:dyDescent="0.25">
      <c r="O500" s="45" t="s">
        <v>33</v>
      </c>
      <c r="P500" s="39">
        <f>_xll.qlCalendarAdvance(Calendar,P499,O499,"f",,Trigger)</f>
        <v>44173</v>
      </c>
      <c r="Q500" s="39">
        <f>_xll.qlInterestRateIndexValueDate(Index,P500,Trigger)</f>
        <v>44175</v>
      </c>
      <c r="R500" s="39">
        <f>_xll.qlInterestRateIndexMaturity(Index,Q500,Trigger)</f>
        <v>44265</v>
      </c>
      <c r="S500" s="40">
        <f>_xll.qlDayCounterYearFraction(DayCounter,Q500,R500,,,Trigger)</f>
        <v>0.25</v>
      </c>
      <c r="T500" s="41">
        <f>_xll.qlIndexFixing(Index,P500,,AllTriggers)</f>
        <v>5.1978306767095361E-3</v>
      </c>
      <c r="U500" s="42">
        <f>_xll.qlYieldTSDiscount(OisCurve,Q500,,AllTriggers)</f>
        <v>0.99915858342413444</v>
      </c>
      <c r="V500" s="42">
        <f>_xll.qlYieldTSDiscount(OisCurve,R500,,AllTriggers)</f>
        <v>0.9982875626162534</v>
      </c>
      <c r="W500" s="41">
        <f t="shared" si="41"/>
        <v>3.4900597402947042E-3</v>
      </c>
      <c r="X500" s="43">
        <f t="shared" si="42"/>
        <v>4.264795895825417E-4</v>
      </c>
      <c r="Y500" s="41">
        <f t="shared" si="43"/>
        <v>1.7077709364148319E-3</v>
      </c>
      <c r="Z500" s="62"/>
    </row>
    <row r="501" spans="15:26" x14ac:dyDescent="0.25">
      <c r="O501" s="45" t="s">
        <v>33</v>
      </c>
      <c r="P501" s="39">
        <f>_xll.qlCalendarAdvance(Calendar,P500,O500,"f",,Trigger)</f>
        <v>44180</v>
      </c>
      <c r="Q501" s="39">
        <f>_xll.qlInterestRateIndexValueDate(Index,P501,Trigger)</f>
        <v>44182</v>
      </c>
      <c r="R501" s="39">
        <f>_xll.qlInterestRateIndexMaturity(Index,Q501,Trigger)</f>
        <v>44272</v>
      </c>
      <c r="S501" s="40">
        <f>_xll.qlDayCounterYearFraction(DayCounter,Q501,R501,,,Trigger)</f>
        <v>0.25</v>
      </c>
      <c r="T501" s="41">
        <f>_xll.qlIndexFixing(Index,P501,,AllTriggers)</f>
        <v>5.2206255977758076E-3</v>
      </c>
      <c r="U501" s="42">
        <f>_xll.qlYieldTSDiscount(OisCurve,Q501,,AllTriggers)</f>
        <v>0.9990936251767838</v>
      </c>
      <c r="V501" s="42">
        <f>_xll.qlYieldTSDiscount(OisCurve,R501,,AllTriggers)</f>
        <v>0.99821660751839358</v>
      </c>
      <c r="W501" s="41">
        <f t="shared" si="41"/>
        <v>3.5143380776663236E-3</v>
      </c>
      <c r="X501" s="43">
        <f t="shared" si="42"/>
        <v>4.2610663323633212E-4</v>
      </c>
      <c r="Y501" s="41">
        <f t="shared" si="43"/>
        <v>1.706287520109484E-3</v>
      </c>
      <c r="Z501" s="62"/>
    </row>
    <row r="502" spans="15:26" x14ac:dyDescent="0.25">
      <c r="O502" s="45" t="s">
        <v>33</v>
      </c>
      <c r="P502" s="39">
        <f>_xll.qlCalendarAdvance(Calendar,P501,O501,"f",,Trigger)</f>
        <v>44187</v>
      </c>
      <c r="Q502" s="39">
        <f>_xll.qlInterestRateIndexValueDate(Index,P502,Trigger)</f>
        <v>44189</v>
      </c>
      <c r="R502" s="39">
        <f>_xll.qlInterestRateIndexMaturity(Index,Q502,Trigger)</f>
        <v>44279</v>
      </c>
      <c r="S502" s="40">
        <f>_xll.qlDayCounterYearFraction(DayCounter,Q502,R502,,,Trigger)</f>
        <v>0.25</v>
      </c>
      <c r="T502" s="41">
        <f>_xll.qlIndexFixing(Index,P502,,AllTriggers)</f>
        <v>5.2434371965901505E-3</v>
      </c>
      <c r="U502" s="42">
        <f>_xll.qlYieldTSDiscount(OisCurve,Q502,,AllTriggers)</f>
        <v>0.9990281907242391</v>
      </c>
      <c r="V502" s="42">
        <f>_xll.qlYieldTSDiscount(OisCurve,R502,,AllTriggers)</f>
        <v>0.99814519743926566</v>
      </c>
      <c r="W502" s="41">
        <f t="shared" si="41"/>
        <v>3.538536426318295E-3</v>
      </c>
      <c r="X502" s="43">
        <f t="shared" si="42"/>
        <v>4.2575782475818289E-4</v>
      </c>
      <c r="Y502" s="41">
        <f t="shared" si="43"/>
        <v>1.7049007702718555E-3</v>
      </c>
      <c r="Z502" s="62"/>
    </row>
    <row r="503" spans="15:26" x14ac:dyDescent="0.25">
      <c r="O503" s="45" t="s">
        <v>33</v>
      </c>
      <c r="P503" s="39">
        <f>_xll.qlCalendarAdvance(Calendar,P502,O502,"f",,Trigger)</f>
        <v>44194</v>
      </c>
      <c r="Q503" s="39">
        <f>_xll.qlInterestRateIndexValueDate(Index,P503,Trigger)</f>
        <v>44196</v>
      </c>
      <c r="R503" s="39">
        <f>_xll.qlInterestRateIndexMaturity(Index,Q503,Trigger)</f>
        <v>44286</v>
      </c>
      <c r="S503" s="40">
        <f>_xll.qlDayCounterYearFraction(DayCounter,Q503,R503,,,Trigger)</f>
        <v>0.25</v>
      </c>
      <c r="T503" s="41">
        <f>_xll.qlIndexFixing(Index,P503,,AllTriggers)</f>
        <v>5.2662654734358938E-3</v>
      </c>
      <c r="U503" s="42">
        <f>_xll.qlYieldTSDiscount(OisCurve,Q503,,AllTriggers)</f>
        <v>0.99896228171582724</v>
      </c>
      <c r="V503" s="42">
        <f>_xll.qlYieldTSDiscount(OisCurve,R503,,AllTriggers)</f>
        <v>0.9980733340310608</v>
      </c>
      <c r="W503" s="41">
        <f t="shared" si="41"/>
        <v>3.5626547847984469E-3</v>
      </c>
      <c r="X503" s="43">
        <f t="shared" si="42"/>
        <v>4.2543316414806072E-4</v>
      </c>
      <c r="Y503" s="41">
        <f t="shared" si="43"/>
        <v>1.7036106886374469E-3</v>
      </c>
      <c r="Z503" s="62"/>
    </row>
    <row r="504" spans="15:26" x14ac:dyDescent="0.25">
      <c r="O504" s="45" t="s">
        <v>33</v>
      </c>
      <c r="P504" s="39">
        <f>_xll.qlCalendarAdvance(Calendar,P503,O503,"f",,Trigger)</f>
        <v>44201</v>
      </c>
      <c r="Q504" s="39">
        <f>_xll.qlInterestRateIndexValueDate(Index,P504,Trigger)</f>
        <v>44203</v>
      </c>
      <c r="R504" s="39">
        <f>_xll.qlInterestRateIndexMaturity(Index,Q504,Trigger)</f>
        <v>44293</v>
      </c>
      <c r="S504" s="40">
        <f>_xll.qlDayCounterYearFraction(DayCounter,Q504,R504,,,Trigger)</f>
        <v>0.25</v>
      </c>
      <c r="T504" s="41">
        <f>_xll.qlIndexFixing(Index,P504,,AllTriggers)</f>
        <v>5.2891104285972546E-3</v>
      </c>
      <c r="U504" s="42">
        <f>_xll.qlYieldTSDiscount(OisCurve,Q504,,AllTriggers)</f>
        <v>0.99889589980114257</v>
      </c>
      <c r="V504" s="42">
        <f>_xll.qlYieldTSDiscount(OisCurve,R504,,AllTriggers)</f>
        <v>0.99800101894614168</v>
      </c>
      <c r="W504" s="41">
        <f t="shared" si="41"/>
        <v>3.5866931516599365E-3</v>
      </c>
      <c r="X504" s="43">
        <f t="shared" si="42"/>
        <v>4.2513265140595857E-4</v>
      </c>
      <c r="Y504" s="41">
        <f t="shared" si="43"/>
        <v>1.702417276937318E-3</v>
      </c>
      <c r="Z504" s="62"/>
    </row>
    <row r="505" spans="15:26" x14ac:dyDescent="0.25">
      <c r="O505" s="45" t="s">
        <v>33</v>
      </c>
      <c r="P505" s="39">
        <f>_xll.qlCalendarAdvance(Calendar,P504,O504,"f",,Trigger)</f>
        <v>44208</v>
      </c>
      <c r="Q505" s="39">
        <f>_xll.qlInterestRateIndexValueDate(Index,P505,Trigger)</f>
        <v>44210</v>
      </c>
      <c r="R505" s="39">
        <f>_xll.qlInterestRateIndexMaturity(Index,Q505,Trigger)</f>
        <v>44300</v>
      </c>
      <c r="S505" s="40">
        <f>_xll.qlDayCounterYearFraction(DayCounter,Q505,R505,,,Trigger)</f>
        <v>0.25</v>
      </c>
      <c r="T505" s="41">
        <f>_xll.qlIndexFixing(Index,P505,,AllTriggers)</f>
        <v>5.3119720623575617E-3</v>
      </c>
      <c r="U505" s="42">
        <f>_xll.qlYieldTSDiscount(OisCurve,Q505,,AllTriggers)</f>
        <v>0.99882904663003902</v>
      </c>
      <c r="V505" s="42">
        <f>_xll.qlYieldTSDiscount(OisCurve,R505,,AllTriggers)</f>
        <v>0.99792825383703487</v>
      </c>
      <c r="W505" s="41">
        <f t="shared" si="41"/>
        <v>3.6106515254603622E-3</v>
      </c>
      <c r="X505" s="43">
        <f t="shared" si="42"/>
        <v>4.2485628653167354E-4</v>
      </c>
      <c r="Y505" s="41">
        <f t="shared" si="43"/>
        <v>1.7013205368971995E-3</v>
      </c>
      <c r="Z505" s="62"/>
    </row>
    <row r="506" spans="15:26" x14ac:dyDescent="0.25">
      <c r="O506" s="45" t="s">
        <v>33</v>
      </c>
      <c r="P506" s="39">
        <f>_xll.qlCalendarAdvance(Calendar,P505,O505,"f",,Trigger)</f>
        <v>44215</v>
      </c>
      <c r="Q506" s="39">
        <f>_xll.qlInterestRateIndexValueDate(Index,P506,Trigger)</f>
        <v>44217</v>
      </c>
      <c r="R506" s="39">
        <f>_xll.qlInterestRateIndexMaturity(Index,Q506,Trigger)</f>
        <v>44307</v>
      </c>
      <c r="S506" s="40">
        <f>_xll.qlDayCounterYearFraction(DayCounter,Q506,R506,,,Trigger)</f>
        <v>0.25</v>
      </c>
      <c r="T506" s="41">
        <f>_xll.qlIndexFixing(Index,P506,,AllTriggers)</f>
        <v>5.3348503750001441E-3</v>
      </c>
      <c r="U506" s="42">
        <f>_xll.qlYieldTSDiscount(OisCurve,Q506,,AllTriggers)</f>
        <v>0.99876172385262241</v>
      </c>
      <c r="V506" s="42">
        <f>_xll.qlYieldTSDiscount(OisCurve,R506,,AllTriggers)</f>
        <v>0.99785504035642436</v>
      </c>
      <c r="W506" s="41">
        <f t="shared" si="41"/>
        <v>3.6345299047608748E-3</v>
      </c>
      <c r="X506" s="43">
        <f t="shared" si="42"/>
        <v>4.2460406952525104E-4</v>
      </c>
      <c r="Y506" s="41">
        <f t="shared" si="43"/>
        <v>1.7003204702392694E-3</v>
      </c>
      <c r="Z506" s="62"/>
    </row>
    <row r="507" spans="15:26" x14ac:dyDescent="0.25">
      <c r="O507" s="45" t="s">
        <v>33</v>
      </c>
      <c r="P507" s="39">
        <f>_xll.qlCalendarAdvance(Calendar,P506,O506,"f",,Trigger)</f>
        <v>44222</v>
      </c>
      <c r="Q507" s="39">
        <f>_xll.qlInterestRateIndexValueDate(Index,P507,Trigger)</f>
        <v>44224</v>
      </c>
      <c r="R507" s="39">
        <f>_xll.qlInterestRateIndexMaturity(Index,Q507,Trigger)</f>
        <v>44314</v>
      </c>
      <c r="S507" s="40">
        <f>_xll.qlDayCounterYearFraction(DayCounter,Q507,R507,,,Trigger)</f>
        <v>0.25</v>
      </c>
      <c r="T507" s="41">
        <f>_xll.qlIndexFixing(Index,P507,,AllTriggers)</f>
        <v>5.3577454016764392E-3</v>
      </c>
      <c r="U507" s="42">
        <f>_xll.qlYieldTSDiscount(OisCurve,Q507,,AllTriggers)</f>
        <v>0.99869393311924348</v>
      </c>
      <c r="V507" s="42">
        <f>_xll.qlYieldTSDiscount(OisCurve,R507,,AllTriggers)</f>
        <v>0.99778138014287387</v>
      </c>
      <c r="W507" s="41">
        <f t="shared" si="41"/>
        <v>3.6583283453897053E-3</v>
      </c>
      <c r="X507" s="43">
        <f t="shared" si="42"/>
        <v>4.2437599478961765E-4</v>
      </c>
      <c r="Y507" s="41">
        <f t="shared" si="43"/>
        <v>1.6994170562867339E-3</v>
      </c>
      <c r="Z507" s="62"/>
    </row>
    <row r="508" spans="15:26" x14ac:dyDescent="0.25">
      <c r="O508" s="45" t="s">
        <v>33</v>
      </c>
      <c r="P508" s="39">
        <f>_xll.qlCalendarAdvance(Calendar,P507,O507,"f",,Trigger)</f>
        <v>44229</v>
      </c>
      <c r="Q508" s="39">
        <f>_xll.qlInterestRateIndexValueDate(Index,P508,Trigger)</f>
        <v>44231</v>
      </c>
      <c r="R508" s="39">
        <f>_xll.qlInterestRateIndexMaturity(Index,Q508,Trigger)</f>
        <v>44320</v>
      </c>
      <c r="S508" s="40">
        <f>_xll.qlDayCounterYearFraction(DayCounter,Q508,R508,,,Trigger)</f>
        <v>0.24722222222222223</v>
      </c>
      <c r="T508" s="41">
        <f>_xll.qlIndexFixing(Index,P508,,AllTriggers)</f>
        <v>5.3789795068295313E-3</v>
      </c>
      <c r="U508" s="42">
        <f>_xll.qlYieldTSDiscount(OisCurve,Q508,,AllTriggers)</f>
        <v>0.99862567608048958</v>
      </c>
      <c r="V508" s="42">
        <f>_xll.qlYieldTSDiscount(OisCurve,R508,,AllTriggers)</f>
        <v>0.99771788763164593</v>
      </c>
      <c r="W508" s="41">
        <f t="shared" si="41"/>
        <v>3.6803522536195694E-3</v>
      </c>
      <c r="X508" s="43">
        <f t="shared" si="42"/>
        <v>4.1946867511178136E-4</v>
      </c>
      <c r="Y508" s="41">
        <f t="shared" si="43"/>
        <v>1.698627253209962E-3</v>
      </c>
      <c r="Z508" s="62"/>
    </row>
    <row r="509" spans="15:26" x14ac:dyDescent="0.25">
      <c r="O509" s="45" t="s">
        <v>33</v>
      </c>
      <c r="P509" s="39">
        <f>_xll.qlCalendarAdvance(Calendar,P508,O508,"f",,Trigger)</f>
        <v>44236</v>
      </c>
      <c r="Q509" s="39">
        <f>_xll.qlInterestRateIndexValueDate(Index,P509,Trigger)</f>
        <v>44238</v>
      </c>
      <c r="R509" s="39">
        <f>_xll.qlInterestRateIndexMaturity(Index,Q509,Trigger)</f>
        <v>44327</v>
      </c>
      <c r="S509" s="40">
        <f>_xll.qlDayCounterYearFraction(DayCounter,Q509,R509,,,Trigger)</f>
        <v>0.24722222222222223</v>
      </c>
      <c r="T509" s="41">
        <f>_xll.qlIndexFixing(Index,P509,,AllTriggers)</f>
        <v>5.4019189407307098E-3</v>
      </c>
      <c r="U509" s="42">
        <f>_xll.qlYieldTSDiscount(OisCurve,Q509,,AllTriggers)</f>
        <v>0.99855695438717806</v>
      </c>
      <c r="V509" s="42">
        <f>_xll.qlYieldTSDiscount(OisCurve,R509,,AllTriggers)</f>
        <v>0.99764339709146177</v>
      </c>
      <c r="W509" s="41">
        <f t="shared" si="41"/>
        <v>3.7040168345741633E-3</v>
      </c>
      <c r="X509" s="43">
        <f t="shared" si="42"/>
        <v>4.1928719045177735E-4</v>
      </c>
      <c r="Y509" s="41">
        <f t="shared" si="43"/>
        <v>1.6979021061565465E-3</v>
      </c>
      <c r="Z509" s="62"/>
    </row>
    <row r="510" spans="15:26" x14ac:dyDescent="0.25">
      <c r="O510" s="45" t="s">
        <v>33</v>
      </c>
      <c r="P510" s="39">
        <f>_xll.qlCalendarAdvance(Calendar,P509,O509,"f",,Trigger)</f>
        <v>44243</v>
      </c>
      <c r="Q510" s="39">
        <f>_xll.qlInterestRateIndexValueDate(Index,P510,Trigger)</f>
        <v>44245</v>
      </c>
      <c r="R510" s="39">
        <f>_xll.qlInterestRateIndexMaturity(Index,Q510,Trigger)</f>
        <v>44334</v>
      </c>
      <c r="S510" s="40">
        <f>_xll.qlDayCounterYearFraction(DayCounter,Q510,R510,,,Trigger)</f>
        <v>0.24722222222222223</v>
      </c>
      <c r="T510" s="41">
        <f>_xll.qlIndexFixing(Index,P510,,AllTriggers)</f>
        <v>5.4248944882796905E-3</v>
      </c>
      <c r="U510" s="42">
        <f>_xll.qlYieldTSDiscount(OisCurve,Q510,,AllTriggers)</f>
        <v>0.99848776969034803</v>
      </c>
      <c r="V510" s="42">
        <f>_xll.qlYieldTSDiscount(OisCurve,R510,,AllTriggers)</f>
        <v>0.99756845669191385</v>
      </c>
      <c r="W510" s="41">
        <f t="shared" si="41"/>
        <v>3.7276333337564862E-3</v>
      </c>
      <c r="X510" s="43">
        <f t="shared" si="42"/>
        <v>4.1912649995699505E-4</v>
      </c>
      <c r="Y510" s="41">
        <f t="shared" si="43"/>
        <v>1.6972611545232044E-3</v>
      </c>
      <c r="Z510" s="62"/>
    </row>
    <row r="511" spans="15:26" x14ac:dyDescent="0.25">
      <c r="O511" s="45" t="s">
        <v>33</v>
      </c>
      <c r="P511" s="39">
        <f>_xll.qlCalendarAdvance(Calendar,P510,O510,"f",,Trigger)</f>
        <v>44250</v>
      </c>
      <c r="Q511" s="39">
        <f>_xll.qlInterestRateIndexValueDate(Index,P511,Trigger)</f>
        <v>44252</v>
      </c>
      <c r="R511" s="39">
        <f>_xll.qlInterestRateIndexMaturity(Index,Q511,Trigger)</f>
        <v>44341</v>
      </c>
      <c r="S511" s="40">
        <f>_xll.qlDayCounterYearFraction(DayCounter,Q511,R511,,,Trigger)</f>
        <v>0.24722222222222223</v>
      </c>
      <c r="T511" s="41">
        <f>_xll.qlIndexFixing(Index,P511,,AllTriggers)</f>
        <v>5.4479152199035808E-3</v>
      </c>
      <c r="U511" s="42">
        <f>_xll.qlYieldTSDiscount(OisCurve,Q511,,AllTriggers)</f>
        <v>0.99841812364125304</v>
      </c>
      <c r="V511" s="42">
        <f>_xll.qlYieldTSDiscount(OisCurve,R511,,AllTriggers)</f>
        <v>0.99749306441826491</v>
      </c>
      <c r="W511" s="41">
        <f t="shared" si="41"/>
        <v>3.7512166458515727E-3</v>
      </c>
      <c r="X511" s="43">
        <f t="shared" si="42"/>
        <v>4.1898516377733992E-4</v>
      </c>
      <c r="Y511" s="41">
        <f t="shared" si="43"/>
        <v>1.6966985740520081E-3</v>
      </c>
      <c r="Z511" s="62"/>
    </row>
    <row r="512" spans="15:26" x14ac:dyDescent="0.25">
      <c r="O512" s="45" t="s">
        <v>33</v>
      </c>
      <c r="P512" s="39">
        <f>_xll.qlCalendarAdvance(Calendar,P511,O511,"f",,Trigger)</f>
        <v>44257</v>
      </c>
      <c r="Q512" s="39">
        <f>_xll.qlInterestRateIndexValueDate(Index,P512,Trigger)</f>
        <v>44259</v>
      </c>
      <c r="R512" s="39">
        <f>_xll.qlInterestRateIndexMaturity(Index,Q512,Trigger)</f>
        <v>44351</v>
      </c>
      <c r="S512" s="40">
        <f>_xll.qlDayCounterYearFraction(DayCounter,Q512,R512,,,Trigger)</f>
        <v>0.25555555555555554</v>
      </c>
      <c r="T512" s="41">
        <f>_xll.qlIndexFixing(Index,P512,,AllTriggers)</f>
        <v>5.4760957998141761E-3</v>
      </c>
      <c r="U512" s="42">
        <f>_xll.qlYieldTSDiscount(OisCurve,Q512,,AllTriggers)</f>
        <v>0.99834801789135441</v>
      </c>
      <c r="V512" s="42">
        <f>_xll.qlYieldTSDiscount(OisCurve,R512,,AllTriggers)</f>
        <v>0.9973845733154767</v>
      </c>
      <c r="W512" s="41">
        <f t="shared" si="41"/>
        <v>3.779886530400285E-3</v>
      </c>
      <c r="X512" s="43">
        <f t="shared" si="42"/>
        <v>4.3296363902607025E-4</v>
      </c>
      <c r="Y512" s="41">
        <f t="shared" si="43"/>
        <v>1.6962092694138911E-3</v>
      </c>
      <c r="Z512" s="62"/>
    </row>
    <row r="513" spans="15:26" x14ac:dyDescent="0.25">
      <c r="O513" s="45" t="s">
        <v>33</v>
      </c>
      <c r="P513" s="39">
        <f>_xll.qlCalendarAdvance(Calendar,P512,O512,"f",,Trigger)</f>
        <v>44264</v>
      </c>
      <c r="Q513" s="39">
        <f>_xll.qlInterestRateIndexValueDate(Index,P513,Trigger)</f>
        <v>44266</v>
      </c>
      <c r="R513" s="39">
        <f>_xll.qlInterestRateIndexMaturity(Index,Q513,Trigger)</f>
        <v>44358</v>
      </c>
      <c r="S513" s="40">
        <f>_xll.qlDayCounterYearFraction(DayCounter,Q513,R513,,,Trigger)</f>
        <v>0.25555555555555554</v>
      </c>
      <c r="T513" s="41">
        <f>_xll.qlIndexFixing(Index,P513,,AllTriggers)</f>
        <v>5.4992560485973181E-3</v>
      </c>
      <c r="U513" s="42">
        <f>_xll.qlYieldTSDiscount(OisCurve,Q513,,AllTriggers)</f>
        <v>0.99827745409231272</v>
      </c>
      <c r="V513" s="42">
        <f>_xll.qlYieldTSDiscount(OisCurve,R513,,AllTriggers)</f>
        <v>0.99730807525312581</v>
      </c>
      <c r="W513" s="41">
        <f t="shared" si="41"/>
        <v>3.803460173208525E-3</v>
      </c>
      <c r="X513" s="43">
        <f t="shared" si="42"/>
        <v>4.3285553691482234E-4</v>
      </c>
      <c r="Y513" s="41">
        <f t="shared" si="43"/>
        <v>1.6957958753887931E-3</v>
      </c>
      <c r="Z513" s="62"/>
    </row>
    <row r="514" spans="15:26" x14ac:dyDescent="0.25">
      <c r="O514" s="45" t="s">
        <v>33</v>
      </c>
      <c r="P514" s="39">
        <f>_xll.qlCalendarAdvance(Calendar,P513,O513,"f",,Trigger)</f>
        <v>44271</v>
      </c>
      <c r="Q514" s="39">
        <f>_xll.qlInterestRateIndexValueDate(Index,P514,Trigger)</f>
        <v>44273</v>
      </c>
      <c r="R514" s="39">
        <f>_xll.qlInterestRateIndexMaturity(Index,Q514,Trigger)</f>
        <v>44365</v>
      </c>
      <c r="S514" s="40">
        <f>_xll.qlDayCounterYearFraction(DayCounter,Q514,R514,,,Trigger)</f>
        <v>0.25555555555555554</v>
      </c>
      <c r="T514" s="41">
        <f>_xll.qlIndexFixing(Index,P514,,AllTriggers)</f>
        <v>5.5224906457731196E-3</v>
      </c>
      <c r="U514" s="42">
        <f>_xll.qlYieldTSDiscount(OisCurve,Q514,,AllTriggers)</f>
        <v>0.99820643389598096</v>
      </c>
      <c r="V514" s="42">
        <f>_xll.qlYieldTSDiscount(OisCurve,R514,,AllTriggers)</f>
        <v>0.99723111841856626</v>
      </c>
      <c r="W514" s="41">
        <f t="shared" si="41"/>
        <v>3.8270485122809711E-3</v>
      </c>
      <c r="X514" s="43">
        <f t="shared" si="42"/>
        <v>4.3276265741868248E-4</v>
      </c>
      <c r="Y514" s="41">
        <f t="shared" si="43"/>
        <v>1.6954421334921485E-3</v>
      </c>
      <c r="Z514" s="62"/>
    </row>
    <row r="515" spans="15:26" x14ac:dyDescent="0.25">
      <c r="O515" s="45" t="s">
        <v>33</v>
      </c>
      <c r="P515" s="39">
        <f>_xll.qlCalendarAdvance(Calendar,P514,O514,"f",,Trigger)</f>
        <v>44278</v>
      </c>
      <c r="Q515" s="39">
        <f>_xll.qlInterestRateIndexValueDate(Index,P515,Trigger)</f>
        <v>44280</v>
      </c>
      <c r="R515" s="39">
        <f>_xll.qlInterestRateIndexMaturity(Index,Q515,Trigger)</f>
        <v>44372</v>
      </c>
      <c r="S515" s="40">
        <f>_xll.qlDayCounterYearFraction(DayCounter,Q515,R515,,,Trigger)</f>
        <v>0.25555555555555554</v>
      </c>
      <c r="T515" s="41">
        <f>_xll.qlIndexFixing(Index,P515,,AllTriggers)</f>
        <v>5.5458083673423763E-3</v>
      </c>
      <c r="U515" s="42">
        <f>_xll.qlYieldTSDiscount(OisCurve,Q515,,AllTriggers)</f>
        <v>0.99813495895439786</v>
      </c>
      <c r="V515" s="42">
        <f>_xll.qlYieldTSDiscount(OisCurve,R515,,AllTriggers)</f>
        <v>0.99715370080267696</v>
      </c>
      <c r="W515" s="41">
        <f t="shared" si="41"/>
        <v>3.8506659585083643E-3</v>
      </c>
      <c r="X515" s="43">
        <f t="shared" si="42"/>
        <v>4.3268356068662674E-4</v>
      </c>
      <c r="Y515" s="41">
        <f t="shared" si="43"/>
        <v>1.695142408834012E-3</v>
      </c>
      <c r="Z515" s="62"/>
    </row>
    <row r="516" spans="15:26" x14ac:dyDescent="0.25">
      <c r="O516" s="45" t="s">
        <v>33</v>
      </c>
      <c r="P516" s="39">
        <f>_xll.qlCalendarAdvance(Calendar,P515,O515,"f",,Trigger)</f>
        <v>44285</v>
      </c>
      <c r="Q516" s="39">
        <f>_xll.qlInterestRateIndexValueDate(Index,P516,Trigger)</f>
        <v>44287</v>
      </c>
      <c r="R516" s="39">
        <f>_xll.qlInterestRateIndexMaturity(Index,Q516,Trigger)</f>
        <v>44378</v>
      </c>
      <c r="S516" s="40">
        <f>_xll.qlDayCounterYearFraction(DayCounter,Q516,R516,,,Trigger)</f>
        <v>0.25277777777777777</v>
      </c>
      <c r="T516" s="41">
        <f>_xll.qlIndexFixing(Index,P516,,AllTriggers)</f>
        <v>5.567482431858342E-3</v>
      </c>
      <c r="U516" s="42">
        <f>_xll.qlYieldTSDiscount(OisCurve,Q516,,AllTriggers)</f>
        <v>0.9980630309197791</v>
      </c>
      <c r="V516" s="42">
        <f>_xll.qlYieldTSDiscount(OisCurve,R516,,AllTriggers)</f>
        <v>0.9970869745798735</v>
      </c>
      <c r="W516" s="41">
        <f t="shared" ref="W516:W579" si="44">(U516/V516-1)/S516</f>
        <v>3.8726027745662585E-3</v>
      </c>
      <c r="X516" s="43">
        <f t="shared" ref="X516:X579" si="45">LN((1+T516*S516)/(1+W516*S516))</f>
        <v>4.2791736234064332E-4</v>
      </c>
      <c r="Y516" s="41">
        <f t="shared" ref="Y516:Y579" si="46">T516-W516</f>
        <v>1.6948796572920834E-3</v>
      </c>
      <c r="Z516" s="62"/>
    </row>
    <row r="517" spans="15:26" x14ac:dyDescent="0.25">
      <c r="O517" s="45" t="s">
        <v>33</v>
      </c>
      <c r="P517" s="39">
        <f>_xll.qlCalendarAdvance(Calendar,P516,O516,"f",,Trigger)</f>
        <v>44292</v>
      </c>
      <c r="Q517" s="39">
        <f>_xll.qlInterestRateIndexValueDate(Index,P517,Trigger)</f>
        <v>44294</v>
      </c>
      <c r="R517" s="39">
        <f>_xll.qlInterestRateIndexMaturity(Index,Q517,Trigger)</f>
        <v>44385</v>
      </c>
      <c r="S517" s="40">
        <f>_xll.qlDayCounterYearFraction(DayCounter,Q517,R517,,,Trigger)</f>
        <v>0.25277777777777777</v>
      </c>
      <c r="T517" s="41">
        <f>_xll.qlIndexFixing(Index,P517,,AllTriggers)</f>
        <v>5.5909833961098974E-3</v>
      </c>
      <c r="U517" s="42">
        <f>_xll.qlYieldTSDiscount(OisCurve,Q517,,AllTriggers)</f>
        <v>0.99799065144451138</v>
      </c>
      <c r="V517" s="42">
        <f>_xll.qlYieldTSDiscount(OisCurve,R517,,AllTriggers)</f>
        <v>0.99700869590132846</v>
      </c>
      <c r="W517" s="41">
        <f t="shared" si="44"/>
        <v>3.8963143528056026E-3</v>
      </c>
      <c r="X517" s="43">
        <f t="shared" si="45"/>
        <v>4.2786163717854986E-4</v>
      </c>
      <c r="Y517" s="41">
        <f t="shared" si="46"/>
        <v>1.6946690433042948E-3</v>
      </c>
      <c r="Z517" s="62"/>
    </row>
    <row r="518" spans="15:26" x14ac:dyDescent="0.25">
      <c r="O518" s="45" t="s">
        <v>33</v>
      </c>
      <c r="P518" s="39">
        <f>_xll.qlCalendarAdvance(Calendar,P517,O517,"f",,Trigger)</f>
        <v>44299</v>
      </c>
      <c r="Q518" s="39">
        <f>_xll.qlInterestRateIndexValueDate(Index,P518,Trigger)</f>
        <v>44301</v>
      </c>
      <c r="R518" s="39">
        <f>_xll.qlInterestRateIndexMaturity(Index,Q518,Trigger)</f>
        <v>44392</v>
      </c>
      <c r="S518" s="40">
        <f>_xll.qlDayCounterYearFraction(DayCounter,Q518,R518,,,Trigger)</f>
        <v>0.25277777777777777</v>
      </c>
      <c r="T518" s="41">
        <f>_xll.qlIndexFixing(Index,P518,,AllTriggers)</f>
        <v>5.6145935626991756E-3</v>
      </c>
      <c r="U518" s="42">
        <f>_xll.qlYieldTSDiscount(OisCurve,Q518,,AllTriggers)</f>
        <v>0.99791782218114422</v>
      </c>
      <c r="V518" s="42">
        <f>_xll.qlYieldTSDiscount(OisCurve,R518,,AllTriggers)</f>
        <v>0.9969299507082704</v>
      </c>
      <c r="W518" s="41">
        <f t="shared" si="44"/>
        <v>3.9200978632791816E-3</v>
      </c>
      <c r="X518" s="43">
        <f t="shared" si="45"/>
        <v>4.2781531261367243E-4</v>
      </c>
      <c r="Y518" s="41">
        <f t="shared" si="46"/>
        <v>1.694495699419994E-3</v>
      </c>
      <c r="Z518" s="62"/>
    </row>
    <row r="519" spans="15:26" x14ac:dyDescent="0.25">
      <c r="O519" s="45" t="s">
        <v>33</v>
      </c>
      <c r="P519" s="39">
        <f>_xll.qlCalendarAdvance(Calendar,P518,O518,"f",,Trigger)</f>
        <v>44306</v>
      </c>
      <c r="Q519" s="39">
        <f>_xll.qlInterestRateIndexValueDate(Index,P519,Trigger)</f>
        <v>44308</v>
      </c>
      <c r="R519" s="39">
        <f>_xll.qlInterestRateIndexMaturity(Index,Q519,Trigger)</f>
        <v>44399</v>
      </c>
      <c r="S519" s="40">
        <f>_xll.qlDayCounterYearFraction(DayCounter,Q519,R519,,,Trigger)</f>
        <v>0.25277777777777777</v>
      </c>
      <c r="T519" s="41">
        <f>_xll.qlIndexFixing(Index,P519,,AllTriggers)</f>
        <v>5.6383218047543412E-3</v>
      </c>
      <c r="U519" s="42">
        <f>_xll.qlYieldTSDiscount(OisCurve,Q519,,AllTriggers)</f>
        <v>0.9978445447823836</v>
      </c>
      <c r="V519" s="42">
        <f>_xll.qlYieldTSDiscount(OisCurve,R519,,AllTriggers)</f>
        <v>0.99685073699662186</v>
      </c>
      <c r="W519" s="41">
        <f t="shared" si="44"/>
        <v>3.9439678764522697E-3</v>
      </c>
      <c r="X519" s="43">
        <f t="shared" si="45"/>
        <v>4.2777694879586245E-4</v>
      </c>
      <c r="Y519" s="41">
        <f t="shared" si="46"/>
        <v>1.6943539283020715E-3</v>
      </c>
      <c r="Z519" s="62"/>
    </row>
    <row r="520" spans="15:26" x14ac:dyDescent="0.25">
      <c r="O520" s="45" t="s">
        <v>33</v>
      </c>
      <c r="P520" s="39">
        <f>_xll.qlCalendarAdvance(Calendar,P519,O519,"f",,Trigger)</f>
        <v>44313</v>
      </c>
      <c r="Q520" s="39">
        <f>_xll.qlInterestRateIndexValueDate(Index,P520,Trigger)</f>
        <v>44315</v>
      </c>
      <c r="R520" s="39">
        <f>_xll.qlInterestRateIndexMaturity(Index,Q520,Trigger)</f>
        <v>44406</v>
      </c>
      <c r="S520" s="40">
        <f>_xll.qlDayCounterYearFraction(DayCounter,Q520,R520,,,Trigger)</f>
        <v>0.25277777777777777</v>
      </c>
      <c r="T520" s="41">
        <f>_xll.qlIndexFixing(Index,P520,,AllTriggers)</f>
        <v>5.6621768792353882E-3</v>
      </c>
      <c r="U520" s="42">
        <f>_xll.qlYieldTSDiscount(OisCurve,Q520,,AllTriggers)</f>
        <v>0.99777082085292335</v>
      </c>
      <c r="V520" s="42">
        <f>_xll.qlYieldTSDiscount(OisCurve,R520,,AllTriggers)</f>
        <v>0.99677105276363631</v>
      </c>
      <c r="W520" s="41">
        <f t="shared" si="44"/>
        <v>3.967938772001218E-3</v>
      </c>
      <c r="X520" s="43">
        <f t="shared" si="45"/>
        <v>4.2774512476555752E-4</v>
      </c>
      <c r="Y520" s="41">
        <f t="shared" si="46"/>
        <v>1.6942381072341701E-3</v>
      </c>
      <c r="Z520" s="62"/>
    </row>
    <row r="521" spans="15:26" x14ac:dyDescent="0.25">
      <c r="O521" s="45" t="s">
        <v>33</v>
      </c>
      <c r="P521" s="39">
        <f>_xll.qlCalendarAdvance(Calendar,P520,O520,"f",,Trigger)</f>
        <v>44320</v>
      </c>
      <c r="Q521" s="39">
        <f>_xll.qlInterestRateIndexValueDate(Index,P521,Trigger)</f>
        <v>44322</v>
      </c>
      <c r="R521" s="39">
        <f>_xll.qlInterestRateIndexMaturity(Index,Q521,Trigger)</f>
        <v>44414</v>
      </c>
      <c r="S521" s="40">
        <f>_xll.qlDayCounterYearFraction(DayCounter,Q521,R521,,,Trigger)</f>
        <v>0.25555555555555554</v>
      </c>
      <c r="T521" s="41">
        <f>_xll.qlIndexFixing(Index,P521,,AllTriggers)</f>
        <v>5.6879475283488435E-3</v>
      </c>
      <c r="U521" s="42">
        <f>_xll.qlYieldTSDiscount(OisCurve,Q521,,AllTriggers)</f>
        <v>0.99769665040665478</v>
      </c>
      <c r="V521" s="42">
        <f>_xll.qlYieldTSDiscount(OisCurve,R521,,AllTriggers)</f>
        <v>0.99667940635288033</v>
      </c>
      <c r="W521" s="41">
        <f t="shared" si="44"/>
        <v>3.9937819373510137E-3</v>
      </c>
      <c r="X521" s="43">
        <f t="shared" si="45"/>
        <v>4.3241848637682689E-4</v>
      </c>
      <c r="Y521" s="41">
        <f t="shared" si="46"/>
        <v>1.6941655909978297E-3</v>
      </c>
      <c r="Z521" s="62"/>
    </row>
    <row r="522" spans="15:26" x14ac:dyDescent="0.25">
      <c r="O522" s="45" t="s">
        <v>33</v>
      </c>
      <c r="P522" s="39">
        <f>_xll.qlCalendarAdvance(Calendar,P521,O521,"f",,Trigger)</f>
        <v>44327</v>
      </c>
      <c r="Q522" s="39">
        <f>_xll.qlInterestRateIndexValueDate(Index,P522,Trigger)</f>
        <v>44329</v>
      </c>
      <c r="R522" s="39">
        <f>_xll.qlInterestRateIndexMaturity(Index,Q522,Trigger)</f>
        <v>44421</v>
      </c>
      <c r="S522" s="40">
        <f>_xll.qlDayCounterYearFraction(DayCounter,Q522,R522,,,Trigger)</f>
        <v>0.25555555555555554</v>
      </c>
      <c r="T522" s="41">
        <f>_xll.qlIndexFixing(Index,P522,,AllTriggers)</f>
        <v>5.7120761823297563E-3</v>
      </c>
      <c r="U522" s="42">
        <f>_xll.qlYieldTSDiscount(OisCurve,Q522,,AllTriggers)</f>
        <v>0.99762203154088192</v>
      </c>
      <c r="V522" s="42">
        <f>_xll.qlYieldTSDiscount(OisCurve,R522,,AllTriggers)</f>
        <v>0.99659870712219156</v>
      </c>
      <c r="W522" s="41">
        <f t="shared" si="44"/>
        <v>4.0179792669649333E-3</v>
      </c>
      <c r="X522" s="43">
        <f t="shared" si="45"/>
        <v>4.3239829086670151E-4</v>
      </c>
      <c r="Y522" s="41">
        <f t="shared" si="46"/>
        <v>1.694096915364823E-3</v>
      </c>
      <c r="Z522" s="62"/>
    </row>
    <row r="523" spans="15:26" x14ac:dyDescent="0.25">
      <c r="O523" s="45" t="s">
        <v>33</v>
      </c>
      <c r="P523" s="39">
        <f>_xll.qlCalendarAdvance(Calendar,P522,O522,"f",,Trigger)</f>
        <v>44334</v>
      </c>
      <c r="Q523" s="39">
        <f>_xll.qlInterestRateIndexValueDate(Index,P523,Trigger)</f>
        <v>44336</v>
      </c>
      <c r="R523" s="39">
        <f>_xll.qlInterestRateIndexMaturity(Index,Q523,Trigger)</f>
        <v>44428</v>
      </c>
      <c r="S523" s="40">
        <f>_xll.qlDayCounterYearFraction(DayCounter,Q523,R523,,,Trigger)</f>
        <v>0.25555555555555554</v>
      </c>
      <c r="T523" s="41">
        <f>_xll.qlIndexFixing(Index,P523,,AllTriggers)</f>
        <v>5.7363368654087584E-3</v>
      </c>
      <c r="U523" s="42">
        <f>_xll.qlYieldTSDiscount(OisCurve,Q523,,AllTriggers)</f>
        <v>0.99754696223997885</v>
      </c>
      <c r="V523" s="42">
        <f>_xll.qlYieldTSDiscount(OisCurve,R523,,AllTriggers)</f>
        <v>0.99651753108459273</v>
      </c>
      <c r="W523" s="41">
        <f t="shared" si="44"/>
        <v>4.0422860042591598E-3</v>
      </c>
      <c r="X523" s="43">
        <f t="shared" si="45"/>
        <v>4.3238385609824042E-4</v>
      </c>
      <c r="Y523" s="41">
        <f t="shared" si="46"/>
        <v>1.6940508611495986E-3</v>
      </c>
      <c r="Z523" s="62"/>
    </row>
    <row r="524" spans="15:26" x14ac:dyDescent="0.25">
      <c r="O524" s="45" t="s">
        <v>33</v>
      </c>
      <c r="P524" s="39">
        <f>_xll.qlCalendarAdvance(Calendar,P523,O523,"f",,Trigger)</f>
        <v>44341</v>
      </c>
      <c r="Q524" s="39">
        <f>_xll.qlInterestRateIndexValueDate(Index,P524,Trigger)</f>
        <v>44343</v>
      </c>
      <c r="R524" s="39">
        <f>_xll.qlInterestRateIndexMaturity(Index,Q524,Trigger)</f>
        <v>44435</v>
      </c>
      <c r="S524" s="40">
        <f>_xll.qlDayCounterYearFraction(DayCounter,Q524,R524,,,Trigger)</f>
        <v>0.25555555555555554</v>
      </c>
      <c r="T524" s="41">
        <f>_xll.qlIndexFixing(Index,P524,,AllTriggers)</f>
        <v>5.7607295800378017E-3</v>
      </c>
      <c r="U524" s="42">
        <f>_xll.qlYieldTSDiscount(OisCurve,Q524,,AllTriggers)</f>
        <v>0.99747144048956504</v>
      </c>
      <c r="V524" s="42">
        <f>_xll.qlYieldTSDiscount(OisCurve,R524,,AllTriggers)</f>
        <v>0.99643587624295504</v>
      </c>
      <c r="W524" s="41">
        <f t="shared" si="44"/>
        <v>4.0667021512677181E-3</v>
      </c>
      <c r="X524" s="43">
        <f t="shared" si="45"/>
        <v>4.3237518207213702E-4</v>
      </c>
      <c r="Y524" s="41">
        <f t="shared" si="46"/>
        <v>1.6940274287700835E-3</v>
      </c>
      <c r="Z524" s="62"/>
    </row>
    <row r="525" spans="15:26" x14ac:dyDescent="0.25">
      <c r="O525" s="45" t="s">
        <v>33</v>
      </c>
      <c r="P525" s="39">
        <f>_xll.qlCalendarAdvance(Calendar,P524,O524,"f",,Trigger)</f>
        <v>44348</v>
      </c>
      <c r="Q525" s="39">
        <f>_xll.qlInterestRateIndexValueDate(Index,P525,Trigger)</f>
        <v>44350</v>
      </c>
      <c r="R525" s="39">
        <f>_xll.qlInterestRateIndexMaturity(Index,Q525,Trigger)</f>
        <v>44442</v>
      </c>
      <c r="S525" s="40">
        <f>_xll.qlDayCounterYearFraction(DayCounter,Q525,R525,,,Trigger)</f>
        <v>0.25555555555555554</v>
      </c>
      <c r="T525" s="41">
        <f>_xll.qlIndexFixing(Index,P525,,AllTriggers)</f>
        <v>5.7852543286801327E-3</v>
      </c>
      <c r="U525" s="42">
        <f>_xll.qlYieldTSDiscount(OisCurve,Q525,,AllTriggers)</f>
        <v>0.9973954642765146</v>
      </c>
      <c r="V525" s="42">
        <f>_xll.qlYieldTSDiscount(OisCurve,R525,,AllTriggers)</f>
        <v>0.9963537406015307</v>
      </c>
      <c r="W525" s="41">
        <f t="shared" si="44"/>
        <v>4.0912277100350596E-3</v>
      </c>
      <c r="X525" s="43">
        <f t="shared" si="45"/>
        <v>4.3237226878831928E-4</v>
      </c>
      <c r="Y525" s="41">
        <f t="shared" si="46"/>
        <v>1.6940266186450731E-3</v>
      </c>
      <c r="Z525" s="62"/>
    </row>
    <row r="526" spans="15:26" x14ac:dyDescent="0.25">
      <c r="O526" s="45" t="s">
        <v>33</v>
      </c>
      <c r="P526" s="39">
        <f>_xll.qlCalendarAdvance(Calendar,P525,O525,"f",,Trigger)</f>
        <v>44355</v>
      </c>
      <c r="Q526" s="39">
        <f>_xll.qlInterestRateIndexValueDate(Index,P526,Trigger)</f>
        <v>44357</v>
      </c>
      <c r="R526" s="39">
        <f>_xll.qlInterestRateIndexMaturity(Index,Q526,Trigger)</f>
        <v>44449</v>
      </c>
      <c r="S526" s="40">
        <f>_xll.qlDayCounterYearFraction(DayCounter,Q526,R526,,,Trigger)</f>
        <v>0.25555555555555554</v>
      </c>
      <c r="T526" s="41">
        <f>_xll.qlIndexFixing(Index,P526,,AllTriggers)</f>
        <v>5.809911113812031E-3</v>
      </c>
      <c r="U526" s="42">
        <f>_xll.qlYieldTSDiscount(OisCurve,Q526,,AllTriggers)</f>
        <v>0.99731903158896573</v>
      </c>
      <c r="V526" s="42">
        <f>_xll.qlYieldTSDiscount(OisCurve,R526,,AllTriggers)</f>
        <v>0.99627112216596336</v>
      </c>
      <c r="W526" s="41">
        <f t="shared" si="44"/>
        <v>4.1158626826125868E-3</v>
      </c>
      <c r="X526" s="43">
        <f t="shared" si="45"/>
        <v>4.3237511624661556E-4</v>
      </c>
      <c r="Y526" s="41">
        <f t="shared" si="46"/>
        <v>1.6940484311994443E-3</v>
      </c>
      <c r="Z526" s="62"/>
    </row>
    <row r="527" spans="15:26" x14ac:dyDescent="0.25">
      <c r="O527" s="45" t="s">
        <v>33</v>
      </c>
      <c r="P527" s="39">
        <f>_xll.qlCalendarAdvance(Calendar,P526,O526,"f",,Trigger)</f>
        <v>44362</v>
      </c>
      <c r="Q527" s="39">
        <f>_xll.qlInterestRateIndexValueDate(Index,P527,Trigger)</f>
        <v>44364</v>
      </c>
      <c r="R527" s="39">
        <f>_xll.qlInterestRateIndexMaturity(Index,Q527,Trigger)</f>
        <v>44456</v>
      </c>
      <c r="S527" s="40">
        <f>_xll.qlDayCounterYearFraction(DayCounter,Q527,R527,,,Trigger)</f>
        <v>0.25555555555555554</v>
      </c>
      <c r="T527" s="41">
        <f>_xll.qlIndexFixing(Index,P527,,AllTriggers)</f>
        <v>5.8346999379254175E-3</v>
      </c>
      <c r="U527" s="42">
        <f>_xll.qlYieldTSDiscount(OisCurve,Q527,,AllTriggers)</f>
        <v>0.99724214041633052</v>
      </c>
      <c r="V527" s="42">
        <f>_xll.qlYieldTSDiscount(OisCurve,R527,,AllTriggers)</f>
        <v>0.99618801894329756</v>
      </c>
      <c r="W527" s="41">
        <f t="shared" si="44"/>
        <v>4.1406070710647358E-3</v>
      </c>
      <c r="X527" s="43">
        <f t="shared" si="45"/>
        <v>4.3238372444742056E-4</v>
      </c>
      <c r="Y527" s="41">
        <f t="shared" si="46"/>
        <v>1.6940928668606817E-3</v>
      </c>
      <c r="Z527" s="62"/>
    </row>
    <row r="528" spans="15:26" x14ac:dyDescent="0.25">
      <c r="O528" s="45" t="s">
        <v>33</v>
      </c>
      <c r="P528" s="39">
        <f>_xll.qlCalendarAdvance(Calendar,P527,O527,"f",,Trigger)</f>
        <v>44369</v>
      </c>
      <c r="Q528" s="39">
        <f>_xll.qlInterestRateIndexValueDate(Index,P528,Trigger)</f>
        <v>44371</v>
      </c>
      <c r="R528" s="39">
        <f>_xll.qlInterestRateIndexMaturity(Index,Q528,Trigger)</f>
        <v>44463</v>
      </c>
      <c r="S528" s="40">
        <f>_xll.qlDayCounterYearFraction(DayCounter,Q528,R528,,,Trigger)</f>
        <v>0.25555555555555554</v>
      </c>
      <c r="T528" s="41">
        <f>_xll.qlIndexFixing(Index,P528,,AllTriggers)</f>
        <v>5.8596208035217694E-3</v>
      </c>
      <c r="U528" s="42">
        <f>_xll.qlYieldTSDiscount(OisCurve,Q528,,AllTriggers)</f>
        <v>0.99716478874930403</v>
      </c>
      <c r="V528" s="42">
        <f>_xll.qlYieldTSDiscount(OisCurve,R528,,AllTriggers)</f>
        <v>0.9961044289419887</v>
      </c>
      <c r="W528" s="41">
        <f t="shared" si="44"/>
        <v>4.1654608774628924E-3</v>
      </c>
      <c r="X528" s="43">
        <f t="shared" si="45"/>
        <v>4.3239809339014166E-4</v>
      </c>
      <c r="Y528" s="41">
        <f t="shared" si="46"/>
        <v>1.6941599260588769E-3</v>
      </c>
      <c r="Z528" s="62"/>
    </row>
    <row r="529" spans="15:26" x14ac:dyDescent="0.25">
      <c r="O529" s="45" t="s">
        <v>33</v>
      </c>
      <c r="P529" s="39">
        <f>_xll.qlCalendarAdvance(Calendar,P528,O528,"f",,Trigger)</f>
        <v>44376</v>
      </c>
      <c r="Q529" s="39">
        <f>_xll.qlInterestRateIndexValueDate(Index,P529,Trigger)</f>
        <v>44378</v>
      </c>
      <c r="R529" s="39">
        <f>_xll.qlInterestRateIndexMaturity(Index,Q529,Trigger)</f>
        <v>44470</v>
      </c>
      <c r="S529" s="40">
        <f>_xll.qlDayCounterYearFraction(DayCounter,Q529,R529,,,Trigger)</f>
        <v>0.25555555555555554</v>
      </c>
      <c r="T529" s="41">
        <f>_xll.qlIndexFixing(Index,P529,,AllTriggers)</f>
        <v>5.8846737131190716E-3</v>
      </c>
      <c r="U529" s="42">
        <f>_xll.qlYieldTSDiscount(OisCurve,Q529,,AllTriggers)</f>
        <v>0.9970869745798735</v>
      </c>
      <c r="V529" s="42">
        <f>_xll.qlYieldTSDiscount(OisCurve,R529,,AllTriggers)</f>
        <v>0.99602035017191337</v>
      </c>
      <c r="W529" s="41">
        <f t="shared" si="44"/>
        <v>4.1904241038871332E-3</v>
      </c>
      <c r="X529" s="43">
        <f t="shared" si="45"/>
        <v>4.3241822307497441E-4</v>
      </c>
      <c r="Y529" s="41">
        <f t="shared" si="46"/>
        <v>1.6942496092319384E-3</v>
      </c>
      <c r="Z529" s="62"/>
    </row>
    <row r="530" spans="15:26" x14ac:dyDescent="0.25">
      <c r="O530" s="45" t="s">
        <v>33</v>
      </c>
      <c r="P530" s="39">
        <f>_xll.qlCalendarAdvance(Calendar,P529,O529,"f",,Trigger)</f>
        <v>44383</v>
      </c>
      <c r="Q530" s="39">
        <f>_xll.qlInterestRateIndexValueDate(Index,P530,Trigger)</f>
        <v>44385</v>
      </c>
      <c r="R530" s="39">
        <f>_xll.qlInterestRateIndexMaturity(Index,Q530,Trigger)</f>
        <v>44477</v>
      </c>
      <c r="S530" s="40">
        <f>_xll.qlDayCounterYearFraction(DayCounter,Q530,R530,,,Trigger)</f>
        <v>0.25555555555555554</v>
      </c>
      <c r="T530" s="41">
        <f>_xll.qlIndexFixing(Index,P530,,AllTriggers)</f>
        <v>5.9098586692492121E-3</v>
      </c>
      <c r="U530" s="42">
        <f>_xll.qlYieldTSDiscount(OisCurve,Q530,,AllTriggers)</f>
        <v>0.99700869590132846</v>
      </c>
      <c r="V530" s="42">
        <f>_xll.qlYieldTSDiscount(OisCurve,R530,,AllTriggers)</f>
        <v>0.99593578064437915</v>
      </c>
      <c r="W530" s="41">
        <f t="shared" si="44"/>
        <v>4.2154967524270894E-3</v>
      </c>
      <c r="X530" s="43">
        <f t="shared" si="45"/>
        <v>4.3244411350223673E-4</v>
      </c>
      <c r="Y530" s="41">
        <f t="shared" si="46"/>
        <v>1.6943619168221227E-3</v>
      </c>
      <c r="Z530" s="62"/>
    </row>
    <row r="531" spans="15:26" x14ac:dyDescent="0.25">
      <c r="O531" s="45" t="s">
        <v>33</v>
      </c>
      <c r="P531" s="39">
        <f>_xll.qlCalendarAdvance(Calendar,P530,O530,"f",,Trigger)</f>
        <v>44390</v>
      </c>
      <c r="Q531" s="39">
        <f>_xll.qlInterestRateIndexValueDate(Index,P531,Trigger)</f>
        <v>44392</v>
      </c>
      <c r="R531" s="39">
        <f>_xll.qlInterestRateIndexMaturity(Index,Q531,Trigger)</f>
        <v>44484</v>
      </c>
      <c r="S531" s="40">
        <f>_xll.qlDayCounterYearFraction(DayCounter,Q531,R531,,,Trigger)</f>
        <v>0.25555555555555554</v>
      </c>
      <c r="T531" s="41">
        <f>_xll.qlIndexFixing(Index,P531,,AllTriggers)</f>
        <v>5.9351756744536362E-3</v>
      </c>
      <c r="U531" s="42">
        <f>_xll.qlYieldTSDiscount(OisCurve,Q531,,AllTriggers)</f>
        <v>0.9969299507082704</v>
      </c>
      <c r="V531" s="42">
        <f>_xll.qlYieldTSDiscount(OisCurve,R531,,AllTriggers)</f>
        <v>0.99585071837213501</v>
      </c>
      <c r="W531" s="41">
        <f t="shared" si="44"/>
        <v>4.2406788251819526E-3</v>
      </c>
      <c r="X531" s="43">
        <f t="shared" si="45"/>
        <v>4.3247576467170311E-4</v>
      </c>
      <c r="Y531" s="41">
        <f t="shared" si="46"/>
        <v>1.6944968492716836E-3</v>
      </c>
      <c r="Z531" s="62"/>
    </row>
    <row r="532" spans="15:26" x14ac:dyDescent="0.25">
      <c r="O532" s="45" t="s">
        <v>33</v>
      </c>
      <c r="P532" s="39">
        <f>_xll.qlCalendarAdvance(Calendar,P531,O531,"f",,Trigger)</f>
        <v>44397</v>
      </c>
      <c r="Q532" s="39">
        <f>_xll.qlInterestRateIndexValueDate(Index,P532,Trigger)</f>
        <v>44399</v>
      </c>
      <c r="R532" s="39">
        <f>_xll.qlInterestRateIndexMaturity(Index,Q532,Trigger)</f>
        <v>44491</v>
      </c>
      <c r="S532" s="40">
        <f>_xll.qlDayCounterYearFraction(DayCounter,Q532,R532,,,Trigger)</f>
        <v>0.25555555555555554</v>
      </c>
      <c r="T532" s="41">
        <f>_xll.qlIndexFixing(Index,P532,,AllTriggers)</f>
        <v>5.9606247312902986E-3</v>
      </c>
      <c r="U532" s="42">
        <f>_xll.qlYieldTSDiscount(OisCurve,Q532,,AllTriggers)</f>
        <v>0.99685073699662186</v>
      </c>
      <c r="V532" s="42">
        <f>_xll.qlYieldTSDiscount(OisCurve,R532,,AllTriggers)</f>
        <v>0.99576516136938076</v>
      </c>
      <c r="W532" s="41">
        <f t="shared" si="44"/>
        <v>4.2659703242613383E-3</v>
      </c>
      <c r="X532" s="43">
        <f t="shared" si="45"/>
        <v>4.3251317658304857E-4</v>
      </c>
      <c r="Y532" s="41">
        <f t="shared" si="46"/>
        <v>1.6946544070289603E-3</v>
      </c>
      <c r="Z532" s="62"/>
    </row>
    <row r="533" spans="15:26" x14ac:dyDescent="0.25">
      <c r="O533" s="45" t="s">
        <v>33</v>
      </c>
      <c r="P533" s="39">
        <f>_xll.qlCalendarAdvance(Calendar,P532,O532,"f",,Trigger)</f>
        <v>44404</v>
      </c>
      <c r="Q533" s="39">
        <f>_xll.qlInterestRateIndexValueDate(Index,P533,Trigger)</f>
        <v>44406</v>
      </c>
      <c r="R533" s="39">
        <f>_xll.qlInterestRateIndexMaturity(Index,Q533,Trigger)</f>
        <v>44498</v>
      </c>
      <c r="S533" s="40">
        <f>_xll.qlDayCounterYearFraction(DayCounter,Q533,R533,,,Trigger)</f>
        <v>0.25555555555555554</v>
      </c>
      <c r="T533" s="41">
        <f>_xll.qlIndexFixing(Index,P533,,AllTriggers)</f>
        <v>5.9862058423301844E-3</v>
      </c>
      <c r="U533" s="42">
        <f>_xll.qlYieldTSDiscount(OisCurve,Q533,,AllTriggers)</f>
        <v>0.99677105276363631</v>
      </c>
      <c r="V533" s="42">
        <f>_xll.qlYieldTSDiscount(OisCurve,R533,,AllTriggers)</f>
        <v>0.99567910765177814</v>
      </c>
      <c r="W533" s="41">
        <f t="shared" si="44"/>
        <v>4.2913712517809472E-3</v>
      </c>
      <c r="X533" s="43">
        <f t="shared" si="45"/>
        <v>4.3255634923695821E-4</v>
      </c>
      <c r="Y533" s="41">
        <f t="shared" si="46"/>
        <v>1.6948345905492372E-3</v>
      </c>
      <c r="Z533" s="62"/>
    </row>
    <row r="534" spans="15:26" x14ac:dyDescent="0.25">
      <c r="O534" s="45" t="s">
        <v>33</v>
      </c>
      <c r="P534" s="39">
        <f>_xll.qlCalendarAdvance(Calendar,P533,O533,"f",,Trigger)</f>
        <v>44411</v>
      </c>
      <c r="Q534" s="39">
        <f>_xll.qlInterestRateIndexValueDate(Index,P534,Trigger)</f>
        <v>44413</v>
      </c>
      <c r="R534" s="39">
        <f>_xll.qlInterestRateIndexMaturity(Index,Q534,Trigger)</f>
        <v>44505</v>
      </c>
      <c r="S534" s="40">
        <f>_xll.qlDayCounterYearFraction(DayCounter,Q534,R534,,,Trigger)</f>
        <v>0.25555555555555554</v>
      </c>
      <c r="T534" s="41">
        <f>_xll.qlIndexFixing(Index,P534,,AllTriggers)</f>
        <v>6.0119190101573161E-3</v>
      </c>
      <c r="U534" s="42">
        <f>_xll.qlYieldTSDiscount(OisCurve,Q534,,AllTriggers)</f>
        <v>0.99669089600790783</v>
      </c>
      <c r="V534" s="42">
        <f>_xll.qlYieldTSDiscount(OisCurve,R534,,AllTriggers)</f>
        <v>0.99559255523645995</v>
      </c>
      <c r="W534" s="41">
        <f t="shared" si="44"/>
        <v>4.3168816098686407E-3</v>
      </c>
      <c r="X534" s="43">
        <f t="shared" si="45"/>
        <v>4.3260528263290782E-4</v>
      </c>
      <c r="Y534" s="41">
        <f t="shared" si="46"/>
        <v>1.6950374002886754E-3</v>
      </c>
      <c r="Z534" s="62"/>
    </row>
    <row r="535" spans="15:26" x14ac:dyDescent="0.25">
      <c r="O535" s="45" t="s">
        <v>33</v>
      </c>
      <c r="P535" s="39">
        <f>_xll.qlCalendarAdvance(Calendar,P534,O534,"f",,Trigger)</f>
        <v>44418</v>
      </c>
      <c r="Q535" s="39">
        <f>_xll.qlInterestRateIndexValueDate(Index,P535,Trigger)</f>
        <v>44420</v>
      </c>
      <c r="R535" s="39">
        <f>_xll.qlInterestRateIndexMaturity(Index,Q535,Trigger)</f>
        <v>44512</v>
      </c>
      <c r="S535" s="40">
        <f>_xll.qlDayCounterYearFraction(DayCounter,Q535,R535,,,Trigger)</f>
        <v>0.25555555555555554</v>
      </c>
      <c r="T535" s="41">
        <f>_xll.qlIndexFixing(Index,P535,,AllTriggers)</f>
        <v>6.0377642373670064E-3</v>
      </c>
      <c r="U535" s="42">
        <f>_xll.qlYieldTSDiscount(OisCurve,Q535,,AllTriggers)</f>
        <v>0.99661026472938086</v>
      </c>
      <c r="V535" s="42">
        <f>_xll.qlYieldTSDiscount(OisCurve,R535,,AllTriggers)</f>
        <v>0.99550550214204159</v>
      </c>
      <c r="W535" s="41">
        <f t="shared" si="44"/>
        <v>4.3425014006583653E-3</v>
      </c>
      <c r="X535" s="43">
        <f t="shared" si="45"/>
        <v>4.3265997677116152E-4</v>
      </c>
      <c r="Y535" s="41">
        <f t="shared" si="46"/>
        <v>1.6952628367086411E-3</v>
      </c>
      <c r="Z535" s="62"/>
    </row>
    <row r="536" spans="15:26" x14ac:dyDescent="0.25">
      <c r="O536" s="45" t="s">
        <v>33</v>
      </c>
      <c r="P536" s="39">
        <f>_xll.qlCalendarAdvance(Calendar,P535,O535,"f",,Trigger)</f>
        <v>44425</v>
      </c>
      <c r="Q536" s="39">
        <f>_xll.qlInterestRateIndexValueDate(Index,P536,Trigger)</f>
        <v>44427</v>
      </c>
      <c r="R536" s="39">
        <f>_xll.qlInterestRateIndexMaturity(Index,Q536,Trigger)</f>
        <v>44519</v>
      </c>
      <c r="S536" s="40">
        <f>_xll.qlDayCounterYearFraction(DayCounter,Q536,R536,,,Trigger)</f>
        <v>0.25555555555555554</v>
      </c>
      <c r="T536" s="41">
        <f>_xll.qlIndexFixing(Index,P536,,AllTriggers)</f>
        <v>6.063741526570212E-3</v>
      </c>
      <c r="U536" s="42">
        <f>_xll.qlYieldTSDiscount(OisCurve,Q536,,AllTriggers)</f>
        <v>0.99652915692936017</v>
      </c>
      <c r="V536" s="42">
        <f>_xll.qlYieldTSDiscount(OisCurve,R536,,AllTriggers)</f>
        <v>0.99541794638862979</v>
      </c>
      <c r="W536" s="41">
        <f t="shared" si="44"/>
        <v>4.36823062629623E-3</v>
      </c>
      <c r="X536" s="43">
        <f t="shared" si="45"/>
        <v>4.327204316514399E-4</v>
      </c>
      <c r="Y536" s="41">
        <f t="shared" si="46"/>
        <v>1.695510900273982E-3</v>
      </c>
      <c r="Z536" s="62"/>
    </row>
    <row r="537" spans="15:26" x14ac:dyDescent="0.25">
      <c r="O537" s="45" t="s">
        <v>33</v>
      </c>
      <c r="P537" s="39">
        <f>_xll.qlCalendarAdvance(Calendar,P536,O536,"f",,Trigger)</f>
        <v>44432</v>
      </c>
      <c r="Q537" s="39">
        <f>_xll.qlInterestRateIndexValueDate(Index,P537,Trigger)</f>
        <v>44434</v>
      </c>
      <c r="R537" s="39">
        <f>_xll.qlInterestRateIndexMaturity(Index,Q537,Trigger)</f>
        <v>44526</v>
      </c>
      <c r="S537" s="40">
        <f>_xll.qlDayCounterYearFraction(DayCounter,Q537,R537,,,Trigger)</f>
        <v>0.25555555555555554</v>
      </c>
      <c r="T537" s="41">
        <f>_xll.qlIndexFixing(Index,P537,,AllTriggers)</f>
        <v>6.089850880392658E-3</v>
      </c>
      <c r="U537" s="42">
        <f>_xll.qlYieldTSDiscount(OisCurve,Q537,,AllTriggers)</f>
        <v>0.99644757061052047</v>
      </c>
      <c r="V537" s="42">
        <f>_xll.qlYieldTSDiscount(OisCurve,R537,,AllTriggers)</f>
        <v>0.99532988599783434</v>
      </c>
      <c r="W537" s="41">
        <f t="shared" si="44"/>
        <v>4.3940692889370319E-3</v>
      </c>
      <c r="X537" s="43">
        <f t="shared" si="45"/>
        <v>4.3278664727402984E-4</v>
      </c>
      <c r="Y537" s="41">
        <f t="shared" si="46"/>
        <v>1.6957815914556262E-3</v>
      </c>
      <c r="Z537" s="62"/>
    </row>
    <row r="538" spans="15:26" x14ac:dyDescent="0.25">
      <c r="O538" s="45" t="s">
        <v>33</v>
      </c>
      <c r="P538" s="39">
        <f>_xll.qlCalendarAdvance(Calendar,P537,O537,"f",,Trigger)</f>
        <v>44439</v>
      </c>
      <c r="Q538" s="39">
        <f>_xll.qlInterestRateIndexValueDate(Index,P538,Trigger)</f>
        <v>44441</v>
      </c>
      <c r="R538" s="39">
        <f>_xll.qlInterestRateIndexMaturity(Index,Q538,Trigger)</f>
        <v>44532</v>
      </c>
      <c r="S538" s="40">
        <f>_xll.qlDayCounterYearFraction(DayCounter,Q538,R538,,,Trigger)</f>
        <v>0.25277777777777777</v>
      </c>
      <c r="T538" s="41">
        <f>_xll.qlIndexFixing(Index,P538,,AllTriggers)</f>
        <v>6.1141411161944994E-3</v>
      </c>
      <c r="U538" s="42">
        <f>_xll.qlYieldTSDiscount(OisCurve,Q538,,AllTriggers)</f>
        <v>0.99636550377691602</v>
      </c>
      <c r="V538" s="42">
        <f>_xll.qlYieldTSDiscount(OisCurve,R538,,AllTriggers)</f>
        <v>0.99525400251415508</v>
      </c>
      <c r="W538" s="41">
        <f t="shared" si="44"/>
        <v>4.4181162211586571E-3</v>
      </c>
      <c r="X538" s="43">
        <f t="shared" si="45"/>
        <v>4.2814747764608721E-4</v>
      </c>
      <c r="Y538" s="41">
        <f t="shared" si="46"/>
        <v>1.6960248950358423E-3</v>
      </c>
      <c r="Z538" s="62"/>
    </row>
    <row r="539" spans="15:26" x14ac:dyDescent="0.25">
      <c r="O539" s="45" t="s">
        <v>33</v>
      </c>
      <c r="P539" s="39">
        <f>_xll.qlCalendarAdvance(Calendar,P538,O538,"f",,Trigger)</f>
        <v>44446</v>
      </c>
      <c r="Q539" s="39">
        <f>_xll.qlInterestRateIndexValueDate(Index,P539,Trigger)</f>
        <v>44448</v>
      </c>
      <c r="R539" s="39">
        <f>_xll.qlInterestRateIndexMaturity(Index,Q539,Trigger)</f>
        <v>44539</v>
      </c>
      <c r="S539" s="40">
        <f>_xll.qlDayCounterYearFraction(DayCounter,Q539,R539,,,Trigger)</f>
        <v>0.25277777777777777</v>
      </c>
      <c r="T539" s="41">
        <f>_xll.qlIndexFixing(Index,P539,,AllTriggers)</f>
        <v>6.1405047250114048E-3</v>
      </c>
      <c r="U539" s="42">
        <f>_xll.qlYieldTSDiscount(OisCurve,Q539,,AllTriggers)</f>
        <v>0.99628295443399106</v>
      </c>
      <c r="V539" s="42">
        <f>_xll.qlYieldTSDiscount(OisCurve,R539,,AllTriggers)</f>
        <v>0.99516499969602368</v>
      </c>
      <c r="W539" s="41">
        <f t="shared" si="44"/>
        <v>4.4441656264209593E-3</v>
      </c>
      <c r="X539" s="43">
        <f t="shared" si="45"/>
        <v>4.2822396277548389E-4</v>
      </c>
      <c r="Y539" s="41">
        <f t="shared" si="46"/>
        <v>1.6963390985904455E-3</v>
      </c>
      <c r="Z539" s="62"/>
    </row>
    <row r="540" spans="15:26" x14ac:dyDescent="0.25">
      <c r="O540" s="45" t="s">
        <v>33</v>
      </c>
      <c r="P540" s="39">
        <f>_xll.qlCalendarAdvance(Calendar,P539,O539,"f",,Trigger)</f>
        <v>44453</v>
      </c>
      <c r="Q540" s="39">
        <f>_xll.qlInterestRateIndexValueDate(Index,P540,Trigger)</f>
        <v>44455</v>
      </c>
      <c r="R540" s="39">
        <f>_xll.qlInterestRateIndexMaturity(Index,Q540,Trigger)</f>
        <v>44546</v>
      </c>
      <c r="S540" s="40">
        <f>_xll.qlDayCounterYearFraction(DayCounter,Q540,R540,,,Trigger)</f>
        <v>0.25277777777777777</v>
      </c>
      <c r="T540" s="41">
        <f>_xll.qlIndexFixing(Index,P540,,AllTriggers)</f>
        <v>6.1670004020185406E-3</v>
      </c>
      <c r="U540" s="42">
        <f>_xll.qlYieldTSDiscount(OisCurve,Q540,,AllTriggers)</f>
        <v>0.99619992058858919</v>
      </c>
      <c r="V540" s="42">
        <f>_xll.qlYieldTSDiscount(OisCurve,R540,,AllTriggers)</f>
        <v>0.9950754865963356</v>
      </c>
      <c r="W540" s="41">
        <f t="shared" si="44"/>
        <v>4.470324471805281E-3</v>
      </c>
      <c r="X540" s="43">
        <f t="shared" si="45"/>
        <v>4.2830614603043795E-4</v>
      </c>
      <c r="Y540" s="41">
        <f t="shared" si="46"/>
        <v>1.6966759302132596E-3</v>
      </c>
      <c r="Z540" s="62"/>
    </row>
    <row r="541" spans="15:26" x14ac:dyDescent="0.25">
      <c r="O541" s="45" t="s">
        <v>33</v>
      </c>
      <c r="P541" s="39">
        <f>_xll.qlCalendarAdvance(Calendar,P540,O540,"f",,Trigger)</f>
        <v>44460</v>
      </c>
      <c r="Q541" s="39">
        <f>_xll.qlInterestRateIndexValueDate(Index,P541,Trigger)</f>
        <v>44462</v>
      </c>
      <c r="R541" s="39">
        <f>_xll.qlInterestRateIndexMaturity(Index,Q541,Trigger)</f>
        <v>44553</v>
      </c>
      <c r="S541" s="40">
        <f>_xll.qlDayCounterYearFraction(DayCounter,Q541,R541,,,Trigger)</f>
        <v>0.25277777777777777</v>
      </c>
      <c r="T541" s="41">
        <f>_xll.qlIndexFixing(Index,P541,,AllTriggers)</f>
        <v>6.1936281498625794E-3</v>
      </c>
      <c r="U541" s="42">
        <f>_xll.qlYieldTSDiscount(OisCurve,Q541,,AllTriggers)</f>
        <v>0.99611640024896397</v>
      </c>
      <c r="V541" s="42">
        <f>_xll.qlYieldTSDiscount(OisCurve,R541,,AllTriggers)</f>
        <v>0.99498546124259291</v>
      </c>
      <c r="W541" s="41">
        <f t="shared" si="44"/>
        <v>4.4965927594769238E-3</v>
      </c>
      <c r="X541" s="43">
        <f t="shared" si="45"/>
        <v>4.2839402741087616E-4</v>
      </c>
      <c r="Y541" s="41">
        <f t="shared" si="46"/>
        <v>1.6970353903856556E-3</v>
      </c>
      <c r="Z541" s="62"/>
    </row>
    <row r="542" spans="15:26" x14ac:dyDescent="0.25">
      <c r="O542" s="45" t="s">
        <v>33</v>
      </c>
      <c r="P542" s="39">
        <f>_xll.qlCalendarAdvance(Calendar,P541,O541,"f",,Trigger)</f>
        <v>44467</v>
      </c>
      <c r="Q542" s="39">
        <f>_xll.qlInterestRateIndexValueDate(Index,P542,Trigger)</f>
        <v>44469</v>
      </c>
      <c r="R542" s="39">
        <f>_xll.qlInterestRateIndexMaturity(Index,Q542,Trigger)</f>
        <v>44561</v>
      </c>
      <c r="S542" s="40">
        <f>_xll.qlDayCounterYearFraction(DayCounter,Q542,R542,,,Trigger)</f>
        <v>0.25555555555555554</v>
      </c>
      <c r="T542" s="41">
        <f>_xll.qlIndexFixing(Index,P542,,AllTriggers)</f>
        <v>6.2223787115401746E-3</v>
      </c>
      <c r="U542" s="42">
        <f>_xll.qlYieldTSDiscount(OisCurve,Q542,,AllTriggers)</f>
        <v>0.99603239142478839</v>
      </c>
      <c r="V542" s="42">
        <f>_xll.qlYieldTSDiscount(OisCurve,R542,,AllTriggers)</f>
        <v>0.99488194534591234</v>
      </c>
      <c r="W542" s="41">
        <f t="shared" si="44"/>
        <v>4.5249042332069118E-3</v>
      </c>
      <c r="X542" s="43">
        <f t="shared" si="45"/>
        <v>4.3320413652006448E-4</v>
      </c>
      <c r="Y542" s="41">
        <f t="shared" si="46"/>
        <v>1.6974744783332628E-3</v>
      </c>
      <c r="Z542" s="62"/>
    </row>
    <row r="543" spans="15:26" x14ac:dyDescent="0.25">
      <c r="O543" s="45" t="s">
        <v>33</v>
      </c>
      <c r="P543" s="39">
        <f>_xll.qlCalendarAdvance(Calendar,P542,O542,"f",,Trigger)</f>
        <v>44474</v>
      </c>
      <c r="Q543" s="39">
        <f>_xll.qlInterestRateIndexValueDate(Index,P543,Trigger)</f>
        <v>44476</v>
      </c>
      <c r="R543" s="39">
        <f>_xll.qlInterestRateIndexMaturity(Index,Q543,Trigger)</f>
        <v>44568</v>
      </c>
      <c r="S543" s="40">
        <f>_xll.qlDayCounterYearFraction(DayCounter,Q543,R543,,,Trigger)</f>
        <v>0.25555555555555554</v>
      </c>
      <c r="T543" s="41">
        <f>_xll.qlIndexFixing(Index,P543,,AllTriggers)</f>
        <v>6.2492805089168751E-3</v>
      </c>
      <c r="U543" s="42">
        <f>_xll.qlYieldTSDiscount(OisCurve,Q543,,AllTriggers)</f>
        <v>0.99594789212716472</v>
      </c>
      <c r="V543" s="42">
        <f>_xll.qlYieldTSDiscount(OisCurve,R543,,AllTriggers)</f>
        <v>0.99479081567005989</v>
      </c>
      <c r="W543" s="41">
        <f t="shared" si="44"/>
        <v>4.5513995636096202E-3</v>
      </c>
      <c r="X543" s="43">
        <f t="shared" si="45"/>
        <v>4.3330491659586369E-4</v>
      </c>
      <c r="Y543" s="41">
        <f t="shared" si="46"/>
        <v>1.6978809453072549E-3</v>
      </c>
      <c r="Z543" s="62"/>
    </row>
    <row r="544" spans="15:26" x14ac:dyDescent="0.25">
      <c r="O544" s="45" t="s">
        <v>33</v>
      </c>
      <c r="P544" s="39">
        <f>_xll.qlCalendarAdvance(Calendar,P543,O543,"f",,Trigger)</f>
        <v>44481</v>
      </c>
      <c r="Q544" s="39">
        <f>_xll.qlInterestRateIndexValueDate(Index,P544,Trigger)</f>
        <v>44483</v>
      </c>
      <c r="R544" s="39">
        <f>_xll.qlInterestRateIndexMaturity(Index,Q544,Trigger)</f>
        <v>44575</v>
      </c>
      <c r="S544" s="40">
        <f>_xll.qlDayCounterYearFraction(DayCounter,Q544,R544,,,Trigger)</f>
        <v>0.25555555555555554</v>
      </c>
      <c r="T544" s="41">
        <f>_xll.qlIndexFixing(Index,P544,,AllTriggers)</f>
        <v>6.2763143896526078E-3</v>
      </c>
      <c r="U544" s="42">
        <f>_xll.qlYieldTSDiscount(OisCurve,Q544,,AllTriggers)</f>
        <v>0.99586290036863556</v>
      </c>
      <c r="V544" s="42">
        <f>_xll.qlYieldTSDiscount(OisCurve,R544,,AllTriggers)</f>
        <v>0.99469916755103271</v>
      </c>
      <c r="W544" s="41">
        <f t="shared" si="44"/>
        <v>4.5780043463499566E-3</v>
      </c>
      <c r="X544" s="43">
        <f t="shared" si="45"/>
        <v>4.3341145741363895E-4</v>
      </c>
      <c r="Y544" s="41">
        <f t="shared" si="46"/>
        <v>1.6983100433026511E-3</v>
      </c>
      <c r="Z544" s="62"/>
    </row>
    <row r="545" spans="15:26" x14ac:dyDescent="0.25">
      <c r="O545" s="45" t="s">
        <v>33</v>
      </c>
      <c r="P545" s="39">
        <f>_xll.qlCalendarAdvance(Calendar,P544,O544,"f",,Trigger)</f>
        <v>44488</v>
      </c>
      <c r="Q545" s="39">
        <f>_xll.qlInterestRateIndexValueDate(Index,P545,Trigger)</f>
        <v>44490</v>
      </c>
      <c r="R545" s="39">
        <f>_xll.qlInterestRateIndexMaturity(Index,Q545,Trigger)</f>
        <v>44582</v>
      </c>
      <c r="S545" s="40">
        <f>_xll.qlDayCounterYearFraction(DayCounter,Q545,R545,,,Trigger)</f>
        <v>0.25555555555555554</v>
      </c>
      <c r="T545" s="41">
        <f>_xll.qlIndexFixing(Index,P545,,AllTriggers)</f>
        <v>6.3034803564773643E-3</v>
      </c>
      <c r="U545" s="42">
        <f>_xll.qlYieldTSDiscount(OisCurve,Q545,,AllTriggers)</f>
        <v>0.99577741416319288</v>
      </c>
      <c r="V545" s="42">
        <f>_xll.qlYieldTSDiscount(OisCurve,R545,,AllTriggers)</f>
        <v>0.99460699902283523</v>
      </c>
      <c r="W545" s="41">
        <f t="shared" si="44"/>
        <v>4.6047185836557043E-3</v>
      </c>
      <c r="X545" s="43">
        <f t="shared" si="45"/>
        <v>4.3352375897376855E-4</v>
      </c>
      <c r="Y545" s="41">
        <f t="shared" si="46"/>
        <v>1.69876177282166E-3</v>
      </c>
      <c r="Z545" s="62"/>
    </row>
    <row r="546" spans="15:26" x14ac:dyDescent="0.25">
      <c r="O546" s="45" t="s">
        <v>33</v>
      </c>
      <c r="P546" s="39">
        <f>_xll.qlCalendarAdvance(Calendar,P545,O545,"f",,Trigger)</f>
        <v>44495</v>
      </c>
      <c r="Q546" s="39">
        <f>_xll.qlInterestRateIndexValueDate(Index,P546,Trigger)</f>
        <v>44497</v>
      </c>
      <c r="R546" s="39">
        <f>_xll.qlInterestRateIndexMaturity(Index,Q546,Trigger)</f>
        <v>44589</v>
      </c>
      <c r="S546" s="40">
        <f>_xll.qlDayCounterYearFraction(DayCounter,Q546,R546,,,Trigger)</f>
        <v>0.25555555555555554</v>
      </c>
      <c r="T546" s="41">
        <f>_xll.qlIndexFixing(Index,P546,,AllTriggers)</f>
        <v>6.330778412135904E-3</v>
      </c>
      <c r="U546" s="42">
        <f>_xll.qlYieldTSDiscount(OisCurve,Q546,,AllTriggers)</f>
        <v>0.99569143152628869</v>
      </c>
      <c r="V546" s="42">
        <f>_xll.qlYieldTSDiscount(OisCurve,R546,,AllTriggers)</f>
        <v>0.99451430812106911</v>
      </c>
      <c r="W546" s="41">
        <f t="shared" si="44"/>
        <v>4.6315422777624665E-3</v>
      </c>
      <c r="X546" s="43">
        <f t="shared" si="45"/>
        <v>4.3364182127630918E-4</v>
      </c>
      <c r="Y546" s="41">
        <f t="shared" si="46"/>
        <v>1.6992361343734375E-3</v>
      </c>
      <c r="Z546" s="62"/>
    </row>
    <row r="547" spans="15:26" x14ac:dyDescent="0.25">
      <c r="O547" s="45" t="s">
        <v>33</v>
      </c>
      <c r="P547" s="39">
        <f>_xll.qlCalendarAdvance(Calendar,P546,O546,"f",,Trigger)</f>
        <v>44502</v>
      </c>
      <c r="Q547" s="39">
        <f>_xll.qlInterestRateIndexValueDate(Index,P547,Trigger)</f>
        <v>44504</v>
      </c>
      <c r="R547" s="39">
        <f>_xll.qlInterestRateIndexMaturity(Index,Q547,Trigger)</f>
        <v>44596</v>
      </c>
      <c r="S547" s="40">
        <f>_xll.qlDayCounterYearFraction(DayCounter,Q547,R547,,,Trigger)</f>
        <v>0.25555555555555554</v>
      </c>
      <c r="T547" s="41">
        <f>_xll.qlIndexFixing(Index,P547,,AllTriggers)</f>
        <v>6.3582085593842834E-3</v>
      </c>
      <c r="U547" s="42">
        <f>_xll.qlYieldTSDiscount(OisCurve,Q547,,AllTriggers)</f>
        <v>0.99560495047484532</v>
      </c>
      <c r="V547" s="42">
        <f>_xll.qlYieldTSDiscount(OisCurve,R547,,AllTriggers)</f>
        <v>0.99442109288294345</v>
      </c>
      <c r="W547" s="41">
        <f t="shared" si="44"/>
        <v>4.658475430917141E-3</v>
      </c>
      <c r="X547" s="43">
        <f t="shared" si="45"/>
        <v>4.3376564432077405E-4</v>
      </c>
      <c r="Y547" s="41">
        <f t="shared" si="46"/>
        <v>1.6997331284671425E-3</v>
      </c>
      <c r="Z547" s="62"/>
    </row>
    <row r="548" spans="15:26" x14ac:dyDescent="0.25">
      <c r="O548" s="45" t="s">
        <v>33</v>
      </c>
      <c r="P548" s="39">
        <f>_xll.qlCalendarAdvance(Calendar,P547,O547,"f",,Trigger)</f>
        <v>44509</v>
      </c>
      <c r="Q548" s="39">
        <f>_xll.qlInterestRateIndexValueDate(Index,P548,Trigger)</f>
        <v>44511</v>
      </c>
      <c r="R548" s="39">
        <f>_xll.qlInterestRateIndexMaturity(Index,Q548,Trigger)</f>
        <v>44603</v>
      </c>
      <c r="S548" s="40">
        <f>_xll.qlDayCounterYearFraction(DayCounter,Q548,R548,,,Trigger)</f>
        <v>0.25555555555555554</v>
      </c>
      <c r="T548" s="41">
        <f>_xll.qlIndexFixing(Index,P548,,AllTriggers)</f>
        <v>6.3857708009941996E-3</v>
      </c>
      <c r="U548" s="42">
        <f>_xll.qlYieldTSDiscount(OisCurve,Q548,,AllTriggers)</f>
        <v>0.99551796902726541</v>
      </c>
      <c r="V548" s="42">
        <f>_xll.qlYieldTSDiscount(OisCurve,R548,,AllTriggers)</f>
        <v>0.99432735134728567</v>
      </c>
      <c r="W548" s="41">
        <f t="shared" si="44"/>
        <v>4.685518045374446E-3</v>
      </c>
      <c r="X548" s="43">
        <f t="shared" si="45"/>
        <v>4.3389522810768672E-4</v>
      </c>
      <c r="Y548" s="41">
        <f t="shared" si="46"/>
        <v>1.7002527556197536E-3</v>
      </c>
      <c r="Z548" s="62"/>
    </row>
    <row r="549" spans="15:26" x14ac:dyDescent="0.25">
      <c r="O549" s="45" t="s">
        <v>33</v>
      </c>
      <c r="P549" s="39">
        <f>_xll.qlCalendarAdvance(Calendar,P548,O548,"f",,Trigger)</f>
        <v>44516</v>
      </c>
      <c r="Q549" s="39">
        <f>_xll.qlInterestRateIndexValueDate(Index,P549,Trigger)</f>
        <v>44518</v>
      </c>
      <c r="R549" s="39">
        <f>_xll.qlInterestRateIndexMaturity(Index,Q549,Trigger)</f>
        <v>44610</v>
      </c>
      <c r="S549" s="40">
        <f>_xll.qlDayCounterYearFraction(DayCounter,Q549,R549,,,Trigger)</f>
        <v>0.25555555555555554</v>
      </c>
      <c r="T549" s="41">
        <f>_xll.qlIndexFixing(Index,P549,,AllTriggers)</f>
        <v>6.4134651397495116E-3</v>
      </c>
      <c r="U549" s="42">
        <f>_xll.qlYieldTSDiscount(OisCurve,Q549,,AllTriggers)</f>
        <v>0.99543048520344235</v>
      </c>
      <c r="V549" s="42">
        <f>_xll.qlYieldTSDiscount(OisCurve,R549,,AllTriggers)</f>
        <v>0.99423308155455203</v>
      </c>
      <c r="W549" s="41">
        <f t="shared" si="44"/>
        <v>4.712670123397788E-3</v>
      </c>
      <c r="X549" s="43">
        <f t="shared" si="45"/>
        <v>4.3403057263680512E-4</v>
      </c>
      <c r="Y549" s="41">
        <f t="shared" si="46"/>
        <v>1.7007950163517235E-3</v>
      </c>
      <c r="Z549" s="62"/>
    </row>
    <row r="550" spans="15:26" x14ac:dyDescent="0.25">
      <c r="O550" s="45" t="s">
        <v>33</v>
      </c>
      <c r="P550" s="39">
        <f>_xll.qlCalendarAdvance(Calendar,P549,O549,"f",,Trigger)</f>
        <v>44523</v>
      </c>
      <c r="Q550" s="39">
        <f>_xll.qlInterestRateIndexValueDate(Index,P550,Trigger)</f>
        <v>44525</v>
      </c>
      <c r="R550" s="39">
        <f>_xll.qlInterestRateIndexMaturity(Index,Q550,Trigger)</f>
        <v>44617</v>
      </c>
      <c r="S550" s="40">
        <f>_xll.qlDayCounterYearFraction(DayCounter,Q550,R550,,,Trigger)</f>
        <v>0.25555555555555554</v>
      </c>
      <c r="T550" s="41">
        <f>_xll.qlIndexFixing(Index,P550,,AllTriggers)</f>
        <v>6.4412915784471132E-3</v>
      </c>
      <c r="U550" s="42">
        <f>_xll.qlYieldTSDiscount(OisCurve,Q550,,AllTriggers)</f>
        <v>0.9953424970247704</v>
      </c>
      <c r="V550" s="42">
        <f>_xll.qlYieldTSDiscount(OisCurve,R550,,AllTriggers)</f>
        <v>0.99413828154683881</v>
      </c>
      <c r="W550" s="41">
        <f t="shared" si="44"/>
        <v>4.7399316672618709E-3</v>
      </c>
      <c r="X550" s="43">
        <f t="shared" si="45"/>
        <v>4.3417167790778781E-4</v>
      </c>
      <c r="Y550" s="41">
        <f t="shared" si="46"/>
        <v>1.7013599111852422E-3</v>
      </c>
      <c r="Z550" s="62"/>
    </row>
    <row r="551" spans="15:26" x14ac:dyDescent="0.25">
      <c r="O551" s="45" t="s">
        <v>33</v>
      </c>
      <c r="P551" s="39">
        <f>_xll.qlCalendarAdvance(Calendar,P550,O550,"f",,Trigger)</f>
        <v>44530</v>
      </c>
      <c r="Q551" s="39">
        <f>_xll.qlInterestRateIndexValueDate(Index,P551,Trigger)</f>
        <v>44532</v>
      </c>
      <c r="R551" s="39">
        <f>_xll.qlInterestRateIndexMaturity(Index,Q551,Trigger)</f>
        <v>44622</v>
      </c>
      <c r="S551" s="40">
        <f>_xll.qlDayCounterYearFraction(DayCounter,Q551,R551,,,Trigger)</f>
        <v>0.25</v>
      </c>
      <c r="T551" s="41">
        <f>_xll.qlIndexFixing(Index,P551,,AllTriggers)</f>
        <v>6.4650910839754161E-3</v>
      </c>
      <c r="U551" s="42">
        <f>_xll.qlYieldTSDiscount(OisCurve,Q551,,AllTriggers)</f>
        <v>0.99525400251415508</v>
      </c>
      <c r="V551" s="42">
        <f>_xll.qlYieldTSDiscount(OisCurve,R551,,AllTriggers)</f>
        <v>0.99407024155049462</v>
      </c>
      <c r="W551" s="41">
        <f t="shared" si="44"/>
        <v>4.7632890078839196E-3</v>
      </c>
      <c r="X551" s="43">
        <f t="shared" si="45"/>
        <v>4.2485422233584283E-4</v>
      </c>
      <c r="Y551" s="41">
        <f t="shared" si="46"/>
        <v>1.7018020760914965E-3</v>
      </c>
      <c r="Z551" s="62"/>
    </row>
    <row r="552" spans="15:26" x14ac:dyDescent="0.25">
      <c r="O552" s="45" t="s">
        <v>33</v>
      </c>
      <c r="P552" s="39">
        <f>_xll.qlCalendarAdvance(Calendar,P551,O551,"f",,Trigger)</f>
        <v>44537</v>
      </c>
      <c r="Q552" s="39">
        <f>_xll.qlInterestRateIndexValueDate(Index,P552,Trigger)</f>
        <v>44539</v>
      </c>
      <c r="R552" s="39">
        <f>_xll.qlInterestRateIndexMaturity(Index,Q552,Trigger)</f>
        <v>44629</v>
      </c>
      <c r="S552" s="40">
        <f>_xll.qlDayCounterYearFraction(DayCounter,Q552,R552,,,Trigger)</f>
        <v>0.25</v>
      </c>
      <c r="T552" s="41">
        <f>_xll.qlIndexFixing(Index,P552,,AllTriggers)</f>
        <v>6.493161848701412E-3</v>
      </c>
      <c r="U552" s="42">
        <f>_xll.qlYieldTSDiscount(OisCurve,Q552,,AllTriggers)</f>
        <v>0.99516499969602368</v>
      </c>
      <c r="V552" s="42">
        <f>_xll.qlYieldTSDiscount(OisCurve,R552,,AllTriggers)</f>
        <v>0.99397452805245334</v>
      </c>
      <c r="W552" s="41">
        <f t="shared" si="44"/>
        <v>4.7907531228306155E-3</v>
      </c>
      <c r="X552" s="43">
        <f t="shared" si="45"/>
        <v>4.250027260460416E-4</v>
      </c>
      <c r="Y552" s="41">
        <f t="shared" si="46"/>
        <v>1.7024087258707965E-3</v>
      </c>
      <c r="Z552" s="62"/>
    </row>
    <row r="553" spans="15:26" x14ac:dyDescent="0.25">
      <c r="O553" s="45" t="s">
        <v>33</v>
      </c>
      <c r="P553" s="39">
        <f>_xll.qlCalendarAdvance(Calendar,P552,O552,"f",,Trigger)</f>
        <v>44544</v>
      </c>
      <c r="Q553" s="39">
        <f>_xll.qlInterestRateIndexValueDate(Index,P553,Trigger)</f>
        <v>44546</v>
      </c>
      <c r="R553" s="39">
        <f>_xll.qlInterestRateIndexMaturity(Index,Q553,Trigger)</f>
        <v>44636</v>
      </c>
      <c r="S553" s="40">
        <f>_xll.qlDayCounterYearFraction(DayCounter,Q553,R553,,,Trigger)</f>
        <v>0.25</v>
      </c>
      <c r="T553" s="41">
        <f>_xll.qlIndexFixing(Index,P553,,AllTriggers)</f>
        <v>6.5213647122819296E-3</v>
      </c>
      <c r="U553" s="42">
        <f>_xll.qlYieldTSDiscount(OisCurve,Q553,,AllTriggers)</f>
        <v>0.9950754865963356</v>
      </c>
      <c r="V553" s="42">
        <f>_xll.qlYieldTSDiscount(OisCurve,R553,,AllTriggers)</f>
        <v>0.99387827903347392</v>
      </c>
      <c r="W553" s="41">
        <f t="shared" si="44"/>
        <v>4.8183267030479371E-3</v>
      </c>
      <c r="X553" s="43">
        <f t="shared" si="45"/>
        <v>4.2515686526494508E-4</v>
      </c>
      <c r="Y553" s="41">
        <f t="shared" si="46"/>
        <v>1.7030380092339925E-3</v>
      </c>
      <c r="Z553" s="62"/>
    </row>
    <row r="554" spans="15:26" x14ac:dyDescent="0.25">
      <c r="O554" s="45" t="s">
        <v>33</v>
      </c>
      <c r="P554" s="39">
        <f>_xll.qlCalendarAdvance(Calendar,P553,O553,"f",,Trigger)</f>
        <v>44551</v>
      </c>
      <c r="Q554" s="39">
        <f>_xll.qlInterestRateIndexValueDate(Index,P554,Trigger)</f>
        <v>44553</v>
      </c>
      <c r="R554" s="39">
        <f>_xll.qlInterestRateIndexMaturity(Index,Q554,Trigger)</f>
        <v>44643</v>
      </c>
      <c r="S554" s="40">
        <f>_xll.qlDayCounterYearFraction(DayCounter,Q554,R554,,,Trigger)</f>
        <v>0.25</v>
      </c>
      <c r="T554" s="41">
        <f>_xll.qlIndexFixing(Index,P554,,AllTriggers)</f>
        <v>6.5496996775031846E-3</v>
      </c>
      <c r="U554" s="42">
        <f>_xll.qlYieldTSDiscount(OisCurve,Q554,,AllTriggers)</f>
        <v>0.99498546124259291</v>
      </c>
      <c r="V554" s="42">
        <f>_xll.qlYieldTSDiscount(OisCurve,R554,,AllTriggers)</f>
        <v>0.99378149254183834</v>
      </c>
      <c r="W554" s="41">
        <f t="shared" si="44"/>
        <v>4.8460097507962985E-3</v>
      </c>
      <c r="X554" s="43">
        <f t="shared" si="45"/>
        <v>4.2531663999172294E-4</v>
      </c>
      <c r="Y554" s="41">
        <f t="shared" si="46"/>
        <v>1.7036899267068861E-3</v>
      </c>
      <c r="Z554" s="62"/>
    </row>
    <row r="555" spans="15:26" x14ac:dyDescent="0.25">
      <c r="O555" s="45" t="s">
        <v>33</v>
      </c>
      <c r="P555" s="39">
        <f>_xll.qlCalendarAdvance(Calendar,P554,O554,"f",,Trigger)</f>
        <v>44558</v>
      </c>
      <c r="Q555" s="39">
        <f>_xll.qlInterestRateIndexValueDate(Index,P555,Trigger)</f>
        <v>44560</v>
      </c>
      <c r="R555" s="39">
        <f>_xll.qlInterestRateIndexMaturity(Index,Q555,Trigger)</f>
        <v>44650</v>
      </c>
      <c r="S555" s="40">
        <f>_xll.qlDayCounterYearFraction(DayCounter,Q555,R555,,,Trigger)</f>
        <v>0.25</v>
      </c>
      <c r="T555" s="41">
        <f>_xll.qlIndexFixing(Index,P555,,AllTriggers)</f>
        <v>6.5781667471664917E-3</v>
      </c>
      <c r="U555" s="42">
        <f>_xll.qlYieldTSDiscount(OisCurve,Q555,,AllTriggers)</f>
        <v>0.9948949216638503</v>
      </c>
      <c r="V555" s="42">
        <f>_xll.qlYieldTSDiscount(OisCurve,R555,,AllTriggers)</f>
        <v>0.99368416662751968</v>
      </c>
      <c r="W555" s="41">
        <f t="shared" si="44"/>
        <v>4.8738022683396665E-3</v>
      </c>
      <c r="X555" s="43">
        <f t="shared" si="45"/>
        <v>4.2548205022789094E-4</v>
      </c>
      <c r="Y555" s="41">
        <f t="shared" si="46"/>
        <v>1.7043644788268253E-3</v>
      </c>
      <c r="Z555" s="62"/>
    </row>
    <row r="556" spans="15:26" x14ac:dyDescent="0.25">
      <c r="O556" s="45" t="s">
        <v>33</v>
      </c>
      <c r="P556" s="39">
        <f>_xll.qlCalendarAdvance(Calendar,P555,O555,"f",,Trigger)</f>
        <v>44565</v>
      </c>
      <c r="Q556" s="39">
        <f>_xll.qlInterestRateIndexValueDate(Index,P556,Trigger)</f>
        <v>44567</v>
      </c>
      <c r="R556" s="39">
        <f>_xll.qlInterestRateIndexMaturity(Index,Q556,Trigger)</f>
        <v>44657</v>
      </c>
      <c r="S556" s="40">
        <f>_xll.qlDayCounterYearFraction(DayCounter,Q556,R556,,,Trigger)</f>
        <v>0.25</v>
      </c>
      <c r="T556" s="41">
        <f>_xll.qlIndexFixing(Index,P556,,AllTriggers)</f>
        <v>6.6067659240847121E-3</v>
      </c>
      <c r="U556" s="42">
        <f>_xll.qlYieldTSDiscount(OisCurve,Q556,,AllTriggers)</f>
        <v>0.99480386589072656</v>
      </c>
      <c r="V556" s="42">
        <f>_xll.qlYieldTSDiscount(OisCurve,R556,,AllTriggers)</f>
        <v>0.99358629934219311</v>
      </c>
      <c r="W556" s="41">
        <f t="shared" si="44"/>
        <v>4.9017042579571068E-3</v>
      </c>
      <c r="X556" s="43">
        <f t="shared" si="45"/>
        <v>4.256530959724282E-4</v>
      </c>
      <c r="Y556" s="41">
        <f t="shared" si="46"/>
        <v>1.7050616661276052E-3</v>
      </c>
      <c r="Z556" s="62"/>
    </row>
    <row r="557" spans="15:26" x14ac:dyDescent="0.25">
      <c r="O557" s="45" t="s">
        <v>33</v>
      </c>
      <c r="P557" s="39">
        <f>_xll.qlCalendarAdvance(Calendar,P556,O556,"f",,Trigger)</f>
        <v>44572</v>
      </c>
      <c r="Q557" s="39">
        <f>_xll.qlInterestRateIndexValueDate(Index,P557,Trigger)</f>
        <v>44574</v>
      </c>
      <c r="R557" s="39">
        <f>_xll.qlInterestRateIndexMaturity(Index,Q557,Trigger)</f>
        <v>44664</v>
      </c>
      <c r="S557" s="40">
        <f>_xll.qlDayCounterYearFraction(DayCounter,Q557,R557,,,Trigger)</f>
        <v>0.25</v>
      </c>
      <c r="T557" s="41">
        <f>_xll.qlIndexFixing(Index,P557,,AllTriggers)</f>
        <v>6.6354972110831412E-3</v>
      </c>
      <c r="U557" s="42">
        <f>_xll.qlYieldTSDiscount(OisCurve,Q557,,AllTriggers)</f>
        <v>0.99471229195541411</v>
      </c>
      <c r="V557" s="42">
        <f>_xll.qlYieldTSDiscount(OisCurve,R557,,AllTriggers)</f>
        <v>0.9934878887392472</v>
      </c>
      <c r="W557" s="41">
        <f t="shared" si="44"/>
        <v>4.9297157219330145E-3</v>
      </c>
      <c r="X557" s="43">
        <f t="shared" si="45"/>
        <v>4.2582977722555027E-4</v>
      </c>
      <c r="Y557" s="41">
        <f t="shared" si="46"/>
        <v>1.7057814891501266E-3</v>
      </c>
      <c r="Z557" s="62"/>
    </row>
    <row r="558" spans="15:26" x14ac:dyDescent="0.25">
      <c r="O558" s="45" t="s">
        <v>33</v>
      </c>
      <c r="P558" s="39">
        <f>_xll.qlCalendarAdvance(Calendar,P557,O557,"f",,Trigger)</f>
        <v>44579</v>
      </c>
      <c r="Q558" s="39">
        <f>_xll.qlInterestRateIndexValueDate(Index,P558,Trigger)</f>
        <v>44581</v>
      </c>
      <c r="R558" s="39">
        <f>_xll.qlInterestRateIndexMaturity(Index,Q558,Trigger)</f>
        <v>44671</v>
      </c>
      <c r="S558" s="40">
        <f>_xll.qlDayCounterYearFraction(DayCounter,Q558,R558,,,Trigger)</f>
        <v>0.25</v>
      </c>
      <c r="T558" s="41">
        <f>_xll.qlIndexFixing(Index,P558,,AllTriggers)</f>
        <v>6.6643606110021736E-3</v>
      </c>
      <c r="U558" s="42">
        <f>_xll.qlYieldTSDiscount(OisCurve,Q558,,AllTriggers)</f>
        <v>0.99462019789169054</v>
      </c>
      <c r="V558" s="42">
        <f>_xll.qlYieldTSDiscount(OisCurve,R558,,AllTriggers)</f>
        <v>0.99338893287379448</v>
      </c>
      <c r="W558" s="41">
        <f t="shared" si="44"/>
        <v>4.9578366625615544E-3</v>
      </c>
      <c r="X558" s="43">
        <f t="shared" si="45"/>
        <v>4.2601209398782119E-4</v>
      </c>
      <c r="Y558" s="41">
        <f t="shared" si="46"/>
        <v>1.7065239484406192E-3</v>
      </c>
      <c r="Z558" s="62"/>
    </row>
    <row r="559" spans="15:26" x14ac:dyDescent="0.25">
      <c r="O559" s="45" t="s">
        <v>33</v>
      </c>
      <c r="P559" s="39">
        <f>_xll.qlCalendarAdvance(Calendar,P558,O558,"f",,Trigger)</f>
        <v>44586</v>
      </c>
      <c r="Q559" s="39">
        <f>_xll.qlInterestRateIndexValueDate(Index,P559,Trigger)</f>
        <v>44588</v>
      </c>
      <c r="R559" s="39">
        <f>_xll.qlInterestRateIndexMaturity(Index,Q559,Trigger)</f>
        <v>44678</v>
      </c>
      <c r="S559" s="40">
        <f>_xll.qlDayCounterYearFraction(DayCounter,Q559,R559,,,Trigger)</f>
        <v>0.25</v>
      </c>
      <c r="T559" s="41">
        <f>_xll.qlIndexFixing(Index,P559,,AllTriggers)</f>
        <v>6.6933559848161295E-3</v>
      </c>
      <c r="U559" s="42">
        <f>_xll.qlYieldTSDiscount(OisCurve,Q559,,AllTriggers)</f>
        <v>0.9945275817349285</v>
      </c>
      <c r="V559" s="42">
        <f>_xll.qlYieldTSDiscount(OisCurve,R559,,AllTriggers)</f>
        <v>0.99328942983005608</v>
      </c>
      <c r="W559" s="41">
        <f t="shared" si="44"/>
        <v>4.9860669717753936E-3</v>
      </c>
      <c r="X559" s="43">
        <f t="shared" si="45"/>
        <v>4.262000384068973E-4</v>
      </c>
      <c r="Y559" s="41">
        <f t="shared" si="46"/>
        <v>1.7072890130407359E-3</v>
      </c>
      <c r="Z559" s="62"/>
    </row>
    <row r="560" spans="15:26" x14ac:dyDescent="0.25">
      <c r="O560" s="45" t="s">
        <v>33</v>
      </c>
      <c r="P560" s="39">
        <f>_xll.qlCalendarAdvance(Calendar,P559,O559,"f",,Trigger)</f>
        <v>44593</v>
      </c>
      <c r="Q560" s="39">
        <f>_xll.qlInterestRateIndexValueDate(Index,P560,Trigger)</f>
        <v>44595</v>
      </c>
      <c r="R560" s="39">
        <f>_xll.qlInterestRateIndexMaturity(Index,Q560,Trigger)</f>
        <v>44684</v>
      </c>
      <c r="S560" s="40">
        <f>_xll.qlDayCounterYearFraction(DayCounter,Q560,R560,,,Trigger)</f>
        <v>0.24722222222222223</v>
      </c>
      <c r="T560" s="41">
        <f>_xll.qlIndexFixing(Index,P560,,AllTriggers)</f>
        <v>6.7203068826710193E-3</v>
      </c>
      <c r="U560" s="42">
        <f>_xll.qlYieldTSDiscount(OisCurve,Q560,,AllTriggers)</f>
        <v>0.99443444152210669</v>
      </c>
      <c r="V560" s="42">
        <f>_xll.qlYieldTSDiscount(OisCurve,R560,,AllTriggers)</f>
        <v>0.99320370620505316</v>
      </c>
      <c r="W560" s="41">
        <f t="shared" si="44"/>
        <v>5.0123204171974379E-3</v>
      </c>
      <c r="X560" s="43">
        <f t="shared" si="45"/>
        <v>4.2164071737030572E-4</v>
      </c>
      <c r="Y560" s="41">
        <f t="shared" si="46"/>
        <v>1.7079864654735814E-3</v>
      </c>
      <c r="Z560" s="62"/>
    </row>
    <row r="561" spans="15:26" x14ac:dyDescent="0.25">
      <c r="O561" s="45" t="s">
        <v>33</v>
      </c>
      <c r="P561" s="39">
        <f>_xll.qlCalendarAdvance(Calendar,P560,O560,"f",,Trigger)</f>
        <v>44600</v>
      </c>
      <c r="Q561" s="39">
        <f>_xll.qlInterestRateIndexValueDate(Index,P561,Trigger)</f>
        <v>44602</v>
      </c>
      <c r="R561" s="39">
        <f>_xll.qlInterestRateIndexMaturity(Index,Q561,Trigger)</f>
        <v>44691</v>
      </c>
      <c r="S561" s="40">
        <f>_xll.qlDayCounterYearFraction(DayCounter,Q561,R561,,,Trigger)</f>
        <v>0.24722222222222223</v>
      </c>
      <c r="T561" s="41">
        <f>_xll.qlIndexFixing(Index,P561,,AllTriggers)</f>
        <v>6.7495053101302438E-3</v>
      </c>
      <c r="U561" s="42">
        <f>_xll.qlYieldTSDiscount(OisCurve,Q561,,AllTriggers)</f>
        <v>0.99434077529182086</v>
      </c>
      <c r="V561" s="42">
        <f>_xll.qlYieldTSDiscount(OisCurve,R561,,AllTriggers)</f>
        <v>0.99310319153972559</v>
      </c>
      <c r="W561" s="41">
        <f t="shared" si="44"/>
        <v>5.0407216417130037E-3</v>
      </c>
      <c r="X561" s="43">
        <f t="shared" si="45"/>
        <v>4.2183451915101872E-4</v>
      </c>
      <c r="Y561" s="41">
        <f t="shared" si="46"/>
        <v>1.7087836684172401E-3</v>
      </c>
      <c r="Z561" s="62"/>
    </row>
    <row r="562" spans="15:26" x14ac:dyDescent="0.25">
      <c r="O562" s="45" t="s">
        <v>33</v>
      </c>
      <c r="P562" s="39">
        <f>_xll.qlCalendarAdvance(Calendar,P561,O561,"f",,Trigger)</f>
        <v>44607</v>
      </c>
      <c r="Q562" s="39">
        <f>_xll.qlInterestRateIndexValueDate(Index,P562,Trigger)</f>
        <v>44609</v>
      </c>
      <c r="R562" s="39">
        <f>_xll.qlInterestRateIndexMaturity(Index,Q562,Trigger)</f>
        <v>44698</v>
      </c>
      <c r="S562" s="40">
        <f>_xll.qlDayCounterYearFraction(DayCounter,Q562,R562,,,Trigger)</f>
        <v>0.24722222222222223</v>
      </c>
      <c r="T562" s="41">
        <f>_xll.qlIndexFixing(Index,P562,,AllTriggers)</f>
        <v>6.7787567681770302E-3</v>
      </c>
      <c r="U562" s="42">
        <f>_xll.qlYieldTSDiscount(OisCurve,Q562,,AllTriggers)</f>
        <v>0.99424658108429376</v>
      </c>
      <c r="V562" s="42">
        <f>_xll.qlYieldTSDiscount(OisCurve,R562,,AllTriggers)</f>
        <v>0.99300213920970259</v>
      </c>
      <c r="W562" s="41">
        <f t="shared" si="44"/>
        <v>5.0691708219910763E-3</v>
      </c>
      <c r="X562" s="43">
        <f t="shared" si="45"/>
        <v>4.2202956569078922E-4</v>
      </c>
      <c r="Y562" s="41">
        <f t="shared" si="46"/>
        <v>1.7095859461859538E-3</v>
      </c>
      <c r="Z562" s="62"/>
    </row>
    <row r="563" spans="15:26" x14ac:dyDescent="0.25">
      <c r="O563" s="45" t="s">
        <v>33</v>
      </c>
      <c r="P563" s="39">
        <f>_xll.qlCalendarAdvance(Calendar,P562,O562,"f",,Trigger)</f>
        <v>44614</v>
      </c>
      <c r="Q563" s="39">
        <f>_xll.qlInterestRateIndexValueDate(Index,P563,Trigger)</f>
        <v>44616</v>
      </c>
      <c r="R563" s="39">
        <f>_xll.qlInterestRateIndexMaturity(Index,Q563,Trigger)</f>
        <v>44705</v>
      </c>
      <c r="S563" s="40">
        <f>_xll.qlDayCounterYearFraction(DayCounter,Q563,R563,,,Trigger)</f>
        <v>0.24722222222222223</v>
      </c>
      <c r="T563" s="41">
        <f>_xll.qlIndexFixing(Index,P563,,AllTriggers)</f>
        <v>6.8080243499571763E-3</v>
      </c>
      <c r="U563" s="42">
        <f>_xll.qlYieldTSDiscount(OisCurve,Q563,,AllTriggers)</f>
        <v>0.99415185694138686</v>
      </c>
      <c r="V563" s="42">
        <f>_xll.qlYieldTSDiscount(OisCurve,R563,,AllTriggers)</f>
        <v>0.99290055431300406</v>
      </c>
      <c r="W563" s="41">
        <f t="shared" si="44"/>
        <v>5.0976392468732624E-3</v>
      </c>
      <c r="X563" s="43">
        <f t="shared" si="45"/>
        <v>4.2222383719400526E-4</v>
      </c>
      <c r="Y563" s="41">
        <f t="shared" si="46"/>
        <v>1.7103851030839138E-3</v>
      </c>
      <c r="Z563" s="62"/>
    </row>
    <row r="564" spans="15:26" x14ac:dyDescent="0.25">
      <c r="O564" s="45" t="s">
        <v>33</v>
      </c>
      <c r="P564" s="39">
        <f>_xll.qlCalendarAdvance(Calendar,P563,O563,"f",,Trigger)</f>
        <v>44621</v>
      </c>
      <c r="Q564" s="39">
        <f>_xll.qlInterestRateIndexValueDate(Index,P564,Trigger)</f>
        <v>44623</v>
      </c>
      <c r="R564" s="39">
        <f>_xll.qlInterestRateIndexMaturity(Index,Q564,Trigger)</f>
        <v>44715</v>
      </c>
      <c r="S564" s="40">
        <f>_xll.qlDayCounterYearFraction(DayCounter,Q564,R564,,,Trigger)</f>
        <v>0.25555555555555554</v>
      </c>
      <c r="T564" s="41">
        <f>_xll.qlIndexFixing(Index,P564,,AllTriggers)</f>
        <v>6.8437046125222906E-3</v>
      </c>
      <c r="U564" s="42">
        <f>_xll.qlYieldTSDiscount(OisCurve,Q564,,AllTriggers)</f>
        <v>0.9940566009066103</v>
      </c>
      <c r="V564" s="42">
        <f>_xll.qlYieldTSDiscount(OisCurve,R564,,AllTriggers)</f>
        <v>0.99275451929617331</v>
      </c>
      <c r="W564" s="41">
        <f t="shared" si="44"/>
        <v>5.132287846442104E-3</v>
      </c>
      <c r="X564" s="43">
        <f t="shared" si="45"/>
        <v>4.3669381183021263E-4</v>
      </c>
      <c r="Y564" s="41">
        <f t="shared" si="46"/>
        <v>1.7114167660801866E-3</v>
      </c>
      <c r="Z564" s="62"/>
    </row>
    <row r="565" spans="15:26" x14ac:dyDescent="0.25">
      <c r="O565" s="45" t="s">
        <v>33</v>
      </c>
      <c r="P565" s="39">
        <f>_xll.qlCalendarAdvance(Calendar,P564,O564,"f",,Trigger)</f>
        <v>44628</v>
      </c>
      <c r="Q565" s="39">
        <f>_xll.qlInterestRateIndexValueDate(Index,P565,Trigger)</f>
        <v>44630</v>
      </c>
      <c r="R565" s="39">
        <f>_xll.qlInterestRateIndexMaturity(Index,Q565,Trigger)</f>
        <v>44722</v>
      </c>
      <c r="S565" s="40">
        <f>_xll.qlDayCounterYearFraction(DayCounter,Q565,R565,,,Trigger)</f>
        <v>0.25555555555555554</v>
      </c>
      <c r="T565" s="41">
        <f>_xll.qlIndexFixing(Index,P565,,AllTriggers)</f>
        <v>6.8728532776360738E-3</v>
      </c>
      <c r="U565" s="42">
        <f>_xll.qlYieldTSDiscount(OisCurve,Q565,,AllTriggers)</f>
        <v>0.99396081102513467</v>
      </c>
      <c r="V565" s="42">
        <f>_xll.qlYieldTSDiscount(OisCurve,R565,,AllTriggers)</f>
        <v>0.99265166224050694</v>
      </c>
      <c r="W565" s="41">
        <f t="shared" si="44"/>
        <v>5.1606785226129713E-3</v>
      </c>
      <c r="X565" s="43">
        <f t="shared" si="45"/>
        <v>4.3688401698016842E-4</v>
      </c>
      <c r="Y565" s="41">
        <f t="shared" si="46"/>
        <v>1.7121747550231025E-3</v>
      </c>
      <c r="Z565" s="62"/>
    </row>
    <row r="566" spans="15:26" x14ac:dyDescent="0.25">
      <c r="O566" s="45" t="s">
        <v>33</v>
      </c>
      <c r="P566" s="39">
        <f>_xll.qlCalendarAdvance(Calendar,P565,O565,"f",,Trigger)</f>
        <v>44635</v>
      </c>
      <c r="Q566" s="39">
        <f>_xll.qlInterestRateIndexValueDate(Index,P566,Trigger)</f>
        <v>44637</v>
      </c>
      <c r="R566" s="39">
        <f>_xll.qlInterestRateIndexMaturity(Index,Q566,Trigger)</f>
        <v>44729</v>
      </c>
      <c r="S566" s="40">
        <f>_xll.qlDayCounterYearFraction(DayCounter,Q566,R566,,,Trigger)</f>
        <v>0.25555555555555554</v>
      </c>
      <c r="T566" s="41">
        <f>_xll.qlIndexFixing(Index,P566,,AllTriggers)</f>
        <v>6.9018994309056267E-3</v>
      </c>
      <c r="U566" s="42">
        <f>_xll.qlYieldTSDiscount(OisCurve,Q566,,AllTriggers)</f>
        <v>0.9938644853438009</v>
      </c>
      <c r="V566" s="42">
        <f>_xll.qlYieldTSDiscount(OisCurve,R566,,AllTriggers)</f>
        <v>0.99254829008814771</v>
      </c>
      <c r="W566" s="41">
        <f t="shared" si="44"/>
        <v>5.1889961553351575E-3</v>
      </c>
      <c r="X566" s="43">
        <f t="shared" si="45"/>
        <v>4.3706670993107688E-4</v>
      </c>
      <c r="Y566" s="41">
        <f t="shared" si="46"/>
        <v>1.7129032755704692E-3</v>
      </c>
      <c r="Z566" s="62"/>
    </row>
    <row r="567" spans="15:26" x14ac:dyDescent="0.25">
      <c r="O567" s="45" t="s">
        <v>33</v>
      </c>
      <c r="P567" s="39">
        <f>_xll.qlCalendarAdvance(Calendar,P566,O566,"f",,Trigger)</f>
        <v>44642</v>
      </c>
      <c r="Q567" s="39">
        <f>_xll.qlInterestRateIndexValueDate(Index,P567,Trigger)</f>
        <v>44644</v>
      </c>
      <c r="R567" s="39">
        <f>_xll.qlInterestRateIndexMaturity(Index,Q567,Trigger)</f>
        <v>44736</v>
      </c>
      <c r="S567" s="40">
        <f>_xll.qlDayCounterYearFraction(DayCounter,Q567,R567,,,Trigger)</f>
        <v>0.25555555555555554</v>
      </c>
      <c r="T567" s="41">
        <f>_xll.qlIndexFixing(Index,P567,,AllTriggers)</f>
        <v>6.9308073624254818E-3</v>
      </c>
      <c r="U567" s="42">
        <f>_xll.qlYieldTSDiscount(OisCurve,Q567,,AllTriggers)</f>
        <v>0.99376762191113177</v>
      </c>
      <c r="V567" s="42">
        <f>_xll.qlYieldTSDiscount(OisCurve,R567,,AllTriggers)</f>
        <v>0.99244440793179278</v>
      </c>
      <c r="W567" s="41">
        <f t="shared" si="44"/>
        <v>5.2172129650934528E-3</v>
      </c>
      <c r="X567" s="43">
        <f t="shared" si="45"/>
        <v>4.3723987088765509E-4</v>
      </c>
      <c r="Y567" s="41">
        <f t="shared" si="46"/>
        <v>1.713594397332029E-3</v>
      </c>
      <c r="Z567" s="62"/>
    </row>
    <row r="568" spans="15:26" x14ac:dyDescent="0.25">
      <c r="O568" s="45" t="s">
        <v>33</v>
      </c>
      <c r="P568" s="39">
        <f>_xll.qlCalendarAdvance(Calendar,P567,O567,"f",,Trigger)</f>
        <v>44649</v>
      </c>
      <c r="Q568" s="39">
        <f>_xll.qlInterestRateIndexValueDate(Index,P568,Trigger)</f>
        <v>44651</v>
      </c>
      <c r="R568" s="39">
        <f>_xll.qlInterestRateIndexMaturity(Index,Q568,Trigger)</f>
        <v>44742</v>
      </c>
      <c r="S568" s="40">
        <f>_xll.qlDayCounterYearFraction(DayCounter,Q568,R568,,,Trigger)</f>
        <v>0.25277777777777777</v>
      </c>
      <c r="T568" s="41">
        <f>_xll.qlIndexFixing(Index,P568,,AllTriggers)</f>
        <v>6.9574671562714074E-3</v>
      </c>
      <c r="U568" s="42">
        <f>_xll.qlYieldTSDiscount(OisCurve,Q568,,AllTriggers)</f>
        <v>0.99367021877734307</v>
      </c>
      <c r="V568" s="42">
        <f>_xll.qlYieldTSDiscount(OisCurve,R568,,AllTriggers)</f>
        <v>0.99235496402136492</v>
      </c>
      <c r="W568" s="41">
        <f t="shared" si="44"/>
        <v>5.2432907746641777E-3</v>
      </c>
      <c r="X568" s="43">
        <f t="shared" si="45"/>
        <v>4.3263855715656855E-4</v>
      </c>
      <c r="Y568" s="41">
        <f t="shared" si="46"/>
        <v>1.7141763816072297E-3</v>
      </c>
      <c r="Z568" s="62"/>
    </row>
    <row r="569" spans="15:26" x14ac:dyDescent="0.25">
      <c r="O569" s="45" t="s">
        <v>33</v>
      </c>
      <c r="P569" s="39">
        <f>_xll.qlCalendarAdvance(Calendar,P568,O568,"f",,Trigger)</f>
        <v>44656</v>
      </c>
      <c r="Q569" s="39">
        <f>_xll.qlInterestRateIndexValueDate(Index,P569,Trigger)</f>
        <v>44658</v>
      </c>
      <c r="R569" s="39">
        <f>_xll.qlInterestRateIndexMaturity(Index,Q569,Trigger)</f>
        <v>44749</v>
      </c>
      <c r="S569" s="40">
        <f>_xll.qlDayCounterYearFraction(DayCounter,Q569,R569,,,Trigger)</f>
        <v>0.25277777777777777</v>
      </c>
      <c r="T569" s="41">
        <f>_xll.qlIndexFixing(Index,P569,,AllTriggers)</f>
        <v>6.9860131751396711E-3</v>
      </c>
      <c r="U569" s="42">
        <f>_xll.qlYieldTSDiscount(OisCurve,Q569,,AllTriggers)</f>
        <v>0.99357227399435399</v>
      </c>
      <c r="V569" s="42">
        <f>_xll.qlYieldTSDiscount(OisCurve,R569,,AllTriggers)</f>
        <v>0.99225014822160951</v>
      </c>
      <c r="W569" s="41">
        <f t="shared" si="44"/>
        <v>5.2712389932818206E-3</v>
      </c>
      <c r="X569" s="43">
        <f t="shared" si="45"/>
        <v>4.3278634968033894E-4</v>
      </c>
      <c r="Y569" s="41">
        <f t="shared" si="46"/>
        <v>1.7147741818578505E-3</v>
      </c>
      <c r="Z569" s="62"/>
    </row>
    <row r="570" spans="15:26" x14ac:dyDescent="0.25">
      <c r="O570" s="45" t="s">
        <v>33</v>
      </c>
      <c r="P570" s="39">
        <f>_xll.qlCalendarAdvance(Calendar,P569,O569,"f",,Trigger)</f>
        <v>44663</v>
      </c>
      <c r="Q570" s="39">
        <f>_xll.qlInterestRateIndexValueDate(Index,P570,Trigger)</f>
        <v>44665</v>
      </c>
      <c r="R570" s="39">
        <f>_xll.qlInterestRateIndexMaturity(Index,Q570,Trigger)</f>
        <v>44756</v>
      </c>
      <c r="S570" s="40">
        <f>_xll.qlDayCounterYearFraction(DayCounter,Q570,R570,,,Trigger)</f>
        <v>0.25277777777777777</v>
      </c>
      <c r="T570" s="41">
        <f>_xll.qlIndexFixing(Index,P570,,AllTriggers)</f>
        <v>7.0143148483328126E-3</v>
      </c>
      <c r="U570" s="42">
        <f>_xll.qlYieldTSDiscount(OisCurve,Q570,,AllTriggers)</f>
        <v>0.99347378561579869</v>
      </c>
      <c r="V570" s="42">
        <f>_xll.qlYieldTSDiscount(OisCurve,R570,,AllTriggers)</f>
        <v>0.99214483696132094</v>
      </c>
      <c r="W570" s="41">
        <f t="shared" si="44"/>
        <v>5.2990038314782864E-3</v>
      </c>
      <c r="X570" s="43">
        <f t="shared" si="45"/>
        <v>4.3291877674865088E-4</v>
      </c>
      <c r="Y570" s="41">
        <f t="shared" si="46"/>
        <v>1.7153110168545262E-3</v>
      </c>
      <c r="Z570" s="62"/>
    </row>
    <row r="571" spans="15:26" x14ac:dyDescent="0.25">
      <c r="O571" s="45" t="s">
        <v>33</v>
      </c>
      <c r="P571" s="39">
        <f>_xll.qlCalendarAdvance(Calendar,P570,O570,"f",,Trigger)</f>
        <v>44670</v>
      </c>
      <c r="Q571" s="39">
        <f>_xll.qlInterestRateIndexValueDate(Index,P571,Trigger)</f>
        <v>44672</v>
      </c>
      <c r="R571" s="39">
        <f>_xll.qlInterestRateIndexMaturity(Index,Q571,Trigger)</f>
        <v>44763</v>
      </c>
      <c r="S571" s="40">
        <f>_xll.qlDayCounterYearFraction(DayCounter,Q571,R571,,,Trigger)</f>
        <v>0.25277777777777777</v>
      </c>
      <c r="T571" s="41">
        <f>_xll.qlIndexFixing(Index,P571,,AllTriggers)</f>
        <v>7.0423360702795519E-3</v>
      </c>
      <c r="U571" s="42">
        <f>_xll.qlYieldTSDiscount(OisCurve,Q571,,AllTriggers)</f>
        <v>0.99337475169703671</v>
      </c>
      <c r="V571" s="42">
        <f>_xll.qlYieldTSDiscount(OisCurve,R571,,AllTriggers)</f>
        <v>0.99203903532814608</v>
      </c>
      <c r="W571" s="41">
        <f t="shared" si="44"/>
        <v>5.3265572018451309E-3</v>
      </c>
      <c r="X571" s="43">
        <f t="shared" si="45"/>
        <v>4.3303381856681544E-4</v>
      </c>
      <c r="Y571" s="41">
        <f t="shared" si="46"/>
        <v>1.715778868434421E-3</v>
      </c>
      <c r="Z571" s="62"/>
    </row>
    <row r="572" spans="15:26" x14ac:dyDescent="0.25">
      <c r="O572" s="45" t="s">
        <v>33</v>
      </c>
      <c r="P572" s="39">
        <f>_xll.qlCalendarAdvance(Calendar,P571,O571,"f",,Trigger)</f>
        <v>44677</v>
      </c>
      <c r="Q572" s="39">
        <f>_xll.qlInterestRateIndexValueDate(Index,P572,Trigger)</f>
        <v>44679</v>
      </c>
      <c r="R572" s="39">
        <f>_xll.qlInterestRateIndexMaturity(Index,Q572,Trigger)</f>
        <v>44770</v>
      </c>
      <c r="S572" s="40">
        <f>_xll.qlDayCounterYearFraction(DayCounter,Q572,R572,,,Trigger)</f>
        <v>0.25277777777777777</v>
      </c>
      <c r="T572" s="41">
        <f>_xll.qlIndexFixing(Index,P572,,AllTriggers)</f>
        <v>7.0700412080617345E-3</v>
      </c>
      <c r="U572" s="42">
        <f>_xll.qlYieldTSDiscount(OisCurve,Q572,,AllTriggers)</f>
        <v>0.99327517038754864</v>
      </c>
      <c r="V572" s="42">
        <f>_xll.qlYieldTSDiscount(OisCurve,R572,,AllTriggers)</f>
        <v>0.99193274840836188</v>
      </c>
      <c r="W572" s="41">
        <f t="shared" si="44"/>
        <v>5.3538713846718721E-3</v>
      </c>
      <c r="X572" s="43">
        <f t="shared" si="45"/>
        <v>4.3312948183754846E-4</v>
      </c>
      <c r="Y572" s="41">
        <f t="shared" si="46"/>
        <v>1.7161698233898624E-3</v>
      </c>
      <c r="Z572" s="62"/>
    </row>
    <row r="573" spans="15:26" x14ac:dyDescent="0.25">
      <c r="O573" s="45" t="s">
        <v>33</v>
      </c>
      <c r="P573" s="39">
        <f>_xll.qlCalendarAdvance(Calendar,P572,O572,"f",,Trigger)</f>
        <v>44684</v>
      </c>
      <c r="Q573" s="39">
        <f>_xll.qlInterestRateIndexValueDate(Index,P573,Trigger)</f>
        <v>44686</v>
      </c>
      <c r="R573" s="39">
        <f>_xll.qlInterestRateIndexMaturity(Index,Q573,Trigger)</f>
        <v>44778</v>
      </c>
      <c r="S573" s="40">
        <f>_xll.qlDayCounterYearFraction(DayCounter,Q573,R573,,,Trigger)</f>
        <v>0.25555555555555554</v>
      </c>
      <c r="T573" s="41">
        <f>_xll.qlIndexFixing(Index,P573,,AllTriggers)</f>
        <v>7.0993697625104423E-3</v>
      </c>
      <c r="U573" s="42">
        <f>_xll.qlYieldTSDiscount(OisCurve,Q573,,AllTriggers)</f>
        <v>0.99317504289029535</v>
      </c>
      <c r="V573" s="42">
        <f>_xll.qlYieldTSDiscount(OisCurve,R573,,AllTriggers)</f>
        <v>0.99181068993720845</v>
      </c>
      <c r="W573" s="41">
        <f t="shared" si="44"/>
        <v>5.3828542879087787E-3</v>
      </c>
      <c r="X573" s="43">
        <f t="shared" si="45"/>
        <v>4.3796653764160368E-4</v>
      </c>
      <c r="Y573" s="41">
        <f t="shared" si="46"/>
        <v>1.7165154746016636E-3</v>
      </c>
      <c r="Z573" s="62"/>
    </row>
    <row r="574" spans="15:26" x14ac:dyDescent="0.25">
      <c r="O574" s="45" t="s">
        <v>33</v>
      </c>
      <c r="P574" s="39">
        <f>_xll.qlCalendarAdvance(Calendar,P573,O573,"f",,Trigger)</f>
        <v>44691</v>
      </c>
      <c r="Q574" s="39">
        <f>_xll.qlInterestRateIndexValueDate(Index,P574,Trigger)</f>
        <v>44693</v>
      </c>
      <c r="R574" s="39">
        <f>_xll.qlInterestRateIndexMaturity(Index,Q574,Trigger)</f>
        <v>44785</v>
      </c>
      <c r="S574" s="40">
        <f>_xll.qlDayCounterYearFraction(DayCounter,Q574,R574,,,Trigger)</f>
        <v>0.25555555555555554</v>
      </c>
      <c r="T574" s="41">
        <f>_xll.qlIndexFixing(Index,P574,,AllTriggers)</f>
        <v>7.1263780758171321E-3</v>
      </c>
      <c r="U574" s="42">
        <f>_xll.qlYieldTSDiscount(OisCurve,Q574,,AllTriggers)</f>
        <v>0.9930743740862108</v>
      </c>
      <c r="V574" s="42">
        <f>_xll.qlYieldTSDiscount(OisCurve,R574,,AllTriggers)</f>
        <v>0.99170338023828608</v>
      </c>
      <c r="W574" s="41">
        <f t="shared" si="44"/>
        <v>5.4096402636731782E-3</v>
      </c>
      <c r="X574" s="43">
        <f t="shared" si="45"/>
        <v>4.3802026072635881E-4</v>
      </c>
      <c r="Y574" s="41">
        <f t="shared" si="46"/>
        <v>1.7167378121439539E-3</v>
      </c>
      <c r="Z574" s="62"/>
    </row>
    <row r="575" spans="15:26" x14ac:dyDescent="0.25">
      <c r="O575" s="45" t="s">
        <v>33</v>
      </c>
      <c r="P575" s="39">
        <f>_xll.qlCalendarAdvance(Calendar,P574,O574,"f",,Trigger)</f>
        <v>44698</v>
      </c>
      <c r="Q575" s="39">
        <f>_xll.qlInterestRateIndexValueDate(Index,P575,Trigger)</f>
        <v>44700</v>
      </c>
      <c r="R575" s="39">
        <f>_xll.qlInterestRateIndexMaturity(Index,Q575,Trigger)</f>
        <v>44792</v>
      </c>
      <c r="S575" s="40">
        <f>_xll.qlDayCounterYearFraction(DayCounter,Q575,R575,,,Trigger)</f>
        <v>0.25555555555555554</v>
      </c>
      <c r="T575" s="41">
        <f>_xll.qlIndexFixing(Index,P575,,AllTriggers)</f>
        <v>7.1530491766198141E-3</v>
      </c>
      <c r="U575" s="42">
        <f>_xll.qlYieldTSDiscount(OisCurve,Q575,,AllTriggers)</f>
        <v>0.99297316907412447</v>
      </c>
      <c r="V575" s="42">
        <f>_xll.qlYieldTSDiscount(OisCurve,R575,,AllTriggers)</f>
        <v>0.99159560122900092</v>
      </c>
      <c r="W575" s="41">
        <f t="shared" si="44"/>
        <v>5.4361706178823509E-3</v>
      </c>
      <c r="X575" s="43">
        <f t="shared" si="45"/>
        <v>4.3805319867132976E-4</v>
      </c>
      <c r="Y575" s="41">
        <f t="shared" si="46"/>
        <v>1.7168785587374632E-3</v>
      </c>
      <c r="Z575" s="62"/>
    </row>
    <row r="576" spans="15:26" x14ac:dyDescent="0.25">
      <c r="O576" s="45" t="s">
        <v>33</v>
      </c>
      <c r="P576" s="39">
        <f>_xll.qlCalendarAdvance(Calendar,P575,O575,"f",,Trigger)</f>
        <v>44705</v>
      </c>
      <c r="Q576" s="39">
        <f>_xll.qlInterestRateIndexValueDate(Index,P576,Trigger)</f>
        <v>44707</v>
      </c>
      <c r="R576" s="39">
        <f>_xll.qlInterestRateIndexMaturity(Index,Q576,Trigger)</f>
        <v>44799</v>
      </c>
      <c r="S576" s="40">
        <f>_xll.qlDayCounterYearFraction(DayCounter,Q576,R576,,,Trigger)</f>
        <v>0.25555555555555554</v>
      </c>
      <c r="T576" s="41">
        <f>_xll.qlIndexFixing(Index,P576,,AllTriggers)</f>
        <v>7.1793830580326934E-3</v>
      </c>
      <c r="U576" s="42">
        <f>_xll.qlYieldTSDiscount(OisCurve,Q576,,AllTriggers)</f>
        <v>0.99287143295172853</v>
      </c>
      <c r="V576" s="42">
        <f>_xll.qlYieldTSDiscount(OisCurve,R576,,AllTriggers)</f>
        <v>0.99148735798969312</v>
      </c>
      <c r="W576" s="41">
        <f t="shared" si="44"/>
        <v>5.4624453453421895E-3</v>
      </c>
      <c r="X576" s="43">
        <f t="shared" si="45"/>
        <v>4.3806535147612887E-4</v>
      </c>
      <c r="Y576" s="41">
        <f t="shared" si="46"/>
        <v>1.7169377126905038E-3</v>
      </c>
      <c r="Z576" s="62"/>
    </row>
    <row r="577" spans="15:26" x14ac:dyDescent="0.25">
      <c r="O577" s="45" t="s">
        <v>33</v>
      </c>
      <c r="P577" s="39">
        <f>_xll.qlCalendarAdvance(Calendar,P576,O576,"f",,Trigger)</f>
        <v>44712</v>
      </c>
      <c r="Q577" s="39">
        <f>_xll.qlInterestRateIndexValueDate(Index,P577,Trigger)</f>
        <v>44714</v>
      </c>
      <c r="R577" s="39">
        <f>_xll.qlInterestRateIndexMaturity(Index,Q577,Trigger)</f>
        <v>44806</v>
      </c>
      <c r="S577" s="40">
        <f>_xll.qlDayCounterYearFraction(DayCounter,Q577,R577,,,Trigger)</f>
        <v>0.25555555555555554</v>
      </c>
      <c r="T577" s="41">
        <f>_xll.qlIndexFixing(Index,P577,,AllTriggers)</f>
        <v>7.2053797132577285E-3</v>
      </c>
      <c r="U577" s="42">
        <f>_xll.qlYieldTSDiscount(OisCurve,Q577,,AllTriggers)</f>
        <v>0.99276917081555127</v>
      </c>
      <c r="V577" s="42">
        <f>_xll.qlYieldTSDiscount(OisCurve,R577,,AllTriggers)</f>
        <v>0.99137865559920846</v>
      </c>
      <c r="W577" s="41">
        <f t="shared" si="44"/>
        <v>5.4884644409089831E-3</v>
      </c>
      <c r="X577" s="43">
        <f t="shared" si="45"/>
        <v>4.3805671914084814E-4</v>
      </c>
      <c r="Y577" s="41">
        <f t="shared" si="46"/>
        <v>1.7169152723487454E-3</v>
      </c>
      <c r="Z577" s="62"/>
    </row>
    <row r="578" spans="15:26" x14ac:dyDescent="0.25">
      <c r="O578" s="45" t="s">
        <v>33</v>
      </c>
      <c r="P578" s="39">
        <f>_xll.qlCalendarAdvance(Calendar,P577,O577,"f",,Trigger)</f>
        <v>44719</v>
      </c>
      <c r="Q578" s="39">
        <f>_xll.qlInterestRateIndexValueDate(Index,P578,Trigger)</f>
        <v>44721</v>
      </c>
      <c r="R578" s="39">
        <f>_xll.qlInterestRateIndexMaturity(Index,Q578,Trigger)</f>
        <v>44813</v>
      </c>
      <c r="S578" s="40">
        <f>_xll.qlDayCounterYearFraction(DayCounter,Q578,R578,,,Trigger)</f>
        <v>0.25555555555555554</v>
      </c>
      <c r="T578" s="41">
        <f>_xll.qlIndexFixing(Index,P578,,AllTriggers)</f>
        <v>7.2310391355837663E-3</v>
      </c>
      <c r="U578" s="42">
        <f>_xll.qlYieldTSDiscount(OisCurve,Q578,,AllTriggers)</f>
        <v>0.99266638776093019</v>
      </c>
      <c r="V578" s="42">
        <f>_xll.qlYieldTSDiscount(OisCurve,R578,,AllTriggers)</f>
        <v>0.99126949913487528</v>
      </c>
      <c r="W578" s="41">
        <f t="shared" si="44"/>
        <v>5.5142278994876779E-3</v>
      </c>
      <c r="X578" s="43">
        <f t="shared" si="45"/>
        <v>4.380273016653932E-4</v>
      </c>
      <c r="Y578" s="41">
        <f t="shared" si="46"/>
        <v>1.7168112360960884E-3</v>
      </c>
      <c r="Z578" s="62"/>
    </row>
    <row r="579" spans="15:26" x14ac:dyDescent="0.25">
      <c r="O579" s="45" t="s">
        <v>33</v>
      </c>
      <c r="P579" s="39">
        <f>_xll.qlCalendarAdvance(Calendar,P578,O578,"f",,Trigger)</f>
        <v>44726</v>
      </c>
      <c r="Q579" s="39">
        <f>_xll.qlInterestRateIndexValueDate(Index,P579,Trigger)</f>
        <v>44728</v>
      </c>
      <c r="R579" s="39">
        <f>_xll.qlInterestRateIndexMaturity(Index,Q579,Trigger)</f>
        <v>44820</v>
      </c>
      <c r="S579" s="40">
        <f>_xll.qlDayCounterYearFraction(DayCounter,Q579,R579,,,Trigger)</f>
        <v>0.25555555555555554</v>
      </c>
      <c r="T579" s="41">
        <f>_xll.qlIndexFixing(Index,P579,,AllTriggers)</f>
        <v>7.2563613183865413E-3</v>
      </c>
      <c r="U579" s="42">
        <f>_xll.qlYieldTSDiscount(OisCurve,Q579,,AllTriggers)</f>
        <v>0.99256308888198563</v>
      </c>
      <c r="V579" s="42">
        <f>_xll.qlYieldTSDiscount(OisCurve,R579,,AllTriggers)</f>
        <v>0.99115989367248147</v>
      </c>
      <c r="W579" s="41">
        <f t="shared" si="44"/>
        <v>5.5397357160336114E-3</v>
      </c>
      <c r="X579" s="43">
        <f t="shared" si="45"/>
        <v>4.3797709904992726E-4</v>
      </c>
      <c r="Y579" s="41">
        <f t="shared" si="46"/>
        <v>1.71662560235293E-3</v>
      </c>
      <c r="Z579" s="62"/>
    </row>
    <row r="580" spans="15:26" x14ac:dyDescent="0.25">
      <c r="O580" s="45" t="s">
        <v>33</v>
      </c>
      <c r="P580" s="39">
        <f>_xll.qlCalendarAdvance(Calendar,P579,O579,"f",,Trigger)</f>
        <v>44733</v>
      </c>
      <c r="Q580" s="39">
        <f>_xll.qlInterestRateIndexValueDate(Index,P580,Trigger)</f>
        <v>44735</v>
      </c>
      <c r="R580" s="39">
        <f>_xll.qlInterestRateIndexMaturity(Index,Q580,Trigger)</f>
        <v>44827</v>
      </c>
      <c r="S580" s="40">
        <f>_xll.qlDayCounterYearFraction(DayCounter,Q580,R580,,,Trigger)</f>
        <v>0.25555555555555554</v>
      </c>
      <c r="T580" s="41">
        <f>_xll.qlIndexFixing(Index,P580,,AllTriggers)</f>
        <v>7.2813462551295418E-3</v>
      </c>
      <c r="U580" s="42">
        <f>_xll.qlYieldTSDiscount(OisCurve,Q580,,AllTriggers)</f>
        <v>0.9924592792715945</v>
      </c>
      <c r="V580" s="42">
        <f>_xll.qlYieldTSDiscount(OisCurve,R580,,AllTriggers)</f>
        <v>0.99104984428625131</v>
      </c>
      <c r="W580" s="41">
        <f t="shared" ref="W580:W643" si="47">(U580/V580-1)/S580</f>
        <v>5.5649878855507824E-3</v>
      </c>
      <c r="X580" s="43">
        <f t="shared" ref="X580:X643" si="48">LN((1+T580*S580)/(1+W580*S580))</f>
        <v>4.3790611129464907E-4</v>
      </c>
      <c r="Y580" s="41">
        <f t="shared" ref="Y580:Y643" si="49">T580-W580</f>
        <v>1.7163583695787594E-3</v>
      </c>
      <c r="Z580" s="62"/>
    </row>
    <row r="581" spans="15:26" x14ac:dyDescent="0.25">
      <c r="O581" s="45" t="s">
        <v>33</v>
      </c>
      <c r="P581" s="39">
        <f>_xll.qlCalendarAdvance(Calendar,P580,O580,"f",,Trigger)</f>
        <v>44740</v>
      </c>
      <c r="Q581" s="39">
        <f>_xll.qlInterestRateIndexValueDate(Index,P581,Trigger)</f>
        <v>44742</v>
      </c>
      <c r="R581" s="39">
        <f>_xll.qlInterestRateIndexMaturity(Index,Q581,Trigger)</f>
        <v>44834</v>
      </c>
      <c r="S581" s="40">
        <f>_xll.qlDayCounterYearFraction(DayCounter,Q581,R581,,,Trigger)</f>
        <v>0.25555555555555554</v>
      </c>
      <c r="T581" s="41">
        <f>_xll.qlIndexFixing(Index,P581,,AllTriggers)</f>
        <v>7.3059939393622757E-3</v>
      </c>
      <c r="U581" s="42">
        <f>_xll.qlYieldTSDiscount(OisCurve,Q581,,AllTriggers)</f>
        <v>0.99235496402136492</v>
      </c>
      <c r="V581" s="42">
        <f>_xll.qlYieldTSDiscount(OisCurve,R581,,AllTriggers)</f>
        <v>0.99093935604882311</v>
      </c>
      <c r="W581" s="41">
        <f t="shared" si="47"/>
        <v>5.5899844030979249E-3</v>
      </c>
      <c r="X581" s="43">
        <f t="shared" si="48"/>
        <v>4.3781433839912726E-4</v>
      </c>
      <c r="Y581" s="41">
        <f t="shared" si="49"/>
        <v>1.7160095362643507E-3</v>
      </c>
      <c r="Z581" s="62"/>
    </row>
    <row r="582" spans="15:26" x14ac:dyDescent="0.25">
      <c r="O582" s="45" t="s">
        <v>33</v>
      </c>
      <c r="P582" s="39">
        <f>_xll.qlCalendarAdvance(Calendar,P581,O581,"f",,Trigger)</f>
        <v>44747</v>
      </c>
      <c r="Q582" s="39">
        <f>_xll.qlInterestRateIndexValueDate(Index,P582,Trigger)</f>
        <v>44749</v>
      </c>
      <c r="R582" s="39">
        <f>_xll.qlInterestRateIndexMaturity(Index,Q582,Trigger)</f>
        <v>44841</v>
      </c>
      <c r="S582" s="40">
        <f>_xll.qlDayCounterYearFraction(DayCounter,Q582,R582,,,Trigger)</f>
        <v>0.25555555555555554</v>
      </c>
      <c r="T582" s="41">
        <f>_xll.qlIndexFixing(Index,P582,,AllTriggers)</f>
        <v>7.330304364721138E-3</v>
      </c>
      <c r="U582" s="42">
        <f>_xll.qlYieldTSDiscount(OisCurve,Q582,,AllTriggers)</f>
        <v>0.99225014822160951</v>
      </c>
      <c r="V582" s="42">
        <f>_xll.qlYieldTSDiscount(OisCurve,R582,,AllTriggers)</f>
        <v>0.99082843403122756</v>
      </c>
      <c r="W582" s="41">
        <f t="shared" si="47"/>
        <v>5.6147252637780863E-3</v>
      </c>
      <c r="X582" s="43">
        <f t="shared" si="48"/>
        <v>4.3770178036363182E-4</v>
      </c>
      <c r="Y582" s="41">
        <f t="shared" si="49"/>
        <v>1.7155791009430517E-3</v>
      </c>
      <c r="Z582" s="62"/>
    </row>
    <row r="583" spans="15:26" x14ac:dyDescent="0.25">
      <c r="O583" s="45" t="s">
        <v>33</v>
      </c>
      <c r="P583" s="39">
        <f>_xll.qlCalendarAdvance(Calendar,P582,O582,"f",,Trigger)</f>
        <v>44754</v>
      </c>
      <c r="Q583" s="39">
        <f>_xll.qlInterestRateIndexValueDate(Index,P583,Trigger)</f>
        <v>44756</v>
      </c>
      <c r="R583" s="39">
        <f>_xll.qlInterestRateIndexMaturity(Index,Q583,Trigger)</f>
        <v>44848</v>
      </c>
      <c r="S583" s="40">
        <f>_xll.qlDayCounterYearFraction(DayCounter,Q583,R583,,,Trigger)</f>
        <v>0.25555555555555554</v>
      </c>
      <c r="T583" s="41">
        <f>_xll.qlIndexFixing(Index,P583,,AllTriggers)</f>
        <v>7.3542775249311482E-3</v>
      </c>
      <c r="U583" s="42">
        <f>_xll.qlYieldTSDiscount(OisCurve,Q583,,AllTriggers)</f>
        <v>0.99214483696132094</v>
      </c>
      <c r="V583" s="42">
        <f>_xll.qlYieldTSDiscount(OisCurve,R583,,AllTriggers)</f>
        <v>0.99071708330286479</v>
      </c>
      <c r="W583" s="41">
        <f t="shared" si="47"/>
        <v>5.6392104627481839E-3</v>
      </c>
      <c r="X583" s="43">
        <f t="shared" si="48"/>
        <v>4.375684371880246E-4</v>
      </c>
      <c r="Y583" s="41">
        <f t="shared" si="49"/>
        <v>1.7150670621829643E-3</v>
      </c>
      <c r="Z583" s="62"/>
    </row>
    <row r="584" spans="15:26" x14ac:dyDescent="0.25">
      <c r="O584" s="45" t="s">
        <v>33</v>
      </c>
      <c r="P584" s="39">
        <f>_xll.qlCalendarAdvance(Calendar,P583,O583,"f",,Trigger)</f>
        <v>44761</v>
      </c>
      <c r="Q584" s="39">
        <f>_xll.qlInterestRateIndexValueDate(Index,P584,Trigger)</f>
        <v>44763</v>
      </c>
      <c r="R584" s="39">
        <f>_xll.qlInterestRateIndexMaturity(Index,Q584,Trigger)</f>
        <v>44855</v>
      </c>
      <c r="S584" s="40">
        <f>_xll.qlDayCounterYearFraction(DayCounter,Q584,R584,,,Trigger)</f>
        <v>0.25555555555555554</v>
      </c>
      <c r="T584" s="41">
        <f>_xll.qlIndexFixing(Index,P584,,AllTriggers)</f>
        <v>7.3779134138024748E-3</v>
      </c>
      <c r="U584" s="42">
        <f>_xll.qlYieldTSDiscount(OisCurve,Q584,,AllTriggers)</f>
        <v>0.99203903532814608</v>
      </c>
      <c r="V584" s="42">
        <f>_xll.qlYieldTSDiscount(OisCurve,R584,,AllTriggers)</f>
        <v>0.99060530893148291</v>
      </c>
      <c r="W584" s="41">
        <f t="shared" si="47"/>
        <v>5.6634399952137935E-3</v>
      </c>
      <c r="X584" s="43">
        <f t="shared" si="48"/>
        <v>4.3741430887220289E-4</v>
      </c>
      <c r="Y584" s="41">
        <f t="shared" si="49"/>
        <v>1.7144734185886813E-3</v>
      </c>
      <c r="Z584" s="62"/>
    </row>
    <row r="585" spans="15:26" x14ac:dyDescent="0.25">
      <c r="O585" s="45" t="s">
        <v>33</v>
      </c>
      <c r="P585" s="39">
        <f>_xll.qlCalendarAdvance(Calendar,P584,O584,"f",,Trigger)</f>
        <v>44768</v>
      </c>
      <c r="Q585" s="39">
        <f>_xll.qlInterestRateIndexValueDate(Index,P585,Trigger)</f>
        <v>44770</v>
      </c>
      <c r="R585" s="39">
        <f>_xll.qlInterestRateIndexMaturity(Index,Q585,Trigger)</f>
        <v>44862</v>
      </c>
      <c r="S585" s="40">
        <f>_xll.qlDayCounterYearFraction(DayCounter,Q585,R585,,,Trigger)</f>
        <v>0.25555555555555554</v>
      </c>
      <c r="T585" s="41">
        <f>_xll.qlIndexFixing(Index,P585,,AllTriggers)</f>
        <v>7.4012120252339121E-3</v>
      </c>
      <c r="U585" s="42">
        <f>_xll.qlYieldTSDiscount(OisCurve,Q585,,AllTriggers)</f>
        <v>0.99193274840836188</v>
      </c>
      <c r="V585" s="42">
        <f>_xll.qlYieldTSDiscount(OisCurve,R585,,AllTriggers)</f>
        <v>0.99049311598315715</v>
      </c>
      <c r="W585" s="41">
        <f t="shared" si="47"/>
        <v>5.6874138564291443E-3</v>
      </c>
      <c r="X585" s="43">
        <f t="shared" si="48"/>
        <v>4.3723939541676559E-4</v>
      </c>
      <c r="Y585" s="41">
        <f t="shared" si="49"/>
        <v>1.7137981688047678E-3</v>
      </c>
      <c r="Z585" s="62"/>
    </row>
    <row r="586" spans="15:26" x14ac:dyDescent="0.25">
      <c r="O586" s="45" t="s">
        <v>33</v>
      </c>
      <c r="P586" s="39">
        <f>_xll.qlCalendarAdvance(Calendar,P585,O585,"f",,Trigger)</f>
        <v>44775</v>
      </c>
      <c r="Q586" s="39">
        <f>_xll.qlInterestRateIndexValueDate(Index,P586,Trigger)</f>
        <v>44777</v>
      </c>
      <c r="R586" s="39">
        <f>_xll.qlInterestRateIndexMaturity(Index,Q586,Trigger)</f>
        <v>44869</v>
      </c>
      <c r="S586" s="40">
        <f>_xll.qlDayCounterYearFraction(DayCounter,Q586,R586,,,Trigger)</f>
        <v>0.25555555555555554</v>
      </c>
      <c r="T586" s="41">
        <f>_xll.qlIndexFixing(Index,P586,,AllTriggers)</f>
        <v>7.4241733532094019E-3</v>
      </c>
      <c r="U586" s="42">
        <f>_xll.qlYieldTSDiscount(OisCurve,Q586,,AllTriggers)</f>
        <v>0.99182598128684996</v>
      </c>
      <c r="V586" s="42">
        <f>_xll.qlYieldTSDiscount(OisCurve,R586,,AllTriggers)</f>
        <v>0.99038050952226764</v>
      </c>
      <c r="W586" s="41">
        <f t="shared" si="47"/>
        <v>5.7111320417014694E-3</v>
      </c>
      <c r="X586" s="43">
        <f t="shared" si="48"/>
        <v>4.3704369682101552E-4</v>
      </c>
      <c r="Y586" s="41">
        <f t="shared" si="49"/>
        <v>1.7130413115079325E-3</v>
      </c>
      <c r="Z586" s="62"/>
    </row>
    <row r="587" spans="15:26" x14ac:dyDescent="0.25">
      <c r="O587" s="45" t="s">
        <v>33</v>
      </c>
      <c r="P587" s="39">
        <f>_xll.qlCalendarAdvance(Calendar,P586,O586,"f",,Trigger)</f>
        <v>44782</v>
      </c>
      <c r="Q587" s="39">
        <f>_xll.qlInterestRateIndexValueDate(Index,P587,Trigger)</f>
        <v>44784</v>
      </c>
      <c r="R587" s="39">
        <f>_xll.qlInterestRateIndexMaturity(Index,Q587,Trigger)</f>
        <v>44876</v>
      </c>
      <c r="S587" s="40">
        <f>_xll.qlDayCounterYearFraction(DayCounter,Q587,R587,,,Trigger)</f>
        <v>0.25555555555555554</v>
      </c>
      <c r="T587" s="41">
        <f>_xll.qlIndexFixing(Index,P587,,AllTriggers)</f>
        <v>7.4467973918023811E-3</v>
      </c>
      <c r="U587" s="42">
        <f>_xll.qlYieldTSDiscount(OisCurve,Q587,,AllTriggers)</f>
        <v>0.99171873904707286</v>
      </c>
      <c r="V587" s="42">
        <f>_xll.qlYieldTSDiscount(OisCurve,R587,,AllTriggers)</f>
        <v>0.99026749461147923</v>
      </c>
      <c r="W587" s="41">
        <f t="shared" si="47"/>
        <v>5.7345945463857882E-3</v>
      </c>
      <c r="X587" s="43">
        <f t="shared" si="48"/>
        <v>4.3682721308540076E-4</v>
      </c>
      <c r="Y587" s="41">
        <f t="shared" si="49"/>
        <v>1.712202845416593E-3</v>
      </c>
      <c r="Z587" s="62"/>
    </row>
    <row r="588" spans="15:26" x14ac:dyDescent="0.25">
      <c r="O588" s="45" t="s">
        <v>33</v>
      </c>
      <c r="P588" s="39">
        <f>_xll.qlCalendarAdvance(Calendar,P587,O587,"f",,Trigger)</f>
        <v>44789</v>
      </c>
      <c r="Q588" s="39">
        <f>_xll.qlInterestRateIndexValueDate(Index,P588,Trigger)</f>
        <v>44791</v>
      </c>
      <c r="R588" s="39">
        <f>_xll.qlInterestRateIndexMaturity(Index,Q588,Trigger)</f>
        <v>44883</v>
      </c>
      <c r="S588" s="40">
        <f>_xll.qlDayCounterYearFraction(DayCounter,Q588,R588,,,Trigger)</f>
        <v>0.25555555555555554</v>
      </c>
      <c r="T588" s="41">
        <f>_xll.qlIndexFixing(Index,P588,,AllTriggers)</f>
        <v>7.4690841351714356E-3</v>
      </c>
      <c r="U588" s="42">
        <f>_xll.qlYieldTSDiscount(OisCurve,Q588,,AllTriggers)</f>
        <v>0.99161102677104951</v>
      </c>
      <c r="V588" s="42">
        <f>_xll.qlYieldTSDiscount(OisCurve,R588,,AllTriggers)</f>
        <v>0.99015407631172014</v>
      </c>
      <c r="W588" s="41">
        <f t="shared" si="47"/>
        <v>5.7578013658883846E-3</v>
      </c>
      <c r="X588" s="43">
        <f t="shared" si="48"/>
        <v>4.3658994420973934E-4</v>
      </c>
      <c r="Y588" s="41">
        <f t="shared" si="49"/>
        <v>1.7112827692830511E-3</v>
      </c>
      <c r="Z588" s="62"/>
    </row>
    <row r="589" spans="15:26" x14ac:dyDescent="0.25">
      <c r="O589" s="45" t="s">
        <v>33</v>
      </c>
      <c r="P589" s="39">
        <f>_xll.qlCalendarAdvance(Calendar,P588,O588,"f",,Trigger)</f>
        <v>44796</v>
      </c>
      <c r="Q589" s="39">
        <f>_xll.qlInterestRateIndexValueDate(Index,P589,Trigger)</f>
        <v>44798</v>
      </c>
      <c r="R589" s="39">
        <f>_xll.qlInterestRateIndexMaturity(Index,Q589,Trigger)</f>
        <v>44890</v>
      </c>
      <c r="S589" s="40">
        <f>_xll.qlDayCounterYearFraction(DayCounter,Q589,R589,,,Trigger)</f>
        <v>0.25555555555555554</v>
      </c>
      <c r="T589" s="41">
        <f>_xll.qlIndexFixing(Index,P589,,AllTriggers)</f>
        <v>7.4910335775629057E-3</v>
      </c>
      <c r="U589" s="42">
        <f>_xll.qlYieldTSDiscount(OisCurve,Q589,,AllTriggers)</f>
        <v>0.99150284953933154</v>
      </c>
      <c r="V589" s="42">
        <f>_xll.qlYieldTSDiscount(OisCurve,R589,,AllTriggers)</f>
        <v>0.99004025968216203</v>
      </c>
      <c r="W589" s="41">
        <f t="shared" si="47"/>
        <v>5.7807524956659364E-3</v>
      </c>
      <c r="X589" s="43">
        <f t="shared" si="48"/>
        <v>4.363318901936628E-4</v>
      </c>
      <c r="Y589" s="41">
        <f t="shared" si="49"/>
        <v>1.7102810818969694E-3</v>
      </c>
      <c r="Z589" s="62"/>
    </row>
    <row r="590" spans="15:26" x14ac:dyDescent="0.25">
      <c r="O590" s="45" t="s">
        <v>33</v>
      </c>
      <c r="P590" s="39">
        <f>_xll.qlCalendarAdvance(Calendar,P589,O589,"f",,Trigger)</f>
        <v>44803</v>
      </c>
      <c r="Q590" s="39">
        <f>_xll.qlInterestRateIndexValueDate(Index,P590,Trigger)</f>
        <v>44805</v>
      </c>
      <c r="R590" s="39">
        <f>_xll.qlInterestRateIndexMaturity(Index,Q590,Trigger)</f>
        <v>44896</v>
      </c>
      <c r="S590" s="40">
        <f>_xll.qlDayCounterYearFraction(DayCounter,Q590,R590,,,Trigger)</f>
        <v>0.25277777777777777</v>
      </c>
      <c r="T590" s="41">
        <f>_xll.qlIndexFixing(Index,P590,,AllTriggers)</f>
        <v>7.511087376623345E-3</v>
      </c>
      <c r="U590" s="42">
        <f>_xll.qlYieldTSDiscount(OisCurve,Q590,,AllTriggers)</f>
        <v>0.99139421243097958</v>
      </c>
      <c r="V590" s="42">
        <f>_xll.qlYieldTSDiscount(OisCurve,R590,,AllTriggers)</f>
        <v>0.98994238936675116</v>
      </c>
      <c r="W590" s="41">
        <f t="shared" si="47"/>
        <v>5.8018283893873706E-3</v>
      </c>
      <c r="X590" s="43">
        <f t="shared" si="48"/>
        <v>4.3133692563021944E-4</v>
      </c>
      <c r="Y590" s="41">
        <f t="shared" si="49"/>
        <v>1.7092589872359744E-3</v>
      </c>
      <c r="Z590" s="62"/>
    </row>
    <row r="591" spans="15:26" x14ac:dyDescent="0.25">
      <c r="O591" s="45" t="s">
        <v>33</v>
      </c>
      <c r="P591" s="39">
        <f>_xll.qlCalendarAdvance(Calendar,P590,O590,"f",,Trigger)</f>
        <v>44810</v>
      </c>
      <c r="Q591" s="39">
        <f>_xll.qlInterestRateIndexValueDate(Index,P591,Trigger)</f>
        <v>44812</v>
      </c>
      <c r="R591" s="39">
        <f>_xll.qlInterestRateIndexMaturity(Index,Q591,Trigger)</f>
        <v>44903</v>
      </c>
      <c r="S591" s="40">
        <f>_xll.qlDayCounterYearFraction(DayCounter,Q591,R591,,,Trigger)</f>
        <v>0.25277777777777777</v>
      </c>
      <c r="T591" s="41">
        <f>_xll.qlIndexFixing(Index,P591,,AllTriggers)</f>
        <v>7.5323858497588197E-3</v>
      </c>
      <c r="U591" s="42">
        <f>_xll.qlYieldTSDiscount(OisCurve,Q591,,AllTriggers)</f>
        <v>0.99128512052354045</v>
      </c>
      <c r="V591" s="42">
        <f>_xll.qlYieldTSDiscount(OisCurve,R591,,AllTriggers)</f>
        <v>0.98982784639806842</v>
      </c>
      <c r="W591" s="41">
        <f t="shared" si="47"/>
        <v>5.8242860284763989E-3</v>
      </c>
      <c r="X591" s="43">
        <f t="shared" si="48"/>
        <v>4.3104202663527241E-4</v>
      </c>
      <c r="Y591" s="41">
        <f t="shared" si="49"/>
        <v>1.7080998212824208E-3</v>
      </c>
      <c r="Z591" s="62"/>
    </row>
    <row r="592" spans="15:26" x14ac:dyDescent="0.25">
      <c r="O592" s="45" t="s">
        <v>33</v>
      </c>
      <c r="P592" s="39">
        <f>_xll.qlCalendarAdvance(Calendar,P591,O591,"f",,Trigger)</f>
        <v>44817</v>
      </c>
      <c r="Q592" s="39">
        <f>_xll.qlInterestRateIndexValueDate(Index,P592,Trigger)</f>
        <v>44819</v>
      </c>
      <c r="R592" s="39">
        <f>_xll.qlInterestRateIndexMaturity(Index,Q592,Trigger)</f>
        <v>44910</v>
      </c>
      <c r="S592" s="40">
        <f>_xll.qlDayCounterYearFraction(DayCounter,Q592,R592,,,Trigger)</f>
        <v>0.25277777777777777</v>
      </c>
      <c r="T592" s="41">
        <f>_xll.qlIndexFixing(Index,P592,,AllTriggers)</f>
        <v>7.5533470113766758E-3</v>
      </c>
      <c r="U592" s="42">
        <f>_xll.qlYieldTSDiscount(OisCurve,Q592,,AllTriggers)</f>
        <v>0.9911755788930231</v>
      </c>
      <c r="V592" s="42">
        <f>_xll.qlYieldTSDiscount(OisCurve,R592,,AllTriggers)</f>
        <v>0.98971291954450347</v>
      </c>
      <c r="W592" s="41">
        <f t="shared" si="47"/>
        <v>5.8464879675671089E-3</v>
      </c>
      <c r="X592" s="43">
        <f t="shared" si="48"/>
        <v>4.3072656842597034E-4</v>
      </c>
      <c r="Y592" s="41">
        <f t="shared" si="49"/>
        <v>1.7068590438095669E-3</v>
      </c>
      <c r="Z592" s="62"/>
    </row>
    <row r="593" spans="15:26" x14ac:dyDescent="0.25">
      <c r="O593" s="45" t="s">
        <v>33</v>
      </c>
      <c r="P593" s="39">
        <f>_xll.qlCalendarAdvance(Calendar,P592,O592,"f",,Trigger)</f>
        <v>44824</v>
      </c>
      <c r="Q593" s="39">
        <f>_xll.qlInterestRateIndexValueDate(Index,P593,Trigger)</f>
        <v>44826</v>
      </c>
      <c r="R593" s="39">
        <f>_xll.qlInterestRateIndexMaturity(Index,Q593,Trigger)</f>
        <v>44917</v>
      </c>
      <c r="S593" s="40">
        <f>_xll.qlDayCounterYearFraction(DayCounter,Q593,R593,,,Trigger)</f>
        <v>0.25277777777777777</v>
      </c>
      <c r="T593" s="41">
        <f>_xll.qlIndexFixing(Index,P593,,AllTriggers)</f>
        <v>7.573970856122954E-3</v>
      </c>
      <c r="U593" s="42">
        <f>_xll.qlYieldTSDiscount(OisCurve,Q593,,AllTriggers)</f>
        <v>0.99106559261387683</v>
      </c>
      <c r="V593" s="42">
        <f>_xll.qlYieldTSDiscount(OisCurve,R593,,AllTriggers)</f>
        <v>0.98959761385826472</v>
      </c>
      <c r="W593" s="41">
        <f t="shared" si="47"/>
        <v>5.8684342023605221E-3</v>
      </c>
      <c r="X593" s="43">
        <f t="shared" si="48"/>
        <v>4.3039055100194411E-4</v>
      </c>
      <c r="Y593" s="41">
        <f t="shared" si="49"/>
        <v>1.7055366537624319E-3</v>
      </c>
      <c r="Z593" s="62"/>
    </row>
    <row r="594" spans="15:26" x14ac:dyDescent="0.25">
      <c r="O594" s="45" t="s">
        <v>33</v>
      </c>
      <c r="P594" s="39">
        <f>_xll.qlCalendarAdvance(Calendar,P593,O593,"f",,Trigger)</f>
        <v>44831</v>
      </c>
      <c r="Q594" s="39">
        <f>_xll.qlInterestRateIndexValueDate(Index,P594,Trigger)</f>
        <v>44833</v>
      </c>
      <c r="R594" s="39">
        <f>_xll.qlInterestRateIndexMaturity(Index,Q594,Trigger)</f>
        <v>44924</v>
      </c>
      <c r="S594" s="40">
        <f>_xll.qlDayCounterYearFraction(DayCounter,Q594,R594,,,Trigger)</f>
        <v>0.25277777777777777</v>
      </c>
      <c r="T594" s="41">
        <f>_xll.qlIndexFixing(Index,P594,,AllTriggers)</f>
        <v>7.5942573787324153E-3</v>
      </c>
      <c r="U594" s="42">
        <f>_xll.qlYieldTSDiscount(OisCurve,Q594,,AllTriggers)</f>
        <v>0.99095516675896811</v>
      </c>
      <c r="V594" s="42">
        <f>_xll.qlYieldTSDiscount(OisCurve,R594,,AllTriggers)</f>
        <v>0.98948193438970855</v>
      </c>
      <c r="W594" s="41">
        <f t="shared" si="47"/>
        <v>5.8901247286059734E-3</v>
      </c>
      <c r="X594" s="43">
        <f t="shared" si="48"/>
        <v>4.3003397436333228E-4</v>
      </c>
      <c r="Y594" s="41">
        <f t="shared" si="49"/>
        <v>1.704132650126442E-3</v>
      </c>
      <c r="Z594" s="62"/>
    </row>
    <row r="595" spans="15:26" x14ac:dyDescent="0.25">
      <c r="O595" s="45" t="s">
        <v>33</v>
      </c>
      <c r="P595" s="39">
        <f>_xll.qlCalendarAdvance(Calendar,P594,O594,"f",,Trigger)</f>
        <v>44838</v>
      </c>
      <c r="Q595" s="39">
        <f>_xll.qlInterestRateIndexValueDate(Index,P595,Trigger)</f>
        <v>44840</v>
      </c>
      <c r="R595" s="39">
        <f>_xll.qlInterestRateIndexMaturity(Index,Q595,Trigger)</f>
        <v>44932</v>
      </c>
      <c r="S595" s="40">
        <f>_xll.qlDayCounterYearFraction(DayCounter,Q595,R595,,,Trigger)</f>
        <v>0.25555555555555554</v>
      </c>
      <c r="T595" s="41">
        <f>_xll.qlIndexFixing(Index,P595,,AllTriggers)</f>
        <v>7.6156466001462229E-3</v>
      </c>
      <c r="U595" s="42">
        <f>_xll.qlYieldTSDiscount(OisCurve,Q595,,AllTriggers)</f>
        <v>0.99084430639955812</v>
      </c>
      <c r="V595" s="42">
        <f>_xll.qlYieldTSDiscount(OisCurve,R595,,AllTriggers)</f>
        <v>0.98934927806625739</v>
      </c>
      <c r="W595" s="41">
        <f t="shared" si="47"/>
        <v>5.9130895419177449E-3</v>
      </c>
      <c r="X595" s="43">
        <f t="shared" si="48"/>
        <v>4.3434707815809162E-4</v>
      </c>
      <c r="Y595" s="41">
        <f t="shared" si="49"/>
        <v>1.702557058228478E-3</v>
      </c>
      <c r="Z595" s="62"/>
    </row>
    <row r="596" spans="15:26" x14ac:dyDescent="0.25">
      <c r="O596" s="45" t="s">
        <v>33</v>
      </c>
      <c r="P596" s="39">
        <f>_xll.qlCalendarAdvance(Calendar,P595,O595,"f",,Trigger)</f>
        <v>44845</v>
      </c>
      <c r="Q596" s="39">
        <f>_xll.qlInterestRateIndexValueDate(Index,P596,Trigger)</f>
        <v>44847</v>
      </c>
      <c r="R596" s="39">
        <f>_xll.qlInterestRateIndexMaturity(Index,Q596,Trigger)</f>
        <v>44939</v>
      </c>
      <c r="S596" s="40">
        <f>_xll.qlDayCounterYearFraction(DayCounter,Q596,R596,,,Trigger)</f>
        <v>0.25555555555555554</v>
      </c>
      <c r="T596" s="41">
        <f>_xll.qlIndexFixing(Index,P596,,AllTriggers)</f>
        <v>7.6352347819037165E-3</v>
      </c>
      <c r="U596" s="42">
        <f>_xll.qlYieldTSDiscount(OisCurve,Q596,,AllTriggers)</f>
        <v>0.99073301660528157</v>
      </c>
      <c r="V596" s="42">
        <f>_xll.qlYieldTSDiscount(OisCurve,R596,,AllTriggers)</f>
        <v>0.98923281463316615</v>
      </c>
      <c r="W596" s="41">
        <f t="shared" si="47"/>
        <v>5.93425072058188E-3</v>
      </c>
      <c r="X596" s="43">
        <f t="shared" si="48"/>
        <v>4.3394352816177501E-4</v>
      </c>
      <c r="Y596" s="41">
        <f t="shared" si="49"/>
        <v>1.7009840613218365E-3</v>
      </c>
      <c r="Z596" s="62"/>
    </row>
    <row r="597" spans="15:26" x14ac:dyDescent="0.25">
      <c r="O597" s="45" t="s">
        <v>33</v>
      </c>
      <c r="P597" s="39">
        <f>_xll.qlCalendarAdvance(Calendar,P596,O596,"f",,Trigger)</f>
        <v>44852</v>
      </c>
      <c r="Q597" s="39">
        <f>_xll.qlInterestRateIndexValueDate(Index,P597,Trigger)</f>
        <v>44854</v>
      </c>
      <c r="R597" s="39">
        <f>_xll.qlInterestRateIndexMaturity(Index,Q597,Trigger)</f>
        <v>44946</v>
      </c>
      <c r="S597" s="40">
        <f>_xll.qlDayCounterYearFraction(DayCounter,Q597,R597,,,Trigger)</f>
        <v>0.25555555555555554</v>
      </c>
      <c r="T597" s="41">
        <f>_xll.qlIndexFixing(Index,P597,,AllTriggers)</f>
        <v>7.6544856197892433E-3</v>
      </c>
      <c r="U597" s="42">
        <f>_xll.qlYieldTSDiscount(OisCurve,Q597,,AllTriggers)</f>
        <v>0.99062130244412405</v>
      </c>
      <c r="V597" s="42">
        <f>_xll.qlYieldTSDiscount(OisCurve,R597,,AllTriggers)</f>
        <v>0.98911599327803501</v>
      </c>
      <c r="W597" s="41">
        <f t="shared" si="47"/>
        <v>5.9551561749694787E-3</v>
      </c>
      <c r="X597" s="43">
        <f t="shared" si="48"/>
        <v>4.3351919302559843E-4</v>
      </c>
      <c r="Y597" s="41">
        <f t="shared" si="49"/>
        <v>1.6993294448197646E-3</v>
      </c>
      <c r="Z597" s="62"/>
    </row>
    <row r="598" spans="15:26" x14ac:dyDescent="0.25">
      <c r="O598" s="45" t="s">
        <v>33</v>
      </c>
      <c r="P598" s="39">
        <f>_xll.qlCalendarAdvance(Calendar,P597,O597,"f",,Trigger)</f>
        <v>44859</v>
      </c>
      <c r="Q598" s="39">
        <f>_xll.qlInterestRateIndexValueDate(Index,P598,Trigger)</f>
        <v>44861</v>
      </c>
      <c r="R598" s="39">
        <f>_xll.qlInterestRateIndexMaturity(Index,Q598,Trigger)</f>
        <v>44953</v>
      </c>
      <c r="S598" s="40">
        <f>_xll.qlDayCounterYearFraction(DayCounter,Q598,R598,,,Trigger)</f>
        <v>0.25555555555555554</v>
      </c>
      <c r="T598" s="41">
        <f>_xll.qlIndexFixing(Index,P598,,AllTriggers)</f>
        <v>7.6733991088302582E-3</v>
      </c>
      <c r="U598" s="42">
        <f>_xll.qlYieldTSDiscount(OisCurve,Q598,,AllTriggers)</f>
        <v>0.99050916898240071</v>
      </c>
      <c r="V598" s="42">
        <f>_xll.qlYieldTSDiscount(OisCurve,R598,,AllTriggers)</f>
        <v>0.98899881904334652</v>
      </c>
      <c r="W598" s="41">
        <f t="shared" si="47"/>
        <v>5.9758059009864242E-3</v>
      </c>
      <c r="X598" s="43">
        <f t="shared" si="48"/>
        <v>4.3307407274907026E-4</v>
      </c>
      <c r="Y598" s="41">
        <f t="shared" si="49"/>
        <v>1.697593207843834E-3</v>
      </c>
      <c r="Z598" s="62"/>
    </row>
    <row r="599" spans="15:26" x14ac:dyDescent="0.25">
      <c r="O599" s="45" t="s">
        <v>33</v>
      </c>
      <c r="P599" s="39">
        <f>_xll.qlCalendarAdvance(Calendar,P598,O598,"f",,Trigger)</f>
        <v>44866</v>
      </c>
      <c r="Q599" s="39">
        <f>_xll.qlInterestRateIndexValueDate(Index,P599,Trigger)</f>
        <v>44868</v>
      </c>
      <c r="R599" s="39">
        <f>_xll.qlInterestRateIndexMaturity(Index,Q599,Trigger)</f>
        <v>44960</v>
      </c>
      <c r="S599" s="40">
        <f>_xll.qlDayCounterYearFraction(DayCounter,Q599,R599,,,Trigger)</f>
        <v>0.25555555555555554</v>
      </c>
      <c r="T599" s="41">
        <f>_xll.qlIndexFixing(Index,P599,,AllTriggers)</f>
        <v>7.6919752441463179E-3</v>
      </c>
      <c r="U599" s="42">
        <f>_xll.qlYieldTSDiscount(OisCurve,Q599,,AllTriggers)</f>
        <v>0.99039662128473527</v>
      </c>
      <c r="V599" s="42">
        <f>_xll.qlYieldTSDiscount(OisCurve,R599,,AllTriggers)</f>
        <v>0.98888129696963589</v>
      </c>
      <c r="W599" s="41">
        <f t="shared" si="47"/>
        <v>5.9961998945881256E-3</v>
      </c>
      <c r="X599" s="43">
        <f t="shared" si="48"/>
        <v>4.3260816733306631E-4</v>
      </c>
      <c r="Y599" s="41">
        <f t="shared" si="49"/>
        <v>1.6957753495581923E-3</v>
      </c>
      <c r="Z599" s="62"/>
    </row>
    <row r="600" spans="15:26" x14ac:dyDescent="0.25">
      <c r="O600" s="45" t="s">
        <v>33</v>
      </c>
      <c r="P600" s="39">
        <f>_xll.qlCalendarAdvance(Calendar,P599,O599,"f",,Trigger)</f>
        <v>44873</v>
      </c>
      <c r="Q600" s="39">
        <f>_xll.qlInterestRateIndexValueDate(Index,P600,Trigger)</f>
        <v>44875</v>
      </c>
      <c r="R600" s="39">
        <f>_xll.qlInterestRateIndexMaturity(Index,Q600,Trigger)</f>
        <v>44967</v>
      </c>
      <c r="S600" s="40">
        <f>_xll.qlDayCounterYearFraction(DayCounter,Q600,R600,,,Trigger)</f>
        <v>0.25555555555555554</v>
      </c>
      <c r="T600" s="41">
        <f>_xll.qlIndexFixing(Index,P600,,AllTriggers)</f>
        <v>7.7102140209395218E-3</v>
      </c>
      <c r="U600" s="42">
        <f>_xll.qlYieldTSDiscount(OisCurve,Q600,,AllTriggers)</f>
        <v>0.99028366441403881</v>
      </c>
      <c r="V600" s="42">
        <f>_xll.qlYieldTSDiscount(OisCurve,R600,,AllTriggers)</f>
        <v>0.98876343209547335</v>
      </c>
      <c r="W600" s="41">
        <f t="shared" si="47"/>
        <v>6.0163381517829928E-3</v>
      </c>
      <c r="X600" s="43">
        <f t="shared" si="48"/>
        <v>4.3212147677650049E-4</v>
      </c>
      <c r="Y600" s="41">
        <f t="shared" si="49"/>
        <v>1.6938758691565289E-3</v>
      </c>
      <c r="Z600" s="62"/>
    </row>
    <row r="601" spans="15:26" x14ac:dyDescent="0.25">
      <c r="O601" s="45" t="s">
        <v>33</v>
      </c>
      <c r="P601" s="39">
        <f>_xll.qlCalendarAdvance(Calendar,P600,O600,"f",,Trigger)</f>
        <v>44880</v>
      </c>
      <c r="Q601" s="39">
        <f>_xll.qlInterestRateIndexValueDate(Index,P601,Trigger)</f>
        <v>44882</v>
      </c>
      <c r="R601" s="39">
        <f>_xll.qlInterestRateIndexMaturity(Index,Q601,Trigger)</f>
        <v>44974</v>
      </c>
      <c r="S601" s="40">
        <f>_xll.qlDayCounterYearFraction(DayCounter,Q601,R601,,,Trigger)</f>
        <v>0.25555555555555554</v>
      </c>
      <c r="T601" s="41">
        <f>_xll.qlIndexFixing(Index,P601,,AllTriggers)</f>
        <v>7.7281154345023298E-3</v>
      </c>
      <c r="U601" s="42">
        <f>_xll.qlYieldTSDiscount(OisCurve,Q601,,AllTriggers)</f>
        <v>0.99017030343148926</v>
      </c>
      <c r="V601" s="42">
        <f>_xll.qlYieldTSDiscount(OisCurve,R601,,AllTriggers)</f>
        <v>0.98864522945744726</v>
      </c>
      <c r="W601" s="41">
        <f t="shared" si="47"/>
        <v>6.036220668627224E-3</v>
      </c>
      <c r="X601" s="43">
        <f t="shared" si="48"/>
        <v>4.3161400107987591E-4</v>
      </c>
      <c r="Y601" s="41">
        <f t="shared" si="49"/>
        <v>1.6918947658751057E-3</v>
      </c>
      <c r="Z601" s="62"/>
    </row>
    <row r="602" spans="15:26" x14ac:dyDescent="0.25">
      <c r="O602" s="45" t="s">
        <v>33</v>
      </c>
      <c r="P602" s="39">
        <f>_xll.qlCalendarAdvance(Calendar,P601,O601,"f",,Trigger)</f>
        <v>44887</v>
      </c>
      <c r="Q602" s="39">
        <f>_xll.qlInterestRateIndexValueDate(Index,P602,Trigger)</f>
        <v>44889</v>
      </c>
      <c r="R602" s="39">
        <f>_xll.qlInterestRateIndexMaturity(Index,Q602,Trigger)</f>
        <v>44981</v>
      </c>
      <c r="S602" s="40">
        <f>_xll.qlDayCounterYearFraction(DayCounter,Q602,R602,,,Trigger)</f>
        <v>0.25555555555555554</v>
      </c>
      <c r="T602" s="41">
        <f>_xll.qlIndexFixing(Index,P602,,AllTriggers)</f>
        <v>7.7456794802123544E-3</v>
      </c>
      <c r="U602" s="42">
        <f>_xll.qlYieldTSDiscount(OisCurve,Q602,,AllTriggers)</f>
        <v>0.99005654339650995</v>
      </c>
      <c r="V602" s="42">
        <f>_xll.qlYieldTSDiscount(OisCurve,R602,,AllTriggers)</f>
        <v>0.98852669409014626</v>
      </c>
      <c r="W602" s="41">
        <f t="shared" si="47"/>
        <v>6.0558474412248063E-3</v>
      </c>
      <c r="X602" s="43">
        <f t="shared" si="48"/>
        <v>4.3108574024373149E-4</v>
      </c>
      <c r="Y602" s="41">
        <f t="shared" si="49"/>
        <v>1.6898320389875481E-3</v>
      </c>
      <c r="Z602" s="62"/>
    </row>
    <row r="603" spans="15:26" x14ac:dyDescent="0.25">
      <c r="O603" s="45" t="s">
        <v>33</v>
      </c>
      <c r="P603" s="39">
        <f>_xll.qlCalendarAdvance(Calendar,P602,O602,"f",,Trigger)</f>
        <v>44894</v>
      </c>
      <c r="Q603" s="39">
        <f>_xll.qlInterestRateIndexValueDate(Index,P603,Trigger)</f>
        <v>44896</v>
      </c>
      <c r="R603" s="39">
        <f>_xll.qlInterestRateIndexMaturity(Index,Q603,Trigger)</f>
        <v>44986</v>
      </c>
      <c r="S603" s="40">
        <f>_xll.qlDayCounterYearFraction(DayCounter,Q603,R603,,,Trigger)</f>
        <v>0.25</v>
      </c>
      <c r="T603" s="41">
        <f>_xll.qlIndexFixing(Index,P603,,AllTriggers)</f>
        <v>7.760403122087034E-3</v>
      </c>
      <c r="U603" s="42">
        <f>_xll.qlYieldTSDiscount(OisCurve,Q603,,AllTriggers)</f>
        <v>0.98994238936675116</v>
      </c>
      <c r="V603" s="42">
        <f>_xll.qlYieldTSDiscount(OisCurve,R603,,AllTriggers)</f>
        <v>0.98844182504664724</v>
      </c>
      <c r="W603" s="41">
        <f t="shared" si="47"/>
        <v>6.0724436464756337E-3</v>
      </c>
      <c r="X603" s="43">
        <f t="shared" si="48"/>
        <v>4.2126146947389311E-4</v>
      </c>
      <c r="Y603" s="41">
        <f t="shared" si="49"/>
        <v>1.6879594756114003E-3</v>
      </c>
      <c r="Z603" s="62"/>
    </row>
    <row r="604" spans="15:26" x14ac:dyDescent="0.25">
      <c r="O604" s="45" t="s">
        <v>33</v>
      </c>
      <c r="P604" s="39">
        <f>_xll.qlCalendarAdvance(Calendar,P603,O603,"f",,Trigger)</f>
        <v>44901</v>
      </c>
      <c r="Q604" s="39">
        <f>_xll.qlInterestRateIndexValueDate(Index,P604,Trigger)</f>
        <v>44903</v>
      </c>
      <c r="R604" s="39">
        <f>_xll.qlInterestRateIndexMaturity(Index,Q604,Trigger)</f>
        <v>44993</v>
      </c>
      <c r="S604" s="40">
        <f>_xll.qlDayCounterYearFraction(DayCounter,Q604,R604,,,Trigger)</f>
        <v>0.25</v>
      </c>
      <c r="T604" s="41">
        <f>_xll.qlIndexFixing(Index,P604,,AllTriggers)</f>
        <v>7.7773398856813003E-3</v>
      </c>
      <c r="U604" s="42">
        <f>_xll.qlYieldTSDiscount(OisCurve,Q604,,AllTriggers)</f>
        <v>0.98982784639806842</v>
      </c>
      <c r="V604" s="42">
        <f>_xll.qlYieldTSDiscount(OisCurve,R604,,AllTriggers)</f>
        <v>0.98832273099361223</v>
      </c>
      <c r="W604" s="41">
        <f t="shared" si="47"/>
        <v>6.0915948090887184E-3</v>
      </c>
      <c r="X604" s="43">
        <f t="shared" si="48"/>
        <v>4.2070693074559428E-4</v>
      </c>
      <c r="Y604" s="41">
        <f t="shared" si="49"/>
        <v>1.6857450765925819E-3</v>
      </c>
      <c r="Z604" s="62"/>
    </row>
    <row r="605" spans="15:26" x14ac:dyDescent="0.25">
      <c r="O605" s="45" t="s">
        <v>33</v>
      </c>
      <c r="P605" s="39">
        <f>_xll.qlCalendarAdvance(Calendar,P604,O604,"f",,Trigger)</f>
        <v>44908</v>
      </c>
      <c r="Q605" s="39">
        <f>_xll.qlInterestRateIndexValueDate(Index,P605,Trigger)</f>
        <v>44910</v>
      </c>
      <c r="R605" s="39">
        <f>_xll.qlInterestRateIndexMaturity(Index,Q605,Trigger)</f>
        <v>45000</v>
      </c>
      <c r="S605" s="40">
        <f>_xll.qlDayCounterYearFraction(DayCounter,Q605,R605,,,Trigger)</f>
        <v>0.25</v>
      </c>
      <c r="T605" s="41">
        <f>_xll.qlIndexFixing(Index,P605,,AllTriggers)</f>
        <v>7.7939392816928077E-3</v>
      </c>
      <c r="U605" s="42">
        <f>_xll.qlYieldTSDiscount(OisCurve,Q605,,AllTriggers)</f>
        <v>0.98971291954450347</v>
      </c>
      <c r="V605" s="42">
        <f>_xll.qlYieldTSDiscount(OisCurve,R605,,AllTriggers)</f>
        <v>0.98820331786640336</v>
      </c>
      <c r="W605" s="41">
        <f t="shared" si="47"/>
        <v>6.1104902232447245E-3</v>
      </c>
      <c r="X605" s="43">
        <f t="shared" si="48"/>
        <v>4.2013205872852376E-4</v>
      </c>
      <c r="Y605" s="41">
        <f t="shared" si="49"/>
        <v>1.6834490584480832E-3</v>
      </c>
      <c r="Z605" s="62"/>
    </row>
    <row r="606" spans="15:26" x14ac:dyDescent="0.25">
      <c r="O606" s="45" t="s">
        <v>33</v>
      </c>
      <c r="P606" s="39">
        <f>_xll.qlCalendarAdvance(Calendar,P605,O605,"f",,Trigger)</f>
        <v>44915</v>
      </c>
      <c r="Q606" s="39">
        <f>_xll.qlInterestRateIndexValueDate(Index,P606,Trigger)</f>
        <v>44917</v>
      </c>
      <c r="R606" s="39">
        <f>_xll.qlInterestRateIndexMaturity(Index,Q606,Trigger)</f>
        <v>45007</v>
      </c>
      <c r="S606" s="40">
        <f>_xll.qlDayCounterYearFraction(DayCounter,Q606,R606,,,Trigger)</f>
        <v>0.25</v>
      </c>
      <c r="T606" s="41">
        <f>_xll.qlIndexFixing(Index,P606,,AllTriggers)</f>
        <v>7.8102013059275777E-3</v>
      </c>
      <c r="U606" s="42">
        <f>_xll.qlYieldTSDiscount(OisCurve,Q606,,AllTriggers)</f>
        <v>0.98959761385826472</v>
      </c>
      <c r="V606" s="42">
        <f>_xll.qlYieldTSDiscount(OisCurve,R606,,AllTriggers)</f>
        <v>0.98808359069203788</v>
      </c>
      <c r="W606" s="41">
        <f t="shared" si="47"/>
        <v>6.1291298853225484E-3</v>
      </c>
      <c r="X606" s="43">
        <f t="shared" si="48"/>
        <v>4.195368534222391E-4</v>
      </c>
      <c r="Y606" s="41">
        <f t="shared" si="49"/>
        <v>1.6810714206050292E-3</v>
      </c>
      <c r="Z606" s="62"/>
    </row>
    <row r="607" spans="15:26" x14ac:dyDescent="0.25">
      <c r="O607" s="45" t="s">
        <v>33</v>
      </c>
      <c r="P607" s="39">
        <f>_xll.qlCalendarAdvance(Calendar,P606,O606,"f",,Trigger)</f>
        <v>44922</v>
      </c>
      <c r="Q607" s="39">
        <f>_xll.qlInterestRateIndexValueDate(Index,P607,Trigger)</f>
        <v>44924</v>
      </c>
      <c r="R607" s="39">
        <f>_xll.qlInterestRateIndexMaturity(Index,Q607,Trigger)</f>
        <v>45014</v>
      </c>
      <c r="S607" s="40">
        <f>_xll.qlDayCounterYearFraction(DayCounter,Q607,R607,,,Trigger)</f>
        <v>0.25</v>
      </c>
      <c r="T607" s="41">
        <f>_xll.qlIndexFixing(Index,P607,,AllTriggers)</f>
        <v>7.8261259542804495E-3</v>
      </c>
      <c r="U607" s="42">
        <f>_xll.qlYieldTSDiscount(OisCurve,Q607,,AllTriggers)</f>
        <v>0.98948193438970855</v>
      </c>
      <c r="V607" s="42">
        <f>_xll.qlYieldTSDiscount(OisCurve,R607,,AllTriggers)</f>
        <v>0.9879635544954557</v>
      </c>
      <c r="W607" s="41">
        <f t="shared" si="47"/>
        <v>6.1475137917543776E-3</v>
      </c>
      <c r="X607" s="43">
        <f t="shared" si="48"/>
        <v>4.18921314826833E-4</v>
      </c>
      <c r="Y607" s="41">
        <f t="shared" si="49"/>
        <v>1.6786121625260719E-3</v>
      </c>
      <c r="Z607" s="62"/>
    </row>
    <row r="608" spans="15:26" x14ac:dyDescent="0.25">
      <c r="O608" s="45" t="s">
        <v>33</v>
      </c>
      <c r="P608" s="39">
        <f>_xll.qlCalendarAdvance(Calendar,P607,O607,"f",,Trigger)</f>
        <v>44929</v>
      </c>
      <c r="Q608" s="39">
        <f>_xll.qlInterestRateIndexValueDate(Index,P608,Trigger)</f>
        <v>44931</v>
      </c>
      <c r="R608" s="39">
        <f>_xll.qlInterestRateIndexMaturity(Index,Q608,Trigger)</f>
        <v>45021</v>
      </c>
      <c r="S608" s="40">
        <f>_xll.qlDayCounterYearFraction(DayCounter,Q608,R608,,,Trigger)</f>
        <v>0.25</v>
      </c>
      <c r="T608" s="41">
        <f>_xll.qlIndexFixing(Index,P608,,AllTriggers)</f>
        <v>7.8417132227279751E-3</v>
      </c>
      <c r="U608" s="42">
        <f>_xll.qlYieldTSDiscount(OisCurve,Q608,,AllTriggers)</f>
        <v>0.98936588618731958</v>
      </c>
      <c r="V608" s="42">
        <f>_xll.qlYieldTSDiscount(OisCurve,R608,,AllTriggers)</f>
        <v>0.98784321429950483</v>
      </c>
      <c r="W608" s="41">
        <f t="shared" si="47"/>
        <v>6.1656419390176964E-3</v>
      </c>
      <c r="X608" s="43">
        <f t="shared" si="48"/>
        <v>4.1828544294226784E-4</v>
      </c>
      <c r="Y608" s="41">
        <f t="shared" si="49"/>
        <v>1.6760712837102787E-3</v>
      </c>
      <c r="Z608" s="62"/>
    </row>
    <row r="609" spans="15:26" x14ac:dyDescent="0.25">
      <c r="O609" s="45" t="s">
        <v>33</v>
      </c>
      <c r="P609" s="39">
        <f>_xll.qlCalendarAdvance(Calendar,P608,O608,"f",,Trigger)</f>
        <v>44936</v>
      </c>
      <c r="Q609" s="39">
        <f>_xll.qlInterestRateIndexValueDate(Index,P609,Trigger)</f>
        <v>44938</v>
      </c>
      <c r="R609" s="39">
        <f>_xll.qlInterestRateIndexMaturity(Index,Q609,Trigger)</f>
        <v>45028</v>
      </c>
      <c r="S609" s="40">
        <f>_xll.qlDayCounterYearFraction(DayCounter,Q609,R609,,,Trigger)</f>
        <v>0.25</v>
      </c>
      <c r="T609" s="41">
        <f>_xll.qlIndexFixing(Index,P609,,AllTriggers)</f>
        <v>7.8569631073328594E-3</v>
      </c>
      <c r="U609" s="42">
        <f>_xll.qlYieldTSDiscount(OisCurve,Q609,,AllTriggers)</f>
        <v>0.98924947429769228</v>
      </c>
      <c r="V609" s="42">
        <f>_xll.qlYieldTSDiscount(OisCurve,R609,,AllTriggers)</f>
        <v>0.98772257512492556</v>
      </c>
      <c r="W609" s="41">
        <f t="shared" si="47"/>
        <v>6.1835143236397272E-3</v>
      </c>
      <c r="X609" s="43">
        <f t="shared" si="48"/>
        <v>4.1762923776815335E-4</v>
      </c>
      <c r="Y609" s="41">
        <f t="shared" si="49"/>
        <v>1.6734487836931322E-3</v>
      </c>
      <c r="Z609" s="62"/>
    </row>
    <row r="610" spans="15:26" x14ac:dyDescent="0.25">
      <c r="O610" s="45" t="s">
        <v>33</v>
      </c>
      <c r="P610" s="39">
        <f>_xll.qlCalendarAdvance(Calendar,P609,O609,"f",,Trigger)</f>
        <v>44943</v>
      </c>
      <c r="Q610" s="39">
        <f>_xll.qlInterestRateIndexValueDate(Index,P610,Trigger)</f>
        <v>44945</v>
      </c>
      <c r="R610" s="39">
        <f>_xll.qlInterestRateIndexMaturity(Index,Q610,Trigger)</f>
        <v>45035</v>
      </c>
      <c r="S610" s="40">
        <f>_xll.qlDayCounterYearFraction(DayCounter,Q610,R610,,,Trigger)</f>
        <v>0.25</v>
      </c>
      <c r="T610" s="41">
        <f>_xll.qlIndexFixing(Index,P610,,AllTriggers)</f>
        <v>7.871875604244849E-3</v>
      </c>
      <c r="U610" s="42">
        <f>_xll.qlYieldTSDiscount(OisCurve,Q610,,AllTriggers)</f>
        <v>0.98913270376551254</v>
      </c>
      <c r="V610" s="42">
        <f>_xll.qlYieldTSDiscount(OisCurve,R610,,AllTriggers)</f>
        <v>0.98760164199033518</v>
      </c>
      <c r="W610" s="41">
        <f t="shared" si="47"/>
        <v>6.201130942195654E-3</v>
      </c>
      <c r="X610" s="43">
        <f t="shared" si="48"/>
        <v>4.1695269930507858E-4</v>
      </c>
      <c r="Y610" s="41">
        <f t="shared" si="49"/>
        <v>1.670744662049195E-3</v>
      </c>
      <c r="Z610" s="62"/>
    </row>
    <row r="611" spans="15:26" x14ac:dyDescent="0.25">
      <c r="O611" s="45" t="s">
        <v>33</v>
      </c>
      <c r="P611" s="39">
        <f>_xll.qlCalendarAdvance(Calendar,P610,O610,"f",,Trigger)</f>
        <v>44950</v>
      </c>
      <c r="Q611" s="39">
        <f>_xll.qlInterestRateIndexValueDate(Index,P611,Trigger)</f>
        <v>44952</v>
      </c>
      <c r="R611" s="39">
        <f>_xll.qlInterestRateIndexMaturity(Index,Q611,Trigger)</f>
        <v>45042</v>
      </c>
      <c r="S611" s="40">
        <f>_xll.qlDayCounterYearFraction(DayCounter,Q611,R611,,,Trigger)</f>
        <v>0.25</v>
      </c>
      <c r="T611" s="41">
        <f>_xll.qlIndexFixing(Index,P611,,AllTriggers)</f>
        <v>7.8864507783613647E-3</v>
      </c>
      <c r="U611" s="42">
        <f>_xll.qlYieldTSDiscount(OisCurve,Q611,,AllTriggers)</f>
        <v>0.98901557963353948</v>
      </c>
      <c r="V611" s="42">
        <f>_xll.qlYieldTSDiscount(OisCurve,R611,,AllTriggers)</f>
        <v>0.98748041990869373</v>
      </c>
      <c r="W611" s="41">
        <f t="shared" si="47"/>
        <v>6.2184918055905314E-3</v>
      </c>
      <c r="X611" s="43">
        <f t="shared" si="48"/>
        <v>4.162558411212179E-4</v>
      </c>
      <c r="Y611" s="41">
        <f t="shared" si="49"/>
        <v>1.6679589727708333E-3</v>
      </c>
      <c r="Z611" s="62"/>
    </row>
    <row r="612" spans="15:26" x14ac:dyDescent="0.25">
      <c r="O612" s="45" t="s">
        <v>33</v>
      </c>
      <c r="P612" s="39">
        <f>_xll.qlCalendarAdvance(Calendar,P611,O611,"f",,Trigger)</f>
        <v>44957</v>
      </c>
      <c r="Q612" s="39">
        <f>_xll.qlInterestRateIndexValueDate(Index,P612,Trigger)</f>
        <v>44959</v>
      </c>
      <c r="R612" s="39">
        <f>_xll.qlInterestRateIndexMaturity(Index,Q612,Trigger)</f>
        <v>45048</v>
      </c>
      <c r="S612" s="40">
        <f>_xll.qlDayCounterYearFraction(DayCounter,Q612,R612,,,Trigger)</f>
        <v>0.24722222222222223</v>
      </c>
      <c r="T612" s="41">
        <f>_xll.qlIndexFixing(Index,P612,,AllTriggers)</f>
        <v>7.8996518199544157E-3</v>
      </c>
      <c r="U612" s="42">
        <f>_xll.qlYieldTSDiscount(OisCurve,Q612,,AllTriggers)</f>
        <v>0.98889810694258795</v>
      </c>
      <c r="V612" s="42">
        <f>_xll.qlYieldTSDiscount(OisCurve,R612,,AllTriggers)</f>
        <v>0.98737628887413531</v>
      </c>
      <c r="W612" s="41">
        <f t="shared" si="47"/>
        <v>6.2343694707446785E-3</v>
      </c>
      <c r="X612" s="43">
        <f t="shared" si="48"/>
        <v>4.1097678218473209E-4</v>
      </c>
      <c r="Y612" s="41">
        <f t="shared" si="49"/>
        <v>1.6652823492097372E-3</v>
      </c>
      <c r="Z612" s="62"/>
    </row>
    <row r="613" spans="15:26" x14ac:dyDescent="0.25">
      <c r="O613" s="45" t="s">
        <v>33</v>
      </c>
      <c r="P613" s="39">
        <f>_xll.qlCalendarAdvance(Calendar,P612,O612,"f",,Trigger)</f>
        <v>44964</v>
      </c>
      <c r="Q613" s="39">
        <f>_xll.qlInterestRateIndexValueDate(Index,P613,Trigger)</f>
        <v>44966</v>
      </c>
      <c r="R613" s="39">
        <f>_xll.qlInterestRateIndexMaturity(Index,Q613,Trigger)</f>
        <v>45055</v>
      </c>
      <c r="S613" s="40">
        <f>_xll.qlDayCounterYearFraction(DayCounter,Q613,R613,,,Trigger)</f>
        <v>0.24722222222222223</v>
      </c>
      <c r="T613" s="41">
        <f>_xll.qlIndexFixing(Index,P613,,AllTriggers)</f>
        <v>7.9136007755414156E-3</v>
      </c>
      <c r="U613" s="42">
        <f>_xll.qlYieldTSDiscount(OisCurve,Q613,,AllTriggers)</f>
        <v>0.98878029073150953</v>
      </c>
      <c r="V613" s="42">
        <f>_xll.qlYieldTSDiscount(OisCurve,R613,,AllTriggers)</f>
        <v>0.98725454222901388</v>
      </c>
      <c r="W613" s="41">
        <f t="shared" si="47"/>
        <v>6.2512419162465494E-3</v>
      </c>
      <c r="X613" s="43">
        <f t="shared" si="48"/>
        <v>4.1025373072759932E-4</v>
      </c>
      <c r="Y613" s="41">
        <f t="shared" si="49"/>
        <v>1.6623588592948662E-3</v>
      </c>
      <c r="Z613" s="62"/>
    </row>
    <row r="614" spans="15:26" x14ac:dyDescent="0.25">
      <c r="O614" s="45" t="s">
        <v>33</v>
      </c>
      <c r="P614" s="39">
        <f>_xll.qlCalendarAdvance(Calendar,P613,O613,"f",,Trigger)</f>
        <v>44971</v>
      </c>
      <c r="Q614" s="39">
        <f>_xll.qlInterestRateIndexValueDate(Index,P614,Trigger)</f>
        <v>44973</v>
      </c>
      <c r="R614" s="39">
        <f>_xll.qlInterestRateIndexMaturity(Index,Q614,Trigger)</f>
        <v>45062</v>
      </c>
      <c r="S614" s="40">
        <f>_xll.qlDayCounterYearFraction(DayCounter,Q614,R614,,,Trigger)</f>
        <v>0.24722222222222223</v>
      </c>
      <c r="T614" s="41">
        <f>_xll.qlIndexFixing(Index,P614,,AllTriggers)</f>
        <v>7.9272506127471155E-3</v>
      </c>
      <c r="U614" s="42">
        <f>_xll.qlYieldTSDiscount(OisCurve,Q614,,AllTriggers)</f>
        <v>0.98866213603717701</v>
      </c>
      <c r="V614" s="42">
        <f>_xll.qlYieldTSDiscount(OisCurve,R614,,AllTriggers)</f>
        <v>0.98713251902206944</v>
      </c>
      <c r="W614" s="41">
        <f t="shared" si="47"/>
        <v>6.2678665461242192E-3</v>
      </c>
      <c r="X614" s="43">
        <f t="shared" si="48"/>
        <v>4.0951805144284634E-4</v>
      </c>
      <c r="Y614" s="41">
        <f t="shared" si="49"/>
        <v>1.6593840666228963E-3</v>
      </c>
      <c r="Z614" s="62"/>
    </row>
    <row r="615" spans="15:26" x14ac:dyDescent="0.25">
      <c r="O615" s="45" t="s">
        <v>33</v>
      </c>
      <c r="P615" s="39">
        <f>_xll.qlCalendarAdvance(Calendar,P614,O614,"f",,Trigger)</f>
        <v>44978</v>
      </c>
      <c r="Q615" s="39">
        <f>_xll.qlInterestRateIndexValueDate(Index,P615,Trigger)</f>
        <v>44980</v>
      </c>
      <c r="R615" s="39">
        <f>_xll.qlInterestRateIndexMaturity(Index,Q615,Trigger)</f>
        <v>45069</v>
      </c>
      <c r="S615" s="40">
        <f>_xll.qlDayCounterYearFraction(DayCounter,Q615,R615,,,Trigger)</f>
        <v>0.24722222222222223</v>
      </c>
      <c r="T615" s="41">
        <f>_xll.qlIndexFixing(Index,P615,,AllTriggers)</f>
        <v>7.9406191910094889E-3</v>
      </c>
      <c r="U615" s="42">
        <f>_xll.qlYieldTSDiscount(OisCurve,Q615,,AllTriggers)</f>
        <v>0.98854364789446569</v>
      </c>
      <c r="V615" s="42">
        <f>_xll.qlYieldTSDiscount(OisCurve,R615,,AllTriggers)</f>
        <v>0.98701022335713817</v>
      </c>
      <c r="W615" s="41">
        <f t="shared" si="47"/>
        <v>6.2842470718762122E-3</v>
      </c>
      <c r="X615" s="43">
        <f t="shared" si="48"/>
        <v>4.0877323478071329E-4</v>
      </c>
      <c r="Y615" s="41">
        <f t="shared" si="49"/>
        <v>1.6563721191332767E-3</v>
      </c>
      <c r="Z615" s="62"/>
    </row>
    <row r="616" spans="15:26" x14ac:dyDescent="0.25">
      <c r="O616" s="45" t="s">
        <v>33</v>
      </c>
      <c r="P616" s="39">
        <f>_xll.qlCalendarAdvance(Calendar,P615,O615,"f",,Trigger)</f>
        <v>44985</v>
      </c>
      <c r="Q616" s="39">
        <f>_xll.qlInterestRateIndexValueDate(Index,P616,Trigger)</f>
        <v>44987</v>
      </c>
      <c r="R616" s="39">
        <f>_xll.qlInterestRateIndexMaturity(Index,Q616,Trigger)</f>
        <v>45079</v>
      </c>
      <c r="S616" s="40">
        <f>_xll.qlDayCounterYearFraction(DayCounter,Q616,R616,,,Trigger)</f>
        <v>0.25555555555555554</v>
      </c>
      <c r="T616" s="41">
        <f>_xll.qlIndexFixing(Index,P616,,AllTriggers)</f>
        <v>7.9566482213333997E-3</v>
      </c>
      <c r="U616" s="42">
        <f>_xll.qlYieldTSDiscount(OisCurve,Q616,,AllTriggers)</f>
        <v>0.98842483133623715</v>
      </c>
      <c r="V616" s="42">
        <f>_xll.qlYieldTSDiscount(OisCurve,R616,,AllTriggers)</f>
        <v>0.98683505076521172</v>
      </c>
      <c r="W616" s="41">
        <f t="shared" si="47"/>
        <v>6.3038706321717347E-3</v>
      </c>
      <c r="X616" s="43">
        <f t="shared" si="48"/>
        <v>4.2160825622456199E-4</v>
      </c>
      <c r="Y616" s="41">
        <f t="shared" si="49"/>
        <v>1.652777589161665E-3</v>
      </c>
      <c r="Z616" s="62"/>
    </row>
    <row r="617" spans="15:26" x14ac:dyDescent="0.25">
      <c r="O617" s="45" t="s">
        <v>33</v>
      </c>
      <c r="P617" s="39">
        <f>_xll.qlCalendarAdvance(Calendar,P616,O616,"f",,Trigger)</f>
        <v>44992</v>
      </c>
      <c r="Q617" s="39">
        <f>_xll.qlInterestRateIndexValueDate(Index,P617,Trigger)</f>
        <v>44994</v>
      </c>
      <c r="R617" s="39">
        <f>_xll.qlInterestRateIndexMaturity(Index,Q617,Trigger)</f>
        <v>45086</v>
      </c>
      <c r="S617" s="40">
        <f>_xll.qlDayCounterYearFraction(DayCounter,Q617,R617,,,Trigger)</f>
        <v>0.25555555555555554</v>
      </c>
      <c r="T617" s="41">
        <f>_xll.qlIndexFixing(Index,P617,,AllTriggers)</f>
        <v>7.9694704884484321E-3</v>
      </c>
      <c r="U617" s="42">
        <f>_xll.qlYieldTSDiscount(OisCurve,Q617,,AllTriggers)</f>
        <v>0.98830569139332247</v>
      </c>
      <c r="V617" s="42">
        <f>_xll.qlYieldTSDiscount(OisCurve,R617,,AllTriggers)</f>
        <v>0.98671211049115493</v>
      </c>
      <c r="W617" s="41">
        <f t="shared" si="47"/>
        <v>6.3197271929743802E-3</v>
      </c>
      <c r="X617" s="43">
        <f t="shared" si="48"/>
        <v>4.2083269663977158E-4</v>
      </c>
      <c r="Y617" s="41">
        <f t="shared" si="49"/>
        <v>1.6497432954740519E-3</v>
      </c>
      <c r="Z617" s="62"/>
    </row>
    <row r="618" spans="15:26" x14ac:dyDescent="0.25">
      <c r="O618" s="45" t="s">
        <v>33</v>
      </c>
      <c r="P618" s="39">
        <f>_xll.qlCalendarAdvance(Calendar,P617,O617,"f",,Trigger)</f>
        <v>44999</v>
      </c>
      <c r="Q618" s="39">
        <f>_xll.qlInterestRateIndexValueDate(Index,P618,Trigger)</f>
        <v>45001</v>
      </c>
      <c r="R618" s="39">
        <f>_xll.qlInterestRateIndexMaturity(Index,Q618,Trigger)</f>
        <v>45093</v>
      </c>
      <c r="S618" s="40">
        <f>_xll.qlDayCounterYearFraction(DayCounter,Q618,R618,,,Trigger)</f>
        <v>0.25555555555555554</v>
      </c>
      <c r="T618" s="41">
        <f>_xll.qlIndexFixing(Index,P618,,AllTriggers)</f>
        <v>7.9820688904769961E-3</v>
      </c>
      <c r="U618" s="42">
        <f>_xll.qlYieldTSDiscount(OisCurve,Q618,,AllTriggers)</f>
        <v>0.98818623309450582</v>
      </c>
      <c r="V618" s="42">
        <f>_xll.qlYieldTSDiscount(OisCurve,R618,,AllTriggers)</f>
        <v>0.98658891181602437</v>
      </c>
      <c r="W618" s="41">
        <f t="shared" si="47"/>
        <v>6.335351570030884E-3</v>
      </c>
      <c r="X618" s="43">
        <f t="shared" si="48"/>
        <v>4.200592891596594E-4</v>
      </c>
      <c r="Y618" s="41">
        <f t="shared" si="49"/>
        <v>1.6467173204461122E-3</v>
      </c>
      <c r="Z618" s="62"/>
    </row>
    <row r="619" spans="15:26" x14ac:dyDescent="0.25">
      <c r="O619" s="45" t="s">
        <v>33</v>
      </c>
      <c r="P619" s="39">
        <f>_xll.qlCalendarAdvance(Calendar,P618,O618,"f",,Trigger)</f>
        <v>45006</v>
      </c>
      <c r="Q619" s="39">
        <f>_xll.qlInterestRateIndexValueDate(Index,P619,Trigger)</f>
        <v>45008</v>
      </c>
      <c r="R619" s="39">
        <f>_xll.qlInterestRateIndexMaturity(Index,Q619,Trigger)</f>
        <v>45100</v>
      </c>
      <c r="S619" s="40">
        <f>_xll.qlDayCounterYearFraction(DayCounter,Q619,R619,,,Trigger)</f>
        <v>0.25555555555555554</v>
      </c>
      <c r="T619" s="41">
        <f>_xll.qlIndexFixing(Index,P619,,AllTriggers)</f>
        <v>7.9944607066293281E-3</v>
      </c>
      <c r="U619" s="42">
        <f>_xll.qlYieldTSDiscount(OisCurve,Q619,,AllTriggers)</f>
        <v>0.98806646146650856</v>
      </c>
      <c r="V619" s="42">
        <f>_xll.qlYieldTSDiscount(OisCurve,R619,,AllTriggers)</f>
        <v>0.98646545883580605</v>
      </c>
      <c r="W619" s="41">
        <f t="shared" si="47"/>
        <v>6.3507473542383898E-3</v>
      </c>
      <c r="X619" s="43">
        <f t="shared" si="48"/>
        <v>4.1929152423438861E-4</v>
      </c>
      <c r="Y619" s="41">
        <f t="shared" si="49"/>
        <v>1.6437133523909382E-3</v>
      </c>
      <c r="Z619" s="62"/>
    </row>
    <row r="620" spans="15:26" x14ac:dyDescent="0.25">
      <c r="O620" s="45" t="s">
        <v>33</v>
      </c>
      <c r="P620" s="39">
        <f>_xll.qlCalendarAdvance(Calendar,P619,O619,"f",,Trigger)</f>
        <v>45013</v>
      </c>
      <c r="Q620" s="39">
        <f>_xll.qlInterestRateIndexValueDate(Index,P620,Trigger)</f>
        <v>45015</v>
      </c>
      <c r="R620" s="39">
        <f>_xll.qlInterestRateIndexMaturity(Index,Q620,Trigger)</f>
        <v>45107</v>
      </c>
      <c r="S620" s="40">
        <f>_xll.qlDayCounterYearFraction(DayCounter,Q620,R620,,,Trigger)</f>
        <v>0.25555555555555554</v>
      </c>
      <c r="T620" s="41">
        <f>_xll.qlIndexFixing(Index,P620,,AllTriggers)</f>
        <v>8.0066632163658998E-3</v>
      </c>
      <c r="U620" s="42">
        <f>_xll.qlYieldTSDiscount(OisCurve,Q620,,AllTriggers)</f>
        <v>0.98794638153397274</v>
      </c>
      <c r="V620" s="42">
        <f>_xll.qlYieldTSDiscount(OisCurve,R620,,AllTriggers)</f>
        <v>0.98634175564468407</v>
      </c>
      <c r="W620" s="41">
        <f t="shared" si="47"/>
        <v>6.3659181365852743E-3</v>
      </c>
      <c r="X620" s="43">
        <f t="shared" si="48"/>
        <v>4.185328923145636E-4</v>
      </c>
      <c r="Y620" s="41">
        <f t="shared" si="49"/>
        <v>1.6407450797806256E-3</v>
      </c>
      <c r="Z620" s="62"/>
    </row>
    <row r="621" spans="15:26" x14ac:dyDescent="0.25">
      <c r="O621" s="45" t="s">
        <v>33</v>
      </c>
      <c r="P621" s="39">
        <f>_xll.qlCalendarAdvance(Calendar,P620,O620,"f",,Trigger)</f>
        <v>45020</v>
      </c>
      <c r="Q621" s="39">
        <f>_xll.qlInterestRateIndexValueDate(Index,P621,Trigger)</f>
        <v>45022</v>
      </c>
      <c r="R621" s="39">
        <f>_xll.qlInterestRateIndexMaturity(Index,Q621,Trigger)</f>
        <v>45113</v>
      </c>
      <c r="S621" s="40">
        <f>_xll.qlDayCounterYearFraction(DayCounter,Q621,R621,,,Trigger)</f>
        <v>0.25277777777777777</v>
      </c>
      <c r="T621" s="41">
        <f>_xll.qlIndexFixing(Index,P621,,AllTriggers)</f>
        <v>8.0177713194486949E-3</v>
      </c>
      <c r="U621" s="42">
        <f>_xll.qlYieldTSDiscount(OisCurve,Q621,,AllTriggers)</f>
        <v>0.9878259983194464</v>
      </c>
      <c r="V621" s="42">
        <f>_xll.qlYieldTSDiscount(OisCurve,R621,,AllTriggers)</f>
        <v>0.9862355282926929</v>
      </c>
      <c r="W621" s="41">
        <f t="shared" si="47"/>
        <v>6.3797836886890554E-3</v>
      </c>
      <c r="X621" s="43">
        <f t="shared" si="48"/>
        <v>4.1329481038603072E-4</v>
      </c>
      <c r="Y621" s="41">
        <f t="shared" si="49"/>
        <v>1.6379876307596394E-3</v>
      </c>
      <c r="Z621" s="62"/>
    </row>
    <row r="622" spans="15:26" x14ac:dyDescent="0.25">
      <c r="O622" s="45" t="s">
        <v>33</v>
      </c>
      <c r="P622" s="39">
        <f>_xll.qlCalendarAdvance(Calendar,P621,O621,"f",,Trigger)</f>
        <v>45027</v>
      </c>
      <c r="Q622" s="39">
        <f>_xll.qlInterestRateIndexValueDate(Index,P622,Trigger)</f>
        <v>45029</v>
      </c>
      <c r="R622" s="39">
        <f>_xll.qlInterestRateIndexMaturity(Index,Q622,Trigger)</f>
        <v>45120</v>
      </c>
      <c r="S622" s="40">
        <f>_xll.qlDayCounterYearFraction(DayCounter,Q622,R622,,,Trigger)</f>
        <v>0.25277777777777777</v>
      </c>
      <c r="T622" s="41">
        <f>_xll.qlIndexFixing(Index,P622,,AllTriggers)</f>
        <v>8.0296550857423508E-3</v>
      </c>
      <c r="U622" s="42">
        <f>_xll.qlYieldTSDiscount(OisCurve,Q622,,AllTriggers)</f>
        <v>0.98770531684336715</v>
      </c>
      <c r="V622" s="42">
        <f>_xll.qlYieldTSDiscount(OisCurve,R622,,AllTriggers)</f>
        <v>0.9861113712801105</v>
      </c>
      <c r="W622" s="41">
        <f t="shared" si="47"/>
        <v>6.3945299642971295E-3</v>
      </c>
      <c r="X622" s="43">
        <f t="shared" si="48"/>
        <v>4.1257115982430611E-4</v>
      </c>
      <c r="Y622" s="41">
        <f t="shared" si="49"/>
        <v>1.6351251214452214E-3</v>
      </c>
      <c r="Z622" s="62"/>
    </row>
    <row r="623" spans="15:26" x14ac:dyDescent="0.25">
      <c r="O623" s="45" t="s">
        <v>33</v>
      </c>
      <c r="P623" s="39">
        <f>_xll.qlCalendarAdvance(Calendar,P622,O622,"f",,Trigger)</f>
        <v>45034</v>
      </c>
      <c r="Q623" s="39">
        <f>_xll.qlInterestRateIndexValueDate(Index,P623,Trigger)</f>
        <v>45036</v>
      </c>
      <c r="R623" s="39">
        <f>_xll.qlInterestRateIndexMaturity(Index,Q623,Trigger)</f>
        <v>45127</v>
      </c>
      <c r="S623" s="40">
        <f>_xll.qlDayCounterYearFraction(DayCounter,Q623,R623,,,Trigger)</f>
        <v>0.25277777777777777</v>
      </c>
      <c r="T623" s="41">
        <f>_xll.qlIndexFixing(Index,P623,,AllTriggers)</f>
        <v>8.0414010897755066E-3</v>
      </c>
      <c r="U623" s="42">
        <f>_xll.qlYieldTSDiscount(OisCurve,Q623,,AllTriggers)</f>
        <v>0.98758434212404811</v>
      </c>
      <c r="V623" s="42">
        <f>_xll.qlYieldTSDiscount(OisCurve,R623,,AllTriggers)</f>
        <v>0.9859869757442733</v>
      </c>
      <c r="W623" s="41">
        <f t="shared" si="47"/>
        <v>6.4090619528986035E-3</v>
      </c>
      <c r="X623" s="43">
        <f t="shared" si="48"/>
        <v>4.1186684090845104E-4</v>
      </c>
      <c r="Y623" s="41">
        <f t="shared" si="49"/>
        <v>1.6323391368769031E-3</v>
      </c>
      <c r="Z623" s="62"/>
    </row>
    <row r="624" spans="15:26" x14ac:dyDescent="0.25">
      <c r="O624" s="45" t="s">
        <v>33</v>
      </c>
      <c r="P624" s="39">
        <f>_xll.qlCalendarAdvance(Calendar,P623,O623,"f",,Trigger)</f>
        <v>45041</v>
      </c>
      <c r="Q624" s="39">
        <f>_xll.qlInterestRateIndexValueDate(Index,P624,Trigger)</f>
        <v>45043</v>
      </c>
      <c r="R624" s="39">
        <f>_xll.qlInterestRateIndexMaturity(Index,Q624,Trigger)</f>
        <v>45134</v>
      </c>
      <c r="S624" s="40">
        <f>_xll.qlDayCounterYearFraction(DayCounter,Q624,R624,,,Trigger)</f>
        <v>0.25277777777777777</v>
      </c>
      <c r="T624" s="41">
        <f>_xll.qlIndexFixing(Index,P624,,AllTriggers)</f>
        <v>8.0530265722537284E-3</v>
      </c>
      <c r="U624" s="42">
        <f>_xll.qlYieldTSDiscount(OisCurve,Q624,,AllTriggers)</f>
        <v>0.9874630791657838</v>
      </c>
      <c r="V624" s="42">
        <f>_xll.qlYieldTSDiscount(OisCurve,R624,,AllTriggers)</f>
        <v>0.98586234577232024</v>
      </c>
      <c r="W624" s="41">
        <f t="shared" si="47"/>
        <v>6.4233832376351715E-3</v>
      </c>
      <c r="X624" s="43">
        <f t="shared" si="48"/>
        <v>4.1118529829566649E-4</v>
      </c>
      <c r="Y624" s="41">
        <f t="shared" si="49"/>
        <v>1.6296433346185569E-3</v>
      </c>
      <c r="Z624" s="62"/>
    </row>
    <row r="625" spans="15:26" x14ac:dyDescent="0.25">
      <c r="O625" s="45" t="s">
        <v>33</v>
      </c>
      <c r="P625" s="39">
        <f>_xll.qlCalendarAdvance(Calendar,P624,O624,"f",,Trigger)</f>
        <v>45048</v>
      </c>
      <c r="Q625" s="39">
        <f>_xll.qlInterestRateIndexValueDate(Index,P625,Trigger)</f>
        <v>45050</v>
      </c>
      <c r="R625" s="39">
        <f>_xll.qlInterestRateIndexMaturity(Index,Q625,Trigger)</f>
        <v>45142</v>
      </c>
      <c r="S625" s="40">
        <f>_xll.qlDayCounterYearFraction(DayCounter,Q625,R625,,,Trigger)</f>
        <v>0.25555555555555554</v>
      </c>
      <c r="T625" s="41">
        <f>_xll.qlIndexFixing(Index,P625,,AllTriggers)</f>
        <v>8.06543256933436E-3</v>
      </c>
      <c r="U625" s="42">
        <f>_xll.qlYieldTSDiscount(OisCurve,Q625,,AllTriggers)</f>
        <v>0.98734153257834034</v>
      </c>
      <c r="V625" s="42">
        <f>_xll.qlYieldTSDiscount(OisCurve,R625,,AllTriggers)</f>
        <v>0.98571962969454618</v>
      </c>
      <c r="W625" s="41">
        <f t="shared" si="47"/>
        <v>6.4385209654089885E-3</v>
      </c>
      <c r="X625" s="43">
        <f t="shared" si="48"/>
        <v>4.1499719751680961E-4</v>
      </c>
      <c r="Y625" s="41">
        <f t="shared" si="49"/>
        <v>1.6269116039253715E-3</v>
      </c>
      <c r="Z625" s="62"/>
    </row>
    <row r="626" spans="15:26" x14ac:dyDescent="0.25">
      <c r="O626" s="45" t="s">
        <v>33</v>
      </c>
      <c r="P626" s="39">
        <f>_xll.qlCalendarAdvance(Calendar,P625,O625,"f",,Trigger)</f>
        <v>45055</v>
      </c>
      <c r="Q626" s="39">
        <f>_xll.qlInterestRateIndexValueDate(Index,P626,Trigger)</f>
        <v>45057</v>
      </c>
      <c r="R626" s="39">
        <f>_xll.qlInterestRateIndexMaturity(Index,Q626,Trigger)</f>
        <v>45149</v>
      </c>
      <c r="S626" s="40">
        <f>_xll.qlDayCounterYearFraction(DayCounter,Q626,R626,,,Trigger)</f>
        <v>0.25555555555555554</v>
      </c>
      <c r="T626" s="41">
        <f>_xll.qlIndexFixing(Index,P626,,AllTriggers)</f>
        <v>8.0768292636139629E-3</v>
      </c>
      <c r="U626" s="42">
        <f>_xll.qlYieldTSDiscount(OisCurve,Q626,,AllTriggers)</f>
        <v>0.98721970649669455</v>
      </c>
      <c r="V626" s="42">
        <f>_xll.qlYieldTSDiscount(OisCurve,R626,,AllTriggers)</f>
        <v>0.9855945111136849</v>
      </c>
      <c r="W626" s="41">
        <f t="shared" si="47"/>
        <v>6.4524103195332094E-3</v>
      </c>
      <c r="X626" s="43">
        <f t="shared" si="48"/>
        <v>4.1436002648093372E-4</v>
      </c>
      <c r="Y626" s="41">
        <f t="shared" si="49"/>
        <v>1.6244189440807535E-3</v>
      </c>
      <c r="Z626" s="62"/>
    </row>
    <row r="627" spans="15:26" x14ac:dyDescent="0.25">
      <c r="O627" s="45" t="s">
        <v>33</v>
      </c>
      <c r="P627" s="39">
        <f>_xll.qlCalendarAdvance(Calendar,P626,O626,"f",,Trigger)</f>
        <v>45062</v>
      </c>
      <c r="Q627" s="39">
        <f>_xll.qlInterestRateIndexValueDate(Index,P627,Trigger)</f>
        <v>45064</v>
      </c>
      <c r="R627" s="39">
        <f>_xll.qlInterestRateIndexMaturity(Index,Q627,Trigger)</f>
        <v>45156</v>
      </c>
      <c r="S627" s="40">
        <f>_xll.qlDayCounterYearFraction(DayCounter,Q627,R627,,,Trigger)</f>
        <v>0.25555555555555554</v>
      </c>
      <c r="T627" s="41">
        <f>_xll.qlIndexFixing(Index,P627,,AllTriggers)</f>
        <v>8.088115643931252E-3</v>
      </c>
      <c r="U627" s="42">
        <f>_xll.qlYieldTSDiscount(OisCurve,Q627,,AllTriggers)</f>
        <v>0.98709760502592869</v>
      </c>
      <c r="V627" s="42">
        <f>_xll.qlYieldTSDiscount(OisCurve,R627,,AllTriggers)</f>
        <v>0.98546917092991082</v>
      </c>
      <c r="W627" s="41">
        <f t="shared" si="47"/>
        <v>6.4660910834862086E-3</v>
      </c>
      <c r="X627" s="43">
        <f t="shared" si="48"/>
        <v>4.1374794479481504E-4</v>
      </c>
      <c r="Y627" s="41">
        <f t="shared" si="49"/>
        <v>1.6220245604450434E-3</v>
      </c>
      <c r="Z627" s="62"/>
    </row>
    <row r="628" spans="15:26" x14ac:dyDescent="0.25">
      <c r="O628" s="45" t="s">
        <v>33</v>
      </c>
      <c r="P628" s="39">
        <f>_xll.qlCalendarAdvance(Calendar,P627,O627,"f",,Trigger)</f>
        <v>45069</v>
      </c>
      <c r="Q628" s="39">
        <f>_xll.qlInterestRateIndexValueDate(Index,P628,Trigger)</f>
        <v>45071</v>
      </c>
      <c r="R628" s="39">
        <f>_xll.qlInterestRateIndexMaturity(Index,Q628,Trigger)</f>
        <v>45163</v>
      </c>
      <c r="S628" s="40">
        <f>_xll.qlDayCounterYearFraction(DayCounter,Q628,R628,,,Trigger)</f>
        <v>0.25555555555555554</v>
      </c>
      <c r="T628" s="41">
        <f>_xll.qlIndexFixing(Index,P628,,AllTriggers)</f>
        <v>8.09929170933134E-3</v>
      </c>
      <c r="U628" s="42">
        <f>_xll.qlYieldTSDiscount(OisCurve,Q628,,AllTriggers)</f>
        <v>0.98697523226937911</v>
      </c>
      <c r="V628" s="42">
        <f>_xll.qlYieldTSDiscount(OisCurve,R628,,AllTriggers)</f>
        <v>0.98534361322263497</v>
      </c>
      <c r="W628" s="41">
        <f t="shared" si="47"/>
        <v>6.479563255083645E-3</v>
      </c>
      <c r="X628" s="43">
        <f t="shared" si="48"/>
        <v>4.1316095245791384E-4</v>
      </c>
      <c r="Y628" s="41">
        <f t="shared" si="49"/>
        <v>1.619728454247695E-3</v>
      </c>
      <c r="Z628" s="62"/>
    </row>
    <row r="629" spans="15:26" x14ac:dyDescent="0.25">
      <c r="O629" s="45" t="s">
        <v>33</v>
      </c>
      <c r="P629" s="39">
        <f>_xll.qlCalendarAdvance(Calendar,P628,O628,"f",,Trigger)</f>
        <v>45076</v>
      </c>
      <c r="Q629" s="39">
        <f>_xll.qlInterestRateIndexValueDate(Index,P629,Trigger)</f>
        <v>45078</v>
      </c>
      <c r="R629" s="39">
        <f>_xll.qlInterestRateIndexMaturity(Index,Q629,Trigger)</f>
        <v>45170</v>
      </c>
      <c r="S629" s="40">
        <f>_xll.qlDayCounterYearFraction(DayCounter,Q629,R629,,,Trigger)</f>
        <v>0.25555555555555554</v>
      </c>
      <c r="T629" s="41">
        <f>_xll.qlIndexFixing(Index,P629,,AllTriggers)</f>
        <v>8.1103574588741092E-3</v>
      </c>
      <c r="U629" s="42">
        <f>_xll.qlYieldTSDiscount(OisCurve,Q629,,AllTriggers)</f>
        <v>0.98685259232862521</v>
      </c>
      <c r="V629" s="42">
        <f>_xll.qlYieldTSDiscount(OisCurve,R629,,AllTriggers)</f>
        <v>0.98521784206938023</v>
      </c>
      <c r="W629" s="41">
        <f t="shared" si="47"/>
        <v>6.4928268321733278E-3</v>
      </c>
      <c r="X629" s="43">
        <f t="shared" si="48"/>
        <v>4.125990494709094E-4</v>
      </c>
      <c r="Y629" s="41">
        <f t="shared" si="49"/>
        <v>1.6175306267007814E-3</v>
      </c>
      <c r="Z629" s="62"/>
    </row>
    <row r="630" spans="15:26" x14ac:dyDescent="0.25">
      <c r="O630" s="45" t="s">
        <v>33</v>
      </c>
      <c r="P630" s="39">
        <f>_xll.qlCalendarAdvance(Calendar,P629,O629,"f",,Trigger)</f>
        <v>45083</v>
      </c>
      <c r="Q630" s="39">
        <f>_xll.qlInterestRateIndexValueDate(Index,P630,Trigger)</f>
        <v>45085</v>
      </c>
      <c r="R630" s="39">
        <f>_xll.qlInterestRateIndexMaturity(Index,Q630,Trigger)</f>
        <v>45177</v>
      </c>
      <c r="S630" s="40">
        <f>_xll.qlDayCounterYearFraction(DayCounter,Q630,R630,,,Trigger)</f>
        <v>0.25555555555555554</v>
      </c>
      <c r="T630" s="41">
        <f>_xll.qlIndexFixing(Index,P630,,AllTriggers)</f>
        <v>8.1213128916220491E-3</v>
      </c>
      <c r="U630" s="42">
        <f>_xll.qlYieldTSDiscount(OisCurve,Q630,,AllTriggers)</f>
        <v>0.98672968930347826</v>
      </c>
      <c r="V630" s="42">
        <f>_xll.qlYieldTSDiscount(OisCurve,R630,,AllTriggers)</f>
        <v>0.98509186154577177</v>
      </c>
      <c r="W630" s="41">
        <f t="shared" si="47"/>
        <v>6.5058818126378206E-3</v>
      </c>
      <c r="X630" s="43">
        <f t="shared" si="48"/>
        <v>4.1206223583325834E-4</v>
      </c>
      <c r="Y630" s="41">
        <f t="shared" si="49"/>
        <v>1.6154310789842285E-3</v>
      </c>
      <c r="Z630" s="62"/>
    </row>
    <row r="631" spans="15:26" x14ac:dyDescent="0.25">
      <c r="O631" s="45" t="s">
        <v>33</v>
      </c>
      <c r="P631" s="39">
        <f>_xll.qlCalendarAdvance(Calendar,P630,O630,"f",,Trigger)</f>
        <v>45090</v>
      </c>
      <c r="Q631" s="39">
        <f>_xll.qlInterestRateIndexValueDate(Index,P631,Trigger)</f>
        <v>45092</v>
      </c>
      <c r="R631" s="39">
        <f>_xll.qlInterestRateIndexMaturity(Index,Q631,Trigger)</f>
        <v>45184</v>
      </c>
      <c r="S631" s="40">
        <f>_xll.qlDayCounterYearFraction(DayCounter,Q631,R631,,,Trigger)</f>
        <v>0.25555555555555554</v>
      </c>
      <c r="T631" s="41">
        <f>_xll.qlIndexFixing(Index,P631,,AllTriggers)</f>
        <v>8.1321580066524186E-3</v>
      </c>
      <c r="U631" s="42">
        <f>_xll.qlYieldTSDiscount(OisCurve,Q631,,AllTriggers)</f>
        <v>0.98660652729197029</v>
      </c>
      <c r="V631" s="42">
        <f>_xll.qlYieldTSDiscount(OisCurve,R631,,AllTriggers)</f>
        <v>0.98496567572552807</v>
      </c>
      <c r="W631" s="41">
        <f t="shared" si="47"/>
        <v>6.518728194392703E-3</v>
      </c>
      <c r="X631" s="43">
        <f t="shared" si="48"/>
        <v>4.1155051154519211E-4</v>
      </c>
      <c r="Y631" s="41">
        <f t="shared" si="49"/>
        <v>1.6134298122597156E-3</v>
      </c>
      <c r="Z631" s="62"/>
    </row>
    <row r="632" spans="15:26" x14ac:dyDescent="0.25">
      <c r="O632" s="45" t="s">
        <v>33</v>
      </c>
      <c r="P632" s="39">
        <f>_xll.qlCalendarAdvance(Calendar,P631,O631,"f",,Trigger)</f>
        <v>45097</v>
      </c>
      <c r="Q632" s="39">
        <f>_xll.qlInterestRateIndexValueDate(Index,P632,Trigger)</f>
        <v>45099</v>
      </c>
      <c r="R632" s="39">
        <f>_xll.qlInterestRateIndexMaturity(Index,Q632,Trigger)</f>
        <v>45191</v>
      </c>
      <c r="S632" s="40">
        <f>_xll.qlDayCounterYearFraction(DayCounter,Q632,R632,,,Trigger)</f>
        <v>0.25555555555555554</v>
      </c>
      <c r="T632" s="41">
        <f>_xll.qlIndexFixing(Index,P632,,AllTriggers)</f>
        <v>8.1428928030494296E-3</v>
      </c>
      <c r="U632" s="42">
        <f>_xll.qlYieldTSDiscount(OisCurve,Q632,,AllTriggers)</f>
        <v>0.98648311039034375</v>
      </c>
      <c r="V632" s="42">
        <f>_xll.qlYieldTSDiscount(OisCurve,R632,,AllTriggers)</f>
        <v>0.98483928868045323</v>
      </c>
      <c r="W632" s="41">
        <f t="shared" si="47"/>
        <v>6.5313659753857044E-3</v>
      </c>
      <c r="X632" s="43">
        <f t="shared" si="48"/>
        <v>4.1106387660705152E-4</v>
      </c>
      <c r="Y632" s="41">
        <f t="shared" si="49"/>
        <v>1.6115268276637252E-3</v>
      </c>
      <c r="Z632" s="62"/>
    </row>
    <row r="633" spans="15:26" x14ac:dyDescent="0.25">
      <c r="O633" s="45" t="s">
        <v>33</v>
      </c>
      <c r="P633" s="39">
        <f>_xll.qlCalendarAdvance(Calendar,P632,O632,"f",,Trigger)</f>
        <v>45104</v>
      </c>
      <c r="Q633" s="39">
        <f>_xll.qlInterestRateIndexValueDate(Index,P633,Trigger)</f>
        <v>45106</v>
      </c>
      <c r="R633" s="39">
        <f>_xll.qlInterestRateIndexMaturity(Index,Q633,Trigger)</f>
        <v>45198</v>
      </c>
      <c r="S633" s="40">
        <f>_xll.qlDayCounterYearFraction(DayCounter,Q633,R633,,,Trigger)</f>
        <v>0.25555555555555554</v>
      </c>
      <c r="T633" s="41">
        <f>_xll.qlIndexFixing(Index,P633,,AllTriggers)</f>
        <v>8.1535172799059828E-3</v>
      </c>
      <c r="U633" s="42">
        <f>_xll.qlYieldTSDiscount(OisCurve,Q633,,AllTriggers)</f>
        <v>0.98635944269304088</v>
      </c>
      <c r="V633" s="42">
        <f>_xll.qlYieldTSDiscount(OisCurve,R633,,AllTriggers)</f>
        <v>0.98471270448042802</v>
      </c>
      <c r="W633" s="41">
        <f t="shared" si="47"/>
        <v>6.5437951536001758E-3</v>
      </c>
      <c r="X633" s="43">
        <f t="shared" si="48"/>
        <v>4.1060233101817656E-4</v>
      </c>
      <c r="Y633" s="41">
        <f t="shared" si="49"/>
        <v>1.609722126305807E-3</v>
      </c>
      <c r="Z633" s="62"/>
    </row>
    <row r="634" spans="15:26" x14ac:dyDescent="0.25">
      <c r="O634" s="45" t="s">
        <v>33</v>
      </c>
      <c r="P634" s="39">
        <f>_xll.qlCalendarAdvance(Calendar,P633,O633,"f",,Trigger)</f>
        <v>45111</v>
      </c>
      <c r="Q634" s="39">
        <f>_xll.qlInterestRateIndexValueDate(Index,P634,Trigger)</f>
        <v>45113</v>
      </c>
      <c r="R634" s="39">
        <f>_xll.qlInterestRateIndexMaturity(Index,Q634,Trigger)</f>
        <v>45205</v>
      </c>
      <c r="S634" s="40">
        <f>_xll.qlDayCounterYearFraction(DayCounter,Q634,R634,,,Trigger)</f>
        <v>0.25555555555555554</v>
      </c>
      <c r="T634" s="41">
        <f>_xll.qlIndexFixing(Index,P634,,AllTriggers)</f>
        <v>8.1640314363253998E-3</v>
      </c>
      <c r="U634" s="42">
        <f>_xll.qlYieldTSDiscount(OisCurve,Q634,,AllTriggers)</f>
        <v>0.9862355282926929</v>
      </c>
      <c r="V634" s="42">
        <f>_xll.qlYieldTSDiscount(OisCurve,R634,,AllTriggers)</f>
        <v>0.98458592719340188</v>
      </c>
      <c r="W634" s="41">
        <f t="shared" si="47"/>
        <v>6.5560157270507504E-3</v>
      </c>
      <c r="X634" s="43">
        <f t="shared" si="48"/>
        <v>4.1016587477868215E-4</v>
      </c>
      <c r="Y634" s="41">
        <f t="shared" si="49"/>
        <v>1.6080157092746494E-3</v>
      </c>
      <c r="Z634" s="62"/>
    </row>
    <row r="635" spans="15:26" x14ac:dyDescent="0.25">
      <c r="O635" s="45" t="s">
        <v>33</v>
      </c>
      <c r="P635" s="39">
        <f>_xll.qlCalendarAdvance(Calendar,P634,O634,"f",,Trigger)</f>
        <v>45118</v>
      </c>
      <c r="Q635" s="39">
        <f>_xll.qlInterestRateIndexValueDate(Index,P635,Trigger)</f>
        <v>45120</v>
      </c>
      <c r="R635" s="39">
        <f>_xll.qlInterestRateIndexMaturity(Index,Q635,Trigger)</f>
        <v>45212</v>
      </c>
      <c r="S635" s="40">
        <f>_xll.qlDayCounterYearFraction(DayCounter,Q635,R635,,,Trigger)</f>
        <v>0.25555555555555554</v>
      </c>
      <c r="T635" s="41">
        <f>_xll.qlIndexFixing(Index,P635,,AllTriggers)</f>
        <v>8.1744352714214381E-3</v>
      </c>
      <c r="U635" s="42">
        <f>_xll.qlYieldTSDiscount(OisCurve,Q635,,AllTriggers)</f>
        <v>0.9861113712801105</v>
      </c>
      <c r="V635" s="42">
        <f>_xll.qlYieldTSDiscount(OisCurve,R635,,AllTriggers)</f>
        <v>0.98445896088538509</v>
      </c>
      <c r="W635" s="41">
        <f t="shared" si="47"/>
        <v>6.5680276937859451E-3</v>
      </c>
      <c r="X635" s="43">
        <f t="shared" si="48"/>
        <v>4.097545078890145E-4</v>
      </c>
      <c r="Y635" s="41">
        <f t="shared" si="49"/>
        <v>1.6064075776354931E-3</v>
      </c>
      <c r="Z635" s="62"/>
    </row>
    <row r="636" spans="15:26" x14ac:dyDescent="0.25">
      <c r="O636" s="45" t="s">
        <v>33</v>
      </c>
      <c r="P636" s="39">
        <f>_xll.qlCalendarAdvance(Calendar,P635,O635,"f",,Trigger)</f>
        <v>45125</v>
      </c>
      <c r="Q636" s="39">
        <f>_xll.qlInterestRateIndexValueDate(Index,P636,Trigger)</f>
        <v>45127</v>
      </c>
      <c r="R636" s="39">
        <f>_xll.qlInterestRateIndexMaturity(Index,Q636,Trigger)</f>
        <v>45219</v>
      </c>
      <c r="S636" s="40">
        <f>_xll.qlDayCounterYearFraction(DayCounter,Q636,R636,,,Trigger)</f>
        <v>0.25555555555555554</v>
      </c>
      <c r="T636" s="41">
        <f>_xll.qlIndexFixing(Index,P636,,AllTriggers)</f>
        <v>8.1847287843139303E-3</v>
      </c>
      <c r="U636" s="42">
        <f>_xll.qlYieldTSDiscount(OisCurve,Q636,,AllTriggers)</f>
        <v>0.9859869757442733</v>
      </c>
      <c r="V636" s="42">
        <f>_xll.qlYieldTSDiscount(OisCurve,R636,,AllTriggers)</f>
        <v>0.98433180962044087</v>
      </c>
      <c r="W636" s="41">
        <f t="shared" si="47"/>
        <v>6.5798310518872943E-3</v>
      </c>
      <c r="X636" s="43">
        <f t="shared" si="48"/>
        <v>4.0936823034884087E-4</v>
      </c>
      <c r="Y636" s="41">
        <f t="shared" si="49"/>
        <v>1.6048977324266359E-3</v>
      </c>
      <c r="Z636" s="62"/>
    </row>
    <row r="637" spans="15:26" x14ac:dyDescent="0.25">
      <c r="O637" s="45" t="s">
        <v>33</v>
      </c>
      <c r="P637" s="39">
        <f>_xll.qlCalendarAdvance(Calendar,P636,O636,"f",,Trigger)</f>
        <v>45132</v>
      </c>
      <c r="Q637" s="39">
        <f>_xll.qlInterestRateIndexValueDate(Index,P637,Trigger)</f>
        <v>45134</v>
      </c>
      <c r="R637" s="39">
        <f>_xll.qlInterestRateIndexMaturity(Index,Q637,Trigger)</f>
        <v>45226</v>
      </c>
      <c r="S637" s="40">
        <f>_xll.qlDayCounterYearFraction(DayCounter,Q637,R637,,,Trigger)</f>
        <v>0.25555555555555554</v>
      </c>
      <c r="T637" s="41">
        <f>_xll.qlIndexFixing(Index,P637,,AllTriggers)</f>
        <v>8.1949119741357417E-3</v>
      </c>
      <c r="U637" s="42">
        <f>_xll.qlYieldTSDiscount(OisCurve,Q637,,AllTriggers)</f>
        <v>0.98586234577232024</v>
      </c>
      <c r="V637" s="42">
        <f>_xll.qlYieldTSDiscount(OisCurve,R637,,AllTriggers)</f>
        <v>0.98420447746067785</v>
      </c>
      <c r="W637" s="41">
        <f t="shared" si="47"/>
        <v>6.5914257994693498E-3</v>
      </c>
      <c r="X637" s="43">
        <f t="shared" si="48"/>
        <v>4.0900704215860378E-4</v>
      </c>
      <c r="Y637" s="41">
        <f t="shared" si="49"/>
        <v>1.6034861746663919E-3</v>
      </c>
      <c r="Z637" s="62"/>
    </row>
    <row r="638" spans="15:26" x14ac:dyDescent="0.25">
      <c r="O638" s="45" t="s">
        <v>33</v>
      </c>
      <c r="P638" s="39">
        <f>_xll.qlCalendarAdvance(Calendar,P637,O637,"f",,Trigger)</f>
        <v>45139</v>
      </c>
      <c r="Q638" s="39">
        <f>_xll.qlInterestRateIndexValueDate(Index,P638,Trigger)</f>
        <v>45141</v>
      </c>
      <c r="R638" s="39">
        <f>_xll.qlInterestRateIndexMaturity(Index,Q638,Trigger)</f>
        <v>45233</v>
      </c>
      <c r="S638" s="40">
        <f>_xll.qlDayCounterYearFraction(DayCounter,Q638,R638,,,Trigger)</f>
        <v>0.25555555555555554</v>
      </c>
      <c r="T638" s="41">
        <f>_xll.qlIndexFixing(Index,P638,,AllTriggers)</f>
        <v>8.2049848400249561E-3</v>
      </c>
      <c r="U638" s="42">
        <f>_xll.qlYieldTSDiscount(OisCurve,Q638,,AllTriggers)</f>
        <v>0.98573748544953987</v>
      </c>
      <c r="V638" s="42">
        <f>_xll.qlYieldTSDiscount(OisCurve,R638,,AllTriggers)</f>
        <v>0.98407696846624182</v>
      </c>
      <c r="W638" s="41">
        <f t="shared" si="47"/>
        <v>6.6028119346831556E-3</v>
      </c>
      <c r="X638" s="43">
        <f t="shared" si="48"/>
        <v>4.0867094331730104E-4</v>
      </c>
      <c r="Y638" s="41">
        <f t="shared" si="49"/>
        <v>1.6021729053418005E-3</v>
      </c>
      <c r="Z638" s="62"/>
    </row>
    <row r="639" spans="15:26" x14ac:dyDescent="0.25">
      <c r="O639" s="45" t="s">
        <v>33</v>
      </c>
      <c r="P639" s="39">
        <f>_xll.qlCalendarAdvance(Calendar,P638,O638,"f",,Trigger)</f>
        <v>45146</v>
      </c>
      <c r="Q639" s="39">
        <f>_xll.qlInterestRateIndexValueDate(Index,P639,Trigger)</f>
        <v>45148</v>
      </c>
      <c r="R639" s="39">
        <f>_xll.qlInterestRateIndexMaturity(Index,Q639,Trigger)</f>
        <v>45240</v>
      </c>
      <c r="S639" s="40">
        <f>_xll.qlDayCounterYearFraction(DayCounter,Q639,R639,,,Trigger)</f>
        <v>0.25555555555555554</v>
      </c>
      <c r="T639" s="41">
        <f>_xll.qlIndexFixing(Index,P639,,AllTriggers)</f>
        <v>8.2149473811335538E-3</v>
      </c>
      <c r="U639" s="42">
        <f>_xll.qlYieldTSDiscount(OisCurve,Q639,,AllTriggers)</f>
        <v>0.98561239885936058</v>
      </c>
      <c r="V639" s="42">
        <f>_xll.qlYieldTSDiscount(OisCurve,R639,,AllTriggers)</f>
        <v>0.9839492866953099</v>
      </c>
      <c r="W639" s="41">
        <f t="shared" si="47"/>
        <v>6.6139894557084291E-3</v>
      </c>
      <c r="X639" s="43">
        <f t="shared" si="48"/>
        <v>4.0835993382581519E-4</v>
      </c>
      <c r="Y639" s="41">
        <f t="shared" si="49"/>
        <v>1.6009579254251246E-3</v>
      </c>
      <c r="Z639" s="62"/>
    </row>
    <row r="640" spans="15:26" x14ac:dyDescent="0.25">
      <c r="O640" s="45" t="s">
        <v>33</v>
      </c>
      <c r="P640" s="39">
        <f>_xll.qlCalendarAdvance(Calendar,P639,O639,"f",,Trigger)</f>
        <v>45153</v>
      </c>
      <c r="Q640" s="39">
        <f>_xll.qlInterestRateIndexValueDate(Index,P640,Trigger)</f>
        <v>45155</v>
      </c>
      <c r="R640" s="39">
        <f>_xll.qlInterestRateIndexMaturity(Index,Q640,Trigger)</f>
        <v>45247</v>
      </c>
      <c r="S640" s="40">
        <f>_xll.qlDayCounterYearFraction(DayCounter,Q640,R640,,,Trigger)</f>
        <v>0.25555555555555554</v>
      </c>
      <c r="T640" s="41">
        <f>_xll.qlIndexFixing(Index,P640,,AllTriggers)</f>
        <v>8.2247995966196023E-3</v>
      </c>
      <c r="U640" s="42">
        <f>_xll.qlYieldTSDiscount(OisCurve,Q640,,AllTriggers)</f>
        <v>0.98548709008334145</v>
      </c>
      <c r="V640" s="42">
        <f>_xll.qlYieldTSDiscount(OisCurve,R640,,AllTriggers)</f>
        <v>0.98382143620408202</v>
      </c>
      <c r="W640" s="41">
        <f t="shared" si="47"/>
        <v>6.6249583607605111E-3</v>
      </c>
      <c r="X640" s="43">
        <f t="shared" si="48"/>
        <v>4.0807401368402833E-4</v>
      </c>
      <c r="Y640" s="41">
        <f t="shared" si="49"/>
        <v>1.5998412358590912E-3</v>
      </c>
      <c r="Z640" s="62"/>
    </row>
    <row r="641" spans="15:26" x14ac:dyDescent="0.25">
      <c r="O641" s="45" t="s">
        <v>33</v>
      </c>
      <c r="P641" s="39">
        <f>_xll.qlCalendarAdvance(Calendar,P640,O640,"f",,Trigger)</f>
        <v>45160</v>
      </c>
      <c r="Q641" s="39">
        <f>_xll.qlInterestRateIndexValueDate(Index,P641,Trigger)</f>
        <v>45162</v>
      </c>
      <c r="R641" s="39">
        <f>_xll.qlInterestRateIndexMaturity(Index,Q641,Trigger)</f>
        <v>45254</v>
      </c>
      <c r="S641" s="40">
        <f>_xll.qlDayCounterYearFraction(DayCounter,Q641,R641,,,Trigger)</f>
        <v>0.25555555555555554</v>
      </c>
      <c r="T641" s="41">
        <f>_xll.qlIndexFixing(Index,P641,,AllTriggers)</f>
        <v>8.2345414856515899E-3</v>
      </c>
      <c r="U641" s="42">
        <f>_xll.qlYieldTSDiscount(OisCurve,Q641,,AllTriggers)</f>
        <v>0.9853615632011633</v>
      </c>
      <c r="V641" s="42">
        <f>_xll.qlYieldTSDiscount(OisCurve,R641,,AllTriggers)</f>
        <v>0.9836934210467746</v>
      </c>
      <c r="W641" s="41">
        <f t="shared" si="47"/>
        <v>6.6357186480894967E-3</v>
      </c>
      <c r="X641" s="43">
        <f t="shared" si="48"/>
        <v>4.0781318289170957E-4</v>
      </c>
      <c r="Y641" s="41">
        <f t="shared" si="49"/>
        <v>1.5988228375620932E-3</v>
      </c>
      <c r="Z641" s="62"/>
    </row>
    <row r="642" spans="15:26" x14ac:dyDescent="0.25">
      <c r="O642" s="45" t="s">
        <v>33</v>
      </c>
      <c r="P642" s="39">
        <f>_xll.qlCalendarAdvance(Calendar,P641,O641,"f",,Trigger)</f>
        <v>45167</v>
      </c>
      <c r="Q642" s="39">
        <f>_xll.qlInterestRateIndexValueDate(Index,P642,Trigger)</f>
        <v>45169</v>
      </c>
      <c r="R642" s="39">
        <f>_xll.qlInterestRateIndexMaturity(Index,Q642,Trigger)</f>
        <v>45260</v>
      </c>
      <c r="S642" s="40">
        <f>_xll.qlDayCounterYearFraction(DayCounter,Q642,R642,,,Trigger)</f>
        <v>0.25277777777777777</v>
      </c>
      <c r="T642" s="41">
        <f>_xll.qlIndexFixing(Index,P642,,AllTriggers)</f>
        <v>8.2434115940190275E-3</v>
      </c>
      <c r="U642" s="42">
        <f>_xll.qlYieldTSDiscount(OisCurve,Q642,,AllTriggers)</f>
        <v>0.9852358222906189</v>
      </c>
      <c r="V642" s="42">
        <f>_xll.qlYieldTSDiscount(OisCurve,R642,,AllTriggers)</f>
        <v>0.98358356578003747</v>
      </c>
      <c r="W642" s="41">
        <f t="shared" si="47"/>
        <v>6.6454947092738827E-3</v>
      </c>
      <c r="X642" s="43">
        <f t="shared" si="48"/>
        <v>4.0315922273958193E-4</v>
      </c>
      <c r="Y642" s="41">
        <f t="shared" si="49"/>
        <v>1.5979168847451448E-3</v>
      </c>
      <c r="Z642" s="62"/>
    </row>
    <row r="643" spans="15:26" x14ac:dyDescent="0.25">
      <c r="O643" s="45" t="s">
        <v>33</v>
      </c>
      <c r="P643" s="39">
        <f>_xll.qlCalendarAdvance(Calendar,P642,O642,"f",,Trigger)</f>
        <v>45174</v>
      </c>
      <c r="Q643" s="39">
        <f>_xll.qlInterestRateIndexValueDate(Index,P643,Trigger)</f>
        <v>45176</v>
      </c>
      <c r="R643" s="39">
        <f>_xll.qlInterestRateIndexMaturity(Index,Q643,Trigger)</f>
        <v>45267</v>
      </c>
      <c r="S643" s="40">
        <f>_xll.qlDayCounterYearFraction(DayCounter,Q643,R643,,,Trigger)</f>
        <v>0.25277777777777777</v>
      </c>
      <c r="T643" s="41">
        <f>_xll.qlIndexFixing(Index,P643,,AllTriggers)</f>
        <v>8.2529404902335277E-3</v>
      </c>
      <c r="U643" s="42">
        <f>_xll.qlYieldTSDiscount(OisCurve,Q643,,AllTriggers)</f>
        <v>0.98510987142760498</v>
      </c>
      <c r="V643" s="42">
        <f>_xll.qlYieldTSDiscount(OisCurve,R643,,AllTriggers)</f>
        <v>0.98345525556358615</v>
      </c>
      <c r="W643" s="41">
        <f t="shared" si="47"/>
        <v>6.6558524664910744E-3</v>
      </c>
      <c r="X643" s="43">
        <f t="shared" si="48"/>
        <v>4.0294908772592786E-4</v>
      </c>
      <c r="Y643" s="41">
        <f t="shared" si="49"/>
        <v>1.5970880237424533E-3</v>
      </c>
      <c r="Z643" s="62"/>
    </row>
    <row r="644" spans="15:26" x14ac:dyDescent="0.25">
      <c r="O644" s="45" t="s">
        <v>33</v>
      </c>
      <c r="P644" s="39">
        <f>_xll.qlCalendarAdvance(Calendar,P643,O643,"f",,Trigger)</f>
        <v>45181</v>
      </c>
      <c r="Q644" s="39">
        <f>_xll.qlInterestRateIndexValueDate(Index,P644,Trigger)</f>
        <v>45183</v>
      </c>
      <c r="R644" s="39">
        <f>_xll.qlInterestRateIndexMaturity(Index,Q644,Trigger)</f>
        <v>45274</v>
      </c>
      <c r="S644" s="40">
        <f>_xll.qlDayCounterYearFraction(DayCounter,Q644,R644,,,Trigger)</f>
        <v>0.25277777777777777</v>
      </c>
      <c r="T644" s="41">
        <f>_xll.qlIndexFixing(Index,P644,,AllTriggers)</f>
        <v>8.2623590598878329E-3</v>
      </c>
      <c r="U644" s="42">
        <f>_xll.qlYieldTSDiscount(OisCurve,Q644,,AllTriggers)</f>
        <v>0.98498371468611323</v>
      </c>
      <c r="V644" s="42">
        <f>_xll.qlYieldTSDiscount(OisCurve,R644,,AllTriggers)</f>
        <v>0.98332679225354047</v>
      </c>
      <c r="W644" s="41">
        <f t="shared" ref="W644:W707" si="50">(U644/V644-1)/S644</f>
        <v>6.6660016046047347E-3</v>
      </c>
      <c r="X644" s="43">
        <f t="shared" ref="X644:X707" si="51">LN((1+T644*S644)/(1+W644*S644))</f>
        <v>4.0276376935164022E-4</v>
      </c>
      <c r="Y644" s="41">
        <f t="shared" ref="Y644:Y707" si="52">T644-W644</f>
        <v>1.5963574552830982E-3</v>
      </c>
      <c r="Z644" s="62"/>
    </row>
    <row r="645" spans="15:26" x14ac:dyDescent="0.25">
      <c r="O645" s="45" t="s">
        <v>33</v>
      </c>
      <c r="P645" s="39">
        <f>_xll.qlCalendarAdvance(Calendar,P644,O644,"f",,Trigger)</f>
        <v>45188</v>
      </c>
      <c r="Q645" s="39">
        <f>_xll.qlInterestRateIndexValueDate(Index,P645,Trigger)</f>
        <v>45190</v>
      </c>
      <c r="R645" s="39">
        <f>_xll.qlInterestRateIndexMaturity(Index,Q645,Trigger)</f>
        <v>45281</v>
      </c>
      <c r="S645" s="40">
        <f>_xll.qlDayCounterYearFraction(DayCounter,Q645,R645,,,Trigger)</f>
        <v>0.25277777777777777</v>
      </c>
      <c r="T645" s="41">
        <f>_xll.qlIndexFixing(Index,P645,,AllTriggers)</f>
        <v>8.2716673021975169E-3</v>
      </c>
      <c r="U645" s="42">
        <f>_xll.qlYieldTSDiscount(OisCurve,Q645,,AllTriggers)</f>
        <v>0.98485735613822156</v>
      </c>
      <c r="V645" s="42">
        <f>_xll.qlYieldTSDiscount(OisCurve,R645,,AllTriggers)</f>
        <v>0.9831981798964029</v>
      </c>
      <c r="W645" s="41">
        <f t="shared" si="50"/>
        <v>6.6759421220143863E-3</v>
      </c>
      <c r="X645" s="43">
        <f t="shared" si="51"/>
        <v>4.0260326761675468E-4</v>
      </c>
      <c r="Y645" s="41">
        <f t="shared" si="52"/>
        <v>1.5957251801831307E-3</v>
      </c>
      <c r="Z645" s="62"/>
    </row>
    <row r="646" spans="15:26" x14ac:dyDescent="0.25">
      <c r="O646" s="45" t="s">
        <v>33</v>
      </c>
      <c r="P646" s="39">
        <f>_xll.qlCalendarAdvance(Calendar,P645,O645,"f",,Trigger)</f>
        <v>45195</v>
      </c>
      <c r="Q646" s="39">
        <f>_xll.qlInterestRateIndexValueDate(Index,P646,Trigger)</f>
        <v>45197</v>
      </c>
      <c r="R646" s="39">
        <f>_xll.qlInterestRateIndexMaturity(Index,Q646,Trigger)</f>
        <v>45288</v>
      </c>
      <c r="S646" s="40">
        <f>_xll.qlDayCounterYearFraction(DayCounter,Q646,R646,,,Trigger)</f>
        <v>0.25277777777777777</v>
      </c>
      <c r="T646" s="41">
        <f>_xll.qlIndexFixing(Index,P646,,AllTriggers)</f>
        <v>8.28086521638342E-3</v>
      </c>
      <c r="U646" s="42">
        <f>_xll.qlYieldTSDiscount(OisCurve,Q646,,AllTriggers)</f>
        <v>0.98473079985408596</v>
      </c>
      <c r="V646" s="42">
        <f>_xll.qlYieldTSDiscount(OisCurve,R646,,AllTriggers)</f>
        <v>0.98306942253666108</v>
      </c>
      <c r="W646" s="41">
        <f t="shared" si="50"/>
        <v>6.6856740171494181E-3</v>
      </c>
      <c r="X646" s="43">
        <f t="shared" si="51"/>
        <v>4.0246758252056916E-4</v>
      </c>
      <c r="Y646" s="41">
        <f t="shared" si="52"/>
        <v>1.5951911992340018E-3</v>
      </c>
      <c r="Z646" s="62"/>
    </row>
    <row r="647" spans="15:26" x14ac:dyDescent="0.25">
      <c r="O647" s="45" t="s">
        <v>33</v>
      </c>
      <c r="P647" s="39">
        <f>_xll.qlCalendarAdvance(Calendar,P646,O646,"f",,Trigger)</f>
        <v>45202</v>
      </c>
      <c r="Q647" s="39">
        <f>_xll.qlInterestRateIndexValueDate(Index,P647,Trigger)</f>
        <v>45204</v>
      </c>
      <c r="R647" s="39">
        <f>_xll.qlInterestRateIndexMaturity(Index,Q647,Trigger)</f>
        <v>45296</v>
      </c>
      <c r="S647" s="40">
        <f>_xll.qlDayCounterYearFraction(DayCounter,Q647,R647,,,Trigger)</f>
        <v>0.25555555555555554</v>
      </c>
      <c r="T647" s="41">
        <f>_xll.qlIndexFixing(Index,P647,,AllTriggers)</f>
        <v>8.2906759188976411E-3</v>
      </c>
      <c r="U647" s="42">
        <f>_xll.qlYieldTSDiscount(OisCurve,Q647,,AllTriggers)</f>
        <v>0.98460404990193229</v>
      </c>
      <c r="V647" s="42">
        <f>_xll.qlYieldTSDiscount(OisCurve,R647,,AllTriggers)</f>
        <v>0.98292209889975379</v>
      </c>
      <c r="W647" s="41">
        <f t="shared" si="50"/>
        <v>6.6958993059535142E-3</v>
      </c>
      <c r="X647" s="43">
        <f t="shared" si="51"/>
        <v>4.0677507447856482E-4</v>
      </c>
      <c r="Y647" s="41">
        <f t="shared" si="52"/>
        <v>1.5947766129441269E-3</v>
      </c>
      <c r="Z647" s="62"/>
    </row>
    <row r="648" spans="15:26" x14ac:dyDescent="0.25">
      <c r="O648" s="45" t="s">
        <v>33</v>
      </c>
      <c r="P648" s="39">
        <f>_xll.qlCalendarAdvance(Calendar,P647,O647,"f",,Trigger)</f>
        <v>45209</v>
      </c>
      <c r="Q648" s="39">
        <f>_xll.qlInterestRateIndexValueDate(Index,P648,Trigger)</f>
        <v>45211</v>
      </c>
      <c r="R648" s="39">
        <f>_xll.qlInterestRateIndexMaturity(Index,Q648,Trigger)</f>
        <v>45303</v>
      </c>
      <c r="S648" s="40">
        <f>_xll.qlDayCounterYearFraction(DayCounter,Q648,R648,,,Trigger)</f>
        <v>0.25555555555555554</v>
      </c>
      <c r="T648" s="41">
        <f>_xll.qlIndexFixing(Index,P648,,AllTriggers)</f>
        <v>8.2996455002431312E-3</v>
      </c>
      <c r="U648" s="42">
        <f>_xll.qlYieldTSDiscount(OisCurve,Q648,,AllTriggers)</f>
        <v>0.98447711034804852</v>
      </c>
      <c r="V648" s="42">
        <f>_xll.qlYieldTSDiscount(OisCurve,R648,,AllTriggers)</f>
        <v>0.98279304442993221</v>
      </c>
      <c r="W648" s="41">
        <f t="shared" si="50"/>
        <v>6.7051992229647823E-3</v>
      </c>
      <c r="X648" s="43">
        <f t="shared" si="51"/>
        <v>4.0668986913323132E-4</v>
      </c>
      <c r="Y648" s="41">
        <f t="shared" si="52"/>
        <v>1.594446277278349E-3</v>
      </c>
      <c r="Z648" s="62"/>
    </row>
    <row r="649" spans="15:26" x14ac:dyDescent="0.25">
      <c r="O649" s="45" t="s">
        <v>33</v>
      </c>
      <c r="P649" s="39">
        <f>_xll.qlCalendarAdvance(Calendar,P648,O648,"f",,Trigger)</f>
        <v>45216</v>
      </c>
      <c r="Q649" s="39">
        <f>_xll.qlInterestRateIndexValueDate(Index,P649,Trigger)</f>
        <v>45218</v>
      </c>
      <c r="R649" s="39">
        <f>_xll.qlInterestRateIndexMaturity(Index,Q649,Trigger)</f>
        <v>45310</v>
      </c>
      <c r="S649" s="40">
        <f>_xll.qlDayCounterYearFraction(DayCounter,Q649,R649,,,Trigger)</f>
        <v>0.25555555555555554</v>
      </c>
      <c r="T649" s="41">
        <f>_xll.qlIndexFixing(Index,P649,,AllTriggers)</f>
        <v>8.3085047488161371E-3</v>
      </c>
      <c r="U649" s="42">
        <f>_xll.qlYieldTSDiscount(OisCurve,Q649,,AllTriggers)</f>
        <v>0.98434998525677631</v>
      </c>
      <c r="V649" s="42">
        <f>_xll.qlYieldTSDiscount(OisCurve,R649,,AllTriggers)</f>
        <v>0.98266385765556796</v>
      </c>
      <c r="W649" s="41">
        <f t="shared" si="50"/>
        <v>6.7142905094371179E-3</v>
      </c>
      <c r="X649" s="43">
        <f t="shared" si="51"/>
        <v>4.0662975313767331E-4</v>
      </c>
      <c r="Y649" s="41">
        <f t="shared" si="52"/>
        <v>1.5942142393790193E-3</v>
      </c>
      <c r="Z649" s="62"/>
    </row>
    <row r="650" spans="15:26" x14ac:dyDescent="0.25">
      <c r="O650" s="45" t="s">
        <v>33</v>
      </c>
      <c r="P650" s="39">
        <f>_xll.qlCalendarAdvance(Calendar,P649,O649,"f",,Trigger)</f>
        <v>45223</v>
      </c>
      <c r="Q650" s="39">
        <f>_xll.qlInterestRateIndexValueDate(Index,P650,Trigger)</f>
        <v>45225</v>
      </c>
      <c r="R650" s="39">
        <f>_xll.qlInterestRateIndexMaturity(Index,Q650,Trigger)</f>
        <v>45317</v>
      </c>
      <c r="S650" s="40">
        <f>_xll.qlDayCounterYearFraction(DayCounter,Q650,R650,,,Trigger)</f>
        <v>0.25555555555555554</v>
      </c>
      <c r="T650" s="41">
        <f>_xll.qlIndexFixing(Index,P650,,AllTriggers)</f>
        <v>8.3172536638685627E-3</v>
      </c>
      <c r="U650" s="42">
        <f>_xll.qlYieldTSDiscount(OisCurve,Q650,,AllTriggers)</f>
        <v>0.98422267869050395</v>
      </c>
      <c r="V650" s="42">
        <f>_xll.qlYieldTSDiscount(OisCurve,R650,,AllTriggers)</f>
        <v>0.98253454261273776</v>
      </c>
      <c r="W650" s="41">
        <f t="shared" si="50"/>
        <v>6.7231731639212471E-3</v>
      </c>
      <c r="X650" s="43">
        <f t="shared" si="51"/>
        <v>4.0659472649131061E-4</v>
      </c>
      <c r="Y650" s="41">
        <f t="shared" si="52"/>
        <v>1.5940804999473156E-3</v>
      </c>
      <c r="Z650" s="62"/>
    </row>
    <row r="651" spans="15:26" x14ac:dyDescent="0.25">
      <c r="O651" s="45" t="s">
        <v>33</v>
      </c>
      <c r="P651" s="39">
        <f>_xll.qlCalendarAdvance(Calendar,P650,O650,"f",,Trigger)</f>
        <v>45230</v>
      </c>
      <c r="Q651" s="39">
        <f>_xll.qlInterestRateIndexValueDate(Index,P651,Trigger)</f>
        <v>45232</v>
      </c>
      <c r="R651" s="39">
        <f>_xll.qlInterestRateIndexMaturity(Index,Q651,Trigger)</f>
        <v>45324</v>
      </c>
      <c r="S651" s="40">
        <f>_xll.qlDayCounterYearFraction(DayCounter,Q651,R651,,,Trigger)</f>
        <v>0.25555555555555554</v>
      </c>
      <c r="T651" s="41">
        <f>_xll.qlIndexFixing(Index,P651,,AllTriggers)</f>
        <v>8.3258922446609995E-3</v>
      </c>
      <c r="U651" s="42">
        <f>_xll.qlYieldTSDiscount(OisCurve,Q651,,AllTriggers)</f>
        <v>0.98409519470965834</v>
      </c>
      <c r="V651" s="42">
        <f>_xll.qlYieldTSDiscount(OisCurve,R651,,AllTriggers)</f>
        <v>0.98240510333547437</v>
      </c>
      <c r="W651" s="41">
        <f t="shared" si="50"/>
        <v>6.7318471849965658E-3</v>
      </c>
      <c r="X651" s="43">
        <f t="shared" si="51"/>
        <v>4.0658478919456016E-4</v>
      </c>
      <c r="Y651" s="41">
        <f t="shared" si="52"/>
        <v>1.5940450596644336E-3</v>
      </c>
      <c r="Z651" s="62"/>
    </row>
    <row r="652" spans="15:26" x14ac:dyDescent="0.25">
      <c r="O652" s="45" t="s">
        <v>33</v>
      </c>
      <c r="P652" s="39">
        <f>_xll.qlCalendarAdvance(Calendar,P651,O651,"f",,Trigger)</f>
        <v>45237</v>
      </c>
      <c r="Q652" s="39">
        <f>_xll.qlInterestRateIndexValueDate(Index,P652,Trigger)</f>
        <v>45239</v>
      </c>
      <c r="R652" s="39">
        <f>_xll.qlInterestRateIndexMaturity(Index,Q652,Trigger)</f>
        <v>45331</v>
      </c>
      <c r="S652" s="40">
        <f>_xll.qlDayCounterYearFraction(DayCounter,Q652,R652,,,Trigger)</f>
        <v>0.25555555555555554</v>
      </c>
      <c r="T652" s="41">
        <f>_xll.qlIndexFixing(Index,P652,,AllTriggers)</f>
        <v>8.334420490466201E-3</v>
      </c>
      <c r="U652" s="42">
        <f>_xll.qlYieldTSDiscount(OisCurve,Q652,,AllTriggers)</f>
        <v>0.98396753737269804</v>
      </c>
      <c r="V652" s="42">
        <f>_xll.qlYieldTSDiscount(OisCurve,R652,,AllTriggers)</f>
        <v>0.98227554385576066</v>
      </c>
      <c r="W652" s="41">
        <f t="shared" si="50"/>
        <v>6.7403125712798325E-3</v>
      </c>
      <c r="X652" s="43">
        <f t="shared" si="51"/>
        <v>4.0659994124750398E-4</v>
      </c>
      <c r="Y652" s="41">
        <f t="shared" si="52"/>
        <v>1.5941079191863685E-3</v>
      </c>
      <c r="Z652" s="62"/>
    </row>
    <row r="653" spans="15:26" x14ac:dyDescent="0.25">
      <c r="O653" s="45" t="s">
        <v>33</v>
      </c>
      <c r="P653" s="39">
        <f>_xll.qlCalendarAdvance(Calendar,P652,O652,"f",,Trigger)</f>
        <v>45244</v>
      </c>
      <c r="Q653" s="39">
        <f>_xll.qlInterestRateIndexValueDate(Index,P653,Trigger)</f>
        <v>45246</v>
      </c>
      <c r="R653" s="39">
        <f>_xll.qlInterestRateIndexMaturity(Index,Q653,Trigger)</f>
        <v>45338</v>
      </c>
      <c r="S653" s="40">
        <f>_xll.qlDayCounterYearFraction(DayCounter,Q653,R653,,,Trigger)</f>
        <v>0.25555555555555554</v>
      </c>
      <c r="T653" s="41">
        <f>_xll.qlIndexFixing(Index,P653,,AllTriggers)</f>
        <v>8.3428384005630081E-3</v>
      </c>
      <c r="U653" s="42">
        <f>_xll.qlYieldTSDiscount(OisCurve,Q653,,AllTriggers)</f>
        <v>0.98383971073610588</v>
      </c>
      <c r="V653" s="42">
        <f>_xll.qlYieldTSDiscount(OisCurve,R653,,AllTriggers)</f>
        <v>0.98214586820352556</v>
      </c>
      <c r="W653" s="41">
        <f t="shared" si="50"/>
        <v>6.7485693214164796E-3</v>
      </c>
      <c r="X653" s="43">
        <f t="shared" si="51"/>
        <v>4.0664018265033339E-4</v>
      </c>
      <c r="Y653" s="41">
        <f t="shared" si="52"/>
        <v>1.5942690791465285E-3</v>
      </c>
      <c r="Z653" s="62"/>
    </row>
    <row r="654" spans="15:26" x14ac:dyDescent="0.25">
      <c r="O654" s="45" t="s">
        <v>33</v>
      </c>
      <c r="P654" s="39">
        <f>_xll.qlCalendarAdvance(Calendar,P653,O653,"f",,Trigger)</f>
        <v>45251</v>
      </c>
      <c r="Q654" s="39">
        <f>_xll.qlInterestRateIndexValueDate(Index,P654,Trigger)</f>
        <v>45253</v>
      </c>
      <c r="R654" s="39">
        <f>_xll.qlInterestRateIndexMaturity(Index,Q654,Trigger)</f>
        <v>45345</v>
      </c>
      <c r="S654" s="40">
        <f>_xll.qlDayCounterYearFraction(DayCounter,Q654,R654,,,Trigger)</f>
        <v>0.25555555555555554</v>
      </c>
      <c r="T654" s="41">
        <f>_xll.qlIndexFixing(Index,P654,,AllTriggers)</f>
        <v>8.3511459742398146E-3</v>
      </c>
      <c r="U654" s="42">
        <f>_xll.qlYieldTSDiscount(OisCurve,Q654,,AllTriggers)</f>
        <v>0.98371171885438213</v>
      </c>
      <c r="V654" s="42">
        <f>_xll.qlYieldTSDiscount(OisCurve,R654,,AllTriggers)</f>
        <v>0.98201608040663813</v>
      </c>
      <c r="W654" s="41">
        <f t="shared" si="50"/>
        <v>6.7566174340910378E-3</v>
      </c>
      <c r="X654" s="43">
        <f t="shared" si="51"/>
        <v>4.0670551340223901E-4</v>
      </c>
      <c r="Y654" s="41">
        <f t="shared" si="52"/>
        <v>1.5945285401487768E-3</v>
      </c>
      <c r="Z654" s="62"/>
    </row>
    <row r="655" spans="15:26" x14ac:dyDescent="0.25">
      <c r="O655" s="45" t="s">
        <v>33</v>
      </c>
      <c r="P655" s="39">
        <f>_xll.qlCalendarAdvance(Calendar,P654,O654,"f",,Trigger)</f>
        <v>45258</v>
      </c>
      <c r="Q655" s="39">
        <f>_xll.qlInterestRateIndexValueDate(Index,P655,Trigger)</f>
        <v>45260</v>
      </c>
      <c r="R655" s="39">
        <f>_xll.qlInterestRateIndexMaturity(Index,Q655,Trigger)</f>
        <v>45351</v>
      </c>
      <c r="S655" s="40">
        <f>_xll.qlDayCounterYearFraction(DayCounter,Q655,R655,,,Trigger)</f>
        <v>0.25277777777777777</v>
      </c>
      <c r="T655" s="41">
        <f>_xll.qlIndexFixing(Index,P655,,AllTriggers)</f>
        <v>8.3586815548438269E-3</v>
      </c>
      <c r="U655" s="42">
        <f>_xll.qlYieldTSDiscount(OisCurve,Q655,,AllTriggers)</f>
        <v>0.98358356578003747</v>
      </c>
      <c r="V655" s="42">
        <f>_xll.qlYieldTSDiscount(OisCurve,R655,,AllTriggers)</f>
        <v>0.9819047475172904</v>
      </c>
      <c r="W655" s="41">
        <f t="shared" si="50"/>
        <v>6.7638728282242841E-3</v>
      </c>
      <c r="X655" s="43">
        <f t="shared" si="51"/>
        <v>4.0236316542405242E-4</v>
      </c>
      <c r="Y655" s="41">
        <f t="shared" si="52"/>
        <v>1.5948087266195428E-3</v>
      </c>
      <c r="Z655" s="62"/>
    </row>
    <row r="656" spans="15:26" x14ac:dyDescent="0.25">
      <c r="O656" s="45" t="s">
        <v>33</v>
      </c>
      <c r="P656" s="39">
        <f>_xll.qlCalendarAdvance(Calendar,P655,O655,"f",,Trigger)</f>
        <v>45265</v>
      </c>
      <c r="Q656" s="39">
        <f>_xll.qlInterestRateIndexValueDate(Index,P656,Trigger)</f>
        <v>45267</v>
      </c>
      <c r="R656" s="39">
        <f>_xll.qlInterestRateIndexMaturity(Index,Q656,Trigger)</f>
        <v>45358</v>
      </c>
      <c r="S656" s="40">
        <f>_xll.qlDayCounterYearFraction(DayCounter,Q656,R656,,,Trigger)</f>
        <v>0.25277777777777777</v>
      </c>
      <c r="T656" s="41">
        <f>_xll.qlIndexFixing(Index,P656,,AllTriggers)</f>
        <v>8.3667761470790063E-3</v>
      </c>
      <c r="U656" s="42">
        <f>_xll.qlYieldTSDiscount(OisCurve,Q656,,AllTriggers)</f>
        <v>0.98345525556358615</v>
      </c>
      <c r="V656" s="42">
        <f>_xll.qlYieldTSDiscount(OisCurve,R656,,AllTriggers)</f>
        <v>0.98177476213090398</v>
      </c>
      <c r="W656" s="41">
        <f t="shared" si="50"/>
        <v>6.7715184215010101E-3</v>
      </c>
      <c r="X656" s="43">
        <f t="shared" si="51"/>
        <v>4.0247564672057088E-4</v>
      </c>
      <c r="Y656" s="41">
        <f t="shared" si="52"/>
        <v>1.5952577255779962E-3</v>
      </c>
      <c r="Z656" s="62"/>
    </row>
    <row r="657" spans="15:26" x14ac:dyDescent="0.25">
      <c r="O657" s="45" t="s">
        <v>33</v>
      </c>
      <c r="P657" s="39">
        <f>_xll.qlCalendarAdvance(Calendar,P656,O656,"f",,Trigger)</f>
        <v>45272</v>
      </c>
      <c r="Q657" s="39">
        <f>_xll.qlInterestRateIndexValueDate(Index,P657,Trigger)</f>
        <v>45274</v>
      </c>
      <c r="R657" s="39">
        <f>_xll.qlInterestRateIndexMaturity(Index,Q657,Trigger)</f>
        <v>45365</v>
      </c>
      <c r="S657" s="40">
        <f>_xll.qlDayCounterYearFraction(DayCounter,Q657,R657,,,Trigger)</f>
        <v>0.25277777777777777</v>
      </c>
      <c r="T657" s="41">
        <f>_xll.qlIndexFixing(Index,P657,,AllTriggers)</f>
        <v>8.3747604032495034E-3</v>
      </c>
      <c r="U657" s="42">
        <f>_xll.qlYieldTSDiscount(OisCurve,Q657,,AllTriggers)</f>
        <v>0.98332679225354047</v>
      </c>
      <c r="V657" s="42">
        <f>_xll.qlYieldTSDiscount(OisCurve,R657,,AllTriggers)</f>
        <v>0.98164467609667594</v>
      </c>
      <c r="W657" s="41">
        <f t="shared" si="50"/>
        <v>6.7789553774066195E-3</v>
      </c>
      <c r="X657" s="43">
        <f t="shared" si="51"/>
        <v>4.0261294465641256E-4</v>
      </c>
      <c r="Y657" s="41">
        <f t="shared" si="52"/>
        <v>1.5958050258428839E-3</v>
      </c>
      <c r="Z657" s="62"/>
    </row>
    <row r="658" spans="15:26" x14ac:dyDescent="0.25">
      <c r="O658" s="45" t="s">
        <v>33</v>
      </c>
      <c r="P658" s="39">
        <f>_xll.qlCalendarAdvance(Calendar,P657,O657,"f",,Trigger)</f>
        <v>45279</v>
      </c>
      <c r="Q658" s="39">
        <f>_xll.qlInterestRateIndexValueDate(Index,P658,Trigger)</f>
        <v>45281</v>
      </c>
      <c r="R658" s="39">
        <f>_xll.qlInterestRateIndexMaturity(Index,Q658,Trigger)</f>
        <v>45372</v>
      </c>
      <c r="S658" s="40">
        <f>_xll.qlDayCounterYearFraction(DayCounter,Q658,R658,,,Trigger)</f>
        <v>0.25277777777777777</v>
      </c>
      <c r="T658" s="41">
        <f>_xll.qlIndexFixing(Index,P658,,AllTriggers)</f>
        <v>8.3826343226886015E-3</v>
      </c>
      <c r="U658" s="42">
        <f>_xll.qlYieldTSDiscount(OisCurve,Q658,,AllTriggers)</f>
        <v>0.9831981798964029</v>
      </c>
      <c r="V658" s="42">
        <f>_xll.qlYieldTSDiscount(OisCurve,R658,,AllTriggers)</f>
        <v>0.9815144934344906</v>
      </c>
      <c r="W658" s="41">
        <f t="shared" si="50"/>
        <v>6.7861836947657895E-3</v>
      </c>
      <c r="X658" s="43">
        <f t="shared" si="51"/>
        <v>4.0277505923134354E-4</v>
      </c>
      <c r="Y658" s="41">
        <f t="shared" si="52"/>
        <v>1.596450627922812E-3</v>
      </c>
      <c r="Z658" s="62"/>
    </row>
    <row r="659" spans="15:26" x14ac:dyDescent="0.25">
      <c r="O659" s="45" t="s">
        <v>33</v>
      </c>
      <c r="P659" s="39">
        <f>_xll.qlCalendarAdvance(Calendar,P658,O658,"f",,Trigger)</f>
        <v>45287</v>
      </c>
      <c r="Q659" s="39">
        <f>_xll.qlInterestRateIndexValueDate(Index,P659,Trigger)</f>
        <v>45289</v>
      </c>
      <c r="R659" s="39">
        <f>_xll.qlInterestRateIndexMaturity(Index,Q659,Trigger)</f>
        <v>45379</v>
      </c>
      <c r="S659" s="40">
        <f>_xll.qlDayCounterYearFraction(DayCounter,Q659,R659,,,Trigger)</f>
        <v>0.25</v>
      </c>
      <c r="T659" s="41">
        <f>_xll.qlIndexFixing(Index,P659,,AllTriggers)</f>
        <v>8.3908674893340418E-3</v>
      </c>
      <c r="U659" s="42">
        <f>_xll.qlYieldTSDiscount(OisCurve,Q659,,AllTriggers)</f>
        <v>0.98305101702691688</v>
      </c>
      <c r="V659" s="42">
        <f>_xll.qlYieldTSDiscount(OisCurve,R659,,AllTriggers)</f>
        <v>0.98138421816215216</v>
      </c>
      <c r="W659" s="41">
        <f t="shared" si="50"/>
        <v>6.7936648416297984E-3</v>
      </c>
      <c r="X659" s="43">
        <f t="shared" si="51"/>
        <v>3.9854420379287128E-4</v>
      </c>
      <c r="Y659" s="41">
        <f t="shared" si="52"/>
        <v>1.5972026477042434E-3</v>
      </c>
      <c r="Z659" s="62"/>
    </row>
    <row r="660" spans="15:26" x14ac:dyDescent="0.25">
      <c r="O660" s="45" t="s">
        <v>33</v>
      </c>
      <c r="P660" s="39">
        <f>_xll.qlCalendarAdvance(Calendar,P659,O659,"f",,Trigger)</f>
        <v>45294</v>
      </c>
      <c r="Q660" s="39">
        <f>_xll.qlInterestRateIndexValueDate(Index,P660,Trigger)</f>
        <v>45296</v>
      </c>
      <c r="R660" s="39">
        <f>_xll.qlInterestRateIndexMaturity(Index,Q660,Trigger)</f>
        <v>45387</v>
      </c>
      <c r="S660" s="40">
        <f>_xll.qlDayCounterYearFraction(DayCounter,Q660,R660,,,Trigger)</f>
        <v>0.25277777777777777</v>
      </c>
      <c r="T660" s="41">
        <f>_xll.qlIndexFixing(Index,P660,,AllTriggers)</f>
        <v>8.3991354621017165E-3</v>
      </c>
      <c r="U660" s="42">
        <f>_xll.qlYieldTSDiscount(OisCurve,Q660,,AllTriggers)</f>
        <v>0.98292209889975379</v>
      </c>
      <c r="V660" s="42">
        <f>_xll.qlYieldTSDiscount(OisCurve,R660,,AllTriggers)</f>
        <v>0.98123522388770001</v>
      </c>
      <c r="W660" s="41">
        <f t="shared" si="50"/>
        <v>6.8009703826126941E-3</v>
      </c>
      <c r="X660" s="43">
        <f t="shared" si="51"/>
        <v>4.0320601384120789E-4</v>
      </c>
      <c r="Y660" s="41">
        <f t="shared" si="52"/>
        <v>1.5981650794890225E-3</v>
      </c>
      <c r="Z660" s="62"/>
    </row>
    <row r="661" spans="15:26" x14ac:dyDescent="0.25">
      <c r="O661" s="45" t="s">
        <v>33</v>
      </c>
      <c r="P661" s="39">
        <f>_xll.qlCalendarAdvance(Calendar,P660,O660,"f",,Trigger)</f>
        <v>45301</v>
      </c>
      <c r="Q661" s="39">
        <f>_xll.qlInterestRateIndexValueDate(Index,P661,Trigger)</f>
        <v>45303</v>
      </c>
      <c r="R661" s="39">
        <f>_xll.qlInterestRateIndexMaturity(Index,Q661,Trigger)</f>
        <v>45394</v>
      </c>
      <c r="S661" s="40">
        <f>_xll.qlDayCounterYearFraction(DayCounter,Q661,R661,,,Trigger)</f>
        <v>0.25277777777777777</v>
      </c>
      <c r="T661" s="41">
        <f>_xll.qlIndexFixing(Index,P661,,AllTriggers)</f>
        <v>8.4066626047181719E-3</v>
      </c>
      <c r="U661" s="42">
        <f>_xll.qlYieldTSDiscount(OisCurve,Q661,,AllTriggers)</f>
        <v>0.98279304442993221</v>
      </c>
      <c r="V661" s="42">
        <f>_xll.qlYieldTSDiscount(OisCurve,R661,,AllTriggers)</f>
        <v>0.98110476368467692</v>
      </c>
      <c r="W661" s="41">
        <f t="shared" si="50"/>
        <v>6.8075429715464602E-3</v>
      </c>
      <c r="X661" s="43">
        <f t="shared" si="51"/>
        <v>4.0344612356800534E-4</v>
      </c>
      <c r="Y661" s="41">
        <f t="shared" si="52"/>
        <v>1.5991196331717117E-3</v>
      </c>
      <c r="Z661" s="62"/>
    </row>
    <row r="662" spans="15:26" x14ac:dyDescent="0.25">
      <c r="O662" s="45" t="s">
        <v>33</v>
      </c>
      <c r="P662" s="39">
        <f>_xll.qlCalendarAdvance(Calendar,P661,O661,"f",,Trigger)</f>
        <v>45308</v>
      </c>
      <c r="Q662" s="39">
        <f>_xll.qlInterestRateIndexValueDate(Index,P662,Trigger)</f>
        <v>45310</v>
      </c>
      <c r="R662" s="39">
        <f>_xll.qlInterestRateIndexMaturity(Index,Q662,Trigger)</f>
        <v>45401</v>
      </c>
      <c r="S662" s="40">
        <f>_xll.qlDayCounterYearFraction(DayCounter,Q662,R662,,,Trigger)</f>
        <v>0.25277777777777777</v>
      </c>
      <c r="T662" s="41">
        <f>_xll.qlIndexFixing(Index,P662,,AllTriggers)</f>
        <v>8.4140794079398638E-3</v>
      </c>
      <c r="U662" s="42">
        <f>_xll.qlYieldTSDiscount(OisCurve,Q662,,AllTriggers)</f>
        <v>0.98266385765556796</v>
      </c>
      <c r="V662" s="42">
        <f>_xll.qlYieldTSDiscount(OisCurve,R662,,AllTriggers)</f>
        <v>0.98097422348529939</v>
      </c>
      <c r="W662" s="41">
        <f t="shared" si="50"/>
        <v>6.8139069174187163E-3</v>
      </c>
      <c r="X662" s="43">
        <f t="shared" si="51"/>
        <v>4.037110499342314E-4</v>
      </c>
      <c r="Y662" s="41">
        <f t="shared" si="52"/>
        <v>1.6001724905211475E-3</v>
      </c>
      <c r="Z662" s="62"/>
    </row>
    <row r="663" spans="15:26" x14ac:dyDescent="0.25">
      <c r="O663" s="45" t="s">
        <v>33</v>
      </c>
      <c r="P663" s="39">
        <f>_xll.qlCalendarAdvance(Calendar,P662,O662,"f",,Trigger)</f>
        <v>45315</v>
      </c>
      <c r="Q663" s="39">
        <f>_xll.qlInterestRateIndexValueDate(Index,P663,Trigger)</f>
        <v>45317</v>
      </c>
      <c r="R663" s="39">
        <f>_xll.qlInterestRateIndexMaturity(Index,Q663,Trigger)</f>
        <v>45408</v>
      </c>
      <c r="S663" s="40">
        <f>_xll.qlDayCounterYearFraction(DayCounter,Q663,R663,,,Trigger)</f>
        <v>0.25277777777777777</v>
      </c>
      <c r="T663" s="41">
        <f>_xll.qlIndexFixing(Index,P663,,AllTriggers)</f>
        <v>8.421385945688321E-3</v>
      </c>
      <c r="U663" s="42">
        <f>_xll.qlYieldTSDiscount(OisCurve,Q663,,AllTriggers)</f>
        <v>0.98253454261273776</v>
      </c>
      <c r="V663" s="42">
        <f>_xll.qlYieldTSDiscount(OisCurve,R663,,AllTriggers)</f>
        <v>0.98084360726532482</v>
      </c>
      <c r="W663" s="41">
        <f t="shared" si="50"/>
        <v>6.8200623541249958E-3</v>
      </c>
      <c r="X663" s="43">
        <f t="shared" si="51"/>
        <v>4.0400077770071368E-4</v>
      </c>
      <c r="Y663" s="41">
        <f t="shared" si="52"/>
        <v>1.6013235915633252E-3</v>
      </c>
      <c r="Z663" s="62"/>
    </row>
    <row r="664" spans="15:26" x14ac:dyDescent="0.25">
      <c r="O664" s="45" t="s">
        <v>33</v>
      </c>
      <c r="P664" s="39">
        <f>_xll.qlCalendarAdvance(Calendar,P663,O663,"f",,Trigger)</f>
        <v>45322</v>
      </c>
      <c r="Q664" s="39">
        <f>_xll.qlInterestRateIndexValueDate(Index,P664,Trigger)</f>
        <v>45324</v>
      </c>
      <c r="R664" s="39">
        <f>_xll.qlInterestRateIndexMaturity(Index,Q664,Trigger)</f>
        <v>45414</v>
      </c>
      <c r="S664" s="40">
        <f>_xll.qlDayCounterYearFraction(DayCounter,Q664,R664,,,Trigger)</f>
        <v>0.25</v>
      </c>
      <c r="T664" s="41">
        <f>_xll.qlIndexFixing(Index,P664,,AllTriggers)</f>
        <v>8.4279948668175564E-3</v>
      </c>
      <c r="U664" s="42">
        <f>_xll.qlYieldTSDiscount(OisCurve,Q664,,AllTriggers)</f>
        <v>0.98240510333547437</v>
      </c>
      <c r="V664" s="42">
        <f>_xll.qlYieldTSDiscount(OisCurve,R664,,AllTriggers)</f>
        <v>0.98073159098855134</v>
      </c>
      <c r="W664" s="41">
        <f t="shared" si="50"/>
        <v>6.825567208398553E-3</v>
      </c>
      <c r="X664" s="43">
        <f t="shared" si="51"/>
        <v>3.9984453825651402E-4</v>
      </c>
      <c r="Y664" s="41">
        <f t="shared" si="52"/>
        <v>1.6024276584190034E-3</v>
      </c>
      <c r="Z664" s="62"/>
    </row>
    <row r="665" spans="15:26" x14ac:dyDescent="0.25">
      <c r="O665" s="45" t="s">
        <v>33</v>
      </c>
      <c r="P665" s="39">
        <f>_xll.qlCalendarAdvance(Calendar,P664,O664,"f",,Trigger)</f>
        <v>45329</v>
      </c>
      <c r="Q665" s="39">
        <f>_xll.qlInterestRateIndexValueDate(Index,P665,Trigger)</f>
        <v>45331</v>
      </c>
      <c r="R665" s="39">
        <f>_xll.qlInterestRateIndexMaturity(Index,Q665,Trigger)</f>
        <v>45421</v>
      </c>
      <c r="S665" s="40">
        <f>_xll.qlDayCounterYearFraction(DayCounter,Q665,R665,,,Trigger)</f>
        <v>0.25</v>
      </c>
      <c r="T665" s="41">
        <f>_xll.qlIndexFixing(Index,P665,,AllTriggers)</f>
        <v>8.4351153361410525E-3</v>
      </c>
      <c r="U665" s="42">
        <f>_xll.qlYieldTSDiscount(OisCurve,Q665,,AllTriggers)</f>
        <v>0.98227554385576066</v>
      </c>
      <c r="V665" s="42">
        <f>_xll.qlYieldTSDiscount(OisCurve,R665,,AllTriggers)</f>
        <v>0.98060083236633433</v>
      </c>
      <c r="W665" s="41">
        <f t="shared" si="50"/>
        <v>6.8313688267425121E-3</v>
      </c>
      <c r="X665" s="43">
        <f t="shared" si="51"/>
        <v>4.0017297839549669E-4</v>
      </c>
      <c r="Y665" s="41">
        <f t="shared" si="52"/>
        <v>1.6037465093985404E-3</v>
      </c>
      <c r="Z665" s="62"/>
    </row>
    <row r="666" spans="15:26" x14ac:dyDescent="0.25">
      <c r="O666" s="45" t="s">
        <v>33</v>
      </c>
      <c r="P666" s="39">
        <f>_xll.qlCalendarAdvance(Calendar,P665,O665,"f",,Trigger)</f>
        <v>45336</v>
      </c>
      <c r="Q666" s="39">
        <f>_xll.qlInterestRateIndexValueDate(Index,P666,Trigger)</f>
        <v>45338</v>
      </c>
      <c r="R666" s="39">
        <f>_xll.qlInterestRateIndexMaturity(Index,Q666,Trigger)</f>
        <v>45428</v>
      </c>
      <c r="S666" s="40">
        <f>_xll.qlDayCounterYearFraction(DayCounter,Q666,R666,,,Trigger)</f>
        <v>0.25</v>
      </c>
      <c r="T666" s="41">
        <f>_xll.qlIndexFixing(Index,P666,,AllTriggers)</f>
        <v>8.4421670129630755E-3</v>
      </c>
      <c r="U666" s="42">
        <f>_xll.qlYieldTSDiscount(OisCurve,Q666,,AllTriggers)</f>
        <v>0.98214586820352556</v>
      </c>
      <c r="V666" s="42">
        <f>_xll.qlYieldTSDiscount(OisCurve,R666,,AllTriggers)</f>
        <v>0.98046999080449726</v>
      </c>
      <c r="W666" s="41">
        <f t="shared" si="50"/>
        <v>6.8370369914259044E-3</v>
      </c>
      <c r="X666" s="43">
        <f t="shared" si="51"/>
        <v>4.0051756205622808E-4</v>
      </c>
      <c r="Y666" s="41">
        <f t="shared" si="52"/>
        <v>1.6051300215371711E-3</v>
      </c>
      <c r="Z666" s="62"/>
    </row>
    <row r="667" spans="15:26" x14ac:dyDescent="0.25">
      <c r="O667" s="45" t="s">
        <v>33</v>
      </c>
      <c r="P667" s="39">
        <f>_xll.qlCalendarAdvance(Calendar,P666,O666,"f",,Trigger)</f>
        <v>45343</v>
      </c>
      <c r="Q667" s="39">
        <f>_xll.qlInterestRateIndexValueDate(Index,P667,Trigger)</f>
        <v>45345</v>
      </c>
      <c r="R667" s="39">
        <f>_xll.qlInterestRateIndexMaturity(Index,Q667,Trigger)</f>
        <v>45435</v>
      </c>
      <c r="S667" s="40">
        <f>_xll.qlDayCounterYearFraction(DayCounter,Q667,R667,,,Trigger)</f>
        <v>0.25</v>
      </c>
      <c r="T667" s="41">
        <f>_xll.qlIndexFixing(Index,P667,,AllTriggers)</f>
        <v>8.4491692854280487E-3</v>
      </c>
      <c r="U667" s="42">
        <f>_xll.qlYieldTSDiscount(OisCurve,Q667,,AllTriggers)</f>
        <v>0.98201608040663813</v>
      </c>
      <c r="V667" s="42">
        <f>_xll.qlYieldTSDiscount(OisCurve,R667,,AllTriggers)</f>
        <v>0.98033906172652063</v>
      </c>
      <c r="W667" s="41">
        <f t="shared" si="50"/>
        <v>6.8426067902018772E-3</v>
      </c>
      <c r="X667" s="43">
        <f t="shared" si="51"/>
        <v>4.0087436904935446E-4</v>
      </c>
      <c r="Y667" s="41">
        <f t="shared" si="52"/>
        <v>1.6065624952261714E-3</v>
      </c>
      <c r="Z667" s="62"/>
    </row>
    <row r="668" spans="15:26" x14ac:dyDescent="0.25">
      <c r="O668" s="45" t="s">
        <v>33</v>
      </c>
      <c r="P668" s="39">
        <f>_xll.qlCalendarAdvance(Calendar,P667,O667,"f",,Trigger)</f>
        <v>45350</v>
      </c>
      <c r="Q668" s="39">
        <f>_xll.qlInterestRateIndexValueDate(Index,P668,Trigger)</f>
        <v>45352</v>
      </c>
      <c r="R668" s="39">
        <f>_xll.qlInterestRateIndexMaturity(Index,Q668,Trigger)</f>
        <v>45446</v>
      </c>
      <c r="S668" s="40">
        <f>_xll.qlDayCounterYearFraction(DayCounter,Q668,R668,,,Trigger)</f>
        <v>0.26111111111111113</v>
      </c>
      <c r="T668" s="41">
        <f>_xll.qlIndexFixing(Index,P668,,AllTriggers)</f>
        <v>8.4585192653319919E-3</v>
      </c>
      <c r="U668" s="42">
        <f>_xll.qlYieldTSDiscount(OisCurve,Q668,,AllTriggers)</f>
        <v>0.98188618449090415</v>
      </c>
      <c r="V668" s="42">
        <f>_xll.qlYieldTSDiscount(OisCurve,R668,,AllTriggers)</f>
        <v>0.98013312821340837</v>
      </c>
      <c r="W668" s="41">
        <f t="shared" si="50"/>
        <v>6.8499190149296655E-3</v>
      </c>
      <c r="X668" s="43">
        <f t="shared" si="51"/>
        <v>4.1918561978923489E-4</v>
      </c>
      <c r="Y668" s="41">
        <f t="shared" si="52"/>
        <v>1.6086002504023264E-3</v>
      </c>
      <c r="Z668" s="62"/>
    </row>
    <row r="669" spans="15:26" x14ac:dyDescent="0.25">
      <c r="O669" s="45" t="s">
        <v>33</v>
      </c>
      <c r="P669" s="39">
        <f>_xll.qlCalendarAdvance(Calendar,P668,O668,"f",,Trigger)</f>
        <v>45357</v>
      </c>
      <c r="Q669" s="39">
        <f>_xll.qlInterestRateIndexValueDate(Index,P669,Trigger)</f>
        <v>45359</v>
      </c>
      <c r="R669" s="39">
        <f>_xll.qlInterestRateIndexMaturity(Index,Q669,Trigger)</f>
        <v>45453</v>
      </c>
      <c r="S669" s="40">
        <f>_xll.qlDayCounterYearFraction(DayCounter,Q669,R669,,,Trigger)</f>
        <v>0.26111111111111113</v>
      </c>
      <c r="T669" s="41">
        <f>_xll.qlIndexFixing(Index,P669,,AllTriggers)</f>
        <v>8.4654997426490183E-3</v>
      </c>
      <c r="U669" s="42">
        <f>_xll.qlYieldTSDiscount(OisCurve,Q669,,AllTriggers)</f>
        <v>0.98175618448006052</v>
      </c>
      <c r="V669" s="42">
        <f>_xll.qlYieldTSDiscount(OisCurve,R669,,AllTriggers)</f>
        <v>0.98000195309671256</v>
      </c>
      <c r="W669" s="41">
        <f t="shared" si="50"/>
        <v>6.855428130804646E-3</v>
      </c>
      <c r="X669" s="43">
        <f t="shared" si="51"/>
        <v>4.195683595405745E-4</v>
      </c>
      <c r="Y669" s="41">
        <f t="shared" si="52"/>
        <v>1.6100716118443723E-3</v>
      </c>
      <c r="Z669" s="62"/>
    </row>
    <row r="670" spans="15:26" x14ac:dyDescent="0.25">
      <c r="O670" s="45" t="s">
        <v>33</v>
      </c>
      <c r="P670" s="39">
        <f>_xll.qlCalendarAdvance(Calendar,P669,O669,"f",,Trigger)</f>
        <v>45364</v>
      </c>
      <c r="Q670" s="39">
        <f>_xll.qlInterestRateIndexValueDate(Index,P670,Trigger)</f>
        <v>45366</v>
      </c>
      <c r="R670" s="39">
        <f>_xll.qlInterestRateIndexMaturity(Index,Q670,Trigger)</f>
        <v>45460</v>
      </c>
      <c r="S670" s="40">
        <f>_xll.qlDayCounterYearFraction(DayCounter,Q670,R670,,,Trigger)</f>
        <v>0.26111111111111113</v>
      </c>
      <c r="T670" s="41">
        <f>_xll.qlIndexFixing(Index,P670,,AllTriggers)</f>
        <v>8.4724945224299384E-3</v>
      </c>
      <c r="U670" s="42">
        <f>_xll.qlYieldTSDiscount(OisCurve,Q670,,AllTriggers)</f>
        <v>0.9816260843957717</v>
      </c>
      <c r="V670" s="42">
        <f>_xll.qlYieldTSDiscount(OisCurve,R670,,AllTriggers)</f>
        <v>0.97987067413949669</v>
      </c>
      <c r="W670" s="41">
        <f t="shared" si="50"/>
        <v>6.8609541722367525E-3</v>
      </c>
      <c r="X670" s="43">
        <f t="shared" si="51"/>
        <v>4.1995041278698226E-4</v>
      </c>
      <c r="Y670" s="41">
        <f t="shared" si="52"/>
        <v>1.6115403501931859E-3</v>
      </c>
      <c r="Z670" s="62"/>
    </row>
    <row r="671" spans="15:26" x14ac:dyDescent="0.25">
      <c r="O671" s="45" t="s">
        <v>33</v>
      </c>
      <c r="P671" s="39">
        <f>_xll.qlCalendarAdvance(Calendar,P670,O670,"f",,Trigger)</f>
        <v>45371</v>
      </c>
      <c r="Q671" s="39">
        <f>_xll.qlInterestRateIndexValueDate(Index,P671,Trigger)</f>
        <v>45373</v>
      </c>
      <c r="R671" s="39">
        <f>_xll.qlInterestRateIndexMaturity(Index,Q671,Trigger)</f>
        <v>45467</v>
      </c>
      <c r="S671" s="40">
        <f>_xll.qlDayCounterYearFraction(DayCounter,Q671,R671,,,Trigger)</f>
        <v>0.26111111111111113</v>
      </c>
      <c r="T671" s="41">
        <f>_xll.qlIndexFixing(Index,P671,,AllTriggers)</f>
        <v>8.479522170103948E-3</v>
      </c>
      <c r="U671" s="42">
        <f>_xll.qlYieldTSDiscount(OisCurve,Q671,,AllTriggers)</f>
        <v>0.98149588825762502</v>
      </c>
      <c r="V671" s="42">
        <f>_xll.qlYieldTSDiscount(OisCurve,R671,,AllTriggers)</f>
        <v>0.97973928677664635</v>
      </c>
      <c r="W671" s="41">
        <f t="shared" si="50"/>
        <v>6.8665307372592762E-3</v>
      </c>
      <c r="X671" s="43">
        <f t="shared" si="51"/>
        <v>4.2032785933895461E-4</v>
      </c>
      <c r="Y671" s="41">
        <f t="shared" si="52"/>
        <v>1.6129914328446718E-3</v>
      </c>
      <c r="Z671" s="62"/>
    </row>
    <row r="672" spans="15:26" x14ac:dyDescent="0.25">
      <c r="O672" s="45" t="s">
        <v>33</v>
      </c>
      <c r="P672" s="39">
        <f>_xll.qlCalendarAdvance(Calendar,P671,O671,"f",,Trigger)</f>
        <v>45378</v>
      </c>
      <c r="Q672" s="39">
        <f>_xll.qlInterestRateIndexValueDate(Index,P672,Trigger)</f>
        <v>45384</v>
      </c>
      <c r="R672" s="39">
        <f>_xll.qlInterestRateIndexMaturity(Index,Q672,Trigger)</f>
        <v>45475</v>
      </c>
      <c r="S672" s="40">
        <f>_xll.qlDayCounterYearFraction(DayCounter,Q672,R672,,,Trigger)</f>
        <v>0.25277777777777777</v>
      </c>
      <c r="T672" s="41">
        <f>_xll.qlIndexFixing(Index,P672,,AllTriggers)</f>
        <v>8.4887977318125491E-3</v>
      </c>
      <c r="U672" s="42">
        <f>_xll.qlYieldTSDiscount(OisCurve,Q672,,AllTriggers)</f>
        <v>0.98129110992063606</v>
      </c>
      <c r="V672" s="42">
        <f>_xll.qlYieldTSDiscount(OisCurve,R672,,AllTriggers)</f>
        <v>0.97958899119614773</v>
      </c>
      <c r="W672" s="41">
        <f t="shared" si="50"/>
        <v>6.8739609703650532E-3</v>
      </c>
      <c r="X672" s="43">
        <f t="shared" si="51"/>
        <v>4.0740380504238608E-4</v>
      </c>
      <c r="Y672" s="41">
        <f t="shared" si="52"/>
        <v>1.6148367614474959E-3</v>
      </c>
      <c r="Z672" s="62"/>
    </row>
    <row r="673" spans="15:26" x14ac:dyDescent="0.25">
      <c r="O673" s="45" t="s">
        <v>33</v>
      </c>
      <c r="P673" s="39">
        <f>_xll.qlCalendarAdvance(Calendar,P672,O672,"f",,Trigger)</f>
        <v>45385</v>
      </c>
      <c r="Q673" s="39">
        <f>_xll.qlInterestRateIndexValueDate(Index,P673,Trigger)</f>
        <v>45387</v>
      </c>
      <c r="R673" s="39">
        <f>_xll.qlInterestRateIndexMaturity(Index,Q673,Trigger)</f>
        <v>45478</v>
      </c>
      <c r="S673" s="40">
        <f>_xll.qlDayCounterYearFraction(DayCounter,Q673,R673,,,Trigger)</f>
        <v>0.25277777777777777</v>
      </c>
      <c r="T673" s="41">
        <f>_xll.qlIndexFixing(Index,P673,,AllTriggers)</f>
        <v>8.4918595345772809E-3</v>
      </c>
      <c r="U673" s="42">
        <f>_xll.qlYieldTSDiscount(OisCurve,Q673,,AllTriggers)</f>
        <v>0.98123522388770001</v>
      </c>
      <c r="V673" s="42">
        <f>_xll.qlYieldTSDiscount(OisCurve,R673,,AllTriggers)</f>
        <v>0.97953259092377487</v>
      </c>
      <c r="W673" s="41">
        <f t="shared" si="50"/>
        <v>6.8764336263123001E-3</v>
      </c>
      <c r="X673" s="43">
        <f t="shared" si="51"/>
        <v>4.0755215514295316E-4</v>
      </c>
      <c r="Y673" s="41">
        <f t="shared" si="52"/>
        <v>1.6154259082649808E-3</v>
      </c>
      <c r="Z673" s="62"/>
    </row>
    <row r="674" spans="15:26" x14ac:dyDescent="0.25">
      <c r="O674" s="45" t="s">
        <v>33</v>
      </c>
      <c r="P674" s="39">
        <f>_xll.qlCalendarAdvance(Calendar,P673,O673,"f",,Trigger)</f>
        <v>45392</v>
      </c>
      <c r="Q674" s="39">
        <f>_xll.qlInterestRateIndexValueDate(Index,P674,Trigger)</f>
        <v>45394</v>
      </c>
      <c r="R674" s="39">
        <f>_xll.qlInterestRateIndexMaturity(Index,Q674,Trigger)</f>
        <v>45485</v>
      </c>
      <c r="S674" s="40">
        <f>_xll.qlDayCounterYearFraction(DayCounter,Q674,R674,,,Trigger)</f>
        <v>0.25277777777777777</v>
      </c>
      <c r="T674" s="41">
        <f>_xll.qlIndexFixing(Index,P674,,AllTriggers)</f>
        <v>8.4990684193973574E-3</v>
      </c>
      <c r="U674" s="42">
        <f>_xll.qlYieldTSDiscount(OisCurve,Q674,,AllTriggers)</f>
        <v>0.98110476368467692</v>
      </c>
      <c r="V674" s="42">
        <f>_xll.qlYieldTSDiscount(OisCurve,R674,,AllTriggers)</f>
        <v>0.9794009038588829</v>
      </c>
      <c r="W674" s="41">
        <f t="shared" si="50"/>
        <v>6.8823138096160913E-3</v>
      </c>
      <c r="X674" s="43">
        <f t="shared" si="51"/>
        <v>4.0788669679370909E-4</v>
      </c>
      <c r="Y674" s="41">
        <f t="shared" si="52"/>
        <v>1.616754609781266E-3</v>
      </c>
      <c r="Z674" s="62"/>
    </row>
    <row r="675" spans="15:26" x14ac:dyDescent="0.25">
      <c r="O675" s="45" t="s">
        <v>33</v>
      </c>
      <c r="P675" s="39">
        <f>_xll.qlCalendarAdvance(Calendar,P674,O674,"f",,Trigger)</f>
        <v>45399</v>
      </c>
      <c r="Q675" s="39">
        <f>_xll.qlInterestRateIndexValueDate(Index,P675,Trigger)</f>
        <v>45401</v>
      </c>
      <c r="R675" s="39">
        <f>_xll.qlInterestRateIndexMaturity(Index,Q675,Trigger)</f>
        <v>45492</v>
      </c>
      <c r="S675" s="40">
        <f>_xll.qlDayCounterYearFraction(DayCounter,Q675,R675,,,Trigger)</f>
        <v>0.25277777777777777</v>
      </c>
      <c r="T675" s="41">
        <f>_xll.qlIndexFixing(Index,P675,,AllTriggers)</f>
        <v>8.5063833779026529E-3</v>
      </c>
      <c r="U675" s="42">
        <f>_xll.qlYieldTSDiscount(OisCurve,Q675,,AllTriggers)</f>
        <v>0.98097422348529939</v>
      </c>
      <c r="V675" s="42">
        <f>_xll.qlYieldTSDiscount(OisCurve,R675,,AllTriggers)</f>
        <v>0.97926909210488766</v>
      </c>
      <c r="W675" s="41">
        <f t="shared" si="50"/>
        <v>6.8883770008908579E-3</v>
      </c>
      <c r="X675" s="43">
        <f t="shared" si="51"/>
        <v>4.0820181294088357E-4</v>
      </c>
      <c r="Y675" s="41">
        <f t="shared" si="52"/>
        <v>1.618006377011795E-3</v>
      </c>
      <c r="Z675" s="62"/>
    </row>
    <row r="676" spans="15:26" x14ac:dyDescent="0.25">
      <c r="O676" s="45" t="s">
        <v>33</v>
      </c>
      <c r="P676" s="39">
        <f>_xll.qlCalendarAdvance(Calendar,P675,O675,"f",,Trigger)</f>
        <v>45406</v>
      </c>
      <c r="Q676" s="39">
        <f>_xll.qlInterestRateIndexValueDate(Index,P676,Trigger)</f>
        <v>45408</v>
      </c>
      <c r="R676" s="39">
        <f>_xll.qlInterestRateIndexMaturity(Index,Q676,Trigger)</f>
        <v>45499</v>
      </c>
      <c r="S676" s="40">
        <f>_xll.qlDayCounterYearFraction(DayCounter,Q676,R676,,,Trigger)</f>
        <v>0.25277777777777777</v>
      </c>
      <c r="T676" s="41">
        <f>_xll.qlIndexFixing(Index,P676,,AllTriggers)</f>
        <v>8.5138235123487695E-3</v>
      </c>
      <c r="U676" s="42">
        <f>_xll.qlYieldTSDiscount(OisCurve,Q676,,AllTriggers)</f>
        <v>0.98084360726532482</v>
      </c>
      <c r="V676" s="42">
        <f>_xll.qlYieldTSDiscount(OisCurve,R676,,AllTriggers)</f>
        <v>0.97913715110818422</v>
      </c>
      <c r="W676" s="41">
        <f t="shared" si="50"/>
        <v>6.8946577699245106E-3</v>
      </c>
      <c r="X676" s="43">
        <f t="shared" si="51"/>
        <v>4.0849359863325761E-4</v>
      </c>
      <c r="Y676" s="41">
        <f t="shared" si="52"/>
        <v>1.6191657424242589E-3</v>
      </c>
      <c r="Z676" s="62"/>
    </row>
    <row r="677" spans="15:26" x14ac:dyDescent="0.25">
      <c r="O677" s="45" t="s">
        <v>33</v>
      </c>
      <c r="P677" s="39">
        <f>_xll.qlCalendarAdvance(Calendar,P676,O676,"f",,Trigger)</f>
        <v>45414</v>
      </c>
      <c r="Q677" s="39">
        <f>_xll.qlInterestRateIndexValueDate(Index,P677,Trigger)</f>
        <v>45418</v>
      </c>
      <c r="R677" s="39">
        <f>_xll.qlInterestRateIndexMaturity(Index,Q677,Trigger)</f>
        <v>45510</v>
      </c>
      <c r="S677" s="40">
        <f>_xll.qlDayCounterYearFraction(DayCounter,Q677,R677,,,Trigger)</f>
        <v>0.25555555555555554</v>
      </c>
      <c r="T677" s="41">
        <f>_xll.qlIndexFixing(Index,P677,,AllTriggers)</f>
        <v>8.525364988533117E-3</v>
      </c>
      <c r="U677" s="42">
        <f>_xll.qlYieldTSDiscount(OisCurve,Q677,,AllTriggers)</f>
        <v>0.98065688166478737</v>
      </c>
      <c r="V677" s="42">
        <f>_xll.qlYieldTSDiscount(OisCurve,R677,,AllTriggers)</f>
        <v>0.97892954318761605</v>
      </c>
      <c r="W677" s="41">
        <f t="shared" si="50"/>
        <v>6.9046343629951216E-3</v>
      </c>
      <c r="X677" s="43">
        <f t="shared" si="51"/>
        <v>4.1337171308490552E-4</v>
      </c>
      <c r="Y677" s="41">
        <f t="shared" si="52"/>
        <v>1.6207306255379954E-3</v>
      </c>
      <c r="Z677" s="62"/>
    </row>
    <row r="678" spans="15:26" x14ac:dyDescent="0.25">
      <c r="O678" s="45" t="s">
        <v>33</v>
      </c>
      <c r="P678" s="39">
        <f>_xll.qlCalendarAdvance(Calendar,P677,O677,"f",,Trigger)</f>
        <v>45421</v>
      </c>
      <c r="Q678" s="39">
        <f>_xll.qlInterestRateIndexValueDate(Index,P678,Trigger)</f>
        <v>45425</v>
      </c>
      <c r="R678" s="39">
        <f>_xll.qlInterestRateIndexMaturity(Index,Q678,Trigger)</f>
        <v>45517</v>
      </c>
      <c r="S678" s="40">
        <f>_xll.qlDayCounterYearFraction(DayCounter,Q678,R678,,,Trigger)</f>
        <v>0.25555555555555554</v>
      </c>
      <c r="T678" s="41">
        <f>_xll.qlIndexFixing(Index,P678,,AllTriggers)</f>
        <v>8.533151515324286E-3</v>
      </c>
      <c r="U678" s="42">
        <f>_xll.qlYieldTSDiscount(OisCurve,Q678,,AllTriggers)</f>
        <v>0.98052607620903676</v>
      </c>
      <c r="V678" s="42">
        <f>_xll.qlYieldTSDiscount(OisCurve,R678,,AllTriggers)</f>
        <v>0.97879724896085241</v>
      </c>
      <c r="W678" s="41">
        <f t="shared" si="50"/>
        <v>6.9115194139844575E-3</v>
      </c>
      <c r="X678" s="43">
        <f t="shared" si="51"/>
        <v>4.1360086307122562E-4</v>
      </c>
      <c r="Y678" s="41">
        <f t="shared" si="52"/>
        <v>1.6216321013398285E-3</v>
      </c>
      <c r="Z678" s="62"/>
    </row>
    <row r="679" spans="15:26" x14ac:dyDescent="0.25">
      <c r="O679" s="45" t="s">
        <v>33</v>
      </c>
      <c r="P679" s="39">
        <f>_xll.qlCalendarAdvance(Calendar,P678,O678,"f",,Trigger)</f>
        <v>45428</v>
      </c>
      <c r="Q679" s="39">
        <f>_xll.qlInterestRateIndexValueDate(Index,P679,Trigger)</f>
        <v>45432</v>
      </c>
      <c r="R679" s="39">
        <f>_xll.qlInterestRateIndexMaturity(Index,Q679,Trigger)</f>
        <v>45524</v>
      </c>
      <c r="S679" s="40">
        <f>_xll.qlDayCounterYearFraction(DayCounter,Q679,R679,,,Trigger)</f>
        <v>0.25555555555555554</v>
      </c>
      <c r="T679" s="41">
        <f>_xll.qlIndexFixing(Index,P679,,AllTriggers)</f>
        <v>8.5410769961011632E-3</v>
      </c>
      <c r="U679" s="42">
        <f>_xll.qlYieldTSDiscount(OisCurve,Q679,,AllTriggers)</f>
        <v>0.9803951851982079</v>
      </c>
      <c r="V679" s="42">
        <f>_xll.qlYieldTSDiscount(OisCurve,R679,,AllTriggers)</f>
        <v>0.97866480924923016</v>
      </c>
      <c r="W679" s="41">
        <f t="shared" si="50"/>
        <v>6.9186469750362597E-3</v>
      </c>
      <c r="X679" s="43">
        <f t="shared" si="51"/>
        <v>4.1380357991168402E-4</v>
      </c>
      <c r="Y679" s="41">
        <f t="shared" si="52"/>
        <v>1.6224300210649035E-3</v>
      </c>
      <c r="Z679" s="62"/>
    </row>
    <row r="680" spans="15:26" x14ac:dyDescent="0.25">
      <c r="O680" s="45" t="s">
        <v>33</v>
      </c>
      <c r="P680" s="39">
        <f>_xll.qlCalendarAdvance(Calendar,P679,O679,"f",,Trigger)</f>
        <v>45435</v>
      </c>
      <c r="Q680" s="39">
        <f>_xll.qlInterestRateIndexValueDate(Index,P680,Trigger)</f>
        <v>45439</v>
      </c>
      <c r="R680" s="39">
        <f>_xll.qlInterestRateIndexMaturity(Index,Q680,Trigger)</f>
        <v>45531</v>
      </c>
      <c r="S680" s="40">
        <f>_xll.qlDayCounterYearFraction(DayCounter,Q680,R680,,,Trigger)</f>
        <v>0.25555555555555554</v>
      </c>
      <c r="T680" s="41">
        <f>_xll.qlIndexFixing(Index,P680,,AllTriggers)</f>
        <v>8.5491414317048174E-3</v>
      </c>
      <c r="U680" s="42">
        <f>_xll.qlYieldTSDiscount(OisCurve,Q680,,AllTriggers)</f>
        <v>0.98026420405720149</v>
      </c>
      <c r="V680" s="42">
        <f>_xll.qlYieldTSDiscount(OisCurve,R680,,AllTriggers)</f>
        <v>0.9785322195107774</v>
      </c>
      <c r="W680" s="41">
        <f t="shared" si="50"/>
        <v>6.9260170474729479E-3</v>
      </c>
      <c r="X680" s="43">
        <f t="shared" si="51"/>
        <v>4.1397986360593148E-4</v>
      </c>
      <c r="Y680" s="41">
        <f t="shared" si="52"/>
        <v>1.6231243842318695E-3</v>
      </c>
      <c r="Z680" s="62"/>
    </row>
    <row r="681" spans="15:26" x14ac:dyDescent="0.25">
      <c r="O681" s="45" t="s">
        <v>33</v>
      </c>
      <c r="P681" s="39">
        <f>_xll.qlCalendarAdvance(Calendar,P680,O680,"f",,Trigger)</f>
        <v>45442</v>
      </c>
      <c r="Q681" s="39">
        <f>_xll.qlInterestRateIndexValueDate(Index,P681,Trigger)</f>
        <v>45446</v>
      </c>
      <c r="R681" s="39">
        <f>_xll.qlInterestRateIndexMaturity(Index,Q681,Trigger)</f>
        <v>45538</v>
      </c>
      <c r="S681" s="40">
        <f>_xll.qlDayCounterYearFraction(DayCounter,Q681,R681,,,Trigger)</f>
        <v>0.25555555555555554</v>
      </c>
      <c r="T681" s="41">
        <f>_xll.qlIndexFixing(Index,P681,,AllTriggers)</f>
        <v>8.5573448229936885E-3</v>
      </c>
      <c r="U681" s="42">
        <f>_xll.qlYieldTSDiscount(OisCurve,Q681,,AllTriggers)</f>
        <v>0.98013312821340837</v>
      </c>
      <c r="V681" s="42">
        <f>_xll.qlYieldTSDiscount(OisCurve,R681,,AllTriggers)</f>
        <v>0.97839947520608561</v>
      </c>
      <c r="W681" s="41">
        <f t="shared" si="50"/>
        <v>6.9336296326638633E-3</v>
      </c>
      <c r="X681" s="43">
        <f t="shared" si="51"/>
        <v>4.1412971415396427E-4</v>
      </c>
      <c r="Y681" s="41">
        <f t="shared" si="52"/>
        <v>1.6237151903298252E-3</v>
      </c>
      <c r="Z681" s="62"/>
    </row>
    <row r="682" spans="15:26" x14ac:dyDescent="0.25">
      <c r="O682" s="45" t="s">
        <v>33</v>
      </c>
      <c r="P682" s="39">
        <f>_xll.qlCalendarAdvance(Calendar,P681,O681,"f",,Trigger)</f>
        <v>45449</v>
      </c>
      <c r="Q682" s="39">
        <f>_xll.qlInterestRateIndexValueDate(Index,P682,Trigger)</f>
        <v>45453</v>
      </c>
      <c r="R682" s="39">
        <f>_xll.qlInterestRateIndexMaturity(Index,Q682,Trigger)</f>
        <v>45545</v>
      </c>
      <c r="S682" s="40">
        <f>_xll.qlDayCounterYearFraction(DayCounter,Q682,R682,,,Trigger)</f>
        <v>0.25555555555555554</v>
      </c>
      <c r="T682" s="41">
        <f>_xll.qlIndexFixing(Index,P682,,AllTriggers)</f>
        <v>8.5656871708383875E-3</v>
      </c>
      <c r="U682" s="42">
        <f>_xll.qlYieldTSDiscount(OisCurve,Q682,,AllTriggers)</f>
        <v>0.98000195309671256</v>
      </c>
      <c r="V682" s="42">
        <f>_xll.qlYieldTSDiscount(OisCurve,R682,,AllTriggers)</f>
        <v>0.97826657179831666</v>
      </c>
      <c r="W682" s="41">
        <f t="shared" si="50"/>
        <v>6.9414847320200491E-3</v>
      </c>
      <c r="X682" s="43">
        <f t="shared" si="51"/>
        <v>4.1425313155590187E-4</v>
      </c>
      <c r="Y682" s="41">
        <f t="shared" si="52"/>
        <v>1.6242024388183384E-3</v>
      </c>
      <c r="Z682" s="62"/>
    </row>
    <row r="683" spans="15:26" x14ac:dyDescent="0.25">
      <c r="O683" s="45" t="s">
        <v>33</v>
      </c>
      <c r="P683" s="39">
        <f>_xll.qlCalendarAdvance(Calendar,P682,O682,"f",,Trigger)</f>
        <v>45456</v>
      </c>
      <c r="Q683" s="39">
        <f>_xll.qlInterestRateIndexValueDate(Index,P683,Trigger)</f>
        <v>45460</v>
      </c>
      <c r="R683" s="39">
        <f>_xll.qlInterestRateIndexMaturity(Index,Q683,Trigger)</f>
        <v>45552</v>
      </c>
      <c r="S683" s="40">
        <f>_xll.qlDayCounterYearFraction(DayCounter,Q683,R683,,,Trigger)</f>
        <v>0.25555555555555554</v>
      </c>
      <c r="T683" s="41">
        <f>_xll.qlIndexFixing(Index,P683,,AllTriggers)</f>
        <v>8.574168476126031E-3</v>
      </c>
      <c r="U683" s="42">
        <f>_xll.qlYieldTSDiscount(OisCurve,Q683,,AllTriggers)</f>
        <v>0.97987067413949669</v>
      </c>
      <c r="V683" s="42">
        <f>_xll.qlYieldTSDiscount(OisCurve,R683,,AllTriggers)</f>
        <v>0.97813350475321004</v>
      </c>
      <c r="W683" s="41">
        <f t="shared" si="50"/>
        <v>6.9495823470012083E-3</v>
      </c>
      <c r="X683" s="43">
        <f t="shared" si="51"/>
        <v>4.1435011581132143E-4</v>
      </c>
      <c r="Y683" s="41">
        <f t="shared" si="52"/>
        <v>1.6245861291248227E-3</v>
      </c>
      <c r="Z683" s="62"/>
    </row>
    <row r="684" spans="15:26" x14ac:dyDescent="0.25">
      <c r="O684" s="45" t="s">
        <v>33</v>
      </c>
      <c r="P684" s="39">
        <f>_xll.qlCalendarAdvance(Calendar,P683,O683,"f",,Trigger)</f>
        <v>45463</v>
      </c>
      <c r="Q684" s="39">
        <f>_xll.qlInterestRateIndexValueDate(Index,P684,Trigger)</f>
        <v>45467</v>
      </c>
      <c r="R684" s="39">
        <f>_xll.qlInterestRateIndexMaturity(Index,Q684,Trigger)</f>
        <v>45559</v>
      </c>
      <c r="S684" s="40">
        <f>_xll.qlDayCounterYearFraction(DayCounter,Q684,R684,,,Trigger)</f>
        <v>0.25555555555555554</v>
      </c>
      <c r="T684" s="41">
        <f>_xll.qlIndexFixing(Index,P684,,AllTriggers)</f>
        <v>8.5827887397593727E-3</v>
      </c>
      <c r="U684" s="42">
        <f>_xll.qlYieldTSDiscount(OisCurve,Q684,,AllTriggers)</f>
        <v>0.97973928677664635</v>
      </c>
      <c r="V684" s="42">
        <f>_xll.qlYieldTSDiscount(OisCurve,R684,,AllTriggers)</f>
        <v>0.97800026953909092</v>
      </c>
      <c r="W684" s="41">
        <f t="shared" si="50"/>
        <v>6.9579224791078802E-3</v>
      </c>
      <c r="X684" s="43">
        <f t="shared" si="51"/>
        <v>4.1442066692125518E-4</v>
      </c>
      <c r="Y684" s="41">
        <f t="shared" si="52"/>
        <v>1.6248662606514926E-3</v>
      </c>
      <c r="Z684" s="62"/>
    </row>
    <row r="685" spans="15:26" x14ac:dyDescent="0.25">
      <c r="O685" s="45" t="s">
        <v>33</v>
      </c>
      <c r="P685" s="39">
        <f>_xll.qlCalendarAdvance(Calendar,P684,O684,"f",,Trigger)</f>
        <v>45470</v>
      </c>
      <c r="Q685" s="39">
        <f>_xll.qlInterestRateIndexValueDate(Index,P685,Trigger)</f>
        <v>45474</v>
      </c>
      <c r="R685" s="39">
        <f>_xll.qlInterestRateIndexMaturity(Index,Q685,Trigger)</f>
        <v>45566</v>
      </c>
      <c r="S685" s="40">
        <f>_xll.qlDayCounterYearFraction(DayCounter,Q685,R685,,,Trigger)</f>
        <v>0.25555555555555554</v>
      </c>
      <c r="T685" s="41">
        <f>_xll.qlIndexFixing(Index,P685,,AllTriggers)</f>
        <v>8.5915479626533352E-3</v>
      </c>
      <c r="U685" s="42">
        <f>_xll.qlYieldTSDiscount(OisCurve,Q685,,AllTriggers)</f>
        <v>0.97960778644555546</v>
      </c>
      <c r="V685" s="42">
        <f>_xll.qlYieldTSDiscount(OisCurve,R685,,AllTriggers)</f>
        <v>0.97786686162687686</v>
      </c>
      <c r="W685" s="41">
        <f t="shared" si="50"/>
        <v>6.9665051298901277E-3</v>
      </c>
      <c r="X685" s="43">
        <f t="shared" si="51"/>
        <v>4.1446478488463918E-4</v>
      </c>
      <c r="Y685" s="41">
        <f t="shared" si="52"/>
        <v>1.6250428327632075E-3</v>
      </c>
      <c r="Z685" s="62"/>
    </row>
    <row r="686" spans="15:26" x14ac:dyDescent="0.25">
      <c r="O686" s="45" t="s">
        <v>33</v>
      </c>
      <c r="P686" s="39">
        <f>_xll.qlCalendarAdvance(Calendar,P685,O685,"f",,Trigger)</f>
        <v>45477</v>
      </c>
      <c r="Q686" s="39">
        <f>_xll.qlInterestRateIndexValueDate(Index,P686,Trigger)</f>
        <v>45481</v>
      </c>
      <c r="R686" s="39">
        <f>_xll.qlInterestRateIndexMaturity(Index,Q686,Trigger)</f>
        <v>45573</v>
      </c>
      <c r="S686" s="40">
        <f>_xll.qlDayCounterYearFraction(DayCounter,Q686,R686,,,Trigger)</f>
        <v>0.25555555555555554</v>
      </c>
      <c r="T686" s="41">
        <f>_xll.qlIndexFixing(Index,P686,,AllTriggers)</f>
        <v>8.6004461457393471E-3</v>
      </c>
      <c r="U686" s="42">
        <f>_xll.qlYieldTSDiscount(OisCurve,Q686,,AllTriggers)</f>
        <v>0.97947616858613085</v>
      </c>
      <c r="V686" s="42">
        <f>_xll.qlYieldTSDiscount(OisCurve,R686,,AllTriggers)</f>
        <v>0.9777332764900869</v>
      </c>
      <c r="W686" s="41">
        <f t="shared" si="50"/>
        <v>6.9753303009388538E-3</v>
      </c>
      <c r="X686" s="43">
        <f t="shared" si="51"/>
        <v>4.1448246970208656E-4</v>
      </c>
      <c r="Y686" s="41">
        <f t="shared" si="52"/>
        <v>1.6251158448004933E-3</v>
      </c>
      <c r="Z686" s="62"/>
    </row>
    <row r="687" spans="15:26" x14ac:dyDescent="0.25">
      <c r="O687" s="45" t="s">
        <v>33</v>
      </c>
      <c r="P687" s="39">
        <f>_xll.qlCalendarAdvance(Calendar,P686,O686,"f",,Trigger)</f>
        <v>45484</v>
      </c>
      <c r="Q687" s="39">
        <f>_xll.qlInterestRateIndexValueDate(Index,P687,Trigger)</f>
        <v>45488</v>
      </c>
      <c r="R687" s="39">
        <f>_xll.qlInterestRateIndexMaturity(Index,Q687,Trigger)</f>
        <v>45580</v>
      </c>
      <c r="S687" s="40">
        <f>_xll.qlDayCounterYearFraction(DayCounter,Q687,R687,,,Trigger)</f>
        <v>0.25555555555555554</v>
      </c>
      <c r="T687" s="41">
        <f>_xll.qlIndexFixing(Index,P687,,AllTriggers)</f>
        <v>8.6094832899636063E-3</v>
      </c>
      <c r="U687" s="42">
        <f>_xll.qlYieldTSDiscount(OisCurve,Q687,,AllTriggers)</f>
        <v>0.9793444286407984</v>
      </c>
      <c r="V687" s="42">
        <f>_xll.qlYieldTSDiscount(OisCurve,R687,,AllTriggers)</f>
        <v>0.97759950960484898</v>
      </c>
      <c r="W687" s="41">
        <f t="shared" si="50"/>
        <v>6.9843979938936148E-3</v>
      </c>
      <c r="X687" s="43">
        <f t="shared" si="51"/>
        <v>4.1447372137344606E-4</v>
      </c>
      <c r="Y687" s="41">
        <f t="shared" si="52"/>
        <v>1.6250852960699915E-3</v>
      </c>
      <c r="Z687" s="62"/>
    </row>
    <row r="688" spans="15:26" x14ac:dyDescent="0.25">
      <c r="O688" s="45" t="s">
        <v>33</v>
      </c>
      <c r="P688" s="39">
        <f>_xll.qlCalendarAdvance(Calendar,P687,O687,"f",,Trigger)</f>
        <v>45491</v>
      </c>
      <c r="Q688" s="39">
        <f>_xll.qlInterestRateIndexValueDate(Index,P688,Trigger)</f>
        <v>45495</v>
      </c>
      <c r="R688" s="39">
        <f>_xll.qlInterestRateIndexMaturity(Index,Q688,Trigger)</f>
        <v>45587</v>
      </c>
      <c r="S688" s="40">
        <f>_xll.qlDayCounterYearFraction(DayCounter,Q688,R688,,,Trigger)</f>
        <v>0.25555555555555554</v>
      </c>
      <c r="T688" s="41">
        <f>_xll.qlIndexFixing(Index,P688,,AllTriggers)</f>
        <v>8.6186593962862164E-3</v>
      </c>
      <c r="U688" s="42">
        <f>_xll.qlYieldTSDiscount(OisCurve,Q688,,AllTriggers)</f>
        <v>0.9792125620545078</v>
      </c>
      <c r="V688" s="42">
        <f>_xll.qlYieldTSDiscount(OisCurve,R688,,AllTriggers)</f>
        <v>0.97746555644990873</v>
      </c>
      <c r="W688" s="41">
        <f t="shared" si="50"/>
        <v>6.9937082104356762E-3</v>
      </c>
      <c r="X688" s="43">
        <f t="shared" si="51"/>
        <v>4.1443853989891176E-4</v>
      </c>
      <c r="Y688" s="41">
        <f t="shared" si="52"/>
        <v>1.6249511858505402E-3</v>
      </c>
      <c r="Z688" s="62"/>
    </row>
    <row r="689" spans="15:26" x14ac:dyDescent="0.25">
      <c r="O689" s="45" t="s">
        <v>33</v>
      </c>
      <c r="P689" s="39">
        <f>_xll.qlCalendarAdvance(Calendar,P688,O688,"f",,Trigger)</f>
        <v>45498</v>
      </c>
      <c r="Q689" s="39">
        <f>_xll.qlInterestRateIndexValueDate(Index,P689,Trigger)</f>
        <v>45502</v>
      </c>
      <c r="R689" s="39">
        <f>_xll.qlInterestRateIndexMaturity(Index,Q689,Trigger)</f>
        <v>45594</v>
      </c>
      <c r="S689" s="40">
        <f>_xll.qlDayCounterYearFraction(DayCounter,Q689,R689,,,Trigger)</f>
        <v>0.25555555555555554</v>
      </c>
      <c r="T689" s="41">
        <f>_xll.qlIndexFixing(Index,P689,,AllTriggers)</f>
        <v>8.6279744656820485E-3</v>
      </c>
      <c r="U689" s="42">
        <f>_xll.qlYieldTSDiscount(OisCurve,Q689,,AllTriggers)</f>
        <v>0.979080564274739</v>
      </c>
      <c r="V689" s="42">
        <f>_xll.qlYieldTSDiscount(OisCurve,R689,,AllTriggers)</f>
        <v>0.97733141250663746</v>
      </c>
      <c r="W689" s="41">
        <f t="shared" si="50"/>
        <v>7.0032609522940889E-3</v>
      </c>
      <c r="X689" s="43">
        <f t="shared" si="51"/>
        <v>4.1437692527791331E-4</v>
      </c>
      <c r="Y689" s="41">
        <f t="shared" si="52"/>
        <v>1.6247135133879596E-3</v>
      </c>
      <c r="Z689" s="62"/>
    </row>
    <row r="690" spans="15:26" x14ac:dyDescent="0.25">
      <c r="O690" s="45" t="s">
        <v>33</v>
      </c>
      <c r="P690" s="39">
        <f>_xll.qlCalendarAdvance(Calendar,P689,O689,"f",,Trigger)</f>
        <v>45505</v>
      </c>
      <c r="Q690" s="39">
        <f>_xll.qlInterestRateIndexValueDate(Index,P690,Trigger)</f>
        <v>45509</v>
      </c>
      <c r="R690" s="39">
        <f>_xll.qlInterestRateIndexMaturity(Index,Q690,Trigger)</f>
        <v>45601</v>
      </c>
      <c r="S690" s="40">
        <f>_xll.qlDayCounterYearFraction(DayCounter,Q690,R690,,,Trigger)</f>
        <v>0.25555555555555554</v>
      </c>
      <c r="T690" s="41">
        <f>_xll.qlIndexFixing(Index,P690,,AllTriggers)</f>
        <v>8.6374284991424834E-3</v>
      </c>
      <c r="U690" s="42">
        <f>_xll.qlYieldTSDiscount(OisCurve,Q690,,AllTriggers)</f>
        <v>0.97894843075150817</v>
      </c>
      <c r="V690" s="42">
        <f>_xll.qlYieldTSDiscount(OisCurve,R690,,AllTriggers)</f>
        <v>0.9771970732590417</v>
      </c>
      <c r="W690" s="41">
        <f t="shared" si="50"/>
        <v>7.0130562212422165E-3</v>
      </c>
      <c r="X690" s="43">
        <f t="shared" si="51"/>
        <v>4.142888775108916E-4</v>
      </c>
      <c r="Y690" s="41">
        <f t="shared" si="52"/>
        <v>1.6243722779002668E-3</v>
      </c>
      <c r="Z690" s="62"/>
    </row>
    <row r="691" spans="15:26" x14ac:dyDescent="0.25">
      <c r="O691" s="45" t="s">
        <v>33</v>
      </c>
      <c r="P691" s="39">
        <f>_xll.qlCalendarAdvance(Calendar,P690,O690,"f",,Trigger)</f>
        <v>45512</v>
      </c>
      <c r="Q691" s="39">
        <f>_xll.qlInterestRateIndexValueDate(Index,P691,Trigger)</f>
        <v>45516</v>
      </c>
      <c r="R691" s="39">
        <f>_xll.qlInterestRateIndexMaturity(Index,Q691,Trigger)</f>
        <v>45608</v>
      </c>
      <c r="S691" s="40">
        <f>_xll.qlDayCounterYearFraction(DayCounter,Q691,R691,,,Trigger)</f>
        <v>0.25555555555555554</v>
      </c>
      <c r="T691" s="41">
        <f>_xll.qlIndexFixing(Index,P691,,AllTriggers)</f>
        <v>8.6470214976719362E-3</v>
      </c>
      <c r="U691" s="42">
        <f>_xll.qlYieldTSDiscount(OisCurve,Q691,,AllTriggers)</f>
        <v>0.97881615693737345</v>
      </c>
      <c r="V691" s="42">
        <f>_xll.qlYieldTSDiscount(OisCurve,R691,,AllTriggers)</f>
        <v>0.97706253419377187</v>
      </c>
      <c r="W691" s="41">
        <f t="shared" si="50"/>
        <v>7.023094019096867E-3</v>
      </c>
      <c r="X691" s="43">
        <f t="shared" si="51"/>
        <v>4.14174396597745E-4</v>
      </c>
      <c r="Y691" s="41">
        <f t="shared" si="52"/>
        <v>1.6239274785750692E-3</v>
      </c>
      <c r="Z691" s="62"/>
    </row>
    <row r="692" spans="15:26" x14ac:dyDescent="0.25">
      <c r="O692" s="45" t="s">
        <v>33</v>
      </c>
      <c r="P692" s="39">
        <f>_xll.qlCalendarAdvance(Calendar,P691,O691,"f",,Trigger)</f>
        <v>45519</v>
      </c>
      <c r="Q692" s="39">
        <f>_xll.qlInterestRateIndexValueDate(Index,P692,Trigger)</f>
        <v>45523</v>
      </c>
      <c r="R692" s="39">
        <f>_xll.qlInterestRateIndexMaturity(Index,Q692,Trigger)</f>
        <v>45615</v>
      </c>
      <c r="S692" s="40">
        <f>_xll.qlDayCounterYearFraction(DayCounter,Q692,R692,,,Trigger)</f>
        <v>0.25555555555555554</v>
      </c>
      <c r="T692" s="41">
        <f>_xll.qlIndexFixing(Index,P692,,AllTriggers)</f>
        <v>8.6567534622887226E-3</v>
      </c>
      <c r="U692" s="42">
        <f>_xll.qlYieldTSDiscount(OisCurve,Q692,,AllTriggers)</f>
        <v>0.97868373828744204</v>
      </c>
      <c r="V692" s="42">
        <f>_xll.qlYieldTSDiscount(OisCurve,R692,,AllTriggers)</f>
        <v>0.97692779080013126</v>
      </c>
      <c r="W692" s="41">
        <f t="shared" si="50"/>
        <v>7.0333743477217674E-3</v>
      </c>
      <c r="X692" s="43">
        <f t="shared" si="51"/>
        <v>4.1403348253827329E-4</v>
      </c>
      <c r="Y692" s="41">
        <f t="shared" si="52"/>
        <v>1.6233791145669552E-3</v>
      </c>
      <c r="Z692" s="62"/>
    </row>
    <row r="693" spans="15:26" x14ac:dyDescent="0.25">
      <c r="O693" s="45" t="s">
        <v>33</v>
      </c>
      <c r="P693" s="39">
        <f>_xll.qlCalendarAdvance(Calendar,P692,O692,"f",,Trigger)</f>
        <v>45526</v>
      </c>
      <c r="Q693" s="39">
        <f>_xll.qlInterestRateIndexValueDate(Index,P693,Trigger)</f>
        <v>45530</v>
      </c>
      <c r="R693" s="39">
        <f>_xll.qlInterestRateIndexMaturity(Index,Q693,Trigger)</f>
        <v>45622</v>
      </c>
      <c r="S693" s="40">
        <f>_xll.qlDayCounterYearFraction(DayCounter,Q693,R693,,,Trigger)</f>
        <v>0.25555555555555554</v>
      </c>
      <c r="T693" s="41">
        <f>_xll.qlIndexFixing(Index,P693,,AllTriggers)</f>
        <v>8.6666243940294041E-3</v>
      </c>
      <c r="U693" s="42">
        <f>_xll.qlYieldTSDiscount(OisCurve,Q693,,AllTriggers)</f>
        <v>0.97855117025937643</v>
      </c>
      <c r="V693" s="42">
        <f>_xll.qlYieldTSDiscount(OisCurve,R693,,AllTriggers)</f>
        <v>0.9767928385700857</v>
      </c>
      <c r="W693" s="41">
        <f t="shared" si="50"/>
        <v>7.0438972090240875E-3</v>
      </c>
      <c r="X693" s="43">
        <f t="shared" si="51"/>
        <v>4.1386613533306565E-4</v>
      </c>
      <c r="Y693" s="41">
        <f t="shared" si="52"/>
        <v>1.6227271850053166E-3</v>
      </c>
      <c r="Z693" s="62"/>
    </row>
    <row r="694" spans="15:26" x14ac:dyDescent="0.25">
      <c r="O694" s="45" t="s">
        <v>33</v>
      </c>
      <c r="P694" s="39">
        <f>_xll.qlCalendarAdvance(Calendar,P693,O693,"f",,Trigger)</f>
        <v>45533</v>
      </c>
      <c r="Q694" s="39">
        <f>_xll.qlInterestRateIndexValueDate(Index,P694,Trigger)</f>
        <v>45537</v>
      </c>
      <c r="R694" s="39">
        <f>_xll.qlInterestRateIndexMaturity(Index,Q694,Trigger)</f>
        <v>45628</v>
      </c>
      <c r="S694" s="40">
        <f>_xll.qlDayCounterYearFraction(DayCounter,Q694,R694,,,Trigger)</f>
        <v>0.25277777777777777</v>
      </c>
      <c r="T694" s="41">
        <f>_xll.qlIndexFixing(Index,P694,,AllTriggers)</f>
        <v>8.6757886059441267E-3</v>
      </c>
      <c r="U694" s="42">
        <f>_xll.qlYieldTSDiscount(OisCurve,Q694,,AllTriggers)</f>
        <v>0.97841844831340163</v>
      </c>
      <c r="V694" s="42">
        <f>_xll.qlYieldTSDiscount(OisCurve,R694,,AllTriggers)</f>
        <v>0.97667699559810039</v>
      </c>
      <c r="W694" s="41">
        <f t="shared" si="50"/>
        <v>7.0537788031805448E-3</v>
      </c>
      <c r="X694" s="43">
        <f t="shared" si="51"/>
        <v>4.0919454303560697E-4</v>
      </c>
      <c r="Y694" s="41">
        <f t="shared" si="52"/>
        <v>1.6220098027635819E-3</v>
      </c>
      <c r="Z694" s="62"/>
    </row>
    <row r="695" spans="15:26" x14ac:dyDescent="0.25">
      <c r="O695" s="45" t="s">
        <v>33</v>
      </c>
      <c r="P695" s="39">
        <f>_xll.qlCalendarAdvance(Calendar,P694,O694,"f",,Trigger)</f>
        <v>45540</v>
      </c>
      <c r="Q695" s="39">
        <f>_xll.qlInterestRateIndexValueDate(Index,P695,Trigger)</f>
        <v>45544</v>
      </c>
      <c r="R695" s="39">
        <f>_xll.qlInterestRateIndexMaturity(Index,Q695,Trigger)</f>
        <v>45635</v>
      </c>
      <c r="S695" s="40">
        <f>_xll.qlDayCounterYearFraction(DayCounter,Q695,R695,,,Trigger)</f>
        <v>0.25277777777777777</v>
      </c>
      <c r="T695" s="41">
        <f>_xll.qlIndexFixing(Index,P695,,AllTriggers)</f>
        <v>8.6859273044130342E-3</v>
      </c>
      <c r="U695" s="42">
        <f>_xll.qlYieldTSDiscount(OisCurve,Q695,,AllTriggers)</f>
        <v>0.97828556791231158</v>
      </c>
      <c r="V695" s="42">
        <f>_xll.qlYieldTSDiscount(OisCurve,R695,,AllTriggers)</f>
        <v>0.97654164357804851</v>
      </c>
      <c r="W695" s="41">
        <f t="shared" si="50"/>
        <v>7.064769196202577E-3</v>
      </c>
      <c r="X695" s="43">
        <f t="shared" si="51"/>
        <v>4.0897859072218677E-4</v>
      </c>
      <c r="Y695" s="41">
        <f t="shared" si="52"/>
        <v>1.6211581082104572E-3</v>
      </c>
      <c r="Z695" s="62"/>
    </row>
    <row r="696" spans="15:26" x14ac:dyDescent="0.25">
      <c r="O696" s="45" t="s">
        <v>33</v>
      </c>
      <c r="P696" s="39">
        <f>_xll.qlCalendarAdvance(Calendar,P695,O695,"f",,Trigger)</f>
        <v>45547</v>
      </c>
      <c r="Q696" s="39">
        <f>_xll.qlInterestRateIndexValueDate(Index,P696,Trigger)</f>
        <v>45551</v>
      </c>
      <c r="R696" s="39">
        <f>_xll.qlInterestRateIndexMaturity(Index,Q696,Trigger)</f>
        <v>45642</v>
      </c>
      <c r="S696" s="40">
        <f>_xll.qlDayCounterYearFraction(DayCounter,Q696,R696,,,Trigger)</f>
        <v>0.25277777777777777</v>
      </c>
      <c r="T696" s="41">
        <f>_xll.qlIndexFixing(Index,P696,,AllTriggers)</f>
        <v>8.6962049694801705E-3</v>
      </c>
      <c r="U696" s="42">
        <f>_xll.qlYieldTSDiscount(OisCurve,Q696,,AllTriggers)</f>
        <v>0.97815252452147738</v>
      </c>
      <c r="V696" s="42">
        <f>_xll.qlYieldTSDiscount(OisCurve,R696,,AllTriggers)</f>
        <v>0.97640606985625167</v>
      </c>
      <c r="W696" s="41">
        <f t="shared" si="50"/>
        <v>7.0760021226500408E-3</v>
      </c>
      <c r="X696" s="43">
        <f t="shared" si="51"/>
        <v>4.0873649257929364E-4</v>
      </c>
      <c r="Y696" s="41">
        <f t="shared" si="52"/>
        <v>1.6202028468301297E-3</v>
      </c>
      <c r="Z696" s="62"/>
    </row>
    <row r="697" spans="15:26" x14ac:dyDescent="0.25">
      <c r="O697" s="45" t="s">
        <v>33</v>
      </c>
      <c r="P697" s="39">
        <f>_xll.qlCalendarAdvance(Calendar,P696,O696,"f",,Trigger)</f>
        <v>45554</v>
      </c>
      <c r="Q697" s="39">
        <f>_xll.qlInterestRateIndexValueDate(Index,P697,Trigger)</f>
        <v>45558</v>
      </c>
      <c r="R697" s="39">
        <f>_xll.qlInterestRateIndexMaturity(Index,Q697,Trigger)</f>
        <v>45649</v>
      </c>
      <c r="S697" s="40">
        <f>_xll.qlDayCounterYearFraction(DayCounter,Q697,R697,,,Trigger)</f>
        <v>0.25277777777777777</v>
      </c>
      <c r="T697" s="41">
        <f>_xll.qlIndexFixing(Index,P697,,AllTriggers)</f>
        <v>8.7066216022259908E-3</v>
      </c>
      <c r="U697" s="42">
        <f>_xll.qlYieldTSDiscount(OisCurve,Q697,,AllTriggers)</f>
        <v>0.97801931360885419</v>
      </c>
      <c r="V697" s="42">
        <f>_xll.qlYieldTSDiscount(OisCurve,R697,,AllTriggers)</f>
        <v>0.9762702699350374</v>
      </c>
      <c r="W697" s="41">
        <f t="shared" si="50"/>
        <v>7.0874775845837044E-3</v>
      </c>
      <c r="X697" s="43">
        <f t="shared" si="51"/>
        <v>4.0846824860702607E-4</v>
      </c>
      <c r="Y697" s="41">
        <f t="shared" si="52"/>
        <v>1.6191440176422864E-3</v>
      </c>
      <c r="Z697" s="62"/>
    </row>
    <row r="698" spans="15:26" x14ac:dyDescent="0.25">
      <c r="O698" s="45" t="s">
        <v>33</v>
      </c>
      <c r="P698" s="39">
        <f>_xll.qlCalendarAdvance(Calendar,P697,O697,"f",,Trigger)</f>
        <v>45561</v>
      </c>
      <c r="Q698" s="39">
        <f>_xll.qlInterestRateIndexValueDate(Index,P698,Trigger)</f>
        <v>45565</v>
      </c>
      <c r="R698" s="39">
        <f>_xll.qlInterestRateIndexMaturity(Index,Q698,Trigger)</f>
        <v>45657</v>
      </c>
      <c r="S698" s="40">
        <f>_xll.qlDayCounterYearFraction(DayCounter,Q698,R698,,,Trigger)</f>
        <v>0.25555555555555554</v>
      </c>
      <c r="T698" s="41">
        <f>_xll.qlIndexFixing(Index,P698,,AllTriggers)</f>
        <v>8.7180635968162421E-3</v>
      </c>
      <c r="U698" s="42">
        <f>_xll.qlYieldTSDiscount(OisCurve,Q698,,AllTriggers)</f>
        <v>0.97788593064498885</v>
      </c>
      <c r="V698" s="42">
        <f>_xll.qlYieldTSDiscount(OisCurve,R698,,AllTriggers)</f>
        <v>0.97611478728019296</v>
      </c>
      <c r="W698" s="41">
        <f t="shared" si="50"/>
        <v>7.1001495756358194E-3</v>
      </c>
      <c r="X698" s="43">
        <f t="shared" si="51"/>
        <v>4.1263290211406559E-4</v>
      </c>
      <c r="Y698" s="41">
        <f t="shared" si="52"/>
        <v>1.6179140211804227E-3</v>
      </c>
      <c r="Z698" s="62"/>
    </row>
    <row r="699" spans="15:26" x14ac:dyDescent="0.25">
      <c r="O699" s="45" t="s">
        <v>33</v>
      </c>
      <c r="P699" s="39">
        <f>_xll.qlCalendarAdvance(Calendar,P698,O698,"f",,Trigger)</f>
        <v>45568</v>
      </c>
      <c r="Q699" s="39">
        <f>_xll.qlInterestRateIndexValueDate(Index,P699,Trigger)</f>
        <v>45572</v>
      </c>
      <c r="R699" s="39">
        <f>_xll.qlInterestRateIndexMaturity(Index,Q699,Trigger)</f>
        <v>45664</v>
      </c>
      <c r="S699" s="40">
        <f>_xll.qlDayCounterYearFraction(DayCounter,Q699,R699,,,Trigger)</f>
        <v>0.25555555555555554</v>
      </c>
      <c r="T699" s="41">
        <f>_xll.qlIndexFixing(Index,P699,,AllTriggers)</f>
        <v>8.7287683538448697E-3</v>
      </c>
      <c r="U699" s="42">
        <f>_xll.qlYieldTSDiscount(OisCurve,Q699,,AllTriggers)</f>
        <v>0.97775237110302815</v>
      </c>
      <c r="V699" s="42">
        <f>_xll.qlYieldTSDiscount(OisCurve,R699,,AllTriggers)</f>
        <v>0.97597848751333871</v>
      </c>
      <c r="W699" s="41">
        <f t="shared" si="50"/>
        <v>7.1121276755946742E-3</v>
      </c>
      <c r="X699" s="43">
        <f t="shared" si="51"/>
        <v>4.1230695603152812E-4</v>
      </c>
      <c r="Y699" s="41">
        <f t="shared" si="52"/>
        <v>1.6166406782501955E-3</v>
      </c>
      <c r="Z699" s="62"/>
    </row>
    <row r="700" spans="15:26" x14ac:dyDescent="0.25">
      <c r="O700" s="45" t="s">
        <v>33</v>
      </c>
      <c r="P700" s="39">
        <f>_xll.qlCalendarAdvance(Calendar,P699,O699,"f",,Trigger)</f>
        <v>45575</v>
      </c>
      <c r="Q700" s="39">
        <f>_xll.qlInterestRateIndexValueDate(Index,P700,Trigger)</f>
        <v>45579</v>
      </c>
      <c r="R700" s="39">
        <f>_xll.qlInterestRateIndexMaturity(Index,Q700,Trigger)</f>
        <v>45671</v>
      </c>
      <c r="S700" s="40">
        <f>_xll.qlDayCounterYearFraction(DayCounter,Q700,R700,,,Trigger)</f>
        <v>0.25555555555555554</v>
      </c>
      <c r="T700" s="41">
        <f>_xll.qlIndexFixing(Index,P700,,AllTriggers)</f>
        <v>8.7396120856512698E-3</v>
      </c>
      <c r="U700" s="42">
        <f>_xll.qlYieldTSDiscount(OisCurve,Q700,,AllTriggers)</f>
        <v>0.97761863045872688</v>
      </c>
      <c r="V700" s="42">
        <f>_xll.qlYieldTSDiscount(OisCurve,R700,,AllTriggers)</f>
        <v>0.9758419474292247</v>
      </c>
      <c r="W700" s="41">
        <f t="shared" si="50"/>
        <v>7.1243483228462141E-3</v>
      </c>
      <c r="X700" s="43">
        <f t="shared" si="51"/>
        <v>4.1195457680328712E-4</v>
      </c>
      <c r="Y700" s="41">
        <f t="shared" si="52"/>
        <v>1.6152637628050557E-3</v>
      </c>
      <c r="Z700" s="62"/>
    </row>
    <row r="701" spans="15:26" x14ac:dyDescent="0.25">
      <c r="O701" s="45" t="s">
        <v>33</v>
      </c>
      <c r="P701" s="39">
        <f>_xll.qlCalendarAdvance(Calendar,P700,O700,"f",,Trigger)</f>
        <v>45582</v>
      </c>
      <c r="Q701" s="39">
        <f>_xll.qlInterestRateIndexValueDate(Index,P701,Trigger)</f>
        <v>45586</v>
      </c>
      <c r="R701" s="39">
        <f>_xll.qlInterestRateIndexMaturity(Index,Q701,Trigger)</f>
        <v>45678</v>
      </c>
      <c r="S701" s="40">
        <f>_xll.qlDayCounterYearFraction(DayCounter,Q701,R701,,,Trigger)</f>
        <v>0.25555555555555554</v>
      </c>
      <c r="T701" s="41">
        <f>_xll.qlIndexFixing(Index,P701,,AllTriggers)</f>
        <v>8.7505947933884335E-3</v>
      </c>
      <c r="U701" s="42">
        <f>_xll.qlYieldTSDiscount(OisCurve,Q701,,AllTriggers)</f>
        <v>0.97748470419045608</v>
      </c>
      <c r="V701" s="42">
        <f>_xll.qlYieldTSDiscount(OisCurve,R701,,AllTriggers)</f>
        <v>0.97570516254148021</v>
      </c>
      <c r="W701" s="41">
        <f t="shared" si="50"/>
        <v>7.1368115196607969E-3</v>
      </c>
      <c r="X701" s="43">
        <f t="shared" si="51"/>
        <v>4.1157576442892133E-4</v>
      </c>
      <c r="Y701" s="41">
        <f t="shared" si="52"/>
        <v>1.6137832737276366E-3</v>
      </c>
      <c r="Z701" s="62"/>
    </row>
    <row r="702" spans="15:26" x14ac:dyDescent="0.25">
      <c r="O702" s="45" t="s">
        <v>33</v>
      </c>
      <c r="P702" s="39">
        <f>_xll.qlCalendarAdvance(Calendar,P701,O701,"f",,Trigger)</f>
        <v>45589</v>
      </c>
      <c r="Q702" s="39">
        <f>_xll.qlInterestRateIndexValueDate(Index,P702,Trigger)</f>
        <v>45593</v>
      </c>
      <c r="R702" s="39">
        <f>_xll.qlInterestRateIndexMaturity(Index,Q702,Trigger)</f>
        <v>45685</v>
      </c>
      <c r="S702" s="40">
        <f>_xll.qlDayCounterYearFraction(DayCounter,Q702,R702,,,Trigger)</f>
        <v>0.25555555555555554</v>
      </c>
      <c r="T702" s="41">
        <f>_xll.qlIndexFixing(Index,P702,,AllTriggers)</f>
        <v>8.7617164782232537E-3</v>
      </c>
      <c r="U702" s="42">
        <f>_xll.qlYieldTSDiscount(OisCurve,Q702,,AllTriggers)</f>
        <v>0.97735058777921169</v>
      </c>
      <c r="V702" s="42">
        <f>_xll.qlYieldTSDiscount(OisCurve,R702,,AllTriggers)</f>
        <v>0.97556812836649154</v>
      </c>
      <c r="W702" s="41">
        <f t="shared" si="50"/>
        <v>7.1495172683513552E-3</v>
      </c>
      <c r="X702" s="43">
        <f t="shared" si="51"/>
        <v>4.1117051890835496E-4</v>
      </c>
      <c r="Y702" s="41">
        <f t="shared" si="52"/>
        <v>1.6121992098718984E-3</v>
      </c>
      <c r="Z702" s="62"/>
    </row>
    <row r="703" spans="15:26" x14ac:dyDescent="0.25">
      <c r="O703" s="45" t="s">
        <v>33</v>
      </c>
      <c r="P703" s="39">
        <f>_xll.qlCalendarAdvance(Calendar,P702,O702,"f",,Trigger)</f>
        <v>45596</v>
      </c>
      <c r="Q703" s="39">
        <f>_xll.qlInterestRateIndexValueDate(Index,P703,Trigger)</f>
        <v>45600</v>
      </c>
      <c r="R703" s="39">
        <f>_xll.qlInterestRateIndexMaturity(Index,Q703,Trigger)</f>
        <v>45692</v>
      </c>
      <c r="S703" s="40">
        <f>_xll.qlDayCounterYearFraction(DayCounter,Q703,R703,,,Trigger)</f>
        <v>0.25555555555555554</v>
      </c>
      <c r="T703" s="41">
        <f>_xll.qlIndexFixing(Index,P703,,AllTriggers)</f>
        <v>8.7729771413382618E-3</v>
      </c>
      <c r="U703" s="42">
        <f>_xll.qlYieldTSDiscount(OisCurve,Q703,,AllTriggers)</f>
        <v>0.97721627670862299</v>
      </c>
      <c r="V703" s="42">
        <f>_xll.qlYieldTSDiscount(OisCurve,R703,,AllTriggers)</f>
        <v>0.97543084042341288</v>
      </c>
      <c r="W703" s="41">
        <f t="shared" si="50"/>
        <v>7.1624655712742647E-3</v>
      </c>
      <c r="X703" s="43">
        <f t="shared" si="51"/>
        <v>4.1073884024185749E-4</v>
      </c>
      <c r="Y703" s="41">
        <f t="shared" si="52"/>
        <v>1.6105115700639971E-3</v>
      </c>
      <c r="Z703" s="62"/>
    </row>
    <row r="704" spans="15:26" x14ac:dyDescent="0.25">
      <c r="O704" s="45" t="s">
        <v>33</v>
      </c>
      <c r="P704" s="39">
        <f>_xll.qlCalendarAdvance(Calendar,P703,O703,"f",,Trigger)</f>
        <v>45603</v>
      </c>
      <c r="Q704" s="39">
        <f>_xll.qlInterestRateIndexValueDate(Index,P704,Trigger)</f>
        <v>45607</v>
      </c>
      <c r="R704" s="39">
        <f>_xll.qlInterestRateIndexMaturity(Index,Q704,Trigger)</f>
        <v>45699</v>
      </c>
      <c r="S704" s="40">
        <f>_xll.qlDayCounterYearFraction(DayCounter,Q704,R704,,,Trigger)</f>
        <v>0.25555555555555554</v>
      </c>
      <c r="T704" s="41">
        <f>_xll.qlIndexFixing(Index,P704,,AllTriggers)</f>
        <v>8.7843767839298915E-3</v>
      </c>
      <c r="U704" s="42">
        <f>_xll.qlYieldTSDiscount(OisCurve,Q704,,AllTriggers)</f>
        <v>0.97708176646496225</v>
      </c>
      <c r="V704" s="42">
        <f>_xll.qlYieldTSDiscount(OisCurve,R704,,AllTriggers)</f>
        <v>0.97529329423417799</v>
      </c>
      <c r="W704" s="41">
        <f t="shared" si="50"/>
        <v>7.175656430834558E-3</v>
      </c>
      <c r="X704" s="43">
        <f t="shared" si="51"/>
        <v>4.1028072842893404E-4</v>
      </c>
      <c r="Y704" s="41">
        <f t="shared" si="52"/>
        <v>1.6087203530953335E-3</v>
      </c>
      <c r="Z704" s="62"/>
    </row>
    <row r="705" spans="15:26" x14ac:dyDescent="0.25">
      <c r="O705" s="45" t="s">
        <v>33</v>
      </c>
      <c r="P705" s="39">
        <f>_xll.qlCalendarAdvance(Calendar,P704,O704,"f",,Trigger)</f>
        <v>45610</v>
      </c>
      <c r="Q705" s="39">
        <f>_xll.qlInterestRateIndexValueDate(Index,P705,Trigger)</f>
        <v>45614</v>
      </c>
      <c r="R705" s="39">
        <f>_xll.qlInterestRateIndexMaturity(Index,Q705,Trigger)</f>
        <v>45706</v>
      </c>
      <c r="S705" s="40">
        <f>_xll.qlDayCounterYearFraction(DayCounter,Q705,R705,,,Trigger)</f>
        <v>0.25555555555555554</v>
      </c>
      <c r="T705" s="41">
        <f>_xll.qlIndexFixing(Index,P705,,AllTriggers)</f>
        <v>8.79591540721022E-3</v>
      </c>
      <c r="U705" s="42">
        <f>_xll.qlYieldTSDiscount(OisCurve,Q705,,AllTriggers)</f>
        <v>0.9769470525371533</v>
      </c>
      <c r="V705" s="42">
        <f>_xll.qlYieldTSDiscount(OisCurve,R705,,AllTriggers)</f>
        <v>0.97515548532351215</v>
      </c>
      <c r="W705" s="41">
        <f t="shared" si="50"/>
        <v>7.1890898494807124E-3</v>
      </c>
      <c r="X705" s="43">
        <f t="shared" si="51"/>
        <v>4.0979618346987897E-4</v>
      </c>
      <c r="Y705" s="41">
        <f t="shared" si="52"/>
        <v>1.6068255577295076E-3</v>
      </c>
      <c r="Z705" s="62"/>
    </row>
    <row r="706" spans="15:26" x14ac:dyDescent="0.25">
      <c r="O706" s="45" t="s">
        <v>33</v>
      </c>
      <c r="P706" s="39">
        <f>_xll.qlCalendarAdvance(Calendar,P705,O705,"f",,Trigger)</f>
        <v>45617</v>
      </c>
      <c r="Q706" s="39">
        <f>_xll.qlInterestRateIndexValueDate(Index,P706,Trigger)</f>
        <v>45621</v>
      </c>
      <c r="R706" s="39">
        <f>_xll.qlInterestRateIndexMaturity(Index,Q706,Trigger)</f>
        <v>45713</v>
      </c>
      <c r="S706" s="40">
        <f>_xll.qlDayCounterYearFraction(DayCounter,Q706,R706,,,Trigger)</f>
        <v>0.25555555555555554</v>
      </c>
      <c r="T706" s="41">
        <f>_xll.qlIndexFixing(Index,P706,,AllTriggers)</f>
        <v>8.807593012406089E-3</v>
      </c>
      <c r="U706" s="42">
        <f>_xll.qlYieldTSDiscount(OisCurve,Q706,,AllTriggers)</f>
        <v>0.97681213041678072</v>
      </c>
      <c r="V706" s="42">
        <f>_xll.qlYieldTSDiscount(OisCurve,R706,,AllTriggers)</f>
        <v>0.97501740921894486</v>
      </c>
      <c r="W706" s="41">
        <f t="shared" si="50"/>
        <v>7.2027658297037769E-3</v>
      </c>
      <c r="X706" s="43">
        <f t="shared" si="51"/>
        <v>4.0928520536488819E-4</v>
      </c>
      <c r="Y706" s="41">
        <f t="shared" si="52"/>
        <v>1.6048271827023121E-3</v>
      </c>
      <c r="Z706" s="62"/>
    </row>
    <row r="707" spans="15:26" x14ac:dyDescent="0.25">
      <c r="O707" s="45" t="s">
        <v>33</v>
      </c>
      <c r="P707" s="39">
        <f>_xll.qlCalendarAdvance(Calendar,P706,O706,"f",,Trigger)</f>
        <v>45624</v>
      </c>
      <c r="Q707" s="39">
        <f>_xll.qlInterestRateIndexValueDate(Index,P707,Trigger)</f>
        <v>45628</v>
      </c>
      <c r="R707" s="39">
        <f>_xll.qlInterestRateIndexMaturity(Index,Q707,Trigger)</f>
        <v>45719</v>
      </c>
      <c r="S707" s="40">
        <f>_xll.qlDayCounterYearFraction(DayCounter,Q707,R707,,,Trigger)</f>
        <v>0.25277777777777777</v>
      </c>
      <c r="T707" s="41">
        <f>_xll.qlIndexFixing(Index,P707,,AllTriggers)</f>
        <v>8.8184314002149738E-3</v>
      </c>
      <c r="U707" s="42">
        <f>_xll.qlYieldTSDiscount(OisCurve,Q707,,AllTriggers)</f>
        <v>0.97667699559810039</v>
      </c>
      <c r="V707" s="42">
        <f>_xll.qlYieldTSDiscount(OisCurve,R707,,AllTriggers)</f>
        <v>0.97489884221948597</v>
      </c>
      <c r="W707" s="41">
        <f t="shared" si="50"/>
        <v>7.2155721411789036E-3</v>
      </c>
      <c r="X707" s="43">
        <f t="shared" si="51"/>
        <v>4.0434778827368016E-4</v>
      </c>
      <c r="Y707" s="41">
        <f t="shared" si="52"/>
        <v>1.6028592590360703E-3</v>
      </c>
      <c r="Z707" s="62"/>
    </row>
    <row r="708" spans="15:26" x14ac:dyDescent="0.25">
      <c r="O708" s="45" t="s">
        <v>33</v>
      </c>
      <c r="P708" s="39">
        <f>_xll.qlCalendarAdvance(Calendar,P707,O707,"f",,Trigger)</f>
        <v>45631</v>
      </c>
      <c r="Q708" s="39">
        <f>_xll.qlInterestRateIndexValueDate(Index,P708,Trigger)</f>
        <v>45635</v>
      </c>
      <c r="R708" s="39">
        <f>_xll.qlInterestRateIndexMaturity(Index,Q708,Trigger)</f>
        <v>45726</v>
      </c>
      <c r="S708" s="40">
        <f>_xll.qlDayCounterYearFraction(DayCounter,Q708,R708,,,Trigger)</f>
        <v>0.25277777777777777</v>
      </c>
      <c r="T708" s="41">
        <f>_xll.qlIndexFixing(Index,P708,,AllTriggers)</f>
        <v>8.8303767529289891E-3</v>
      </c>
      <c r="U708" s="42">
        <f>_xll.qlYieldTSDiscount(OisCurve,Q708,,AllTriggers)</f>
        <v>0.97654164357804851</v>
      </c>
      <c r="V708" s="42">
        <f>_xll.qlYieldTSDiscount(OisCurve,R708,,AllTriggers)</f>
        <v>0.97476025804154842</v>
      </c>
      <c r="W708" s="41">
        <f t="shared" ref="W708:W771" si="53">(U708/V708-1)/S708</f>
        <v>7.2297156422999505E-3</v>
      </c>
      <c r="X708" s="43">
        <f t="shared" ref="X708:X771" si="54">LN((1+T708*S708)/(1+W708*S708))</f>
        <v>4.0379194017889689E-4</v>
      </c>
      <c r="Y708" s="41">
        <f t="shared" ref="Y708:Y771" si="55">T708-W708</f>
        <v>1.6006611106290387E-3</v>
      </c>
      <c r="Z708" s="62"/>
    </row>
    <row r="709" spans="15:26" x14ac:dyDescent="0.25">
      <c r="O709" s="45" t="s">
        <v>33</v>
      </c>
      <c r="P709" s="39">
        <f>_xll.qlCalendarAdvance(Calendar,P708,O708,"f",,Trigger)</f>
        <v>45638</v>
      </c>
      <c r="Q709" s="39">
        <f>_xll.qlInterestRateIndexValueDate(Index,P709,Trigger)</f>
        <v>45642</v>
      </c>
      <c r="R709" s="39">
        <f>_xll.qlInterestRateIndexMaturity(Index,Q709,Trigger)</f>
        <v>45733</v>
      </c>
      <c r="S709" s="40">
        <f>_xll.qlDayCounterYearFraction(DayCounter,Q709,R709,,,Trigger)</f>
        <v>0.25277777777777777</v>
      </c>
      <c r="T709" s="41">
        <f>_xll.qlIndexFixing(Index,P709,,AllTriggers)</f>
        <v>8.8424610874290842E-3</v>
      </c>
      <c r="U709" s="42">
        <f>_xll.qlYieldTSDiscount(OisCurve,Q709,,AllTriggers)</f>
        <v>0.97640606985625167</v>
      </c>
      <c r="V709" s="42">
        <f>_xll.qlYieldTSDiscount(OisCurve,R709,,AllTriggers)</f>
        <v>0.97462139390678104</v>
      </c>
      <c r="W709" s="41">
        <f t="shared" si="53"/>
        <v>7.2441017071246264E-3</v>
      </c>
      <c r="X709" s="43">
        <f t="shared" si="54"/>
        <v>4.0320994625510012E-4</v>
      </c>
      <c r="Y709" s="41">
        <f t="shared" si="55"/>
        <v>1.5983593803044578E-3</v>
      </c>
      <c r="Z709" s="62"/>
    </row>
    <row r="710" spans="15:26" x14ac:dyDescent="0.25">
      <c r="O710" s="45" t="s">
        <v>33</v>
      </c>
      <c r="P710" s="39">
        <f>_xll.qlCalendarAdvance(Calendar,P709,O709,"f",,Trigger)</f>
        <v>45645</v>
      </c>
      <c r="Q710" s="39">
        <f>_xll.qlInterestRateIndexValueDate(Index,P710,Trigger)</f>
        <v>45649</v>
      </c>
      <c r="R710" s="39">
        <f>_xll.qlInterestRateIndexMaturity(Index,Q710,Trigger)</f>
        <v>45740</v>
      </c>
      <c r="S710" s="40">
        <f>_xll.qlDayCounterYearFraction(DayCounter,Q710,R710,,,Trigger)</f>
        <v>0.25277777777777777</v>
      </c>
      <c r="T710" s="41">
        <f>_xll.qlIndexFixing(Index,P710,,AllTriggers)</f>
        <v>8.854684404985453E-3</v>
      </c>
      <c r="U710" s="42">
        <f>_xll.qlYieldTSDiscount(OisCurve,Q710,,AllTriggers)</f>
        <v>0.9762702699350374</v>
      </c>
      <c r="V710" s="42">
        <f>_xll.qlYieldTSDiscount(OisCurve,R710,,AllTriggers)</f>
        <v>0.97448224535364392</v>
      </c>
      <c r="W710" s="41">
        <f t="shared" si="53"/>
        <v>7.2587303382960905E-3</v>
      </c>
      <c r="X710" s="43">
        <f t="shared" si="54"/>
        <v>4.0260180650191873E-4</v>
      </c>
      <c r="Y710" s="41">
        <f t="shared" si="55"/>
        <v>1.5959540666893625E-3</v>
      </c>
      <c r="Z710" s="62"/>
    </row>
    <row r="711" spans="15:26" x14ac:dyDescent="0.25">
      <c r="O711" s="45" t="s">
        <v>33</v>
      </c>
      <c r="P711" s="39">
        <f>_xll.qlCalendarAdvance(Calendar,P710,O710,"f",,Trigger)</f>
        <v>45653</v>
      </c>
      <c r="Q711" s="39">
        <f>_xll.qlInterestRateIndexValueDate(Index,P711,Trigger)</f>
        <v>45657</v>
      </c>
      <c r="R711" s="39">
        <f>_xll.qlInterestRateIndexMaturity(Index,Q711,Trigger)</f>
        <v>45747</v>
      </c>
      <c r="S711" s="40">
        <f>_xll.qlDayCounterYearFraction(DayCounter,Q711,R711,,,Trigger)</f>
        <v>0.25</v>
      </c>
      <c r="T711" s="41">
        <f>_xll.qlIndexFixing(Index,P711,,AllTriggers)</f>
        <v>8.8678045215990764E-3</v>
      </c>
      <c r="U711" s="42">
        <f>_xll.qlYieldTSDiscount(OisCurve,Q711,,AllTriggers)</f>
        <v>0.97611478728019296</v>
      </c>
      <c r="V711" s="42">
        <f>_xll.qlYieldTSDiscount(OisCurve,R711,,AllTriggers)</f>
        <v>0.97434280792346317</v>
      </c>
      <c r="W711" s="41">
        <f t="shared" si="53"/>
        <v>7.2745622683099143E-3</v>
      </c>
      <c r="X711" s="43">
        <f t="shared" si="54"/>
        <v>3.9750847761112462E-4</v>
      </c>
      <c r="Y711" s="41">
        <f t="shared" si="55"/>
        <v>1.5932422532891621E-3</v>
      </c>
      <c r="Z711" s="62"/>
    </row>
    <row r="712" spans="15:26" x14ac:dyDescent="0.25">
      <c r="O712" s="45" t="s">
        <v>33</v>
      </c>
      <c r="P712" s="39">
        <f>_xll.qlCalendarAdvance(Calendar,P711,O711,"f",,Trigger)</f>
        <v>45660</v>
      </c>
      <c r="Q712" s="39">
        <f>_xll.qlInterestRateIndexValueDate(Index,P712,Trigger)</f>
        <v>45664</v>
      </c>
      <c r="R712" s="39">
        <f>_xll.qlInterestRateIndexMaturity(Index,Q712,Trigger)</f>
        <v>45754</v>
      </c>
      <c r="S712" s="40">
        <f>_xll.qlDayCounterYearFraction(DayCounter,Q712,R712,,,Trigger)</f>
        <v>0.25</v>
      </c>
      <c r="T712" s="41">
        <f>_xll.qlIndexFixing(Index,P712,,AllTriggers)</f>
        <v>8.8803154286090091E-3</v>
      </c>
      <c r="U712" s="42">
        <f>_xll.qlYieldTSDiscount(OisCurve,Q712,,AllTriggers)</f>
        <v>0.97597848751333871</v>
      </c>
      <c r="V712" s="42">
        <f>_xll.qlYieldTSDiscount(OisCurve,R712,,AllTriggers)</f>
        <v>0.9742030771604433</v>
      </c>
      <c r="W712" s="41">
        <f t="shared" si="53"/>
        <v>7.2896930610006905E-3</v>
      </c>
      <c r="X712" s="43">
        <f t="shared" si="54"/>
        <v>3.9685345665066668E-4</v>
      </c>
      <c r="Y712" s="41">
        <f t="shared" si="55"/>
        <v>1.5906223676083187E-3</v>
      </c>
      <c r="Z712" s="62"/>
    </row>
    <row r="713" spans="15:26" x14ac:dyDescent="0.25">
      <c r="O713" s="45" t="s">
        <v>33</v>
      </c>
      <c r="P713" s="39">
        <f>_xll.qlCalendarAdvance(Calendar,P712,O712,"f",,Trigger)</f>
        <v>45667</v>
      </c>
      <c r="Q713" s="39">
        <f>_xll.qlInterestRateIndexValueDate(Index,P713,Trigger)</f>
        <v>45671</v>
      </c>
      <c r="R713" s="39">
        <f>_xll.qlInterestRateIndexMaturity(Index,Q713,Trigger)</f>
        <v>45761</v>
      </c>
      <c r="S713" s="40">
        <f>_xll.qlDayCounterYearFraction(DayCounter,Q713,R713,,,Trigger)</f>
        <v>0.25</v>
      </c>
      <c r="T713" s="41">
        <f>_xll.qlIndexFixing(Index,P713,,AllTriggers)</f>
        <v>8.892965318805679E-3</v>
      </c>
      <c r="U713" s="42">
        <f>_xll.qlYieldTSDiscount(OisCurve,Q713,,AllTriggers)</f>
        <v>0.9758419474292247</v>
      </c>
      <c r="V713" s="42">
        <f>_xll.qlYieldTSDiscount(OisCurve,R713,,AllTriggers)</f>
        <v>0.97406304861168103</v>
      </c>
      <c r="W713" s="41">
        <f t="shared" si="53"/>
        <v>7.3050664228730966E-3</v>
      </c>
      <c r="X713" s="43">
        <f t="shared" si="54"/>
        <v>3.9617257717786087E-4</v>
      </c>
      <c r="Y713" s="41">
        <f t="shared" si="55"/>
        <v>1.5878988959325824E-3</v>
      </c>
      <c r="Z713" s="62"/>
    </row>
    <row r="714" spans="15:26" x14ac:dyDescent="0.25">
      <c r="O714" s="45" t="s">
        <v>33</v>
      </c>
      <c r="P714" s="39">
        <f>_xll.qlCalendarAdvance(Calendar,P713,O713,"f",,Trigger)</f>
        <v>45674</v>
      </c>
      <c r="Q714" s="39">
        <f>_xll.qlInterestRateIndexValueDate(Index,P714,Trigger)</f>
        <v>45678</v>
      </c>
      <c r="R714" s="39">
        <f>_xll.qlInterestRateIndexMaturity(Index,Q714,Trigger)</f>
        <v>45769</v>
      </c>
      <c r="S714" s="40">
        <f>_xll.qlDayCounterYearFraction(DayCounter,Q714,R714,,,Trigger)</f>
        <v>0.25277777777777777</v>
      </c>
      <c r="T714" s="41">
        <f>_xll.qlIndexFixing(Index,P714,,AllTriggers)</f>
        <v>8.9068044867278116E-3</v>
      </c>
      <c r="U714" s="42">
        <f>_xll.qlYieldTSDiscount(OisCurve,Q714,,AllTriggers)</f>
        <v>0.97570516254148021</v>
      </c>
      <c r="V714" s="42">
        <f>_xll.qlYieldTSDiscount(OisCurve,R714,,AllTriggers)</f>
        <v>0.97390264564060347</v>
      </c>
      <c r="W714" s="41">
        <f t="shared" si="53"/>
        <v>7.3219188009184116E-3</v>
      </c>
      <c r="X714" s="43">
        <f t="shared" si="54"/>
        <v>3.9980383726078968E-4</v>
      </c>
      <c r="Y714" s="41">
        <f t="shared" si="55"/>
        <v>1.5848856858094E-3</v>
      </c>
      <c r="Z714" s="62"/>
    </row>
    <row r="715" spans="15:26" x14ac:dyDescent="0.25">
      <c r="O715" s="45" t="s">
        <v>33</v>
      </c>
      <c r="P715" s="39">
        <f>_xll.qlCalendarAdvance(Calendar,P714,O714,"f",,Trigger)</f>
        <v>45681</v>
      </c>
      <c r="Q715" s="39">
        <f>_xll.qlInterestRateIndexValueDate(Index,P715,Trigger)</f>
        <v>45685</v>
      </c>
      <c r="R715" s="39">
        <f>_xll.qlInterestRateIndexMaturity(Index,Q715,Trigger)</f>
        <v>45775</v>
      </c>
      <c r="S715" s="40">
        <f>_xll.qlDayCounterYearFraction(DayCounter,Q715,R715,,,Trigger)</f>
        <v>0.25</v>
      </c>
      <c r="T715" s="41">
        <f>_xll.qlIndexFixing(Index,P715,,AllTriggers)</f>
        <v>8.9186814585930918E-3</v>
      </c>
      <c r="U715" s="42">
        <f>_xll.qlYieldTSDiscount(OisCurve,Q715,,AllTriggers)</f>
        <v>0.97556812836649154</v>
      </c>
      <c r="V715" s="42">
        <f>_xll.qlYieldTSDiscount(OisCurve,R715,,AllTriggers)</f>
        <v>0.97378208065902672</v>
      </c>
      <c r="W715" s="41">
        <f t="shared" si="53"/>
        <v>7.3365396342310873E-3</v>
      </c>
      <c r="X715" s="43">
        <f t="shared" si="54"/>
        <v>3.9473340138735665E-4</v>
      </c>
      <c r="Y715" s="41">
        <f t="shared" si="55"/>
        <v>1.5821418243620045E-3</v>
      </c>
      <c r="Z715" s="62"/>
    </row>
    <row r="716" spans="15:26" x14ac:dyDescent="0.25">
      <c r="O716" s="45" t="s">
        <v>33</v>
      </c>
      <c r="P716" s="39">
        <f>_xll.qlCalendarAdvance(Calendar,P715,O715,"f",,Trigger)</f>
        <v>45688</v>
      </c>
      <c r="Q716" s="39">
        <f>_xll.qlInterestRateIndexValueDate(Index,P716,Trigger)</f>
        <v>45692</v>
      </c>
      <c r="R716" s="39">
        <f>_xll.qlInterestRateIndexMaturity(Index,Q716,Trigger)</f>
        <v>45782</v>
      </c>
      <c r="S716" s="40">
        <f>_xll.qlDayCounterYearFraction(DayCounter,Q716,R716,,,Trigger)</f>
        <v>0.25</v>
      </c>
      <c r="T716" s="41">
        <f>_xll.qlIndexFixing(Index,P716,,AllTriggers)</f>
        <v>8.9317365184218289E-3</v>
      </c>
      <c r="U716" s="42">
        <f>_xll.qlYieldTSDiscount(OisCurve,Q716,,AllTriggers)</f>
        <v>0.97543084042341288</v>
      </c>
      <c r="V716" s="42">
        <f>_xll.qlYieldTSDiscount(OisCurve,R716,,AllTriggers)</f>
        <v>0.97364113798641749</v>
      </c>
      <c r="W716" s="41">
        <f t="shared" si="53"/>
        <v>7.352616347730212E-3</v>
      </c>
      <c r="X716" s="43">
        <f t="shared" si="54"/>
        <v>3.9397808800340921E-4</v>
      </c>
      <c r="Y716" s="41">
        <f t="shared" si="55"/>
        <v>1.5791201706916169E-3</v>
      </c>
      <c r="Z716" s="62"/>
    </row>
    <row r="717" spans="15:26" x14ac:dyDescent="0.25">
      <c r="O717" s="45" t="s">
        <v>33</v>
      </c>
      <c r="P717" s="39">
        <f>_xll.qlCalendarAdvance(Calendar,P716,O716,"f",,Trigger)</f>
        <v>45695</v>
      </c>
      <c r="Q717" s="39">
        <f>_xll.qlInterestRateIndexValueDate(Index,P717,Trigger)</f>
        <v>45699</v>
      </c>
      <c r="R717" s="39">
        <f>_xll.qlInterestRateIndexMaturity(Index,Q717,Trigger)</f>
        <v>45789</v>
      </c>
      <c r="S717" s="40">
        <f>_xll.qlDayCounterYearFraction(DayCounter,Q717,R717,,,Trigger)</f>
        <v>0.25</v>
      </c>
      <c r="T717" s="41">
        <f>_xll.qlIndexFixing(Index,P717,,AllTriggers)</f>
        <v>8.9449004782204966E-3</v>
      </c>
      <c r="U717" s="42">
        <f>_xll.qlYieldTSDiscount(OisCurve,Q717,,AllTriggers)</f>
        <v>0.97529329423417799</v>
      </c>
      <c r="V717" s="42">
        <f>_xll.qlYieldTSDiscount(OisCurve,R717,,AllTriggers)</f>
        <v>0.97349989485683464</v>
      </c>
      <c r="W717" s="41">
        <f t="shared" si="53"/>
        <v>7.368873430056766E-3</v>
      </c>
      <c r="X717" s="43">
        <f t="shared" si="54"/>
        <v>3.9320493506619865E-4</v>
      </c>
      <c r="Y717" s="41">
        <f t="shared" si="55"/>
        <v>1.5760270481637306E-3</v>
      </c>
      <c r="Z717" s="62"/>
    </row>
    <row r="718" spans="15:26" x14ac:dyDescent="0.25">
      <c r="O718" s="45" t="s">
        <v>33</v>
      </c>
      <c r="P718" s="39">
        <f>_xll.qlCalendarAdvance(Calendar,P717,O717,"f",,Trigger)</f>
        <v>45702</v>
      </c>
      <c r="Q718" s="39">
        <f>_xll.qlInterestRateIndexValueDate(Index,P718,Trigger)</f>
        <v>45706</v>
      </c>
      <c r="R718" s="39">
        <f>_xll.qlInterestRateIndexMaturity(Index,Q718,Trigger)</f>
        <v>45796</v>
      </c>
      <c r="S718" s="40">
        <f>_xll.qlDayCounterYearFraction(DayCounter,Q718,R718,,,Trigger)</f>
        <v>0.25</v>
      </c>
      <c r="T718" s="41">
        <f>_xll.qlIndexFixing(Index,P718,,AllTriggers)</f>
        <v>8.9581541917809204E-3</v>
      </c>
      <c r="U718" s="42">
        <f>_xll.qlYieldTSDiscount(OisCurve,Q718,,AllTriggers)</f>
        <v>0.97515548532351215</v>
      </c>
      <c r="V718" s="42">
        <f>_xll.qlYieldTSDiscount(OisCurve,R718,,AllTriggers)</f>
        <v>0.97335835644134905</v>
      </c>
      <c r="W718" s="41">
        <f t="shared" si="53"/>
        <v>7.3852712940523091E-3</v>
      </c>
      <c r="X718" s="43">
        <f t="shared" si="54"/>
        <v>3.9241904554941095E-4</v>
      </c>
      <c r="Y718" s="41">
        <f t="shared" si="55"/>
        <v>1.5728828977286113E-3</v>
      </c>
      <c r="Z718" s="62"/>
    </row>
    <row r="719" spans="15:26" x14ac:dyDescent="0.25">
      <c r="O719" s="45" t="s">
        <v>33</v>
      </c>
      <c r="P719" s="39">
        <f>_xll.qlCalendarAdvance(Calendar,P718,O718,"f",,Trigger)</f>
        <v>45709</v>
      </c>
      <c r="Q719" s="39">
        <f>_xll.qlInterestRateIndexValueDate(Index,P719,Trigger)</f>
        <v>45713</v>
      </c>
      <c r="R719" s="39">
        <f>_xll.qlInterestRateIndexMaturity(Index,Q719,Trigger)</f>
        <v>45803</v>
      </c>
      <c r="S719" s="40">
        <f>_xll.qlDayCounterYearFraction(DayCounter,Q719,R719,,,Trigger)</f>
        <v>0.25</v>
      </c>
      <c r="T719" s="41">
        <f>_xll.qlIndexFixing(Index,P719,,AllTriggers)</f>
        <v>8.9714785126453478E-3</v>
      </c>
      <c r="U719" s="42">
        <f>_xll.qlYieldTSDiscount(OisCurve,Q719,,AllTriggers)</f>
        <v>0.97501740921894486</v>
      </c>
      <c r="V719" s="42">
        <f>_xll.qlYieldTSDiscount(OisCurve,R719,,AllTriggers)</f>
        <v>0.97321652790837443</v>
      </c>
      <c r="W719" s="41">
        <f t="shared" si="53"/>
        <v>7.4017703519313471E-3</v>
      </c>
      <c r="X719" s="43">
        <f t="shared" si="54"/>
        <v>3.91625522426594E-4</v>
      </c>
      <c r="Y719" s="41">
        <f t="shared" si="55"/>
        <v>1.5697081607140007E-3</v>
      </c>
      <c r="Z719" s="62"/>
    </row>
    <row r="720" spans="15:26" x14ac:dyDescent="0.25">
      <c r="O720" s="45" t="s">
        <v>33</v>
      </c>
      <c r="P720" s="39">
        <f>_xll.qlCalendarAdvance(Calendar,P719,O719,"f",,Trigger)</f>
        <v>45716</v>
      </c>
      <c r="Q720" s="39">
        <f>_xll.qlInterestRateIndexValueDate(Index,P720,Trigger)</f>
        <v>45720</v>
      </c>
      <c r="R720" s="39">
        <f>_xll.qlInterestRateIndexMaturity(Index,Q720,Trigger)</f>
        <v>45812</v>
      </c>
      <c r="S720" s="40">
        <f>_xll.qlDayCounterYearFraction(DayCounter,Q720,R720,,,Trigger)</f>
        <v>0.25555555555555554</v>
      </c>
      <c r="T720" s="41">
        <f>_xll.qlIndexFixing(Index,P720,,AllTriggers)</f>
        <v>8.9870035427416662E-3</v>
      </c>
      <c r="U720" s="42">
        <f>_xll.qlYieldTSDiscount(OisCurve,Q720,,AllTriggers)</f>
        <v>0.97487906145082104</v>
      </c>
      <c r="V720" s="42">
        <f>_xll.qlYieldTSDiscount(OisCurve,R720,,AllTriggers)</f>
        <v>0.97303375895539135</v>
      </c>
      <c r="W720" s="41">
        <f t="shared" si="53"/>
        <v>7.4208616388718581E-3</v>
      </c>
      <c r="X720" s="43">
        <f t="shared" si="54"/>
        <v>3.9939890565312191E-4</v>
      </c>
      <c r="Y720" s="41">
        <f t="shared" si="55"/>
        <v>1.5661419038698081E-3</v>
      </c>
      <c r="Z720" s="62"/>
    </row>
    <row r="721" spans="15:26" x14ac:dyDescent="0.25">
      <c r="O721" s="45" t="s">
        <v>33</v>
      </c>
      <c r="P721" s="39">
        <f>_xll.qlCalendarAdvance(Calendar,P720,O720,"f",,Trigger)</f>
        <v>45723</v>
      </c>
      <c r="Q721" s="39">
        <f>_xll.qlInterestRateIndexValueDate(Index,P721,Trigger)</f>
        <v>45727</v>
      </c>
      <c r="R721" s="39">
        <f>_xll.qlInterestRateIndexMaturity(Index,Q721,Trigger)</f>
        <v>45819</v>
      </c>
      <c r="S721" s="40">
        <f>_xll.qlDayCounterYearFraction(DayCounter,Q721,R721,,,Trigger)</f>
        <v>0.25555555555555554</v>
      </c>
      <c r="T721" s="41">
        <f>_xll.qlIndexFixing(Index,P721,,AllTriggers)</f>
        <v>9.0004065946734605E-3</v>
      </c>
      <c r="U721" s="42">
        <f>_xll.qlYieldTSDiscount(OisCurve,Q721,,AllTriggers)</f>
        <v>0.97474043755231465</v>
      </c>
      <c r="V721" s="42">
        <f>_xll.qlYieldTSDiscount(OisCurve,R721,,AllTriggers)</f>
        <v>0.97289128669028457</v>
      </c>
      <c r="W721" s="41">
        <f t="shared" si="53"/>
        <v>7.4374267916439522E-3</v>
      </c>
      <c r="X721" s="43">
        <f t="shared" si="54"/>
        <v>3.9859098073456375E-4</v>
      </c>
      <c r="Y721" s="41">
        <f t="shared" si="55"/>
        <v>1.5629798030295083E-3</v>
      </c>
      <c r="Z721" s="62"/>
    </row>
    <row r="722" spans="15:26" x14ac:dyDescent="0.25">
      <c r="O722" s="45" t="s">
        <v>33</v>
      </c>
      <c r="P722" s="39">
        <f>_xll.qlCalendarAdvance(Calendar,P721,O721,"f",,Trigger)</f>
        <v>45730</v>
      </c>
      <c r="Q722" s="39">
        <f>_xll.qlInterestRateIndexValueDate(Index,P722,Trigger)</f>
        <v>45734</v>
      </c>
      <c r="R722" s="39">
        <f>_xll.qlInterestRateIndexMaturity(Index,Q722,Trigger)</f>
        <v>45826</v>
      </c>
      <c r="S722" s="40">
        <f>_xll.qlDayCounterYearFraction(DayCounter,Q722,R722,,,Trigger)</f>
        <v>0.25555555555555554</v>
      </c>
      <c r="T722" s="41">
        <f>_xll.qlIndexFixing(Index,P722,,AllTriggers)</f>
        <v>9.0138201980884194E-3</v>
      </c>
      <c r="U722" s="42">
        <f>_xll.qlYieldTSDiscount(OisCurve,Q722,,AllTriggers)</f>
        <v>0.97460153305944019</v>
      </c>
      <c r="V722" s="42">
        <f>_xll.qlYieldTSDiscount(OisCurve,R722,,AllTriggers)</f>
        <v>0.97274854127072097</v>
      </c>
      <c r="W722" s="41">
        <f t="shared" si="53"/>
        <v>7.4539689616464457E-3</v>
      </c>
      <c r="X722" s="43">
        <f t="shared" si="54"/>
        <v>3.9779161449142605E-4</v>
      </c>
      <c r="Y722" s="41">
        <f t="shared" si="55"/>
        <v>1.5598512364419738E-3</v>
      </c>
      <c r="Z722" s="62"/>
    </row>
    <row r="723" spans="15:26" x14ac:dyDescent="0.25">
      <c r="O723" s="45" t="s">
        <v>33</v>
      </c>
      <c r="P723" s="39">
        <f>_xll.qlCalendarAdvance(Calendar,P722,O722,"f",,Trigger)</f>
        <v>45737</v>
      </c>
      <c r="Q723" s="39">
        <f>_xll.qlInterestRateIndexValueDate(Index,P723,Trigger)</f>
        <v>45741</v>
      </c>
      <c r="R723" s="39">
        <f>_xll.qlInterestRateIndexMaturity(Index,Q723,Trigger)</f>
        <v>45833</v>
      </c>
      <c r="S723" s="40">
        <f>_xll.qlDayCounterYearFraction(DayCounter,Q723,R723,,,Trigger)</f>
        <v>0.25555555555555554</v>
      </c>
      <c r="T723" s="41">
        <f>_xll.qlIndexFixing(Index,P723,,AllTriggers)</f>
        <v>9.0272256207976995E-3</v>
      </c>
      <c r="U723" s="42">
        <f>_xll.qlYieldTSDiscount(OisCurve,Q723,,AllTriggers)</f>
        <v>0.97446234351106698</v>
      </c>
      <c r="V723" s="42">
        <f>_xll.qlYieldTSDiscount(OisCurve,R723,,AllTriggers)</f>
        <v>0.97260552785355503</v>
      </c>
      <c r="W723" s="41">
        <f t="shared" si="53"/>
        <v>7.4704494174473645E-3</v>
      </c>
      <c r="X723" s="43">
        <f t="shared" si="54"/>
        <v>3.9700590989682642E-4</v>
      </c>
      <c r="Y723" s="41">
        <f t="shared" si="55"/>
        <v>1.556776203350335E-3</v>
      </c>
      <c r="Z723" s="62"/>
    </row>
    <row r="724" spans="15:26" x14ac:dyDescent="0.25">
      <c r="O724" s="45" t="s">
        <v>33</v>
      </c>
      <c r="P724" s="39">
        <f>_xll.qlCalendarAdvance(Calendar,P723,O723,"f",,Trigger)</f>
        <v>45744</v>
      </c>
      <c r="Q724" s="39">
        <f>_xll.qlInterestRateIndexValueDate(Index,P724,Trigger)</f>
        <v>45748</v>
      </c>
      <c r="R724" s="39">
        <f>_xll.qlInterestRateIndexMaturity(Index,Q724,Trigger)</f>
        <v>45839</v>
      </c>
      <c r="S724" s="40">
        <f>_xll.qlDayCounterYearFraction(DayCounter,Q724,R724,,,Trigger)</f>
        <v>0.25277777777777777</v>
      </c>
      <c r="T724" s="41">
        <f>_xll.qlIndexFixing(Index,P724,,AllTriggers)</f>
        <v>9.0395469331446005E-3</v>
      </c>
      <c r="U724" s="42">
        <f>_xll.qlYieldTSDiscount(OisCurve,Q724,,AllTriggers)</f>
        <v>0.97432286444893146</v>
      </c>
      <c r="V724" s="42">
        <f>_xll.qlYieldTSDiscount(OisCurve,R724,,AllTriggers)</f>
        <v>0.97248273552732845</v>
      </c>
      <c r="W724" s="41">
        <f t="shared" si="53"/>
        <v>7.4856145335085184E-3</v>
      </c>
      <c r="X724" s="43">
        <f t="shared" si="54"/>
        <v>3.9198089378728116E-4</v>
      </c>
      <c r="Y724" s="41">
        <f t="shared" si="55"/>
        <v>1.5539323996360821E-3</v>
      </c>
      <c r="Z724" s="62"/>
    </row>
    <row r="725" spans="15:26" x14ac:dyDescent="0.25">
      <c r="O725" s="45" t="s">
        <v>33</v>
      </c>
      <c r="P725" s="39">
        <f>_xll.qlCalendarAdvance(Calendar,P724,O724,"f",,Trigger)</f>
        <v>45751</v>
      </c>
      <c r="Q725" s="39">
        <f>_xll.qlInterestRateIndexValueDate(Index,P725,Trigger)</f>
        <v>45755</v>
      </c>
      <c r="R725" s="39">
        <f>_xll.qlInterestRateIndexMaturity(Index,Q725,Trigger)</f>
        <v>45846</v>
      </c>
      <c r="S725" s="40">
        <f>_xll.qlDayCounterYearFraction(DayCounter,Q725,R725,,,Trigger)</f>
        <v>0.25277777777777777</v>
      </c>
      <c r="T725" s="41">
        <f>_xll.qlIndexFixing(Index,P725,,AllTriggers)</f>
        <v>9.0528863115868739E-3</v>
      </c>
      <c r="U725" s="42">
        <f>_xll.qlYieldTSDiscount(OisCurve,Q725,,AllTriggers)</f>
        <v>0.97418309141765036</v>
      </c>
      <c r="V725" s="42">
        <f>_xll.qlYieldTSDiscount(OisCurve,R725,,AllTriggers)</f>
        <v>0.97233923807243994</v>
      </c>
      <c r="W725" s="41">
        <f t="shared" si="53"/>
        <v>7.501872388294902E-3</v>
      </c>
      <c r="X725" s="43">
        <f t="shared" si="54"/>
        <v>3.9124324489765266E-4</v>
      </c>
      <c r="Y725" s="41">
        <f t="shared" si="55"/>
        <v>1.5510139232919719E-3</v>
      </c>
      <c r="Z725" s="62"/>
    </row>
    <row r="726" spans="15:26" x14ac:dyDescent="0.25">
      <c r="O726" s="45" t="s">
        <v>33</v>
      </c>
      <c r="P726" s="39">
        <f>_xll.qlCalendarAdvance(Calendar,P725,O725,"f",,Trigger)</f>
        <v>45758</v>
      </c>
      <c r="Q726" s="39">
        <f>_xll.qlInterestRateIndexValueDate(Index,P726,Trigger)</f>
        <v>45762</v>
      </c>
      <c r="R726" s="39">
        <f>_xll.qlInterestRateIndexMaturity(Index,Q726,Trigger)</f>
        <v>45853</v>
      </c>
      <c r="S726" s="40">
        <f>_xll.qlDayCounterYearFraction(DayCounter,Q726,R726,,,Trigger)</f>
        <v>0.25277777777777777</v>
      </c>
      <c r="T726" s="41">
        <f>_xll.qlIndexFixing(Index,P726,,AllTriggers)</f>
        <v>9.0661617829192152E-3</v>
      </c>
      <c r="U726" s="42">
        <f>_xll.qlYieldTSDiscount(OisCurve,Q726,,AllTriggers)</f>
        <v>0.97404301996473475</v>
      </c>
      <c r="V726" s="42">
        <f>_xll.qlYieldTSDiscount(OisCurve,R726,,AllTriggers)</f>
        <v>0.97219548733869976</v>
      </c>
      <c r="W726" s="41">
        <f t="shared" si="53"/>
        <v>7.5179533067238529E-3</v>
      </c>
      <c r="X726" s="43">
        <f t="shared" si="54"/>
        <v>3.9053412489897831E-4</v>
      </c>
      <c r="Y726" s="41">
        <f t="shared" si="55"/>
        <v>1.5482084761953624E-3</v>
      </c>
      <c r="Z726" s="62"/>
    </row>
    <row r="727" spans="15:26" x14ac:dyDescent="0.25">
      <c r="O727" s="45" t="s">
        <v>33</v>
      </c>
      <c r="P727" s="39">
        <f>_xll.qlCalendarAdvance(Calendar,P726,O726,"f",,Trigger)</f>
        <v>45769</v>
      </c>
      <c r="Q727" s="39">
        <f>_xll.qlInterestRateIndexValueDate(Index,P727,Trigger)</f>
        <v>45771</v>
      </c>
      <c r="R727" s="39">
        <f>_xll.qlInterestRateIndexMaturity(Index,Q727,Trigger)</f>
        <v>45862</v>
      </c>
      <c r="S727" s="40">
        <f>_xll.qlDayCounterYearFraction(DayCounter,Q727,R727,,,Trigger)</f>
        <v>0.25277777777777777</v>
      </c>
      <c r="T727" s="41">
        <f>_xll.qlIndexFixing(Index,P727,,AllTriggers)</f>
        <v>9.0831058633181957E-3</v>
      </c>
      <c r="U727" s="42">
        <f>_xll.qlYieldTSDiscount(OisCurve,Q727,,AllTriggers)</f>
        <v>0.97386248243909845</v>
      </c>
      <c r="V727" s="42">
        <f>_xll.qlYieldTSDiscount(OisCurve,R727,,AllTriggers)</f>
        <v>0.97201030108356101</v>
      </c>
      <c r="W727" s="41">
        <f t="shared" si="53"/>
        <v>7.5383057657957588E-3</v>
      </c>
      <c r="X727" s="43">
        <f t="shared" si="54"/>
        <v>3.8967253155544113E-4</v>
      </c>
      <c r="Y727" s="41">
        <f t="shared" si="55"/>
        <v>1.544800097522437E-3</v>
      </c>
      <c r="Z727" s="62"/>
    </row>
    <row r="728" spans="15:26" x14ac:dyDescent="0.25">
      <c r="O728" s="45" t="s">
        <v>21</v>
      </c>
      <c r="P728" s="39">
        <f>_xll.qlCalendarAdvance(Calendar,P727,O727,"f",,Trigger)</f>
        <v>45776</v>
      </c>
      <c r="Q728" s="39">
        <f>_xll.qlInterestRateIndexValueDate(Index,P728,Trigger)</f>
        <v>45779</v>
      </c>
      <c r="R728" s="39">
        <f>_xll.qlInterestRateIndexMaturity(Index,Q728,Trigger)</f>
        <v>45873</v>
      </c>
      <c r="S728" s="40">
        <f>_xll.qlDayCounterYearFraction(DayCounter,Q728,R728,,,Trigger)</f>
        <v>0.26111111111111113</v>
      </c>
      <c r="T728" s="41">
        <f>_xll.qlIndexFixing(Index,P728,,AllTriggers)</f>
        <v>9.1011003542665145E-3</v>
      </c>
      <c r="U728" s="42">
        <f>_xll.qlYieldTSDiscount(OisCurve,Q728,,AllTriggers)</f>
        <v>0.97370157908122801</v>
      </c>
      <c r="V728" s="42">
        <f>_xll.qlYieldTSDiscount(OisCurve,R728,,AllTriggers)</f>
        <v>0.97178342123782435</v>
      </c>
      <c r="W728" s="41">
        <f t="shared" si="53"/>
        <v>7.5594378963458582E-3</v>
      </c>
      <c r="X728" s="43">
        <f t="shared" si="54"/>
        <v>4.0167151666827553E-4</v>
      </c>
      <c r="Y728" s="41">
        <f t="shared" si="55"/>
        <v>1.5416624579206563E-3</v>
      </c>
      <c r="Z728" s="62"/>
    </row>
    <row r="729" spans="15:26" x14ac:dyDescent="0.25">
      <c r="O729" s="45" t="s">
        <v>21</v>
      </c>
      <c r="P729" s="39">
        <f>_xll.qlCalendarAdvance(Calendar,P728,O728,"f",,Trigger)</f>
        <v>45806</v>
      </c>
      <c r="Q729" s="39">
        <f>_xll.qlInterestRateIndexValueDate(Index,P729,Trigger)</f>
        <v>45810</v>
      </c>
      <c r="R729" s="39">
        <f>_xll.qlInterestRateIndexMaturity(Index,Q729,Trigger)</f>
        <v>45902</v>
      </c>
      <c r="S729" s="40">
        <f>_xll.qlDayCounterYearFraction(DayCounter,Q729,R729,,,Trigger)</f>
        <v>0.25555555555555554</v>
      </c>
      <c r="T729" s="41">
        <f>_xll.qlIndexFixing(Index,P729,,AllTriggers)</f>
        <v>9.1555050933472583E-3</v>
      </c>
      <c r="U729" s="42">
        <f>_xll.qlYieldTSDiscount(OisCurve,Q729,,AllTriggers)</f>
        <v>0.97307441442365161</v>
      </c>
      <c r="V729" s="42">
        <f>_xll.qlYieldTSDiscount(OisCurve,R729,,AllTriggers)</f>
        <v>0.9711825723250167</v>
      </c>
      <c r="W729" s="41">
        <f t="shared" si="53"/>
        <v>7.6225218583159601E-3</v>
      </c>
      <c r="X729" s="43">
        <f t="shared" si="54"/>
        <v>3.9092430069491874E-4</v>
      </c>
      <c r="Y729" s="41">
        <f t="shared" si="55"/>
        <v>1.5329832350312982E-3</v>
      </c>
      <c r="Z729" s="62"/>
    </row>
    <row r="730" spans="15:26" x14ac:dyDescent="0.25">
      <c r="O730" s="45" t="s">
        <v>21</v>
      </c>
      <c r="P730" s="39">
        <f>_xll.qlCalendarAdvance(Calendar,P729,O729,"f",,Trigger)</f>
        <v>45838</v>
      </c>
      <c r="Q730" s="39">
        <f>_xll.qlInterestRateIndexValueDate(Index,P730,Trigger)</f>
        <v>45840</v>
      </c>
      <c r="R730" s="39">
        <f>_xll.qlInterestRateIndexMaturity(Index,Q730,Trigger)</f>
        <v>45932</v>
      </c>
      <c r="S730" s="40">
        <f>_xll.qlDayCounterYearFraction(DayCounter,Q730,R730,,,Trigger)</f>
        <v>0.25555555555555554</v>
      </c>
      <c r="T730" s="41">
        <f>_xll.qlIndexFixing(Index,P730,,AllTriggers)</f>
        <v>9.2081367581041355E-3</v>
      </c>
      <c r="U730" s="42">
        <f>_xll.qlYieldTSDiscount(OisCurve,Q730,,AllTriggers)</f>
        <v>0.97246225159290611</v>
      </c>
      <c r="V730" s="42">
        <f>_xll.qlYieldTSDiscount(OisCurve,R730,,AllTriggers)</f>
        <v>0.970557176448401</v>
      </c>
      <c r="W730" s="41">
        <f t="shared" si="53"/>
        <v>7.6807858936054161E-3</v>
      </c>
      <c r="X730" s="43">
        <f t="shared" si="54"/>
        <v>3.8948248913066769E-4</v>
      </c>
      <c r="Y730" s="41">
        <f t="shared" si="55"/>
        <v>1.5273508644987194E-3</v>
      </c>
      <c r="Z730" s="62"/>
    </row>
    <row r="731" spans="15:26" x14ac:dyDescent="0.25">
      <c r="O731" s="45" t="s">
        <v>21</v>
      </c>
      <c r="P731" s="39">
        <f>_xll.qlCalendarAdvance(Calendar,P730,O730,"f",,Trigger)</f>
        <v>45868</v>
      </c>
      <c r="Q731" s="39">
        <f>_xll.qlInterestRateIndexValueDate(Index,P731,Trigger)</f>
        <v>45870</v>
      </c>
      <c r="R731" s="39">
        <f>_xll.qlInterestRateIndexMaturity(Index,Q731,Trigger)</f>
        <v>45964</v>
      </c>
      <c r="S731" s="40">
        <f>_xll.qlDayCounterYearFraction(DayCounter,Q731,R731,,,Trigger)</f>
        <v>0.26111111111111113</v>
      </c>
      <c r="T731" s="41">
        <f>_xll.qlIndexFixing(Index,P731,,AllTriggers)</f>
        <v>9.2606582337413316E-3</v>
      </c>
      <c r="U731" s="42">
        <f>_xll.qlYieldTSDiscount(OisCurve,Q731,,AllTriggers)</f>
        <v>0.97184535556827334</v>
      </c>
      <c r="V731" s="42">
        <f>_xll.qlYieldTSDiscount(OisCurve,R731,,AllTriggers)</f>
        <v>0.96988624568884385</v>
      </c>
      <c r="W731" s="41">
        <f t="shared" si="53"/>
        <v>7.7359319607602567E-3</v>
      </c>
      <c r="X731" s="43">
        <f t="shared" si="54"/>
        <v>3.972414979177867E-4</v>
      </c>
      <c r="Y731" s="41">
        <f t="shared" si="55"/>
        <v>1.5247262729810749E-3</v>
      </c>
      <c r="Z731" s="62"/>
    </row>
    <row r="732" spans="15:26" x14ac:dyDescent="0.25">
      <c r="O732" s="45" t="s">
        <v>21</v>
      </c>
      <c r="P732" s="39">
        <f>_xll.qlCalendarAdvance(Calendar,P731,O731,"f",,Trigger)</f>
        <v>45901</v>
      </c>
      <c r="Q732" s="39">
        <f>_xll.qlInterestRateIndexValueDate(Index,P732,Trigger)</f>
        <v>45903</v>
      </c>
      <c r="R732" s="39">
        <f>_xll.qlInterestRateIndexMaturity(Index,Q732,Trigger)</f>
        <v>45994</v>
      </c>
      <c r="S732" s="40">
        <f>_xll.qlDayCounterYearFraction(DayCounter,Q732,R732,,,Trigger)</f>
        <v>0.25277777777777777</v>
      </c>
      <c r="T732" s="41">
        <f>_xll.qlIndexFixing(Index,P732,,AllTriggers)</f>
        <v>9.311357880193152E-3</v>
      </c>
      <c r="U732" s="42">
        <f>_xll.qlYieldTSDiscount(OisCurve,Q732,,AllTriggers)</f>
        <v>0.97116178634856298</v>
      </c>
      <c r="V732" s="42">
        <f>_xll.qlYieldTSDiscount(OisCurve,R732,,AllTriggers)</f>
        <v>0.96925407094023641</v>
      </c>
      <c r="W732" s="41">
        <f t="shared" si="53"/>
        <v>7.7864063069050249E-3</v>
      </c>
      <c r="X732" s="43">
        <f t="shared" si="54"/>
        <v>3.8464267438004989E-4</v>
      </c>
      <c r="Y732" s="41">
        <f t="shared" si="55"/>
        <v>1.5249515732881271E-3</v>
      </c>
      <c r="Z732" s="62"/>
    </row>
    <row r="733" spans="15:26" x14ac:dyDescent="0.25">
      <c r="O733" s="45" t="s">
        <v>21</v>
      </c>
      <c r="P733" s="39">
        <f>_xll.qlCalendarAdvance(Calendar,P732,O732,"f",,Trigger)</f>
        <v>45931</v>
      </c>
      <c r="Q733" s="39">
        <f>_xll.qlInterestRateIndexValueDate(Index,P733,Trigger)</f>
        <v>45933</v>
      </c>
      <c r="R733" s="39">
        <f>_xll.qlInterestRateIndexMaturity(Index,Q733,Trigger)</f>
        <v>46027</v>
      </c>
      <c r="S733" s="40">
        <f>_xll.qlDayCounterYearFraction(DayCounter,Q733,R733,,,Trigger)</f>
        <v>0.26111111111111113</v>
      </c>
      <c r="T733" s="41">
        <f>_xll.qlIndexFixing(Index,P733,,AllTriggers)</f>
        <v>9.3605070234457875E-3</v>
      </c>
      <c r="U733" s="42">
        <f>_xll.qlYieldTSDiscount(OisCurve,Q733,,AllTriggers)</f>
        <v>0.97053626750344524</v>
      </c>
      <c r="V733" s="42">
        <f>_xll.qlYieldTSDiscount(OisCurve,R733,,AllTriggers)</f>
        <v>0.96855561621278941</v>
      </c>
      <c r="W733" s="41">
        <f t="shared" si="53"/>
        <v>7.8317371775762749E-3</v>
      </c>
      <c r="X733" s="43">
        <f t="shared" si="54"/>
        <v>3.9828483093863181E-4</v>
      </c>
      <c r="Y733" s="41">
        <f t="shared" si="55"/>
        <v>1.5287698458695126E-3</v>
      </c>
      <c r="Z733" s="62"/>
    </row>
    <row r="734" spans="15:26" x14ac:dyDescent="0.25">
      <c r="O734" s="45" t="s">
        <v>21</v>
      </c>
      <c r="P734" s="39">
        <f>_xll.qlCalendarAdvance(Calendar,P733,O733,"f",,Trigger)</f>
        <v>45964</v>
      </c>
      <c r="Q734" s="39">
        <f>_xll.qlInterestRateIndexValueDate(Index,P734,Trigger)</f>
        <v>45966</v>
      </c>
      <c r="R734" s="39">
        <f>_xll.qlInterestRateIndexMaturity(Index,Q734,Trigger)</f>
        <v>46058</v>
      </c>
      <c r="S734" s="40">
        <f>_xll.qlDayCounterYearFraction(DayCounter,Q734,R734,,,Trigger)</f>
        <v>0.25555555555555554</v>
      </c>
      <c r="T734" s="41">
        <f>_xll.qlIndexFixing(Index,P734,,AllTriggers)</f>
        <v>9.4076860070298508E-3</v>
      </c>
      <c r="U734" s="42">
        <f>_xll.qlYieldTSDiscount(OisCurve,Q734,,AllTriggers)</f>
        <v>0.96984419164447677</v>
      </c>
      <c r="V734" s="42">
        <f>_xll.qlYieldTSDiscount(OisCurve,R734,,AllTriggers)</f>
        <v>0.96789702979100478</v>
      </c>
      <c r="W734" s="41">
        <f t="shared" si="53"/>
        <v>7.8720450185620905E-3</v>
      </c>
      <c r="X734" s="43">
        <f t="shared" si="54"/>
        <v>3.9157700239314302E-4</v>
      </c>
      <c r="Y734" s="41">
        <f t="shared" si="55"/>
        <v>1.5356409884677603E-3</v>
      </c>
      <c r="Z734" s="62"/>
    </row>
    <row r="735" spans="15:26" x14ac:dyDescent="0.25">
      <c r="O735" s="45" t="s">
        <v>21</v>
      </c>
      <c r="P735" s="39">
        <f>_xll.qlCalendarAdvance(Calendar,P734,O734,"f",,Trigger)</f>
        <v>45994</v>
      </c>
      <c r="Q735" s="39">
        <f>_xll.qlInterestRateIndexValueDate(Index,P735,Trigger)</f>
        <v>45996</v>
      </c>
      <c r="R735" s="39">
        <f>_xll.qlInterestRateIndexMaturity(Index,Q735,Trigger)</f>
        <v>46086</v>
      </c>
      <c r="S735" s="40">
        <f>_xll.qlDayCounterYearFraction(DayCounter,Q735,R735,,,Trigger)</f>
        <v>0.25</v>
      </c>
      <c r="T735" s="41">
        <f>_xll.qlIndexFixing(Index,P735,,AllTriggers)</f>
        <v>9.4484814980049237E-3</v>
      </c>
      <c r="U735" s="42">
        <f>_xll.qlYieldTSDiscount(OisCurve,Q735,,AllTriggers)</f>
        <v>0.96921182677777395</v>
      </c>
      <c r="V735" s="42">
        <f>_xll.qlYieldTSDiscount(OisCurve,R735,,AllTriggers)</f>
        <v>0.96730050141915691</v>
      </c>
      <c r="W735" s="41">
        <f t="shared" si="53"/>
        <v>7.9037500996346211E-3</v>
      </c>
      <c r="X735" s="43">
        <f t="shared" si="54"/>
        <v>3.8534702551740803E-4</v>
      </c>
      <c r="Y735" s="41">
        <f t="shared" si="55"/>
        <v>1.5447313983703026E-3</v>
      </c>
      <c r="Z735" s="62"/>
    </row>
    <row r="736" spans="15:26" x14ac:dyDescent="0.25">
      <c r="O736" s="45" t="s">
        <v>21</v>
      </c>
      <c r="P736" s="39">
        <f>_xll.qlCalendarAdvance(Calendar,P735,O735,"f",,Trigger)</f>
        <v>46027</v>
      </c>
      <c r="Q736" s="39">
        <f>_xll.qlInterestRateIndexValueDate(Index,P736,Trigger)</f>
        <v>46029</v>
      </c>
      <c r="R736" s="39">
        <f>_xll.qlInterestRateIndexMaturity(Index,Q736,Trigger)</f>
        <v>46119</v>
      </c>
      <c r="S736" s="40">
        <f>_xll.qlDayCounterYearFraction(DayCounter,Q736,R736,,,Trigger)</f>
        <v>0.25</v>
      </c>
      <c r="T736" s="41">
        <f>_xll.qlIndexFixing(Index,P736,,AllTriggers)</f>
        <v>9.4929071566154377E-3</v>
      </c>
      <c r="U736" s="42">
        <f>_xll.qlYieldTSDiscount(OisCurve,Q736,,AllTriggers)</f>
        <v>0.96851319374510225</v>
      </c>
      <c r="V736" s="42">
        <f>_xll.qlYieldTSDiscount(OisCurve,R736,,AllTriggers)</f>
        <v>0.96659586239178397</v>
      </c>
      <c r="W736" s="41">
        <f t="shared" si="53"/>
        <v>7.9343660692856588E-3</v>
      </c>
      <c r="X736" s="43">
        <f t="shared" si="54"/>
        <v>3.8878833666913972E-4</v>
      </c>
      <c r="Y736" s="41">
        <f t="shared" si="55"/>
        <v>1.5585410873297789E-3</v>
      </c>
      <c r="Z736" s="62"/>
    </row>
    <row r="737" spans="15:26" x14ac:dyDescent="0.25">
      <c r="O737" s="45" t="s">
        <v>21</v>
      </c>
      <c r="P737" s="39">
        <f>_xll.qlCalendarAdvance(Calendar,P736,O736,"f",,Trigger)</f>
        <v>46058</v>
      </c>
      <c r="Q737" s="39">
        <f>_xll.qlInterestRateIndexValueDate(Index,P737,Trigger)</f>
        <v>46062</v>
      </c>
      <c r="R737" s="39">
        <f>_xll.qlInterestRateIndexMaturity(Index,Q737,Trigger)</f>
        <v>46153</v>
      </c>
      <c r="S737" s="40">
        <f>_xll.qlDayCounterYearFraction(DayCounter,Q737,R737,,,Trigger)</f>
        <v>0.25277777777777777</v>
      </c>
      <c r="T737" s="41">
        <f>_xll.qlIndexFixing(Index,P737,,AllTriggers)</f>
        <v>9.5356781297634089E-3</v>
      </c>
      <c r="U737" s="42">
        <f>_xll.qlYieldTSDiscount(OisCurve,Q737,,AllTriggers)</f>
        <v>0.96781190059479283</v>
      </c>
      <c r="V737" s="42">
        <f>_xll.qlYieldTSDiscount(OisCurve,R737,,AllTriggers)</f>
        <v>0.96586859069470299</v>
      </c>
      <c r="W737" s="41">
        <f t="shared" si="53"/>
        <v>7.9594879252068516E-3</v>
      </c>
      <c r="X737" s="43">
        <f t="shared" si="54"/>
        <v>3.9754680915310816E-4</v>
      </c>
      <c r="Y737" s="41">
        <f t="shared" si="55"/>
        <v>1.5761902045565573E-3</v>
      </c>
      <c r="Z737" s="62"/>
    </row>
    <row r="738" spans="15:26" x14ac:dyDescent="0.25">
      <c r="O738" s="45" t="s">
        <v>21</v>
      </c>
      <c r="P738" s="39">
        <f>_xll.qlCalendarAdvance(Calendar,P737,O737,"f",,Trigger)</f>
        <v>46086</v>
      </c>
      <c r="Q738" s="39">
        <f>_xll.qlInterestRateIndexValueDate(Index,P738,Trigger)</f>
        <v>46090</v>
      </c>
      <c r="R738" s="39">
        <f>_xll.qlInterestRateIndexMaturity(Index,Q738,Trigger)</f>
        <v>46182</v>
      </c>
      <c r="S738" s="40">
        <f>_xll.qlDayCounterYearFraction(DayCounter,Q738,R738,,,Trigger)</f>
        <v>0.25555555555555554</v>
      </c>
      <c r="T738" s="41">
        <f>_xll.qlIndexFixing(Index,P738,,AllTriggers)</f>
        <v>9.5701499723254788E-3</v>
      </c>
      <c r="U738" s="42">
        <f>_xll.qlYieldTSDiscount(OisCurve,Q738,,AllTriggers)</f>
        <v>0.96721517302113147</v>
      </c>
      <c r="V738" s="42">
        <f>_xll.qlYieldTSDiscount(OisCurve,R738,,AllTriggers)</f>
        <v>0.96524744849714506</v>
      </c>
      <c r="W738" s="41">
        <f t="shared" si="53"/>
        <v>7.9770131768666288E-3</v>
      </c>
      <c r="X738" s="43">
        <f t="shared" si="54"/>
        <v>4.0622415402362882E-4</v>
      </c>
      <c r="Y738" s="41">
        <f t="shared" si="55"/>
        <v>1.59313679545885E-3</v>
      </c>
      <c r="Z738" s="62"/>
    </row>
    <row r="739" spans="15:26" x14ac:dyDescent="0.25">
      <c r="O739" s="45" t="s">
        <v>21</v>
      </c>
      <c r="P739" s="39">
        <f>_xll.qlCalendarAdvance(Calendar,P738,O738,"f",,Trigger)</f>
        <v>46119</v>
      </c>
      <c r="Q739" s="39">
        <f>_xll.qlInterestRateIndexValueDate(Index,P739,Trigger)</f>
        <v>46121</v>
      </c>
      <c r="R739" s="39">
        <f>_xll.qlInterestRateIndexMaturity(Index,Q739,Trigger)</f>
        <v>46212</v>
      </c>
      <c r="S739" s="40">
        <f>_xll.qlDayCounterYearFraction(DayCounter,Q739,R739,,,Trigger)</f>
        <v>0.25277777777777777</v>
      </c>
      <c r="T739" s="41">
        <f>_xll.qlIndexFixing(Index,P739,,AllTriggers)</f>
        <v>9.6048432436976073E-3</v>
      </c>
      <c r="U739" s="42">
        <f>_xll.qlYieldTSDiscount(OisCurve,Q739,,AllTriggers)</f>
        <v>0.96655311258898124</v>
      </c>
      <c r="V739" s="42">
        <f>_xll.qlYieldTSDiscount(OisCurve,R739,,AllTriggers)</f>
        <v>0.96460406608207006</v>
      </c>
      <c r="W739" s="41">
        <f t="shared" si="53"/>
        <v>7.993449255332994E-3</v>
      </c>
      <c r="X739" s="43">
        <f t="shared" si="54"/>
        <v>4.0642062471858611E-4</v>
      </c>
      <c r="Y739" s="41">
        <f t="shared" si="55"/>
        <v>1.6113939883646133E-3</v>
      </c>
      <c r="Z739" s="62"/>
    </row>
    <row r="740" spans="15:26" x14ac:dyDescent="0.25">
      <c r="O740" s="45" t="s">
        <v>21</v>
      </c>
      <c r="P740" s="39">
        <f>_xll.qlCalendarAdvance(Calendar,P739,O739,"f",,Trigger)</f>
        <v>46149</v>
      </c>
      <c r="Q740" s="39">
        <f>_xll.qlInterestRateIndexValueDate(Index,P740,Trigger)</f>
        <v>46153</v>
      </c>
      <c r="R740" s="39">
        <f>_xll.qlInterestRateIndexMaturity(Index,Q740,Trigger)</f>
        <v>46245</v>
      </c>
      <c r="S740" s="40">
        <f>_xll.qlDayCounterYearFraction(DayCounter,Q740,R740,,,Trigger)</f>
        <v>0.25555555555555554</v>
      </c>
      <c r="T740" s="41">
        <f>_xll.qlIndexFixing(Index,P740,,AllTriggers)</f>
        <v>9.6398008934057318E-3</v>
      </c>
      <c r="U740" s="42">
        <f>_xll.qlYieldTSDiscount(OisCurve,Q740,,AllTriggers)</f>
        <v>0.96586859069470299</v>
      </c>
      <c r="V740" s="42">
        <f>_xll.qlYieldTSDiscount(OisCurve,R740,,AllTriggers)</f>
        <v>0.9638953390693008</v>
      </c>
      <c r="W740" s="41">
        <f t="shared" si="53"/>
        <v>8.0106408764289653E-3</v>
      </c>
      <c r="X740" s="43">
        <f t="shared" si="54"/>
        <v>4.1540402430079035E-4</v>
      </c>
      <c r="Y740" s="41">
        <f t="shared" si="55"/>
        <v>1.6291600169767665E-3</v>
      </c>
      <c r="Z740" s="62"/>
    </row>
    <row r="741" spans="15:26" x14ac:dyDescent="0.25">
      <c r="O741" s="45" t="s">
        <v>21</v>
      </c>
      <c r="P741" s="39">
        <f>_xll.qlCalendarAdvance(Calendar,P740,O740,"f",,Trigger)</f>
        <v>46181</v>
      </c>
      <c r="Q741" s="39">
        <f>_xll.qlInterestRateIndexValueDate(Index,P741,Trigger)</f>
        <v>46183</v>
      </c>
      <c r="R741" s="39">
        <f>_xll.qlInterestRateIndexMaturity(Index,Q741,Trigger)</f>
        <v>46275</v>
      </c>
      <c r="S741" s="40">
        <f>_xll.qlDayCounterYearFraction(DayCounter,Q741,R741,,,Trigger)</f>
        <v>0.25555555555555554</v>
      </c>
      <c r="T741" s="41">
        <f>_xll.qlIndexFixing(Index,P741,,AllTriggers)</f>
        <v>9.6699148704803162E-3</v>
      </c>
      <c r="U741" s="42">
        <f>_xll.qlYieldTSDiscount(OisCurve,Q741,,AllTriggers)</f>
        <v>0.96522601606526282</v>
      </c>
      <c r="V741" s="42">
        <f>_xll.qlYieldTSDiscount(OisCurve,R741,,AllTriggers)</f>
        <v>0.96325008896675879</v>
      </c>
      <c r="W741" s="41">
        <f t="shared" si="53"/>
        <v>8.0268756108952989E-3</v>
      </c>
      <c r="X741" s="43">
        <f t="shared" si="54"/>
        <v>4.1894048500341414E-4</v>
      </c>
      <c r="Y741" s="41">
        <f t="shared" si="55"/>
        <v>1.6430392595850173E-3</v>
      </c>
      <c r="Z741" s="62"/>
    </row>
    <row r="742" spans="15:26" x14ac:dyDescent="0.25">
      <c r="O742" s="45" t="s">
        <v>21</v>
      </c>
      <c r="P742" s="39">
        <f>_xll.qlCalendarAdvance(Calendar,P741,O741,"f",,Trigger)</f>
        <v>46211</v>
      </c>
      <c r="Q742" s="39">
        <f>_xll.qlInterestRateIndexValueDate(Index,P742,Trigger)</f>
        <v>46213</v>
      </c>
      <c r="R742" s="39">
        <f>_xll.qlInterestRateIndexMaturity(Index,Q742,Trigger)</f>
        <v>46307</v>
      </c>
      <c r="S742" s="40">
        <f>_xll.qlDayCounterYearFraction(DayCounter,Q742,R742,,,Trigger)</f>
        <v>0.26111111111111113</v>
      </c>
      <c r="T742" s="41">
        <f>_xll.qlIndexFixing(Index,P742,,AllTriggers)</f>
        <v>9.6991904012925442E-3</v>
      </c>
      <c r="U742" s="42">
        <f>_xll.qlYieldTSDiscount(OisCurve,Q742,,AllTriggers)</f>
        <v>0.96458260521027139</v>
      </c>
      <c r="V742" s="42">
        <f>_xll.qlYieldTSDiscount(OisCurve,R742,,AllTriggers)</f>
        <v>0.96256078141427881</v>
      </c>
      <c r="W742" s="41">
        <f t="shared" si="53"/>
        <v>8.0443283301015987E-3</v>
      </c>
      <c r="X742" s="43">
        <f t="shared" si="54"/>
        <v>4.3110422146436526E-4</v>
      </c>
      <c r="Y742" s="41">
        <f t="shared" si="55"/>
        <v>1.6548620711909455E-3</v>
      </c>
      <c r="Z742" s="62"/>
    </row>
    <row r="743" spans="15:26" x14ac:dyDescent="0.25">
      <c r="O743" s="45" t="s">
        <v>21</v>
      </c>
      <c r="P743" s="39">
        <f>_xll.qlCalendarAdvance(Calendar,P742,O742,"f",,Trigger)</f>
        <v>46244</v>
      </c>
      <c r="Q743" s="39">
        <f>_xll.qlInterestRateIndexValueDate(Index,P743,Trigger)</f>
        <v>46246</v>
      </c>
      <c r="R743" s="39">
        <f>_xll.qlInterestRateIndexMaturity(Index,Q743,Trigger)</f>
        <v>46338</v>
      </c>
      <c r="S743" s="40">
        <f>_xll.qlDayCounterYearFraction(DayCounter,Q743,R743,,,Trigger)</f>
        <v>0.25555555555555554</v>
      </c>
      <c r="T743" s="41">
        <f>_xll.qlIndexFixing(Index,P743,,AllTriggers)</f>
        <v>9.7267423971412002E-3</v>
      </c>
      <c r="U743" s="42">
        <f>_xll.qlYieldTSDiscount(OisCurve,Q743,,AllTriggers)</f>
        <v>0.96387384556505917</v>
      </c>
      <c r="V743" s="42">
        <f>_xll.qlYieldTSDiscount(OisCurve,R743,,AllTriggers)</f>
        <v>0.96189195123430904</v>
      </c>
      <c r="W743" s="41">
        <f t="shared" si="53"/>
        <v>8.0624842276644237E-3</v>
      </c>
      <c r="X743" s="43">
        <f t="shared" si="54"/>
        <v>4.2434586053926611E-4</v>
      </c>
      <c r="Y743" s="41">
        <f t="shared" si="55"/>
        <v>1.6642581694767764E-3</v>
      </c>
      <c r="Z743" s="62"/>
    </row>
    <row r="744" spans="15:26" x14ac:dyDescent="0.25">
      <c r="O744" s="45" t="s">
        <v>21</v>
      </c>
      <c r="P744" s="39">
        <f>_xll.qlCalendarAdvance(Calendar,P743,O743,"f",,Trigger)</f>
        <v>46275</v>
      </c>
      <c r="Q744" s="39">
        <f>_xll.qlInterestRateIndexValueDate(Index,P744,Trigger)</f>
        <v>46279</v>
      </c>
      <c r="R744" s="39">
        <f>_xll.qlInterestRateIndexMaturity(Index,Q744,Trigger)</f>
        <v>46370</v>
      </c>
      <c r="S744" s="40">
        <f>_xll.qlDayCounterYearFraction(DayCounter,Q744,R744,,,Trigger)</f>
        <v>0.25277777777777777</v>
      </c>
      <c r="T744" s="41">
        <f>_xll.qlIndexFixing(Index,P744,,AllTriggers)</f>
        <v>9.7525461808665569E-3</v>
      </c>
      <c r="U744" s="42">
        <f>_xll.qlYieldTSDiscount(OisCurve,Q744,,AllTriggers)</f>
        <v>0.96316398509451828</v>
      </c>
      <c r="V744" s="42">
        <f>_xll.qlYieldTSDiscount(OisCurve,R744,,AllTriggers)</f>
        <v>0.96120040712259169</v>
      </c>
      <c r="W744" s="41">
        <f t="shared" si="53"/>
        <v>8.0815620868441053E-3</v>
      </c>
      <c r="X744" s="43">
        <f t="shared" si="54"/>
        <v>4.2143771766365814E-4</v>
      </c>
      <c r="Y744" s="41">
        <f t="shared" si="55"/>
        <v>1.6709840940224516E-3</v>
      </c>
      <c r="Z744" s="62"/>
    </row>
    <row r="745" spans="15:26" x14ac:dyDescent="0.25">
      <c r="O745" s="45" t="s">
        <v>21</v>
      </c>
      <c r="P745" s="39">
        <f>_xll.qlCalendarAdvance(Calendar,P744,O744,"f",,Trigger)</f>
        <v>46307</v>
      </c>
      <c r="Q745" s="39">
        <f>_xll.qlInterestRateIndexValueDate(Index,P745,Trigger)</f>
        <v>46309</v>
      </c>
      <c r="R745" s="39">
        <f>_xll.qlInterestRateIndexMaturity(Index,Q745,Trigger)</f>
        <v>46401</v>
      </c>
      <c r="S745" s="40">
        <f>_xll.qlDayCounterYearFraction(DayCounter,Q745,R745,,,Trigger)</f>
        <v>0.25555555555555554</v>
      </c>
      <c r="T745" s="41">
        <f>_xll.qlIndexFixing(Index,P745,,AllTriggers)</f>
        <v>9.7748826294217026E-3</v>
      </c>
      <c r="U745" s="42">
        <f>_xll.qlYieldTSDiscount(OisCurve,Q745,,AllTriggers)</f>
        <v>0.96251766308595132</v>
      </c>
      <c r="V745" s="42">
        <f>_xll.qlYieldTSDiscount(OisCurve,R745,,AllTriggers)</f>
        <v>0.9605293314368849</v>
      </c>
      <c r="W745" s="41">
        <f t="shared" si="53"/>
        <v>8.1001463852856965E-3</v>
      </c>
      <c r="X745" s="43">
        <f t="shared" si="54"/>
        <v>4.2701284699543738E-4</v>
      </c>
      <c r="Y745" s="41">
        <f t="shared" si="55"/>
        <v>1.6747362441360061E-3</v>
      </c>
      <c r="Z745" s="62"/>
    </row>
    <row r="746" spans="15:26" x14ac:dyDescent="0.25">
      <c r="O746" s="45" t="s">
        <v>21</v>
      </c>
      <c r="P746" s="39">
        <f>_xll.qlCalendarAdvance(Calendar,P745,O745,"f",,Trigger)</f>
        <v>46338</v>
      </c>
      <c r="Q746" s="39">
        <f>_xll.qlInterestRateIndexValueDate(Index,P746,Trigger)</f>
        <v>46342</v>
      </c>
      <c r="R746" s="39">
        <f>_xll.qlInterestRateIndexMaturity(Index,Q746,Trigger)</f>
        <v>46434</v>
      </c>
      <c r="S746" s="40">
        <f>_xll.qlDayCounterYearFraction(DayCounter,Q746,R746,,,Trigger)</f>
        <v>0.25555555555555554</v>
      </c>
      <c r="T746" s="41">
        <f>_xll.qlIndexFixing(Index,P746,,AllTriggers)</f>
        <v>9.7966317937538197E-3</v>
      </c>
      <c r="U746" s="42">
        <f>_xll.qlYieldTSDiscount(OisCurve,Q746,,AllTriggers)</f>
        <v>0.9618055723222243</v>
      </c>
      <c r="V746" s="42">
        <f>_xll.qlYieldTSDiscount(OisCurve,R746,,AllTriggers)</f>
        <v>0.95981368211752716</v>
      </c>
      <c r="W746" s="41">
        <f t="shared" si="53"/>
        <v>8.1206937555900402E-3</v>
      </c>
      <c r="X746" s="43">
        <f t="shared" si="54"/>
        <v>4.2731696806866664E-4</v>
      </c>
      <c r="Y746" s="41">
        <f t="shared" si="55"/>
        <v>1.6759380381637795E-3</v>
      </c>
      <c r="Z746" s="62"/>
    </row>
    <row r="747" spans="15:26" x14ac:dyDescent="0.25">
      <c r="O747" s="45" t="s">
        <v>21</v>
      </c>
      <c r="P747" s="39">
        <f>_xll.qlCalendarAdvance(Calendar,P746,O746,"f",,Trigger)</f>
        <v>46370</v>
      </c>
      <c r="Q747" s="39">
        <f>_xll.qlInterestRateIndexValueDate(Index,P747,Trigger)</f>
        <v>46372</v>
      </c>
      <c r="R747" s="39">
        <f>_xll.qlInterestRateIndexMaturity(Index,Q747,Trigger)</f>
        <v>46462</v>
      </c>
      <c r="S747" s="40">
        <f>_xll.qlDayCounterYearFraction(DayCounter,Q747,R747,,,Trigger)</f>
        <v>0.25</v>
      </c>
      <c r="T747" s="41">
        <f>_xll.qlIndexFixing(Index,P747,,AllTriggers)</f>
        <v>9.8135427698293753E-3</v>
      </c>
      <c r="U747" s="42">
        <f>_xll.qlYieldTSDiscount(OisCurve,Q747,,AllTriggers)</f>
        <v>0.96115714626164139</v>
      </c>
      <c r="V747" s="42">
        <f>_xll.qlYieldTSDiscount(OisCurve,R747,,AllTriggers)</f>
        <v>0.95920539733386034</v>
      </c>
      <c r="W747" s="41">
        <f t="shared" si="53"/>
        <v>8.1390239596483838E-3</v>
      </c>
      <c r="X747" s="43">
        <f t="shared" si="54"/>
        <v>4.1769237734707318E-4</v>
      </c>
      <c r="Y747" s="41">
        <f t="shared" si="55"/>
        <v>1.6745188101809916E-3</v>
      </c>
      <c r="Z747" s="62"/>
    </row>
    <row r="748" spans="15:26" x14ac:dyDescent="0.25">
      <c r="O748" s="45" t="s">
        <v>21</v>
      </c>
      <c r="P748" s="39">
        <f>_xll.qlCalendarAdvance(Calendar,P747,O747,"f",,Trigger)</f>
        <v>46401</v>
      </c>
      <c r="Q748" s="39">
        <f>_xll.qlInterestRateIndexValueDate(Index,P748,Trigger)</f>
        <v>46405</v>
      </c>
      <c r="R748" s="39">
        <f>_xll.qlInterestRateIndexMaturity(Index,Q748,Trigger)</f>
        <v>46496</v>
      </c>
      <c r="S748" s="40">
        <f>_xll.qlDayCounterYearFraction(DayCounter,Q748,R748,,,Trigger)</f>
        <v>0.25277777777777777</v>
      </c>
      <c r="T748" s="41">
        <f>_xll.qlIndexFixing(Index,P748,,AllTriggers)</f>
        <v>9.8311734141744971E-3</v>
      </c>
      <c r="U748" s="42">
        <f>_xll.qlYieldTSDiscount(OisCurve,Q748,,AllTriggers)</f>
        <v>0.96044265714314114</v>
      </c>
      <c r="V748" s="42">
        <f>_xll.qlYieldTSDiscount(OisCurve,R748,,AllTriggers)</f>
        <v>0.9584654064045196</v>
      </c>
      <c r="W748" s="41">
        <f t="shared" si="53"/>
        <v>8.1610570207746071E-3</v>
      </c>
      <c r="X748" s="43">
        <f t="shared" si="54"/>
        <v>4.2121047658439883E-4</v>
      </c>
      <c r="Y748" s="41">
        <f t="shared" si="55"/>
        <v>1.6701163933998901E-3</v>
      </c>
      <c r="Z748" s="62"/>
    </row>
    <row r="749" spans="15:26" x14ac:dyDescent="0.25">
      <c r="O749" s="45" t="s">
        <v>21</v>
      </c>
      <c r="P749" s="39">
        <f>_xll.qlCalendarAdvance(Calendar,P748,O748,"f",,Trigger)</f>
        <v>46433</v>
      </c>
      <c r="Q749" s="39">
        <f>_xll.qlInterestRateIndexValueDate(Index,P749,Trigger)</f>
        <v>46435</v>
      </c>
      <c r="R749" s="39">
        <f>_xll.qlInterestRateIndexMaturity(Index,Q749,Trigger)</f>
        <v>46524</v>
      </c>
      <c r="S749" s="40">
        <f>_xll.qlDayCounterYearFraction(DayCounter,Q749,R749,,,Trigger)</f>
        <v>0.24722222222222223</v>
      </c>
      <c r="T749" s="41">
        <f>_xll.qlIndexFixing(Index,P749,,AllTriggers)</f>
        <v>9.8441447404792534E-3</v>
      </c>
      <c r="U749" s="42">
        <f>_xll.qlYieldTSDiscount(OisCurve,Q749,,AllTriggers)</f>
        <v>0.95979197472511457</v>
      </c>
      <c r="V749" s="42">
        <f>_xll.qlYieldTSDiscount(OisCurve,R749,,AllTriggers)</f>
        <v>0.95785485364107126</v>
      </c>
      <c r="W749" s="41">
        <f t="shared" si="53"/>
        <v>8.1803061582271883E-3</v>
      </c>
      <c r="X749" s="43">
        <f t="shared" si="54"/>
        <v>4.1042344486762785E-4</v>
      </c>
      <c r="Y749" s="41">
        <f t="shared" si="55"/>
        <v>1.6638385822520651E-3</v>
      </c>
      <c r="Z749" s="62"/>
    </row>
    <row r="750" spans="15:26" x14ac:dyDescent="0.25">
      <c r="O750" s="45" t="s">
        <v>21</v>
      </c>
      <c r="P750" s="39">
        <f>_xll.qlCalendarAdvance(Calendar,P749,O749,"f",,Trigger)</f>
        <v>46461</v>
      </c>
      <c r="Q750" s="39">
        <f>_xll.qlInterestRateIndexValueDate(Index,P750,Trigger)</f>
        <v>46463</v>
      </c>
      <c r="R750" s="39">
        <f>_xll.qlInterestRateIndexMaturity(Index,Q750,Trigger)</f>
        <v>46555</v>
      </c>
      <c r="S750" s="40">
        <f>_xll.qlDayCounterYearFraction(DayCounter,Q750,R750,,,Trigger)</f>
        <v>0.25555555555555554</v>
      </c>
      <c r="T750" s="41">
        <f>_xll.qlIndexFixing(Index,P750,,AllTriggers)</f>
        <v>9.856428255343044E-3</v>
      </c>
      <c r="U750" s="42">
        <f>_xll.qlYieldTSDiscount(OisCurve,Q750,,AllTriggers)</f>
        <v>0.95918365437762387</v>
      </c>
      <c r="V750" s="42">
        <f>_xll.qlYieldTSDiscount(OisCurve,R750,,AllTriggers)</f>
        <v>0.95717768616135446</v>
      </c>
      <c r="W750" s="41">
        <f t="shared" si="53"/>
        <v>8.2006099387367595E-3</v>
      </c>
      <c r="X750" s="43">
        <f t="shared" si="54"/>
        <v>4.221794863316321E-4</v>
      </c>
      <c r="Y750" s="41">
        <f t="shared" si="55"/>
        <v>1.6558183166062845E-3</v>
      </c>
      <c r="Z750" s="62"/>
    </row>
    <row r="751" spans="15:26" x14ac:dyDescent="0.25">
      <c r="O751" s="45" t="s">
        <v>21</v>
      </c>
      <c r="P751" s="39">
        <f>_xll.qlCalendarAdvance(Calendar,P750,O750,"f",,Trigger)</f>
        <v>46492</v>
      </c>
      <c r="Q751" s="39">
        <f>_xll.qlInterestRateIndexValueDate(Index,P751,Trigger)</f>
        <v>46496</v>
      </c>
      <c r="R751" s="39">
        <f>_xll.qlInterestRateIndexMaturity(Index,Q751,Trigger)</f>
        <v>46587</v>
      </c>
      <c r="S751" s="40">
        <f>_xll.qlDayCounterYearFraction(DayCounter,Q751,R751,,,Trigger)</f>
        <v>0.25277777777777777</v>
      </c>
      <c r="T751" s="41">
        <f>_xll.qlIndexFixing(Index,P751,,AllTriggers)</f>
        <v>9.8682390141958416E-3</v>
      </c>
      <c r="U751" s="42">
        <f>_xll.qlYieldTSDiscount(OisCurve,Q751,,AllTriggers)</f>
        <v>0.9584654064045196</v>
      </c>
      <c r="V751" s="42">
        <f>_xll.qlYieldTSDiscount(OisCurve,R751,,AllTriggers)</f>
        <v>0.9564773929985525</v>
      </c>
      <c r="W751" s="41">
        <f t="shared" si="53"/>
        <v>8.2225345593948933E-3</v>
      </c>
      <c r="X751" s="43">
        <f t="shared" si="54"/>
        <v>4.1504852378700417E-4</v>
      </c>
      <c r="Y751" s="41">
        <f t="shared" si="55"/>
        <v>1.6457044548009482E-3</v>
      </c>
      <c r="Z751" s="62"/>
    </row>
    <row r="752" spans="15:26" x14ac:dyDescent="0.25">
      <c r="O752" s="45" t="s">
        <v>21</v>
      </c>
      <c r="P752" s="39">
        <f>_xll.qlCalendarAdvance(Calendar,P751,O751,"f",,Trigger)</f>
        <v>46524</v>
      </c>
      <c r="Q752" s="39">
        <f>_xll.qlInterestRateIndexValueDate(Index,P752,Trigger)</f>
        <v>46526</v>
      </c>
      <c r="R752" s="39">
        <f>_xll.qlInterestRateIndexMaturity(Index,Q752,Trigger)</f>
        <v>46618</v>
      </c>
      <c r="S752" s="40">
        <f>_xll.qlDayCounterYearFraction(DayCounter,Q752,R752,,,Trigger)</f>
        <v>0.25555555555555554</v>
      </c>
      <c r="T752" s="41">
        <f>_xll.qlIndexFixing(Index,P752,,AllTriggers)</f>
        <v>9.8789616867212479E-3</v>
      </c>
      <c r="U752" s="42">
        <f>_xll.qlYieldTSDiscount(OisCurve,Q752,,AllTriggers)</f>
        <v>0.95781120304803991</v>
      </c>
      <c r="V752" s="42">
        <f>_xll.qlYieldTSDiscount(OisCurve,R752,,AllTriggers)</f>
        <v>0.95579778188348197</v>
      </c>
      <c r="W752" s="41">
        <f t="shared" si="53"/>
        <v>8.2429617501728787E-3</v>
      </c>
      <c r="X752" s="43">
        <f t="shared" si="54"/>
        <v>4.1712299743805101E-4</v>
      </c>
      <c r="Y752" s="41">
        <f t="shared" si="55"/>
        <v>1.6359999365483692E-3</v>
      </c>
      <c r="Z752" s="62"/>
    </row>
    <row r="753" spans="15:26" x14ac:dyDescent="0.25">
      <c r="O753" s="45" t="s">
        <v>21</v>
      </c>
      <c r="P753" s="39">
        <f>_xll.qlCalendarAdvance(Calendar,P752,O752,"f",,Trigger)</f>
        <v>46555</v>
      </c>
      <c r="Q753" s="39">
        <f>_xll.qlInterestRateIndexValueDate(Index,P753,Trigger)</f>
        <v>46559</v>
      </c>
      <c r="R753" s="39">
        <f>_xll.qlInterestRateIndexMaturity(Index,Q753,Trigger)</f>
        <v>46651</v>
      </c>
      <c r="S753" s="40">
        <f>_xll.qlDayCounterYearFraction(DayCounter,Q753,R753,,,Trigger)</f>
        <v>0.25555555555555554</v>
      </c>
      <c r="T753" s="41">
        <f>_xll.qlIndexFixing(Index,P753,,AllTriggers)</f>
        <v>9.8899514983810787E-3</v>
      </c>
      <c r="U753" s="42">
        <f>_xll.qlYieldTSDiscount(OisCurve,Q753,,AllTriggers)</f>
        <v>0.95709021987191067</v>
      </c>
      <c r="V753" s="42">
        <f>_xll.qlYieldTSDiscount(OisCurve,R753,,AllTriggers)</f>
        <v>0.95507306832038574</v>
      </c>
      <c r="W753" s="41">
        <f t="shared" si="53"/>
        <v>8.2645003666988494E-3</v>
      </c>
      <c r="X753" s="43">
        <f t="shared" si="54"/>
        <v>4.1443170099504997E-4</v>
      </c>
      <c r="Y753" s="41">
        <f t="shared" si="55"/>
        <v>1.6254511316822293E-3</v>
      </c>
      <c r="Z753" s="62"/>
    </row>
    <row r="754" spans="15:26" x14ac:dyDescent="0.25">
      <c r="O754" s="45" t="s">
        <v>21</v>
      </c>
      <c r="P754" s="39">
        <f>_xll.qlCalendarAdvance(Calendar,P753,O753,"f",,Trigger)</f>
        <v>46587</v>
      </c>
      <c r="Q754" s="39">
        <f>_xll.qlInterestRateIndexValueDate(Index,P754,Trigger)</f>
        <v>46589</v>
      </c>
      <c r="R754" s="39">
        <f>_xll.qlInterestRateIndexMaturity(Index,Q754,Trigger)</f>
        <v>46681</v>
      </c>
      <c r="S754" s="40">
        <f>_xll.qlDayCounterYearFraction(DayCounter,Q754,R754,,,Trigger)</f>
        <v>0.25555555555555554</v>
      </c>
      <c r="T754" s="41">
        <f>_xll.qlIndexFixing(Index,P754,,AllTriggers)</f>
        <v>9.8995200825747615E-3</v>
      </c>
      <c r="U754" s="42">
        <f>_xll.qlYieldTSDiscount(OisCurve,Q754,,AllTriggers)</f>
        <v>0.95643358239765031</v>
      </c>
      <c r="V754" s="42">
        <f>_xll.qlYieldTSDiscount(OisCurve,R754,,AllTriggers)</f>
        <v>0.95441315126358339</v>
      </c>
      <c r="W754" s="41">
        <f t="shared" si="53"/>
        <v>8.2836608673805701E-3</v>
      </c>
      <c r="X754" s="43">
        <f t="shared" si="54"/>
        <v>4.1198459760591907E-4</v>
      </c>
      <c r="Y754" s="41">
        <f t="shared" si="55"/>
        <v>1.6158592151941913E-3</v>
      </c>
      <c r="Z754" s="62"/>
    </row>
    <row r="755" spans="15:26" x14ac:dyDescent="0.25">
      <c r="O755" s="45" t="s">
        <v>21</v>
      </c>
      <c r="P755" s="39">
        <f>_xll.qlCalendarAdvance(Calendar,P754,O754,"f",,Trigger)</f>
        <v>46618</v>
      </c>
      <c r="Q755" s="39">
        <f>_xll.qlInterestRateIndexValueDate(Index,P755,Trigger)</f>
        <v>46622</v>
      </c>
      <c r="R755" s="39">
        <f>_xll.qlInterestRateIndexMaturity(Index,Q755,Trigger)</f>
        <v>46714</v>
      </c>
      <c r="S755" s="40">
        <f>_xll.qlDayCounterYearFraction(DayCounter,Q755,R755,,,Trigger)</f>
        <v>0.25555555555555554</v>
      </c>
      <c r="T755" s="41">
        <f>_xll.qlIndexFixing(Index,P755,,AllTriggers)</f>
        <v>9.9095811525171471E-3</v>
      </c>
      <c r="U755" s="42">
        <f>_xll.qlYieldTSDiscount(OisCurve,Q755,,AllTriggers)</f>
        <v>0.95571000596324263</v>
      </c>
      <c r="V755" s="42">
        <f>_xll.qlYieldTSDiscount(OisCurve,R755,,AllTriggers)</f>
        <v>0.95368608981545533</v>
      </c>
      <c r="W755" s="41">
        <f t="shared" si="53"/>
        <v>8.3042753451279955E-3</v>
      </c>
      <c r="X755" s="43">
        <f t="shared" si="54"/>
        <v>4.0929226659306095E-4</v>
      </c>
      <c r="Y755" s="41">
        <f t="shared" si="55"/>
        <v>1.6053058073891516E-3</v>
      </c>
      <c r="Z755" s="62"/>
    </row>
    <row r="756" spans="15:26" x14ac:dyDescent="0.25">
      <c r="O756" s="45" t="s">
        <v>21</v>
      </c>
      <c r="P756" s="39">
        <f>_xll.qlCalendarAdvance(Calendar,P755,O755,"f",,Trigger)</f>
        <v>46650</v>
      </c>
      <c r="Q756" s="39">
        <f>_xll.qlInterestRateIndexValueDate(Index,P756,Trigger)</f>
        <v>46652</v>
      </c>
      <c r="R756" s="39">
        <f>_xll.qlInterestRateIndexMaturity(Index,Q756,Trigger)</f>
        <v>46743</v>
      </c>
      <c r="S756" s="40">
        <f>_xll.qlDayCounterYearFraction(DayCounter,Q756,R756,,,Trigger)</f>
        <v>0.25277777777777777</v>
      </c>
      <c r="T756" s="41">
        <f>_xll.qlIndexFixing(Index,P756,,AllTriggers)</f>
        <v>9.9180302079028143E-3</v>
      </c>
      <c r="U756" s="42">
        <f>_xll.qlYieldTSDiscount(OisCurve,Q756,,AllTriggers)</f>
        <v>0.95505108754671519</v>
      </c>
      <c r="V756" s="42">
        <f>_xll.qlYieldTSDiscount(OisCurve,R756,,AllTriggers)</f>
        <v>0.95304619528528722</v>
      </c>
      <c r="W756" s="41">
        <f t="shared" si="53"/>
        <v>8.3222009096499145E-3</v>
      </c>
      <c r="X756" s="43">
        <f t="shared" si="54"/>
        <v>4.024623675026709E-4</v>
      </c>
      <c r="Y756" s="41">
        <f t="shared" si="55"/>
        <v>1.5958292982528998E-3</v>
      </c>
      <c r="Z756" s="62"/>
    </row>
    <row r="757" spans="15:26" x14ac:dyDescent="0.25">
      <c r="O757" s="45" t="s">
        <v>21</v>
      </c>
      <c r="P757" s="39">
        <f>_xll.qlCalendarAdvance(Calendar,P756,O756,"f",,Trigger)</f>
        <v>46680</v>
      </c>
      <c r="Q757" s="39">
        <f>_xll.qlInterestRateIndexValueDate(Index,P757,Trigger)</f>
        <v>46682</v>
      </c>
      <c r="R757" s="39">
        <f>_xll.qlInterestRateIndexMaturity(Index,Q757,Trigger)</f>
        <v>46776</v>
      </c>
      <c r="S757" s="40">
        <f>_xll.qlDayCounterYearFraction(DayCounter,Q757,R757,,,Trigger)</f>
        <v>0.26111111111111113</v>
      </c>
      <c r="T757" s="41">
        <f>_xll.qlIndexFixing(Index,P757,,AllTriggers)</f>
        <v>9.9271646896460092E-3</v>
      </c>
      <c r="U757" s="42">
        <f>_xll.qlYieldTSDiscount(OisCurve,Q757,,AllTriggers)</f>
        <v>0.95439113662961406</v>
      </c>
      <c r="V757" s="42">
        <f>_xll.qlYieldTSDiscount(OisCurve,R757,,AllTriggers)</f>
        <v>0.95231698623372874</v>
      </c>
      <c r="W757" s="41">
        <f t="shared" si="53"/>
        <v>8.3412926814017928E-3</v>
      </c>
      <c r="X757" s="43">
        <f t="shared" si="54"/>
        <v>4.1310353603075749E-4</v>
      </c>
      <c r="Y757" s="41">
        <f t="shared" si="55"/>
        <v>1.5858720082442164E-3</v>
      </c>
      <c r="Z757" s="62"/>
    </row>
    <row r="758" spans="15:26" x14ac:dyDescent="0.25">
      <c r="O758" s="45" t="s">
        <v>21</v>
      </c>
      <c r="P758" s="39">
        <f>_xll.qlCalendarAdvance(Calendar,P757,O757,"f",,Trigger)</f>
        <v>46713</v>
      </c>
      <c r="Q758" s="39">
        <f>_xll.qlInterestRateIndexValueDate(Index,P758,Trigger)</f>
        <v>46715</v>
      </c>
      <c r="R758" s="39">
        <f>_xll.qlInterestRateIndexMaturity(Index,Q758,Trigger)</f>
        <v>46807</v>
      </c>
      <c r="S758" s="40">
        <f>_xll.qlDayCounterYearFraction(DayCounter,Q758,R758,,,Trigger)</f>
        <v>0.25555555555555554</v>
      </c>
      <c r="T758" s="41">
        <f>_xll.qlIndexFixing(Index,P758,,AllTriggers)</f>
        <v>9.9353176726643556E-3</v>
      </c>
      <c r="U758" s="42">
        <f>_xll.qlYieldTSDiscount(OisCurve,Q758,,AllTriggers)</f>
        <v>0.95366403926190979</v>
      </c>
      <c r="V758" s="42">
        <f>_xll.qlYieldTSDiscount(OisCurve,R758,,AllTriggers)</f>
        <v>0.95163098937648982</v>
      </c>
      <c r="W758" s="41">
        <f t="shared" si="53"/>
        <v>8.359766216034974E-3</v>
      </c>
      <c r="X758" s="43">
        <f t="shared" si="54"/>
        <v>4.0170187267772692E-4</v>
      </c>
      <c r="Y758" s="41">
        <f t="shared" si="55"/>
        <v>1.5755514566293816E-3</v>
      </c>
      <c r="Z758" s="62"/>
    </row>
    <row r="759" spans="15:26" x14ac:dyDescent="0.25">
      <c r="O759" s="45" t="s">
        <v>21</v>
      </c>
      <c r="P759" s="39">
        <f>_xll.qlCalendarAdvance(Calendar,P758,O758,"f",,Trigger)</f>
        <v>46743</v>
      </c>
      <c r="Q759" s="39">
        <f>_xll.qlInterestRateIndexValueDate(Index,P759,Trigger)</f>
        <v>46745</v>
      </c>
      <c r="R759" s="39">
        <f>_xll.qlInterestRateIndexMaturity(Index,Q759,Trigger)</f>
        <v>46836</v>
      </c>
      <c r="S759" s="40">
        <f>_xll.qlDayCounterYearFraction(DayCounter,Q759,R759,,,Trigger)</f>
        <v>0.25277777777777777</v>
      </c>
      <c r="T759" s="41">
        <f>_xll.qlIndexFixing(Index,P759,,AllTriggers)</f>
        <v>9.9425404321126145E-3</v>
      </c>
      <c r="U759" s="42">
        <f>_xll.qlYieldTSDiscount(OisCurve,Q759,,AllTriggers)</f>
        <v>0.95300203230591884</v>
      </c>
      <c r="V759" s="42">
        <f>_xll.qlYieldTSDiscount(OisCurve,R759,,AllTriggers)</f>
        <v>0.95098842300780961</v>
      </c>
      <c r="W759" s="41">
        <f t="shared" si="53"/>
        <v>8.3764709442243016E-3</v>
      </c>
      <c r="X759" s="43">
        <f t="shared" si="54"/>
        <v>3.9495312746478533E-4</v>
      </c>
      <c r="Y759" s="41">
        <f t="shared" si="55"/>
        <v>1.5660694878883129E-3</v>
      </c>
      <c r="Z759" s="62"/>
    </row>
    <row r="760" spans="15:26" x14ac:dyDescent="0.25">
      <c r="O760" s="45" t="s">
        <v>21</v>
      </c>
      <c r="P760" s="39">
        <f>_xll.qlCalendarAdvance(Calendar,P759,O759,"f",,Trigger)</f>
        <v>46776</v>
      </c>
      <c r="Q760" s="39">
        <f>_xll.qlInterestRateIndexValueDate(Index,P760,Trigger)</f>
        <v>46778</v>
      </c>
      <c r="R760" s="39">
        <f>_xll.qlInterestRateIndexMaturity(Index,Q760,Trigger)</f>
        <v>46869</v>
      </c>
      <c r="S760" s="40">
        <f>_xll.qlDayCounterYearFraction(DayCounter,Q760,R760,,,Trigger)</f>
        <v>0.25277777777777777</v>
      </c>
      <c r="T760" s="41">
        <f>_xll.qlIndexFixing(Index,P760,,AllTriggers)</f>
        <v>9.950308861512153E-3</v>
      </c>
      <c r="U760" s="42">
        <f>_xll.qlYieldTSDiscount(OisCurve,Q760,,AllTriggers)</f>
        <v>0.95227275665973854</v>
      </c>
      <c r="V760" s="42">
        <f>_xll.qlYieldTSDiscount(OisCurve,R760,,AllTriggers)</f>
        <v>0.95025629392522959</v>
      </c>
      <c r="W760" s="41">
        <f t="shared" si="53"/>
        <v>8.3948038696912454E-3</v>
      </c>
      <c r="X760" s="43">
        <f t="shared" si="54"/>
        <v>3.9228753509440678E-4</v>
      </c>
      <c r="Y760" s="41">
        <f t="shared" si="55"/>
        <v>1.5555049918209076E-3</v>
      </c>
      <c r="Z760" s="62"/>
    </row>
    <row r="761" spans="15:26" x14ac:dyDescent="0.25">
      <c r="O761" s="45" t="s">
        <v>21</v>
      </c>
      <c r="P761" s="39">
        <f>_xll.qlCalendarAdvance(Calendar,P760,O760,"f",,Trigger)</f>
        <v>46807</v>
      </c>
      <c r="Q761" s="39">
        <f>_xll.qlInterestRateIndexValueDate(Index,P761,Trigger)</f>
        <v>46811</v>
      </c>
      <c r="R761" s="39">
        <f>_xll.qlInterestRateIndexMaturity(Index,Q761,Trigger)</f>
        <v>46902</v>
      </c>
      <c r="S761" s="40">
        <f>_xll.qlDayCounterYearFraction(DayCounter,Q761,R761,,,Trigger)</f>
        <v>0.25277777777777777</v>
      </c>
      <c r="T761" s="41">
        <f>_xll.qlIndexFixing(Index,P761,,AllTriggers)</f>
        <v>9.9575907997004175E-3</v>
      </c>
      <c r="U761" s="42">
        <f>_xll.qlYieldTSDiscount(OisCurve,Q761,,AllTriggers)</f>
        <v>0.95154240634592147</v>
      </c>
      <c r="V761" s="42">
        <f>_xll.qlYieldTSDiscount(OisCurve,R761,,AllTriggers)</f>
        <v>0.9495232151748193</v>
      </c>
      <c r="W761" s="41">
        <f t="shared" si="53"/>
        <v>8.4126526880811264E-3</v>
      </c>
      <c r="X761" s="43">
        <f t="shared" si="54"/>
        <v>3.8962140669689349E-4</v>
      </c>
      <c r="Y761" s="41">
        <f t="shared" si="55"/>
        <v>1.5449381116192911E-3</v>
      </c>
      <c r="Z761" s="62"/>
    </row>
    <row r="762" spans="15:26" x14ac:dyDescent="0.25">
      <c r="O762" s="45" t="s">
        <v>21</v>
      </c>
      <c r="P762" s="39">
        <f>_xll.qlCalendarAdvance(Calendar,P761,O761,"f",,Trigger)</f>
        <v>46836</v>
      </c>
      <c r="Q762" s="39">
        <f>_xll.qlInterestRateIndexValueDate(Index,P762,Trigger)</f>
        <v>46840</v>
      </c>
      <c r="R762" s="39">
        <f>_xll.qlInterestRateIndexMaturity(Index,Q762,Trigger)</f>
        <v>46932</v>
      </c>
      <c r="S762" s="40">
        <f>_xll.qlDayCounterYearFraction(DayCounter,Q762,R762,,,Trigger)</f>
        <v>0.25555555555555554</v>
      </c>
      <c r="T762" s="41">
        <f>_xll.qlIndexFixing(Index,P762,,AllTriggers)</f>
        <v>9.9638229389943239E-3</v>
      </c>
      <c r="U762" s="42">
        <f>_xll.qlYieldTSDiscount(OisCurve,Q762,,AllTriggers)</f>
        <v>0.95089973217493484</v>
      </c>
      <c r="V762" s="42">
        <f>_xll.qlYieldTSDiscount(OisCurve,R762,,AllTriggers)</f>
        <v>0.94885599379999475</v>
      </c>
      <c r="W762" s="41">
        <f t="shared" si="53"/>
        <v>8.4282938312938236E-3</v>
      </c>
      <c r="X762" s="43">
        <f t="shared" si="54"/>
        <v>3.9149295012861382E-4</v>
      </c>
      <c r="Y762" s="41">
        <f t="shared" si="55"/>
        <v>1.5355291077005003E-3</v>
      </c>
      <c r="Z762" s="62"/>
    </row>
    <row r="763" spans="15:26" x14ac:dyDescent="0.25">
      <c r="O763" s="45" t="s">
        <v>21</v>
      </c>
      <c r="P763" s="39">
        <f>_xll.qlCalendarAdvance(Calendar,P762,O762,"f",,Trigger)</f>
        <v>46867</v>
      </c>
      <c r="Q763" s="39">
        <f>_xll.qlInterestRateIndexValueDate(Index,P763,Trigger)</f>
        <v>46869</v>
      </c>
      <c r="R763" s="39">
        <f>_xll.qlInterestRateIndexMaturity(Index,Q763,Trigger)</f>
        <v>46960</v>
      </c>
      <c r="S763" s="40">
        <f>_xll.qlDayCounterYearFraction(DayCounter,Q763,R763,,,Trigger)</f>
        <v>0.25277777777777777</v>
      </c>
      <c r="T763" s="41">
        <f>_xll.qlIndexFixing(Index,P763,,AllTriggers)</f>
        <v>9.9692104237976073E-3</v>
      </c>
      <c r="U763" s="42">
        <f>_xll.qlYieldTSDiscount(OisCurve,Q763,,AllTriggers)</f>
        <v>0.95025629392522959</v>
      </c>
      <c r="V763" s="42">
        <f>_xll.qlYieldTSDiscount(OisCurve,R763,,AllTriggers)</f>
        <v>0.94823260916971974</v>
      </c>
      <c r="W763" s="41">
        <f t="shared" si="53"/>
        <v>8.4428501704691718E-3</v>
      </c>
      <c r="X763" s="43">
        <f t="shared" si="54"/>
        <v>3.8493418509145445E-4</v>
      </c>
      <c r="Y763" s="41">
        <f t="shared" si="55"/>
        <v>1.5263602533284355E-3</v>
      </c>
      <c r="Z763" s="62"/>
    </row>
    <row r="764" spans="15:26" x14ac:dyDescent="0.25">
      <c r="O764" s="45" t="s">
        <v>21</v>
      </c>
      <c r="P764" s="39">
        <f>_xll.qlCalendarAdvance(Calendar,P763,O763,"f",,Trigger)</f>
        <v>46897</v>
      </c>
      <c r="Q764" s="39">
        <f>_xll.qlInterestRateIndexValueDate(Index,P764,Trigger)</f>
        <v>46899</v>
      </c>
      <c r="R764" s="39">
        <f>_xll.qlInterestRateIndexMaturity(Index,Q764,Trigger)</f>
        <v>46993</v>
      </c>
      <c r="S764" s="40">
        <f>_xll.qlDayCounterYearFraction(DayCounter,Q764,R764,,,Trigger)</f>
        <v>0.26111111111111113</v>
      </c>
      <c r="T764" s="41">
        <f>_xll.qlIndexFixing(Index,P764,,AllTriggers)</f>
        <v>9.9752952573101718E-3</v>
      </c>
      <c r="U764" s="42">
        <f>_xll.qlYieldTSDiscount(OisCurve,Q764,,AllTriggers)</f>
        <v>0.94958989675344252</v>
      </c>
      <c r="V764" s="42">
        <f>_xll.qlYieldTSDiscount(OisCurve,R764,,AllTriggers)</f>
        <v>0.94749714485803571</v>
      </c>
      <c r="W764" s="41">
        <f t="shared" si="53"/>
        <v>8.4589114980906047E-3</v>
      </c>
      <c r="X764" s="43">
        <f t="shared" si="54"/>
        <v>3.9499402596520754E-4</v>
      </c>
      <c r="Y764" s="41">
        <f t="shared" si="55"/>
        <v>1.516383759219567E-3</v>
      </c>
      <c r="Z764" s="62"/>
    </row>
    <row r="765" spans="15:26" x14ac:dyDescent="0.25">
      <c r="O765" s="45" t="s">
        <v>21</v>
      </c>
      <c r="P765" s="39">
        <f>_xll.qlCalendarAdvance(Calendar,P764,O764,"f",,Trigger)</f>
        <v>46930</v>
      </c>
      <c r="Q765" s="39">
        <f>_xll.qlInterestRateIndexValueDate(Index,P765,Trigger)</f>
        <v>46932</v>
      </c>
      <c r="R765" s="39">
        <f>_xll.qlInterestRateIndexMaturity(Index,Q765,Trigger)</f>
        <v>47024</v>
      </c>
      <c r="S765" s="40">
        <f>_xll.qlDayCounterYearFraction(DayCounter,Q765,R765,,,Trigger)</f>
        <v>0.25555555555555554</v>
      </c>
      <c r="T765" s="41">
        <f>_xll.qlIndexFixing(Index,P765,,AllTriggers)</f>
        <v>9.9803433772934248E-3</v>
      </c>
      <c r="U765" s="42">
        <f>_xll.qlYieldTSDiscount(OisCurve,Q765,,AllTriggers)</f>
        <v>0.94885599379999475</v>
      </c>
      <c r="V765" s="42">
        <f>_xll.qlYieldTSDiscount(OisCurve,R765,,AllTriggers)</f>
        <v>0.94680554197438449</v>
      </c>
      <c r="W765" s="41">
        <f t="shared" si="53"/>
        <v>8.4742925426493868E-3</v>
      </c>
      <c r="X765" s="43">
        <f t="shared" si="54"/>
        <v>3.8397421580340464E-4</v>
      </c>
      <c r="Y765" s="41">
        <f t="shared" si="55"/>
        <v>1.506050834644038E-3</v>
      </c>
      <c r="Z765" s="62"/>
    </row>
    <row r="766" spans="15:26" x14ac:dyDescent="0.25">
      <c r="O766" s="45" t="s">
        <v>21</v>
      </c>
      <c r="P766" s="39">
        <f>_xll.qlCalendarAdvance(Calendar,P765,O765,"f",,Trigger)</f>
        <v>46960</v>
      </c>
      <c r="Q766" s="39">
        <f>_xll.qlInterestRateIndexValueDate(Index,P766,Trigger)</f>
        <v>46962</v>
      </c>
      <c r="R766" s="39">
        <f>_xll.qlInterestRateIndexMaturity(Index,Q766,Trigger)</f>
        <v>47056</v>
      </c>
      <c r="S766" s="40">
        <f>_xll.qlDayCounterYearFraction(DayCounter,Q766,R766,,,Trigger)</f>
        <v>0.26111111111111113</v>
      </c>
      <c r="T766" s="41">
        <f>_xll.qlIndexFixing(Index,P766,,AllTriggers)</f>
        <v>9.9853281045431709E-3</v>
      </c>
      <c r="U766" s="42">
        <f>_xll.qlYieldTSDiscount(OisCurve,Q766,,AllTriggers)</f>
        <v>0.94818805862724032</v>
      </c>
      <c r="V766" s="42">
        <f>_xll.qlYieldTSDiscount(OisCurve,R766,,AllTriggers)</f>
        <v>0.94609094570960461</v>
      </c>
      <c r="W766" s="41">
        <f t="shared" si="53"/>
        <v>8.4891376634867437E-3</v>
      </c>
      <c r="X766" s="43">
        <f t="shared" si="54"/>
        <v>3.8973194176908349E-4</v>
      </c>
      <c r="Y766" s="41">
        <f t="shared" si="55"/>
        <v>1.4961904410564272E-3</v>
      </c>
      <c r="Z766" s="62"/>
    </row>
    <row r="767" spans="15:26" x14ac:dyDescent="0.25">
      <c r="O767" s="45" t="s">
        <v>21</v>
      </c>
      <c r="P767" s="39">
        <f>_xll.qlCalendarAdvance(Calendar,P766,O766,"f",,Trigger)</f>
        <v>46993</v>
      </c>
      <c r="Q767" s="39">
        <f>_xll.qlInterestRateIndexValueDate(Index,P767,Trigger)</f>
        <v>46995</v>
      </c>
      <c r="R767" s="39">
        <f>_xll.qlInterestRateIndexMaturity(Index,Q767,Trigger)</f>
        <v>47087</v>
      </c>
      <c r="S767" s="40">
        <f>_xll.qlDayCounterYearFraction(DayCounter,Q767,R767,,,Trigger)</f>
        <v>0.25555555555555554</v>
      </c>
      <c r="T767" s="41">
        <f>_xll.qlIndexFixing(Index,P767,,AllTriggers)</f>
        <v>9.9894750103839813E-3</v>
      </c>
      <c r="U767" s="42">
        <f>_xll.qlYieldTSDiscount(OisCurve,Q767,,AllTriggers)</f>
        <v>0.9474525457159737</v>
      </c>
      <c r="V767" s="42">
        <f>_xll.qlYieldTSDiscount(OisCurve,R767,,AllTriggers)</f>
        <v>0.94539805620721096</v>
      </c>
      <c r="W767" s="41">
        <f t="shared" si="53"/>
        <v>8.5036210098337929E-3</v>
      </c>
      <c r="X767" s="43">
        <f t="shared" si="54"/>
        <v>3.7882308762662495E-4</v>
      </c>
      <c r="Y767" s="41">
        <f t="shared" si="55"/>
        <v>1.4858540005501884E-3</v>
      </c>
      <c r="Z767" s="62"/>
    </row>
    <row r="768" spans="15:26" x14ac:dyDescent="0.25">
      <c r="O768" s="45" t="s">
        <v>21</v>
      </c>
      <c r="P768" s="39">
        <f>_xll.qlCalendarAdvance(Calendar,P767,O767,"f",,Trigger)</f>
        <v>47024</v>
      </c>
      <c r="Q768" s="39">
        <f>_xll.qlInterestRateIndexValueDate(Index,P768,Trigger)</f>
        <v>47028</v>
      </c>
      <c r="R768" s="39">
        <f>_xll.qlInterestRateIndexMaturity(Index,Q768,Trigger)</f>
        <v>47120</v>
      </c>
      <c r="S768" s="40">
        <f>_xll.qlDayCounterYearFraction(DayCounter,Q768,R768,,,Trigger)</f>
        <v>0.25555555555555554</v>
      </c>
      <c r="T768" s="41">
        <f>_xll.qlIndexFixing(Index,P768,,AllTriggers)</f>
        <v>9.9935505835038393E-3</v>
      </c>
      <c r="U768" s="42">
        <f>_xll.qlYieldTSDiscount(OisCurve,Q768,,AllTriggers)</f>
        <v>0.94671625460982411</v>
      </c>
      <c r="V768" s="42">
        <f>_xll.qlYieldTSDiscount(OisCurve,R768,,AllTriggers)</f>
        <v>0.94465983066809789</v>
      </c>
      <c r="W768" s="41">
        <f t="shared" si="53"/>
        <v>8.518279313327411E-3</v>
      </c>
      <c r="X768" s="43">
        <f t="shared" si="54"/>
        <v>3.7612408938569435E-4</v>
      </c>
      <c r="Y768" s="41">
        <f t="shared" si="55"/>
        <v>1.4752712701764283E-3</v>
      </c>
      <c r="Z768" s="62"/>
    </row>
    <row r="769" spans="15:26" x14ac:dyDescent="0.25">
      <c r="O769" s="45" t="s">
        <v>21</v>
      </c>
      <c r="P769" s="39">
        <f>_xll.qlCalendarAdvance(Calendar,P768,O768,"f",,Trigger)</f>
        <v>47056</v>
      </c>
      <c r="Q769" s="39">
        <f>_xll.qlInterestRateIndexValueDate(Index,P769,Trigger)</f>
        <v>47058</v>
      </c>
      <c r="R769" s="39">
        <f>_xll.qlInterestRateIndexMaturity(Index,Q769,Trigger)</f>
        <v>47150</v>
      </c>
      <c r="S769" s="40">
        <f>_xll.qlDayCounterYearFraction(DayCounter,Q769,R769,,,Trigger)</f>
        <v>0.25555555555555554</v>
      </c>
      <c r="T769" s="41">
        <f>_xll.qlIndexFixing(Index,P769,,AllTriggers)</f>
        <v>9.9968334627826942E-3</v>
      </c>
      <c r="U769" s="42">
        <f>_xll.qlYieldTSDiscount(OisCurve,Q769,,AllTriggers)</f>
        <v>0.94604626129728497</v>
      </c>
      <c r="V769" s="42">
        <f>_xll.qlYieldTSDiscount(OisCurve,R769,,AllTriggers)</f>
        <v>0.94398818609165169</v>
      </c>
      <c r="W769" s="41">
        <f t="shared" si="53"/>
        <v>8.5311849023413898E-3</v>
      </c>
      <c r="X769" s="43">
        <f t="shared" si="54"/>
        <v>3.7366998436177203E-4</v>
      </c>
      <c r="Y769" s="41">
        <f t="shared" si="55"/>
        <v>1.4656485604413044E-3</v>
      </c>
      <c r="Z769" s="62"/>
    </row>
    <row r="770" spans="15:26" x14ac:dyDescent="0.25">
      <c r="O770" s="45" t="s">
        <v>21</v>
      </c>
      <c r="P770" s="39">
        <f>_xll.qlCalendarAdvance(Calendar,P769,O769,"f",,Trigger)</f>
        <v>47087</v>
      </c>
      <c r="Q770" s="39">
        <f>_xll.qlInterestRateIndexValueDate(Index,P770,Trigger)</f>
        <v>47091</v>
      </c>
      <c r="R770" s="39">
        <f>_xll.qlInterestRateIndexMaturity(Index,Q770,Trigger)</f>
        <v>47182</v>
      </c>
      <c r="S770" s="40">
        <f>_xll.qlDayCounterYearFraction(DayCounter,Q770,R770,,,Trigger)</f>
        <v>0.25277777777777777</v>
      </c>
      <c r="T770" s="41">
        <f>_xll.qlIndexFixing(Index,P770,,AllTriggers)</f>
        <v>9.9998008133860544E-3</v>
      </c>
      <c r="U770" s="42">
        <f>_xll.qlYieldTSDiscount(OisCurve,Q770,,AllTriggers)</f>
        <v>0.94530860828346697</v>
      </c>
      <c r="V770" s="42">
        <f>_xll.qlYieldTSDiscount(OisCurve,R770,,AllTriggers)</f>
        <v>0.94327124693905418</v>
      </c>
      <c r="W770" s="41">
        <f t="shared" si="53"/>
        <v>8.5446164706032349E-3</v>
      </c>
      <c r="X770" s="43">
        <f t="shared" si="54"/>
        <v>3.669781421399005E-4</v>
      </c>
      <c r="Y770" s="41">
        <f t="shared" si="55"/>
        <v>1.4551843427828195E-3</v>
      </c>
      <c r="Z770" s="62"/>
    </row>
    <row r="771" spans="15:26" x14ac:dyDescent="0.25">
      <c r="O771" s="45" t="s">
        <v>21</v>
      </c>
      <c r="P771" s="39">
        <f>_xll.qlCalendarAdvance(Calendar,P770,O770,"f",,Trigger)</f>
        <v>47120</v>
      </c>
      <c r="Q771" s="39">
        <f>_xll.qlInterestRateIndexValueDate(Index,P771,Trigger)</f>
        <v>47122</v>
      </c>
      <c r="R771" s="39">
        <f>_xll.qlInterestRateIndexMaturity(Index,Q771,Trigger)</f>
        <v>47212</v>
      </c>
      <c r="S771" s="40">
        <f>_xll.qlDayCounterYearFraction(DayCounter,Q771,R771,,,Trigger)</f>
        <v>0.25</v>
      </c>
      <c r="T771" s="41">
        <f>_xll.qlIndexFixing(Index,P771,,AllTriggers)</f>
        <v>1.0002147829514918E-2</v>
      </c>
      <c r="U771" s="42">
        <f>_xll.qlYieldTSDiscount(OisCurve,Q771,,AllTriggers)</f>
        <v>0.94461506967850284</v>
      </c>
      <c r="V771" s="42">
        <f>_xll.qlYieldTSDiscount(OisCurve,R771,,AllTriggers)</f>
        <v>0.94259866551563665</v>
      </c>
      <c r="W771" s="41">
        <f t="shared" si="53"/>
        <v>8.5567876833909651E-3</v>
      </c>
      <c r="X771" s="43">
        <f t="shared" si="54"/>
        <v>3.6050371978349331E-4</v>
      </c>
      <c r="Y771" s="41">
        <f t="shared" si="55"/>
        <v>1.4453601461239529E-3</v>
      </c>
      <c r="Z771" s="62"/>
    </row>
    <row r="772" spans="15:26" x14ac:dyDescent="0.25">
      <c r="O772" s="45" t="s">
        <v>21</v>
      </c>
      <c r="P772" s="39">
        <f>_xll.qlCalendarAdvance(Calendar,P771,O771,"f",,Trigger)</f>
        <v>47151</v>
      </c>
      <c r="Q772" s="39">
        <f>_xll.qlInterestRateIndexValueDate(Index,P772,Trigger)</f>
        <v>47155</v>
      </c>
      <c r="R772" s="39">
        <f>_xll.qlInterestRateIndexMaturity(Index,Q772,Trigger)</f>
        <v>47245</v>
      </c>
      <c r="S772" s="40">
        <f>_xll.qlDayCounterYearFraction(DayCounter,Q772,R772,,,Trigger)</f>
        <v>0.25</v>
      </c>
      <c r="T772" s="41">
        <f>_xll.qlIndexFixing(Index,P772,,AllTriggers)</f>
        <v>1.000436564913354E-2</v>
      </c>
      <c r="U772" s="42">
        <f>_xll.qlYieldTSDiscount(OisCurve,Q772,,AllTriggers)</f>
        <v>0.9438761986492642</v>
      </c>
      <c r="V772" s="42">
        <f>_xll.qlYieldTSDiscount(OisCurve,R772,,AllTriggers)</f>
        <v>0.94185836206491369</v>
      </c>
      <c r="W772" s="41">
        <f t="shared" ref="W772:W835" si="56">(U772/V772-1)/S772</f>
        <v>8.5695967275869478E-3</v>
      </c>
      <c r="X772" s="43">
        <f t="shared" ref="X772:X835" si="57">LN((1+T772*S772)/(1+W772*S772))</f>
        <v>3.5786137125899534E-4</v>
      </c>
      <c r="Y772" s="41">
        <f t="shared" ref="Y772:Y835" si="58">T772-W772</f>
        <v>1.434768921546592E-3</v>
      </c>
      <c r="Z772" s="62"/>
    </row>
    <row r="773" spans="15:26" x14ac:dyDescent="0.25">
      <c r="O773" s="45" t="s">
        <v>21</v>
      </c>
      <c r="P773" s="39">
        <f>_xll.qlCalendarAdvance(Calendar,P772,O772,"f",,Trigger)</f>
        <v>47179</v>
      </c>
      <c r="Q773" s="39">
        <f>_xll.qlInterestRateIndexValueDate(Index,P773,Trigger)</f>
        <v>47183</v>
      </c>
      <c r="R773" s="39">
        <f>_xll.qlInterestRateIndexMaturity(Index,Q773,Trigger)</f>
        <v>47275</v>
      </c>
      <c r="S773" s="40">
        <f>_xll.qlDayCounterYearFraction(DayCounter,Q773,R773,,,Trigger)</f>
        <v>0.25555555555555554</v>
      </c>
      <c r="T773" s="41">
        <f>_xll.qlIndexFixing(Index,P773,,AllTriggers)</f>
        <v>1.0006184128706861E-2</v>
      </c>
      <c r="U773" s="42">
        <f>_xll.qlYieldTSDiscount(OisCurve,Q773,,AllTriggers)</f>
        <v>0.94324883439452634</v>
      </c>
      <c r="V773" s="42">
        <f>_xll.qlYieldTSDiscount(OisCurve,R773,,AllTriggers)</f>
        <v>0.94118497287202729</v>
      </c>
      <c r="W773" s="41">
        <f t="shared" si="56"/>
        <v>8.5806510977377189E-3</v>
      </c>
      <c r="X773" s="43">
        <f t="shared" si="57"/>
        <v>3.634397259857945E-4</v>
      </c>
      <c r="Y773" s="41">
        <f t="shared" si="58"/>
        <v>1.4255330309691418E-3</v>
      </c>
      <c r="Z773" s="62"/>
    </row>
    <row r="774" spans="15:26" x14ac:dyDescent="0.25">
      <c r="O774" s="45" t="s">
        <v>21</v>
      </c>
      <c r="P774" s="39">
        <f>_xll.qlCalendarAdvance(Calendar,P773,O773,"f",,Trigger)</f>
        <v>47211</v>
      </c>
      <c r="Q774" s="39">
        <f>_xll.qlInterestRateIndexValueDate(Index,P774,Trigger)</f>
        <v>47213</v>
      </c>
      <c r="R774" s="39">
        <f>_xll.qlInterestRateIndexMaturity(Index,Q774,Trigger)</f>
        <v>47304</v>
      </c>
      <c r="S774" s="40">
        <f>_xll.qlDayCounterYearFraction(DayCounter,Q774,R774,,,Trigger)</f>
        <v>0.25277777777777777</v>
      </c>
      <c r="T774" s="41">
        <f>_xll.qlIndexFixing(Index,P774,,AllTriggers)</f>
        <v>1.0007237202104049E-2</v>
      </c>
      <c r="U774" s="42">
        <f>_xll.qlYieldTSDiscount(OisCurve,Q774,,AllTriggers)</f>
        <v>0.94257623901633414</v>
      </c>
      <c r="V774" s="42">
        <f>_xll.qlYieldTSDiscount(OisCurve,R774,,AllTriggers)</f>
        <v>0.94053371233761918</v>
      </c>
      <c r="W774" s="41">
        <f t="shared" si="56"/>
        <v>8.5912128575446958E-3</v>
      </c>
      <c r="X774" s="43">
        <f t="shared" si="57"/>
        <v>3.5710007808806608E-4</v>
      </c>
      <c r="Y774" s="41">
        <f t="shared" si="58"/>
        <v>1.4160243445593534E-3</v>
      </c>
      <c r="Z774" s="62"/>
    </row>
    <row r="775" spans="15:26" x14ac:dyDescent="0.25">
      <c r="O775" s="45" t="s">
        <v>21</v>
      </c>
      <c r="P775" s="39">
        <f>_xll.qlCalendarAdvance(Calendar,P774,O774,"f",,Trigger)</f>
        <v>47241</v>
      </c>
      <c r="Q775" s="39">
        <f>_xll.qlInterestRateIndexValueDate(Index,P775,Trigger)</f>
        <v>47245</v>
      </c>
      <c r="R775" s="39">
        <f>_xll.qlInterestRateIndexMaturity(Index,Q775,Trigger)</f>
        <v>47337</v>
      </c>
      <c r="S775" s="40">
        <f>_xll.qlDayCounterYearFraction(DayCounter,Q775,R775,,,Trigger)</f>
        <v>0.25555555555555554</v>
      </c>
      <c r="T775" s="41">
        <f>_xll.qlIndexFixing(Index,P775,,AllTriggers)</f>
        <v>1.0008232174953368E-2</v>
      </c>
      <c r="U775" s="42">
        <f>_xll.qlYieldTSDiscount(OisCurve,Q775,,AllTriggers)</f>
        <v>0.94185836206491369</v>
      </c>
      <c r="V775" s="42">
        <f>_xll.qlYieldTSDiscount(OisCurve,R775,,AllTriggers)</f>
        <v>0.93979228089438538</v>
      </c>
      <c r="W775" s="41">
        <f t="shared" si="56"/>
        <v>8.6026089107681548E-3</v>
      </c>
      <c r="X775" s="43">
        <f t="shared" si="57"/>
        <v>3.5836263307852182E-4</v>
      </c>
      <c r="Y775" s="41">
        <f t="shared" si="58"/>
        <v>1.4056232641852136E-3</v>
      </c>
      <c r="Z775" s="62"/>
    </row>
    <row r="776" spans="15:26" x14ac:dyDescent="0.25">
      <c r="O776" s="45" t="s">
        <v>21</v>
      </c>
      <c r="P776" s="39">
        <f>_xll.qlCalendarAdvance(Calendar,P775,O775,"f",,Trigger)</f>
        <v>47273</v>
      </c>
      <c r="Q776" s="39">
        <f>_xll.qlInterestRateIndexValueDate(Index,P776,Trigger)</f>
        <v>47275</v>
      </c>
      <c r="R776" s="39">
        <f>_xll.qlInterestRateIndexMaturity(Index,Q776,Trigger)</f>
        <v>47367</v>
      </c>
      <c r="S776" s="40">
        <f>_xll.qlDayCounterYearFraction(DayCounter,Q776,R776,,,Trigger)</f>
        <v>0.25555555555555554</v>
      </c>
      <c r="T776" s="41">
        <f>_xll.qlIndexFixing(Index,P776,,AllTriggers)</f>
        <v>1.0008606630895273E-2</v>
      </c>
      <c r="U776" s="42">
        <f>_xll.qlYieldTSDiscount(OisCurve,Q776,,AllTriggers)</f>
        <v>0.94118497287202729</v>
      </c>
      <c r="V776" s="42">
        <f>_xll.qlYieldTSDiscount(OisCurve,R776,,AllTriggers)</f>
        <v>0.93911797148432274</v>
      </c>
      <c r="W776" s="41">
        <f t="shared" si="56"/>
        <v>8.6126200810843698E-3</v>
      </c>
      <c r="X776" s="43">
        <f t="shared" si="57"/>
        <v>3.5590528849255266E-4</v>
      </c>
      <c r="Y776" s="41">
        <f t="shared" si="58"/>
        <v>1.3959865498109035E-3</v>
      </c>
      <c r="Z776" s="62"/>
    </row>
    <row r="777" spans="15:26" x14ac:dyDescent="0.25">
      <c r="O777" s="45" t="s">
        <v>21</v>
      </c>
      <c r="P777" s="39">
        <f>_xll.qlCalendarAdvance(Calendar,P776,O776,"f",,Trigger)</f>
        <v>47303</v>
      </c>
      <c r="Q777" s="39">
        <f>_xll.qlInterestRateIndexValueDate(Index,P777,Trigger)</f>
        <v>47305</v>
      </c>
      <c r="R777" s="39">
        <f>_xll.qlInterestRateIndexMaturity(Index,Q777,Trigger)</f>
        <v>47399</v>
      </c>
      <c r="S777" s="40">
        <f>_xll.qlDayCounterYearFraction(DayCounter,Q777,R777,,,Trigger)</f>
        <v>0.26111111111111113</v>
      </c>
      <c r="T777" s="41">
        <f>_xll.qlIndexFixing(Index,P777,,AllTriggers)</f>
        <v>1.000884225037278E-2</v>
      </c>
      <c r="U777" s="42">
        <f>_xll.qlYieldTSDiscount(OisCurve,Q777,,AllTriggers)</f>
        <v>0.94051124987167078</v>
      </c>
      <c r="V777" s="42">
        <f>_xll.qlYieldTSDiscount(OisCurve,R777,,AllTriggers)</f>
        <v>0.93839845112805564</v>
      </c>
      <c r="W777" s="41">
        <f t="shared" si="56"/>
        <v>8.6227440451028068E-3</v>
      </c>
      <c r="X777" s="43">
        <f t="shared" si="57"/>
        <v>3.6104741407314646E-4</v>
      </c>
      <c r="Y777" s="41">
        <f t="shared" si="58"/>
        <v>1.3860982052699734E-3</v>
      </c>
      <c r="Z777" s="62"/>
    </row>
    <row r="778" spans="15:26" x14ac:dyDescent="0.25">
      <c r="O778" s="45" t="s">
        <v>21</v>
      </c>
      <c r="P778" s="39">
        <f>_xll.qlCalendarAdvance(Calendar,P777,O777,"f",,Trigger)</f>
        <v>47336</v>
      </c>
      <c r="Q778" s="39">
        <f>_xll.qlInterestRateIndexValueDate(Index,P778,Trigger)</f>
        <v>47338</v>
      </c>
      <c r="R778" s="39">
        <f>_xll.qlInterestRateIndexMaturity(Index,Q778,Trigger)</f>
        <v>47430</v>
      </c>
      <c r="S778" s="40">
        <f>_xll.qlDayCounterYearFraction(DayCounter,Q778,R778,,,Trigger)</f>
        <v>0.25555555555555554</v>
      </c>
      <c r="T778" s="41">
        <f>_xll.qlIndexFixing(Index,P778,,AllTriggers)</f>
        <v>1.0008084192902406E-2</v>
      </c>
      <c r="U778" s="42">
        <f>_xll.qlYieldTSDiscount(OisCurve,Q778,,AllTriggers)</f>
        <v>0.93976980802495169</v>
      </c>
      <c r="V778" s="42">
        <f>_xll.qlYieldTSDiscount(OisCurve,R778,,AllTriggers)</f>
        <v>0.93770119913924599</v>
      </c>
      <c r="W778" s="41">
        <f t="shared" si="56"/>
        <v>8.632341002350814E-3</v>
      </c>
      <c r="X778" s="43">
        <f t="shared" si="57"/>
        <v>3.5074340705872455E-4</v>
      </c>
      <c r="Y778" s="41">
        <f t="shared" si="58"/>
        <v>1.3757431905515923E-3</v>
      </c>
      <c r="Z778" s="62"/>
    </row>
    <row r="779" spans="15:26" x14ac:dyDescent="0.25">
      <c r="O779" s="45" t="s">
        <v>21</v>
      </c>
      <c r="P779" s="39">
        <f>_xll.qlCalendarAdvance(Calendar,P778,O778,"f",,Trigger)</f>
        <v>47367</v>
      </c>
      <c r="Q779" s="39">
        <f>_xll.qlInterestRateIndexValueDate(Index,P779,Trigger)</f>
        <v>47371</v>
      </c>
      <c r="R779" s="39">
        <f>_xll.qlInterestRateIndexMaturity(Index,Q779,Trigger)</f>
        <v>47462</v>
      </c>
      <c r="S779" s="40">
        <f>_xll.qlDayCounterYearFraction(DayCounter,Q779,R779,,,Trigger)</f>
        <v>0.25277777777777777</v>
      </c>
      <c r="T779" s="41">
        <f>_xll.qlIndexFixing(Index,P779,,AllTriggers)</f>
        <v>1.0006985798776003E-2</v>
      </c>
      <c r="U779" s="42">
        <f>_xll.qlYieldTSDiscount(OisCurve,Q779,,AllTriggers)</f>
        <v>0.93902804518438177</v>
      </c>
      <c r="V779" s="42">
        <f>_xll.qlYieldTSDiscount(OisCurve,R779,,AllTriggers)</f>
        <v>0.93698126971226492</v>
      </c>
      <c r="W779" s="41">
        <f t="shared" si="56"/>
        <v>8.6417242239362323E-3</v>
      </c>
      <c r="X779" s="43">
        <f t="shared" si="57"/>
        <v>3.4429628756544169E-4</v>
      </c>
      <c r="Y779" s="41">
        <f t="shared" si="58"/>
        <v>1.3652615748397708E-3</v>
      </c>
      <c r="Z779" s="62"/>
    </row>
    <row r="780" spans="15:26" x14ac:dyDescent="0.25">
      <c r="O780" s="45" t="s">
        <v>21</v>
      </c>
      <c r="P780" s="39">
        <f>_xll.qlCalendarAdvance(Calendar,P779,O779,"f",,Trigger)</f>
        <v>47399</v>
      </c>
      <c r="Q780" s="39">
        <f>_xll.qlInterestRateIndexValueDate(Index,P780,Trigger)</f>
        <v>47401</v>
      </c>
      <c r="R780" s="39">
        <f>_xll.qlInterestRateIndexMaturity(Index,Q780,Trigger)</f>
        <v>47493</v>
      </c>
      <c r="S780" s="40">
        <f>_xll.qlDayCounterYearFraction(DayCounter,Q780,R780,,,Trigger)</f>
        <v>0.25555555555555554</v>
      </c>
      <c r="T780" s="41">
        <f>_xll.qlIndexFixing(Index,P780,,AllTriggers)</f>
        <v>1.0005788548983969E-2</v>
      </c>
      <c r="U780" s="42">
        <f>_xll.qlYieldTSDiscount(OisCurve,Q780,,AllTriggers)</f>
        <v>0.93835347316881812</v>
      </c>
      <c r="V780" s="42">
        <f>_xll.qlYieldTSDiscount(OisCurve,R780,,AllTriggers)</f>
        <v>0.93628369493954888</v>
      </c>
      <c r="W780" s="41">
        <f t="shared" si="56"/>
        <v>8.6502971751646687E-3</v>
      </c>
      <c r="X780" s="43">
        <f t="shared" si="57"/>
        <v>3.4557955053721937E-4</v>
      </c>
      <c r="Y780" s="41">
        <f t="shared" si="58"/>
        <v>1.3554913738193005E-3</v>
      </c>
      <c r="Z780" s="62"/>
    </row>
    <row r="781" spans="15:26" x14ac:dyDescent="0.25">
      <c r="O781" s="45" t="s">
        <v>21</v>
      </c>
      <c r="P781" s="39">
        <f>_xll.qlCalendarAdvance(Calendar,P780,O780,"f",,Trigger)</f>
        <v>47430</v>
      </c>
      <c r="Q781" s="39">
        <f>_xll.qlInterestRateIndexValueDate(Index,P781,Trigger)</f>
        <v>47434</v>
      </c>
      <c r="R781" s="39">
        <f>_xll.qlInterestRateIndexMaturity(Index,Q781,Trigger)</f>
        <v>47526</v>
      </c>
      <c r="S781" s="40">
        <f>_xll.qlDayCounterYearFraction(DayCounter,Q781,R781,,,Trigger)</f>
        <v>0.25555555555555554</v>
      </c>
      <c r="T781" s="41">
        <f>_xll.qlIndexFixing(Index,P781,,AllTriggers)</f>
        <v>1.0003878395765761E-2</v>
      </c>
      <c r="U781" s="42">
        <f>_xll.qlYieldTSDiscount(OisCurve,Q781,,AllTriggers)</f>
        <v>0.93761121748249154</v>
      </c>
      <c r="V781" s="42">
        <f>_xll.qlYieldTSDiscount(OisCurve,R781,,AllTriggers)</f>
        <v>0.93554100074433832</v>
      </c>
      <c r="W781" s="41">
        <f t="shared" si="56"/>
        <v>8.6589984825592783E-3</v>
      </c>
      <c r="X781" s="43">
        <f t="shared" si="57"/>
        <v>3.428738850680186E-4</v>
      </c>
      <c r="Y781" s="41">
        <f t="shared" si="58"/>
        <v>1.3448799132064829E-3</v>
      </c>
      <c r="Z781" s="62"/>
    </row>
    <row r="782" spans="15:26" x14ac:dyDescent="0.25">
      <c r="O782" s="45" t="s">
        <v>21</v>
      </c>
      <c r="P782" s="39">
        <f>_xll.qlCalendarAdvance(Calendar,P781,O781,"f",,Trigger)</f>
        <v>47462</v>
      </c>
      <c r="Q782" s="39">
        <f>_xll.qlInterestRateIndexValueDate(Index,P782,Trigger)</f>
        <v>47464</v>
      </c>
      <c r="R782" s="39">
        <f>_xll.qlInterestRateIndexMaturity(Index,Q782,Trigger)</f>
        <v>47554</v>
      </c>
      <c r="S782" s="40">
        <f>_xll.qlDayCounterYearFraction(DayCounter,Q782,R782,,,Trigger)</f>
        <v>0.25</v>
      </c>
      <c r="T782" s="41">
        <f>_xll.qlIndexFixing(Index,P782,,AllTriggers)</f>
        <v>1.0001527276193301E-2</v>
      </c>
      <c r="U782" s="42">
        <f>_xll.qlYieldTSDiscount(OisCurve,Q782,,AllTriggers)</f>
        <v>0.93693626874767089</v>
      </c>
      <c r="V782" s="42">
        <f>_xll.qlYieldTSDiscount(OisCurve,R782,,AllTriggers)</f>
        <v>0.93491077435701087</v>
      </c>
      <c r="W782" s="41">
        <f t="shared" si="56"/>
        <v>8.666043632037379E-3</v>
      </c>
      <c r="X782" s="43">
        <f t="shared" si="57"/>
        <v>3.3309365794101565E-4</v>
      </c>
      <c r="Y782" s="41">
        <f t="shared" si="58"/>
        <v>1.3354836441559215E-3</v>
      </c>
      <c r="Z782" s="62"/>
    </row>
    <row r="783" spans="15:26" x14ac:dyDescent="0.25">
      <c r="O783" s="45" t="s">
        <v>21</v>
      </c>
      <c r="P783" s="39">
        <f>_xll.qlCalendarAdvance(Calendar,P782,O782,"f",,Trigger)</f>
        <v>47493</v>
      </c>
      <c r="Q783" s="39">
        <f>_xll.qlInterestRateIndexValueDate(Index,P783,Trigger)</f>
        <v>47497</v>
      </c>
      <c r="R783" s="39">
        <f>_xll.qlInterestRateIndexMaturity(Index,Q783,Trigger)</f>
        <v>47588</v>
      </c>
      <c r="S783" s="40">
        <f>_xll.qlDayCounterYearFraction(DayCounter,Q783,R783,,,Trigger)</f>
        <v>0.25277777777777777</v>
      </c>
      <c r="T783" s="41">
        <f>_xll.qlIndexFixing(Index,P783,,AllTriggers)</f>
        <v>9.9987920420057802E-3</v>
      </c>
      <c r="U783" s="42">
        <f>_xll.qlYieldTSDiscount(OisCurve,Q783,,AllTriggers)</f>
        <v>0.93619367689134114</v>
      </c>
      <c r="V783" s="42">
        <f>_xll.qlYieldTSDiscount(OisCurve,R783,,AllTriggers)</f>
        <v>0.93414546288126121</v>
      </c>
      <c r="W783" s="41">
        <f t="shared" si="56"/>
        <v>8.6740502172636489E-3</v>
      </c>
      <c r="X783" s="43">
        <f t="shared" si="57"/>
        <v>3.3407686301387222E-4</v>
      </c>
      <c r="Y783" s="41">
        <f t="shared" si="58"/>
        <v>1.3247418247421313E-3</v>
      </c>
      <c r="Z783" s="62"/>
    </row>
    <row r="784" spans="15:26" x14ac:dyDescent="0.25">
      <c r="O784" s="45" t="s">
        <v>21</v>
      </c>
      <c r="P784" s="39">
        <f>_xll.qlCalendarAdvance(Calendar,P783,O783,"f",,Trigger)</f>
        <v>47525</v>
      </c>
      <c r="Q784" s="39">
        <f>_xll.qlInterestRateIndexValueDate(Index,P784,Trigger)</f>
        <v>47527</v>
      </c>
      <c r="R784" s="39">
        <f>_xll.qlInterestRateIndexMaturity(Index,Q784,Trigger)</f>
        <v>47616</v>
      </c>
      <c r="S784" s="40">
        <f>_xll.qlDayCounterYearFraction(DayCounter,Q784,R784,,,Trigger)</f>
        <v>0.24722222222222223</v>
      </c>
      <c r="T784" s="41">
        <f>_xll.qlIndexFixing(Index,P784,,AllTriggers)</f>
        <v>9.9956319195551799E-3</v>
      </c>
      <c r="U784" s="42">
        <f>_xll.qlYieldTSDiscount(OisCurve,Q784,,AllTriggers)</f>
        <v>0.93551849345190785</v>
      </c>
      <c r="V784" s="42">
        <f>_xll.qlYieldTSDiscount(OisCurve,R784,,AllTriggers)</f>
        <v>0.93351520714578862</v>
      </c>
      <c r="W784" s="41">
        <f t="shared" si="56"/>
        <v>8.6802876932808946E-3</v>
      </c>
      <c r="X784" s="43">
        <f t="shared" si="57"/>
        <v>3.2443335445751846E-4</v>
      </c>
      <c r="Y784" s="41">
        <f t="shared" si="58"/>
        <v>1.3153442262742853E-3</v>
      </c>
      <c r="Z784" s="62"/>
    </row>
    <row r="785" spans="15:26" x14ac:dyDescent="0.25">
      <c r="O785" s="45" t="s">
        <v>21</v>
      </c>
      <c r="P785" s="39">
        <f>_xll.qlCalendarAdvance(Calendar,P784,O784,"f",,Trigger)</f>
        <v>47553</v>
      </c>
      <c r="Q785" s="39">
        <f>_xll.qlInterestRateIndexValueDate(Index,P785,Trigger)</f>
        <v>47555</v>
      </c>
      <c r="R785" s="39">
        <f>_xll.qlInterestRateIndexMaturity(Index,Q785,Trigger)</f>
        <v>47647</v>
      </c>
      <c r="S785" s="40">
        <f>_xll.qlDayCounterYearFraction(DayCounter,Q785,R785,,,Trigger)</f>
        <v>0.25555555555555554</v>
      </c>
      <c r="T785" s="41">
        <f>_xll.qlIndexFixing(Index,P785,,AllTriggers)</f>
        <v>9.9927194614457069E-3</v>
      </c>
      <c r="U785" s="42">
        <f>_xll.qlYieldTSDiscount(OisCurve,Q785,,AllTriggers)</f>
        <v>0.93488826558022076</v>
      </c>
      <c r="V785" s="42">
        <f>_xll.qlYieldTSDiscount(OisCurve,R785,,AllTriggers)</f>
        <v>0.93281746105411312</v>
      </c>
      <c r="W785" s="41">
        <f t="shared" si="56"/>
        <v>8.6867457824830845E-3</v>
      </c>
      <c r="X785" s="43">
        <f t="shared" si="57"/>
        <v>3.329541303877601E-4</v>
      </c>
      <c r="Y785" s="41">
        <f t="shared" si="58"/>
        <v>1.3059736789626224E-3</v>
      </c>
      <c r="Z785" s="62"/>
    </row>
    <row r="786" spans="15:26" x14ac:dyDescent="0.25">
      <c r="O786" s="45" t="s">
        <v>21</v>
      </c>
      <c r="P786" s="39">
        <f>_xll.qlCalendarAdvance(Calendar,P785,O785,"f",,Trigger)</f>
        <v>47584</v>
      </c>
      <c r="Q786" s="39">
        <f>_xll.qlInterestRateIndexValueDate(Index,P786,Trigger)</f>
        <v>47588</v>
      </c>
      <c r="R786" s="39">
        <f>_xll.qlInterestRateIndexMaturity(Index,Q786,Trigger)</f>
        <v>47679</v>
      </c>
      <c r="S786" s="40">
        <f>_xll.qlDayCounterYearFraction(DayCounter,Q786,R786,,,Trigger)</f>
        <v>0.25277777777777777</v>
      </c>
      <c r="T786" s="41">
        <f>_xll.qlIndexFixing(Index,P786,,AllTriggers)</f>
        <v>9.9884965315519356E-3</v>
      </c>
      <c r="U786" s="42">
        <f>_xll.qlYieldTSDiscount(OisCurve,Q786,,AllTriggers)</f>
        <v>0.93414546288126121</v>
      </c>
      <c r="V786" s="42">
        <f>_xll.qlYieldTSDiscount(OisCurve,R786,,AllTriggers)</f>
        <v>0.93209728880696929</v>
      </c>
      <c r="W786" s="41">
        <f t="shared" si="56"/>
        <v>8.692940924546054E-3</v>
      </c>
      <c r="X786" s="43">
        <f t="shared" si="57"/>
        <v>3.2671625196233658E-4</v>
      </c>
      <c r="Y786" s="41">
        <f t="shared" si="58"/>
        <v>1.2955556070058816E-3</v>
      </c>
      <c r="Z786" s="62"/>
    </row>
    <row r="787" spans="15:26" x14ac:dyDescent="0.25">
      <c r="O787" s="45" t="s">
        <v>21</v>
      </c>
      <c r="P787" s="39">
        <f>_xll.qlCalendarAdvance(Calendar,P786,O786,"f",,Trigger)</f>
        <v>47616</v>
      </c>
      <c r="Q787" s="39">
        <f>_xll.qlInterestRateIndexValueDate(Index,P787,Trigger)</f>
        <v>47618</v>
      </c>
      <c r="R787" s="39">
        <f>_xll.qlInterestRateIndexMaturity(Index,Q787,Trigger)</f>
        <v>47710</v>
      </c>
      <c r="S787" s="40">
        <f>_xll.qlDayCounterYearFraction(DayCounter,Q787,R787,,,Trigger)</f>
        <v>0.25555555555555554</v>
      </c>
      <c r="T787" s="41">
        <f>_xll.qlIndexFixing(Index,P787,,AllTriggers)</f>
        <v>9.984394033580337E-3</v>
      </c>
      <c r="U787" s="42">
        <f>_xll.qlYieldTSDiscount(OisCurve,Q787,,AllTriggers)</f>
        <v>0.93347018970570106</v>
      </c>
      <c r="V787" s="42">
        <f>_xll.qlYieldTSDiscount(OisCurve,R787,,AllTriggers)</f>
        <v>0.93139974205517284</v>
      </c>
      <c r="W787" s="41">
        <f t="shared" si="56"/>
        <v>8.6984688852316354E-3</v>
      </c>
      <c r="X787" s="43">
        <f t="shared" si="57"/>
        <v>3.2784267466449095E-4</v>
      </c>
      <c r="Y787" s="41">
        <f t="shared" si="58"/>
        <v>1.2859251483487016E-3</v>
      </c>
      <c r="Z787" s="62"/>
    </row>
    <row r="788" spans="15:26" x14ac:dyDescent="0.25">
      <c r="O788" s="45" t="s">
        <v>21</v>
      </c>
      <c r="P788" s="39">
        <f>_xll.qlCalendarAdvance(Calendar,P787,O787,"f",,Trigger)</f>
        <v>47647</v>
      </c>
      <c r="Q788" s="39">
        <f>_xll.qlInterestRateIndexValueDate(Index,P788,Trigger)</f>
        <v>47651</v>
      </c>
      <c r="R788" s="39">
        <f>_xll.qlInterestRateIndexMaturity(Index,Q788,Trigger)</f>
        <v>47743</v>
      </c>
      <c r="S788" s="40">
        <f>_xll.qlDayCounterYearFraction(DayCounter,Q788,R788,,,Trigger)</f>
        <v>0.25555555555555554</v>
      </c>
      <c r="T788" s="41">
        <f>_xll.qlIndexFixing(Index,P788,,AllTriggers)</f>
        <v>9.9793751632992287E-3</v>
      </c>
      <c r="U788" s="42">
        <f>_xll.qlYieldTSDiscount(OisCurve,Q788,,AllTriggers)</f>
        <v>0.93272743410547077</v>
      </c>
      <c r="V788" s="42">
        <f>_xll.qlYieldTSDiscount(OisCurve,R788,,AllTriggers)</f>
        <v>0.93065736719613956</v>
      </c>
      <c r="W788" s="41">
        <f t="shared" si="56"/>
        <v>8.7038066904538101E-3</v>
      </c>
      <c r="X788" s="43">
        <f t="shared" si="57"/>
        <v>3.2520225872448516E-4</v>
      </c>
      <c r="Y788" s="41">
        <f t="shared" si="58"/>
        <v>1.2755684728454186E-3</v>
      </c>
      <c r="Z788" s="62"/>
    </row>
    <row r="789" spans="15:26" x14ac:dyDescent="0.25">
      <c r="O789" s="45" t="s">
        <v>21</v>
      </c>
      <c r="P789" s="39">
        <f>_xll.qlCalendarAdvance(Calendar,P788,O788,"f",,Trigger)</f>
        <v>47679</v>
      </c>
      <c r="Q789" s="39">
        <f>_xll.qlInterestRateIndexValueDate(Index,P789,Trigger)</f>
        <v>47681</v>
      </c>
      <c r="R789" s="39">
        <f>_xll.qlInterestRateIndexMaturity(Index,Q789,Trigger)</f>
        <v>47773</v>
      </c>
      <c r="S789" s="40">
        <f>_xll.qlDayCounterYearFraction(DayCounter,Q789,R789,,,Trigger)</f>
        <v>0.25555555555555554</v>
      </c>
      <c r="T789" s="41">
        <f>_xll.qlIndexFixing(Index,P789,,AllTriggers)</f>
        <v>9.9744214176229577E-3</v>
      </c>
      <c r="U789" s="42">
        <f>_xll.qlYieldTSDiscount(OisCurve,Q789,,AllTriggers)</f>
        <v>0.93205228178513189</v>
      </c>
      <c r="V789" s="42">
        <f>_xll.qlYieldTSDiscount(OisCurve,R789,,AllTriggers)</f>
        <v>0.92998267681161628</v>
      </c>
      <c r="W789" s="41">
        <f t="shared" si="56"/>
        <v>8.7081775242912832E-3</v>
      </c>
      <c r="X789" s="43">
        <f t="shared" si="57"/>
        <v>3.2282500980465551E-4</v>
      </c>
      <c r="Y789" s="41">
        <f t="shared" si="58"/>
        <v>1.2662438933316745E-3</v>
      </c>
      <c r="Z789" s="62"/>
    </row>
    <row r="790" spans="15:26" x14ac:dyDescent="0.25">
      <c r="O790" s="45" t="s">
        <v>21</v>
      </c>
      <c r="P790" s="39">
        <f>_xll.qlCalendarAdvance(Calendar,P789,O789,"f",,Trigger)</f>
        <v>47710</v>
      </c>
      <c r="Q790" s="39">
        <f>_xll.qlInterestRateIndexValueDate(Index,P790,Trigger)</f>
        <v>47714</v>
      </c>
      <c r="R790" s="39">
        <f>_xll.qlInterestRateIndexMaturity(Index,Q790,Trigger)</f>
        <v>47806</v>
      </c>
      <c r="S790" s="40">
        <f>_xll.qlDayCounterYearFraction(DayCounter,Q790,R790,,,Trigger)</f>
        <v>0.25555555555555554</v>
      </c>
      <c r="T790" s="41">
        <f>_xll.qlIndexFixing(Index,P790,,AllTriggers)</f>
        <v>9.9685420491552289E-3</v>
      </c>
      <c r="U790" s="42">
        <f>_xll.qlYieldTSDiscount(OisCurve,Q790,,AllTriggers)</f>
        <v>0.93130974671702393</v>
      </c>
      <c r="V790" s="42">
        <f>_xll.qlYieldTSDiscount(OisCurve,R790,,AllTriggers)</f>
        <v>0.92924077687035211</v>
      </c>
      <c r="W790" s="41">
        <f t="shared" si="56"/>
        <v>8.7124555516219278E-3</v>
      </c>
      <c r="X790" s="43">
        <f t="shared" si="57"/>
        <v>3.2023547812076947E-4</v>
      </c>
      <c r="Y790" s="41">
        <f t="shared" si="58"/>
        <v>1.256086497533301E-3</v>
      </c>
      <c r="Z790" s="62"/>
    </row>
    <row r="791" spans="15:26" x14ac:dyDescent="0.25">
      <c r="O791" s="45" t="s">
        <v>21</v>
      </c>
      <c r="P791" s="39">
        <f>_xll.qlCalendarAdvance(Calendar,P790,O790,"f",,Trigger)</f>
        <v>47742</v>
      </c>
      <c r="Q791" s="39">
        <f>_xll.qlInterestRateIndexValueDate(Index,P791,Trigger)</f>
        <v>47744</v>
      </c>
      <c r="R791" s="39">
        <f>_xll.qlInterestRateIndexMaturity(Index,Q791,Trigger)</f>
        <v>47835</v>
      </c>
      <c r="S791" s="40">
        <f>_xll.qlDayCounterYearFraction(DayCounter,Q791,R791,,,Trigger)</f>
        <v>0.25277777777777777</v>
      </c>
      <c r="T791" s="41">
        <f>_xll.qlIndexFixing(Index,P791,,AllTriggers)</f>
        <v>9.9627701020324876E-3</v>
      </c>
      <c r="U791" s="42">
        <f>_xll.qlYieldTSDiscount(OisCurve,Q791,,AllTriggers)</f>
        <v>0.93063487429361225</v>
      </c>
      <c r="V791" s="42">
        <f>_xll.qlYieldTSDiscount(OisCurve,R791,,AllTriggers)</f>
        <v>0.92858906499991878</v>
      </c>
      <c r="W791" s="41">
        <f t="shared" si="56"/>
        <v>8.7157083758417405E-3</v>
      </c>
      <c r="X791" s="43">
        <f t="shared" si="57"/>
        <v>3.1448706847614523E-4</v>
      </c>
      <c r="Y791" s="41">
        <f t="shared" si="58"/>
        <v>1.2470617261907471E-3</v>
      </c>
      <c r="Z791" s="62"/>
    </row>
    <row r="792" spans="15:26" x14ac:dyDescent="0.25">
      <c r="O792" s="45" t="s">
        <v>21</v>
      </c>
      <c r="P792" s="39">
        <f>_xll.qlCalendarAdvance(Calendar,P791,O791,"f",,Trigger)</f>
        <v>47772</v>
      </c>
      <c r="Q792" s="39">
        <f>_xll.qlInterestRateIndexValueDate(Index,P792,Trigger)</f>
        <v>47774</v>
      </c>
      <c r="R792" s="39">
        <f>_xll.qlInterestRateIndexMaturity(Index,Q792,Trigger)</f>
        <v>47868</v>
      </c>
      <c r="S792" s="40">
        <f>_xll.qlDayCounterYearFraction(DayCounter,Q792,R792,,,Trigger)</f>
        <v>0.26111111111111113</v>
      </c>
      <c r="T792" s="41">
        <f>_xll.qlIndexFixing(Index,P792,,AllTriggers)</f>
        <v>9.9567562050142996E-3</v>
      </c>
      <c r="U792" s="42">
        <f>_xll.qlYieldTSDiscount(OisCurve,Q792,,AllTriggers)</f>
        <v>0.92996019078268355</v>
      </c>
      <c r="V792" s="42">
        <f>_xll.qlYieldTSDiscount(OisCurve,R792,,AllTriggers)</f>
        <v>0.92784780125231181</v>
      </c>
      <c r="W792" s="41">
        <f t="shared" si="56"/>
        <v>8.7191050577732718E-3</v>
      </c>
      <c r="X792" s="43">
        <f t="shared" si="57"/>
        <v>3.2237843385466217E-4</v>
      </c>
      <c r="Y792" s="41">
        <f t="shared" si="58"/>
        <v>1.2376511472410277E-3</v>
      </c>
      <c r="Z792" s="62"/>
    </row>
    <row r="793" spans="15:26" x14ac:dyDescent="0.25">
      <c r="O793" s="45" t="s">
        <v>21</v>
      </c>
      <c r="P793" s="39">
        <f>_xll.qlCalendarAdvance(Calendar,P792,O792,"f",,Trigger)</f>
        <v>47805</v>
      </c>
      <c r="Q793" s="39">
        <f>_xll.qlInterestRateIndexValueDate(Index,P793,Trigger)</f>
        <v>47807</v>
      </c>
      <c r="R793" s="39">
        <f>_xll.qlInterestRateIndexMaturity(Index,Q793,Trigger)</f>
        <v>47899</v>
      </c>
      <c r="S793" s="40">
        <f>_xll.qlDayCounterYearFraction(DayCounter,Q793,R793,,,Trigger)</f>
        <v>0.25555555555555554</v>
      </c>
      <c r="T793" s="41">
        <f>_xll.qlIndexFixing(Index,P793,,AllTriggers)</f>
        <v>9.9495479022016914E-3</v>
      </c>
      <c r="U793" s="42">
        <f>_xll.qlYieldTSDiscount(OisCurve,Q793,,AllTriggers)</f>
        <v>0.9292182997766123</v>
      </c>
      <c r="V793" s="42">
        <f>_xll.qlYieldTSDiscount(OisCurve,R793,,AllTriggers)</f>
        <v>0.92715183206153073</v>
      </c>
      <c r="W793" s="41">
        <f t="shared" si="56"/>
        <v>8.7215251438991278E-3</v>
      </c>
      <c r="X793" s="43">
        <f t="shared" si="57"/>
        <v>3.1308110809908447E-4</v>
      </c>
      <c r="Y793" s="41">
        <f t="shared" si="58"/>
        <v>1.2280227583025636E-3</v>
      </c>
      <c r="Z793" s="62"/>
    </row>
    <row r="794" spans="15:26" x14ac:dyDescent="0.25">
      <c r="O794" s="45" t="s">
        <v>21</v>
      </c>
      <c r="P794" s="39">
        <f>_xll.qlCalendarAdvance(Calendar,P793,O793,"f",,Trigger)</f>
        <v>47835</v>
      </c>
      <c r="Q794" s="39">
        <f>_xll.qlInterestRateIndexValueDate(Index,P794,Trigger)</f>
        <v>47837</v>
      </c>
      <c r="R794" s="39">
        <f>_xll.qlInterestRateIndexMaturity(Index,Q794,Trigger)</f>
        <v>47927</v>
      </c>
      <c r="S794" s="40">
        <f>_xll.qlDayCounterYearFraction(DayCounter,Q794,R794,,,Trigger)</f>
        <v>0.25</v>
      </c>
      <c r="T794" s="41">
        <f>_xll.qlIndexFixing(Index,P794,,AllTriggers)</f>
        <v>9.9426247200611328E-3</v>
      </c>
      <c r="U794" s="42">
        <f>_xll.qlYieldTSDiscount(OisCurve,Q794,,AllTriggers)</f>
        <v>0.92854412921803742</v>
      </c>
      <c r="V794" s="42">
        <f>_xll.qlYieldTSDiscount(OisCurve,R794,,AllTriggers)</f>
        <v>0.9265235555208603</v>
      </c>
      <c r="W794" s="41">
        <f t="shared" si="56"/>
        <v>8.7232480389181077E-3</v>
      </c>
      <c r="X794" s="43">
        <f t="shared" si="57"/>
        <v>3.0413455552128079E-4</v>
      </c>
      <c r="Y794" s="41">
        <f t="shared" si="58"/>
        <v>1.2193766811430251E-3</v>
      </c>
      <c r="Z794" s="62"/>
    </row>
    <row r="795" spans="15:26" x14ac:dyDescent="0.25">
      <c r="O795" s="45" t="s">
        <v>21</v>
      </c>
      <c r="P795" s="39">
        <f>_xll.qlCalendarAdvance(Calendar,P794,O794,"f",,Trigger)</f>
        <v>47868</v>
      </c>
      <c r="Q795" s="39">
        <f>_xll.qlInterestRateIndexValueDate(Index,P795,Trigger)</f>
        <v>47870</v>
      </c>
      <c r="R795" s="39">
        <f>_xll.qlInterestRateIndexMaturity(Index,Q795,Trigger)</f>
        <v>47960</v>
      </c>
      <c r="S795" s="40">
        <f>_xll.qlDayCounterYearFraction(DayCounter,Q795,R795,,,Trigger)</f>
        <v>0.25</v>
      </c>
      <c r="T795" s="41">
        <f>_xll.qlIndexFixing(Index,P795,,AllTriggers)</f>
        <v>9.9346287275068335E-3</v>
      </c>
      <c r="U795" s="42">
        <f>_xll.qlYieldTSDiscount(OisCurve,Q795,,AllTriggers)</f>
        <v>0.92780288876957517</v>
      </c>
      <c r="V795" s="42">
        <f>_xll.qlYieldTSDiscount(OisCurve,R795,,AllTriggers)</f>
        <v>0.92578354226452586</v>
      </c>
      <c r="W795" s="41">
        <f t="shared" si="56"/>
        <v>8.7249185705324805E-3</v>
      </c>
      <c r="X795" s="43">
        <f t="shared" si="57"/>
        <v>3.0172378787650161E-4</v>
      </c>
      <c r="Y795" s="41">
        <f t="shared" si="58"/>
        <v>1.2097101569743529E-3</v>
      </c>
      <c r="Z795" s="62"/>
    </row>
    <row r="796" spans="15:26" x14ac:dyDescent="0.25">
      <c r="O796" s="45" t="s">
        <v>21</v>
      </c>
      <c r="P796" s="39">
        <f>_xll.qlCalendarAdvance(Calendar,P795,O795,"f",,Trigger)</f>
        <v>47899</v>
      </c>
      <c r="Q796" s="39">
        <f>_xll.qlInterestRateIndexValueDate(Index,P796,Trigger)</f>
        <v>47903</v>
      </c>
      <c r="R796" s="39">
        <f>_xll.qlInterestRateIndexMaturity(Index,Q796,Trigger)</f>
        <v>47994</v>
      </c>
      <c r="S796" s="40">
        <f>_xll.qlDayCounterYearFraction(DayCounter,Q796,R796,,,Trigger)</f>
        <v>0.25277777777777777</v>
      </c>
      <c r="T796" s="41">
        <f>_xll.qlIndexFixing(Index,P796,,AllTriggers)</f>
        <v>9.9261841996070733E-3</v>
      </c>
      <c r="U796" s="42">
        <f>_xll.qlYieldTSDiscount(OisCurve,Q796,,AllTriggers)</f>
        <v>0.92706205773461658</v>
      </c>
      <c r="V796" s="42">
        <f>_xll.qlYieldTSDiscount(OisCurve,R796,,AllTriggers)</f>
        <v>0.92502166675623054</v>
      </c>
      <c r="W796" s="41">
        <f t="shared" si="56"/>
        <v>8.7261484655988385E-3</v>
      </c>
      <c r="X796" s="43">
        <f t="shared" si="57"/>
        <v>3.0262893655116268E-4</v>
      </c>
      <c r="Y796" s="41">
        <f t="shared" si="58"/>
        <v>1.2000357340082347E-3</v>
      </c>
      <c r="Z796" s="62"/>
    </row>
    <row r="797" spans="15:26" x14ac:dyDescent="0.25">
      <c r="O797" s="45" t="s">
        <v>21</v>
      </c>
      <c r="P797" s="39">
        <f>_xll.qlCalendarAdvance(Calendar,P796,O796,"f",,Trigger)</f>
        <v>47927</v>
      </c>
      <c r="Q797" s="39">
        <f>_xll.qlInterestRateIndexValueDate(Index,P797,Trigger)</f>
        <v>47931</v>
      </c>
      <c r="R797" s="39">
        <f>_xll.qlInterestRateIndexMaturity(Index,Q797,Trigger)</f>
        <v>48023</v>
      </c>
      <c r="S797" s="40">
        <f>_xll.qlDayCounterYearFraction(DayCounter,Q797,R797,,,Trigger)</f>
        <v>0.25555555555555554</v>
      </c>
      <c r="T797" s="41">
        <f>_xll.qlIndexFixing(Index,P797,,AllTriggers)</f>
        <v>9.9186538897343083E-3</v>
      </c>
      <c r="U797" s="42">
        <f>_xll.qlYieldTSDiscount(OisCurve,Q797,,AllTriggers)</f>
        <v>0.92643382988886647</v>
      </c>
      <c r="V797" s="42">
        <f>_xll.qlYieldTSDiscount(OisCurve,R797,,AllTriggers)</f>
        <v>0.92437232071030628</v>
      </c>
      <c r="W797" s="41">
        <f t="shared" si="56"/>
        <v>8.7267596246731749E-3</v>
      </c>
      <c r="X797" s="43">
        <f t="shared" si="57"/>
        <v>3.0387123945361134E-4</v>
      </c>
      <c r="Y797" s="41">
        <f t="shared" si="58"/>
        <v>1.1918942650611334E-3</v>
      </c>
      <c r="Z797" s="62"/>
    </row>
    <row r="798" spans="15:26" x14ac:dyDescent="0.25">
      <c r="O798" s="45" t="s">
        <v>21</v>
      </c>
      <c r="P798" s="39">
        <f>_xll.qlCalendarAdvance(Calendar,P797,O797,"f",,Trigger)</f>
        <v>47959</v>
      </c>
      <c r="Q798" s="39">
        <f>_xll.qlInterestRateIndexValueDate(Index,P798,Trigger)</f>
        <v>47961</v>
      </c>
      <c r="R798" s="39">
        <f>_xll.qlInterestRateIndexMaturity(Index,Q798,Trigger)</f>
        <v>48052</v>
      </c>
      <c r="S798" s="40">
        <f>_xll.qlDayCounterYearFraction(DayCounter,Q798,R798,,,Trigger)</f>
        <v>0.25277777777777777</v>
      </c>
      <c r="T798" s="41">
        <f>_xll.qlIndexFixing(Index,P798,,AllTriggers)</f>
        <v>9.910233880818237E-3</v>
      </c>
      <c r="U798" s="42">
        <f>_xll.qlYieldTSDiscount(OisCurve,Q798,,AllTriggers)</f>
        <v>0.92576112577150971</v>
      </c>
      <c r="V798" s="42">
        <f>_xll.qlYieldTSDiscount(OisCurve,R798,,AllTriggers)</f>
        <v>0.92372345813939305</v>
      </c>
      <c r="W798" s="41">
        <f t="shared" si="56"/>
        <v>8.7267489522227792E-3</v>
      </c>
      <c r="X798" s="43">
        <f t="shared" si="57"/>
        <v>2.9845567790100843E-4</v>
      </c>
      <c r="Y798" s="41">
        <f t="shared" si="58"/>
        <v>1.1834849285954577E-3</v>
      </c>
      <c r="Z798" s="62"/>
    </row>
    <row r="799" spans="15:26" x14ac:dyDescent="0.25">
      <c r="O799" s="45" t="s">
        <v>21</v>
      </c>
      <c r="P799" s="39">
        <f>_xll.qlCalendarAdvance(Calendar,P798,O798,"f",,Trigger)</f>
        <v>47989</v>
      </c>
      <c r="Q799" s="39">
        <f>_xll.qlInterestRateIndexValueDate(Index,P799,Trigger)</f>
        <v>47991</v>
      </c>
      <c r="R799" s="39">
        <f>_xll.qlInterestRateIndexMaturity(Index,Q799,Trigger)</f>
        <v>48085</v>
      </c>
      <c r="S799" s="40">
        <f>_xll.qlDayCounterYearFraction(DayCounter,Q799,R799,,,Trigger)</f>
        <v>0.26111111111111113</v>
      </c>
      <c r="T799" s="41">
        <f>_xll.qlIndexFixing(Index,P799,,AllTriggers)</f>
        <v>9.9013863635824591E-3</v>
      </c>
      <c r="U799" s="42">
        <f>_xll.qlYieldTSDiscount(OisCurve,Q799,,AllTriggers)</f>
        <v>0.92508886681890956</v>
      </c>
      <c r="V799" s="42">
        <f>_xll.qlYieldTSDiscount(OisCurve,R799,,AllTriggers)</f>
        <v>0.92298572537081636</v>
      </c>
      <c r="W799" s="41">
        <f t="shared" si="56"/>
        <v>8.7266617975671843E-3</v>
      </c>
      <c r="X799" s="43">
        <f t="shared" si="57"/>
        <v>3.0598947414972789E-4</v>
      </c>
      <c r="Y799" s="41">
        <f t="shared" si="58"/>
        <v>1.1747245660152748E-3</v>
      </c>
      <c r="Z799" s="62"/>
    </row>
    <row r="800" spans="15:26" x14ac:dyDescent="0.25">
      <c r="O800" s="45" t="s">
        <v>21</v>
      </c>
      <c r="P800" s="39">
        <f>_xll.qlCalendarAdvance(Calendar,P799,O799,"f",,Trigger)</f>
        <v>48022</v>
      </c>
      <c r="Q800" s="39">
        <f>_xll.qlInterestRateIndexValueDate(Index,P800,Trigger)</f>
        <v>48024</v>
      </c>
      <c r="R800" s="39">
        <f>_xll.qlInterestRateIndexMaturity(Index,Q800,Trigger)</f>
        <v>48116</v>
      </c>
      <c r="S800" s="40">
        <f>_xll.qlDayCounterYearFraction(DayCounter,Q800,R800,,,Trigger)</f>
        <v>0.25555555555555554</v>
      </c>
      <c r="T800" s="41">
        <f>_xll.qlIndexFixing(Index,P800,,AllTriggers)</f>
        <v>9.8913071002118668E-3</v>
      </c>
      <c r="U800" s="42">
        <f>_xll.qlYieldTSDiscount(OisCurve,Q800,,AllTriggers)</f>
        <v>0.92434993790989584</v>
      </c>
      <c r="V800" s="42">
        <f>_xll.qlYieldTSDiscount(OisCurve,R800,,AllTriggers)</f>
        <v>0.92229335224125064</v>
      </c>
      <c r="W800" s="41">
        <f t="shared" si="56"/>
        <v>8.7255417363907781E-3</v>
      </c>
      <c r="X800" s="43">
        <f t="shared" si="57"/>
        <v>2.972108065078547E-4</v>
      </c>
      <c r="Y800" s="41">
        <f t="shared" si="58"/>
        <v>1.1657653638210887E-3</v>
      </c>
      <c r="Z800" s="62"/>
    </row>
    <row r="801" spans="15:26" x14ac:dyDescent="0.25">
      <c r="O801" s="45" t="s">
        <v>21</v>
      </c>
      <c r="P801" s="39">
        <f>_xll.qlCalendarAdvance(Calendar,P800,O800,"f",,Trigger)</f>
        <v>48052</v>
      </c>
      <c r="Q801" s="39">
        <f>_xll.qlInterestRateIndexValueDate(Index,P801,Trigger)</f>
        <v>48054</v>
      </c>
      <c r="R801" s="39">
        <f>_xll.qlInterestRateIndexMaturity(Index,Q801,Trigger)</f>
        <v>48148</v>
      </c>
      <c r="S801" s="40">
        <f>_xll.qlDayCounterYearFraction(DayCounter,Q801,R801,,,Trigger)</f>
        <v>0.26111111111111113</v>
      </c>
      <c r="T801" s="41">
        <f>_xll.qlIndexFixing(Index,P801,,AllTriggers)</f>
        <v>9.8816606249960779E-3</v>
      </c>
      <c r="U801" s="42">
        <f>_xll.qlYieldTSDiscount(OisCurve,Q801,,AllTriggers)</f>
        <v>0.92367872761738401</v>
      </c>
      <c r="V801" s="42">
        <f>_xll.qlYieldTSDiscount(OisCurve,R801,,AllTriggers)</f>
        <v>0.92157934483019088</v>
      </c>
      <c r="W801" s="41">
        <f t="shared" si="56"/>
        <v>8.7243593759606212E-3</v>
      </c>
      <c r="X801" s="43">
        <f t="shared" si="57"/>
        <v>3.0145195456000623E-4</v>
      </c>
      <c r="Y801" s="41">
        <f t="shared" si="58"/>
        <v>1.1573012490354567E-3</v>
      </c>
      <c r="Z801" s="62"/>
    </row>
    <row r="802" spans="15:26" x14ac:dyDescent="0.25">
      <c r="O802" s="45" t="s">
        <v>21</v>
      </c>
      <c r="P802" s="39">
        <f>_xll.qlCalendarAdvance(Calendar,P801,O801,"f",,Trigger)</f>
        <v>48085</v>
      </c>
      <c r="Q802" s="39">
        <f>_xll.qlInterestRateIndexValueDate(Index,P802,Trigger)</f>
        <v>48087</v>
      </c>
      <c r="R802" s="39">
        <f>_xll.qlInterestRateIndexMaturity(Index,Q802,Trigger)</f>
        <v>48179</v>
      </c>
      <c r="S802" s="40">
        <f>_xll.qlDayCounterYearFraction(DayCounter,Q802,R802,,,Trigger)</f>
        <v>0.25555555555555554</v>
      </c>
      <c r="T802" s="41">
        <f>_xll.qlIndexFixing(Index,P802,,AllTriggers)</f>
        <v>9.8707480794434522E-3</v>
      </c>
      <c r="U802" s="42">
        <f>_xll.qlYieldTSDiscount(OisCurve,Q802,,AllTriggers)</f>
        <v>0.92294103674269223</v>
      </c>
      <c r="V802" s="42">
        <f>_xll.qlYieldTSDiscount(OisCurve,R802,,AllTriggers)</f>
        <v>0.9208883676671491</v>
      </c>
      <c r="W802" s="41">
        <f t="shared" si="56"/>
        <v>8.7222117480205124E-3</v>
      </c>
      <c r="X802" s="43">
        <f t="shared" si="57"/>
        <v>2.9281917219747513E-4</v>
      </c>
      <c r="Y802" s="41">
        <f t="shared" si="58"/>
        <v>1.1485363314229398E-3</v>
      </c>
      <c r="Z802" s="62"/>
    </row>
    <row r="803" spans="15:26" x14ac:dyDescent="0.25">
      <c r="O803" s="45" t="s">
        <v>21</v>
      </c>
      <c r="P803" s="39">
        <f>_xll.qlCalendarAdvance(Calendar,P802,O802,"f",,Trigger)</f>
        <v>48116</v>
      </c>
      <c r="Q803" s="39">
        <f>_xll.qlInterestRateIndexValueDate(Index,P803,Trigger)</f>
        <v>48120</v>
      </c>
      <c r="R803" s="39">
        <f>_xll.qlInterestRateIndexMaturity(Index,Q803,Trigger)</f>
        <v>48211</v>
      </c>
      <c r="S803" s="40">
        <f>_xll.qlDayCounterYearFraction(DayCounter,Q803,R803,,,Trigger)</f>
        <v>0.25277777777777777</v>
      </c>
      <c r="T803" s="41">
        <f>_xll.qlIndexFixing(Index,P803,,AllTriggers)</f>
        <v>9.859368221561764E-3</v>
      </c>
      <c r="U803" s="42">
        <f>_xll.qlYieldTSDiscount(OisCurve,Q803,,AllTriggers)</f>
        <v>0.92220406157195245</v>
      </c>
      <c r="V803" s="42">
        <f>_xll.qlYieldTSDiscount(OisCurve,R803,,AllTriggers)</f>
        <v>0.92017588221025703</v>
      </c>
      <c r="W803" s="41">
        <f t="shared" si="56"/>
        <v>8.7196011770440066E-3</v>
      </c>
      <c r="X803" s="43">
        <f t="shared" si="57"/>
        <v>2.8743283998610602E-4</v>
      </c>
      <c r="Y803" s="41">
        <f t="shared" si="58"/>
        <v>1.1397670445177574E-3</v>
      </c>
      <c r="Z803" s="62"/>
    </row>
    <row r="804" spans="15:26" x14ac:dyDescent="0.25">
      <c r="O804" s="45" t="s">
        <v>21</v>
      </c>
      <c r="P804" s="39">
        <f>_xll.qlCalendarAdvance(Calendar,P803,O803,"f",,Trigger)</f>
        <v>48148</v>
      </c>
      <c r="Q804" s="39">
        <f>_xll.qlInterestRateIndexValueDate(Index,P804,Trigger)</f>
        <v>48150</v>
      </c>
      <c r="R804" s="39">
        <f>_xll.qlInterestRateIndexMaturity(Index,Q804,Trigger)</f>
        <v>48242</v>
      </c>
      <c r="S804" s="40">
        <f>_xll.qlDayCounterYearFraction(DayCounter,Q804,R804,,,Trigger)</f>
        <v>0.25555555555555554</v>
      </c>
      <c r="T804" s="41">
        <f>_xll.qlIndexFixing(Index,P804,,AllTriggers)</f>
        <v>9.8485464228824319E-3</v>
      </c>
      <c r="U804" s="42">
        <f>_xll.qlYieldTSDiscount(OisCurve,Q804,,AllTriggers)</f>
        <v>0.9215347439306758</v>
      </c>
      <c r="V804" s="42">
        <f>_xll.qlYieldTSDiscount(OisCurve,R804,,AllTriggers)</f>
        <v>0.91948645762644432</v>
      </c>
      <c r="W804" s="41">
        <f t="shared" si="56"/>
        <v>8.7168585223907774E-3</v>
      </c>
      <c r="X804" s="43">
        <f t="shared" si="57"/>
        <v>2.8852468055855717E-4</v>
      </c>
      <c r="Y804" s="41">
        <f t="shared" si="58"/>
        <v>1.1316879004916545E-3</v>
      </c>
      <c r="Z804" s="62"/>
    </row>
    <row r="805" spans="15:26" x14ac:dyDescent="0.25">
      <c r="O805" s="45" t="s">
        <v>21</v>
      </c>
      <c r="P805" s="39">
        <f>_xll.qlCalendarAdvance(Calendar,P804,O804,"f",,Trigger)</f>
        <v>48179</v>
      </c>
      <c r="Q805" s="39">
        <f>_xll.qlInterestRateIndexValueDate(Index,P805,Trigger)</f>
        <v>48183</v>
      </c>
      <c r="R805" s="39">
        <f>_xll.qlInterestRateIndexMaturity(Index,Q805,Trigger)</f>
        <v>48274</v>
      </c>
      <c r="S805" s="40">
        <f>_xll.qlDayCounterYearFraction(DayCounter,Q805,R805,,,Trigger)</f>
        <v>0.25277777777777777</v>
      </c>
      <c r="T805" s="41">
        <f>_xll.qlIndexFixing(Index,P805,,AllTriggers)</f>
        <v>9.8363198139942033E-3</v>
      </c>
      <c r="U805" s="42">
        <f>_xll.qlYieldTSDiscount(OisCurve,Q805,,AllTriggers)</f>
        <v>0.92079926274968116</v>
      </c>
      <c r="V805" s="42">
        <f>_xll.qlYieldTSDiscount(OisCurve,R805,,AllTriggers)</f>
        <v>0.91877565529009053</v>
      </c>
      <c r="W805" s="41">
        <f t="shared" si="56"/>
        <v>8.7132043756547612E-3</v>
      </c>
      <c r="X805" s="43">
        <f t="shared" si="57"/>
        <v>2.8323459617752628E-4</v>
      </c>
      <c r="Y805" s="41">
        <f t="shared" si="58"/>
        <v>1.1231154383394421E-3</v>
      </c>
      <c r="Z805" s="62"/>
    </row>
    <row r="806" spans="15:26" x14ac:dyDescent="0.25">
      <c r="O806" s="45" t="s">
        <v>21</v>
      </c>
      <c r="P806" s="39">
        <f>_xll.qlCalendarAdvance(Calendar,P805,O805,"f",,Trigger)</f>
        <v>48211</v>
      </c>
      <c r="Q806" s="39">
        <f>_xll.qlInterestRateIndexValueDate(Index,P806,Trigger)</f>
        <v>48213</v>
      </c>
      <c r="R806" s="39">
        <f>_xll.qlInterestRateIndexMaturity(Index,Q806,Trigger)</f>
        <v>48304</v>
      </c>
      <c r="S806" s="40">
        <f>_xll.qlDayCounterYearFraction(DayCounter,Q806,R806,,,Trigger)</f>
        <v>0.25277777777777777</v>
      </c>
      <c r="T806" s="41">
        <f>_xll.qlIndexFixing(Index,P806,,AllTriggers)</f>
        <v>9.8247670666798074E-3</v>
      </c>
      <c r="U806" s="42">
        <f>_xll.qlYieldTSDiscount(OisCurve,Q806,,AllTriggers)</f>
        <v>0.920131379157759</v>
      </c>
      <c r="V806" s="42">
        <f>_xll.qlYieldTSDiscount(OisCurve,R806,,AllTriggers)</f>
        <v>0.91811010952613004</v>
      </c>
      <c r="W806" s="41">
        <f t="shared" si="56"/>
        <v>8.7094471858805162E-3</v>
      </c>
      <c r="X806" s="43">
        <f t="shared" si="57"/>
        <v>2.8126920445447316E-4</v>
      </c>
      <c r="Y806" s="41">
        <f t="shared" si="58"/>
        <v>1.1153198807992912E-3</v>
      </c>
      <c r="Z806" s="62"/>
    </row>
    <row r="807" spans="15:26" x14ac:dyDescent="0.25">
      <c r="O807" s="45" t="s">
        <v>21</v>
      </c>
      <c r="P807" s="39">
        <f>_xll.qlCalendarAdvance(Calendar,P806,O806,"f",,Trigger)</f>
        <v>48242</v>
      </c>
      <c r="Q807" s="39">
        <f>_xll.qlInterestRateIndexValueDate(Index,P807,Trigger)</f>
        <v>48246</v>
      </c>
      <c r="R807" s="39">
        <f>_xll.qlInterestRateIndexMaturity(Index,Q807,Trigger)</f>
        <v>48337</v>
      </c>
      <c r="S807" s="40">
        <f>_xll.qlDayCounterYearFraction(DayCounter,Q807,R807,,,Trigger)</f>
        <v>0.25277777777777777</v>
      </c>
      <c r="T807" s="41">
        <f>_xll.qlIndexFixing(Index,P807,,AllTriggers)</f>
        <v>9.8116288569614109E-3</v>
      </c>
      <c r="U807" s="42">
        <f>_xll.qlYieldTSDiscount(OisCurve,Q807,,AllTriggers)</f>
        <v>0.91939755863426109</v>
      </c>
      <c r="V807" s="42">
        <f>_xll.qlYieldTSDiscount(OisCurve,R807,,AllTriggers)</f>
        <v>0.91737897989212247</v>
      </c>
      <c r="W807" s="41">
        <f t="shared" si="56"/>
        <v>8.7047843995458913E-3</v>
      </c>
      <c r="X807" s="43">
        <f t="shared" si="57"/>
        <v>2.7913243914206735E-4</v>
      </c>
      <c r="Y807" s="41">
        <f t="shared" si="58"/>
        <v>1.1068444574155196E-3</v>
      </c>
      <c r="Z807" s="62"/>
    </row>
    <row r="808" spans="15:26" x14ac:dyDescent="0.25">
      <c r="O808" s="45" t="s">
        <v>21</v>
      </c>
      <c r="P808" s="39">
        <f>_xll.qlCalendarAdvance(Calendar,P807,O807,"f",,Trigger)</f>
        <v>48274</v>
      </c>
      <c r="Q808" s="39">
        <f>_xll.qlInterestRateIndexValueDate(Index,P808,Trigger)</f>
        <v>48276</v>
      </c>
      <c r="R808" s="39">
        <f>_xll.qlInterestRateIndexMaturity(Index,Q808,Trigger)</f>
        <v>48368</v>
      </c>
      <c r="S808" s="40">
        <f>_xll.qlDayCounterYearFraction(DayCounter,Q808,R808,,,Trigger)</f>
        <v>0.25555555555555554</v>
      </c>
      <c r="T808" s="41">
        <f>_xll.qlIndexFixing(Index,P808,,AllTriggers)</f>
        <v>9.7992153160082092E-3</v>
      </c>
      <c r="U808" s="42">
        <f>_xll.qlYieldTSDiscount(OisCurve,Q808,,AllTriggers)</f>
        <v>0.91873126014073059</v>
      </c>
      <c r="V808" s="42">
        <f>_xll.qlYieldTSDiscount(OisCurve,R808,,AllTriggers)</f>
        <v>0.91669312645375411</v>
      </c>
      <c r="W808" s="41">
        <f t="shared" si="56"/>
        <v>8.7000823956212801E-3</v>
      </c>
      <c r="X808" s="43">
        <f t="shared" si="57"/>
        <v>2.8022712529578403E-4</v>
      </c>
      <c r="Y808" s="41">
        <f t="shared" si="58"/>
        <v>1.0991329203869291E-3</v>
      </c>
      <c r="Z808" s="62"/>
    </row>
    <row r="809" spans="15:26" x14ac:dyDescent="0.25">
      <c r="O809" s="45" t="s">
        <v>21</v>
      </c>
      <c r="P809" s="39">
        <f>_xll.qlCalendarAdvance(Calendar,P808,O808,"f",,Trigger)</f>
        <v>48305</v>
      </c>
      <c r="Q809" s="39">
        <f>_xll.qlInterestRateIndexValueDate(Index,P809,Trigger)</f>
        <v>48309</v>
      </c>
      <c r="R809" s="39">
        <f>_xll.qlInterestRateIndexMaturity(Index,Q809,Trigger)</f>
        <v>48400</v>
      </c>
      <c r="S809" s="40">
        <f>_xll.qlDayCounterYearFraction(DayCounter,Q809,R809,,,Trigger)</f>
        <v>0.25277777777777777</v>
      </c>
      <c r="T809" s="41">
        <f>_xll.qlIndexFixing(Index,P809,,AllTriggers)</f>
        <v>9.7852953811438971E-3</v>
      </c>
      <c r="U809" s="42">
        <f>_xll.qlYieldTSDiscount(OisCurve,Q809,,AllTriggers)</f>
        <v>0.91799926591633929</v>
      </c>
      <c r="V809" s="42">
        <f>_xll.qlYieldTSDiscount(OisCurve,R809,,AllTriggers)</f>
        <v>0.91598616989403525</v>
      </c>
      <c r="W809" s="41">
        <f t="shared" si="56"/>
        <v>8.694341261608186E-3</v>
      </c>
      <c r="X809" s="43">
        <f t="shared" si="57"/>
        <v>2.7512636887934427E-4</v>
      </c>
      <c r="Y809" s="41">
        <f t="shared" si="58"/>
        <v>1.0909541195357111E-3</v>
      </c>
      <c r="Z809" s="62"/>
    </row>
    <row r="810" spans="15:26" x14ac:dyDescent="0.25">
      <c r="O810" s="45" t="s">
        <v>21</v>
      </c>
      <c r="P810" s="39">
        <f>_xll.qlCalendarAdvance(Calendar,P809,O809,"f",,Trigger)</f>
        <v>48337</v>
      </c>
      <c r="Q810" s="39">
        <f>_xll.qlInterestRateIndexValueDate(Index,P810,Trigger)</f>
        <v>48339</v>
      </c>
      <c r="R810" s="39">
        <f>_xll.qlInterestRateIndexMaturity(Index,Q810,Trigger)</f>
        <v>48431</v>
      </c>
      <c r="S810" s="40">
        <f>_xll.qlDayCounterYearFraction(DayCounter,Q810,R810,,,Trigger)</f>
        <v>0.25555555555555554</v>
      </c>
      <c r="T810" s="41">
        <f>_xll.qlIndexFixing(Index,P810,,AllTriggers)</f>
        <v>9.7720859276654356E-3</v>
      </c>
      <c r="U810" s="42">
        <f>_xll.qlYieldTSDiscount(OisCurve,Q810,,AllTriggers)</f>
        <v>0.91733470264009465</v>
      </c>
      <c r="V810" s="42">
        <f>_xll.qlYieldTSDiscount(OisCurve,R810,,AllTriggers)</f>
        <v>0.91530233311114473</v>
      </c>
      <c r="W810" s="41">
        <f t="shared" si="56"/>
        <v>8.6886595204468363E-3</v>
      </c>
      <c r="X810" s="43">
        <f t="shared" si="57"/>
        <v>2.7622406167150183E-4</v>
      </c>
      <c r="Y810" s="41">
        <f t="shared" si="58"/>
        <v>1.0834264072185993E-3</v>
      </c>
      <c r="Z810" s="62"/>
    </row>
    <row r="811" spans="15:26" x14ac:dyDescent="0.25">
      <c r="O811" s="45" t="s">
        <v>21</v>
      </c>
      <c r="P811" s="39">
        <f>_xll.qlCalendarAdvance(Calendar,P810,O810,"f",,Trigger)</f>
        <v>48368</v>
      </c>
      <c r="Q811" s="39">
        <f>_xll.qlInterestRateIndexValueDate(Index,P811,Trigger)</f>
        <v>48372</v>
      </c>
      <c r="R811" s="39">
        <f>_xll.qlInterestRateIndexMaturity(Index,Q811,Trigger)</f>
        <v>48464</v>
      </c>
      <c r="S811" s="40">
        <f>_xll.qlDayCounterYearFraction(DayCounter,Q811,R811,,,Trigger)</f>
        <v>0.25555555555555554</v>
      </c>
      <c r="T811" s="41">
        <f>_xll.qlIndexFixing(Index,P811,,AllTriggers)</f>
        <v>9.7572197785015784E-3</v>
      </c>
      <c r="U811" s="42">
        <f>_xll.qlYieldTSDiscount(OisCurve,Q811,,AllTriggers)</f>
        <v>0.91660469933639266</v>
      </c>
      <c r="V811" s="42">
        <f>_xll.qlYieldTSDiscount(OisCurve,R811,,AllTriggers)</f>
        <v>0.91457553081555809</v>
      </c>
      <c r="W811" s="41">
        <f t="shared" si="56"/>
        <v>8.6818686693523415E-3</v>
      </c>
      <c r="X811" s="43">
        <f t="shared" si="57"/>
        <v>2.741659877780533E-4</v>
      </c>
      <c r="Y811" s="41">
        <f t="shared" si="58"/>
        <v>1.075351109149237E-3</v>
      </c>
      <c r="Z811" s="62"/>
    </row>
    <row r="812" spans="15:26" x14ac:dyDescent="0.25">
      <c r="O812" s="45" t="s">
        <v>21</v>
      </c>
      <c r="P812" s="39">
        <f>_xll.qlCalendarAdvance(Calendar,P811,O811,"f",,Trigger)</f>
        <v>48400</v>
      </c>
      <c r="Q812" s="39">
        <f>_xll.qlInterestRateIndexValueDate(Index,P812,Trigger)</f>
        <v>48402</v>
      </c>
      <c r="R812" s="39">
        <f>_xll.qlInterestRateIndexMaturity(Index,Q812,Trigger)</f>
        <v>48494</v>
      </c>
      <c r="S812" s="40">
        <f>_xll.qlDayCounterYearFraction(DayCounter,Q812,R812,,,Trigger)</f>
        <v>0.25555555555555554</v>
      </c>
      <c r="T812" s="41">
        <f>_xll.qlIndexFixing(Index,P812,,AllTriggers)</f>
        <v>9.7433140274735229E-3</v>
      </c>
      <c r="U812" s="42">
        <f>_xll.qlYieldTSDiscount(OisCurve,Q812,,AllTriggers)</f>
        <v>0.91594202047200246</v>
      </c>
      <c r="V812" s="42">
        <f>_xll.qlYieldTSDiscount(OisCurve,R812,,AllTriggers)</f>
        <v>0.913915869906614</v>
      </c>
      <c r="W812" s="41">
        <f t="shared" si="56"/>
        <v>8.6752134599418183E-3</v>
      </c>
      <c r="X812" s="43">
        <f t="shared" si="57"/>
        <v>2.723181407189382E-4</v>
      </c>
      <c r="Y812" s="41">
        <f t="shared" si="58"/>
        <v>1.0681005675317046E-3</v>
      </c>
      <c r="Z812" s="62"/>
    </row>
    <row r="813" spans="15:26" x14ac:dyDescent="0.25">
      <c r="O813" s="45" t="s">
        <v>21</v>
      </c>
      <c r="P813" s="39">
        <f>_xll.qlCalendarAdvance(Calendar,P812,O812,"f",,Trigger)</f>
        <v>48431</v>
      </c>
      <c r="Q813" s="39">
        <f>_xll.qlInterestRateIndexValueDate(Index,P813,Trigger)</f>
        <v>48435</v>
      </c>
      <c r="R813" s="39">
        <f>_xll.qlInterestRateIndexMaturity(Index,Q813,Trigger)</f>
        <v>48527</v>
      </c>
      <c r="S813" s="40">
        <f>_xll.qlDayCounterYearFraction(DayCounter,Q813,R813,,,Trigger)</f>
        <v>0.25555555555555554</v>
      </c>
      <c r="T813" s="41">
        <f>_xll.qlIndexFixing(Index,P813,,AllTriggers)</f>
        <v>9.7275875292533193E-3</v>
      </c>
      <c r="U813" s="42">
        <f>_xll.qlYieldTSDiscount(OisCurve,Q813,,AllTriggers)</f>
        <v>0.91521417169722552</v>
      </c>
      <c r="V813" s="42">
        <f>_xll.qlYieldTSDiscount(OisCurve,R813,,AllTriggers)</f>
        <v>0.91319145925465162</v>
      </c>
      <c r="W813" s="41">
        <f t="shared" si="56"/>
        <v>8.6673628532084272E-3</v>
      </c>
      <c r="X813" s="43">
        <f t="shared" si="57"/>
        <v>2.7031095108196742E-4</v>
      </c>
      <c r="Y813" s="41">
        <f t="shared" si="58"/>
        <v>1.0602246760448922E-3</v>
      </c>
      <c r="Z813" s="62"/>
    </row>
    <row r="814" spans="15:26" x14ac:dyDescent="0.25">
      <c r="O814" s="45" t="s">
        <v>21</v>
      </c>
      <c r="P814" s="39">
        <f>_xll.qlCalendarAdvance(Calendar,P813,O813,"f",,Trigger)</f>
        <v>48463</v>
      </c>
      <c r="Q814" s="39">
        <f>_xll.qlInterestRateIndexValueDate(Index,P814,Trigger)</f>
        <v>48465</v>
      </c>
      <c r="R814" s="39">
        <f>_xll.qlInterestRateIndexMaturity(Index,Q814,Trigger)</f>
        <v>48556</v>
      </c>
      <c r="S814" s="40">
        <f>_xll.qlDayCounterYearFraction(DayCounter,Q814,R814,,,Trigger)</f>
        <v>0.25277777777777777</v>
      </c>
      <c r="T814" s="41">
        <f>_xll.qlIndexFixing(Index,P814,,AllTriggers)</f>
        <v>9.7130197316021502E-3</v>
      </c>
      <c r="U814" s="42">
        <f>_xll.qlYieldTSDiscount(OisCurve,Q814,,AllTriggers)</f>
        <v>0.91455352552126046</v>
      </c>
      <c r="V814" s="42">
        <f>_xll.qlYieldTSDiscount(OisCurve,R814,,AllTriggers)</f>
        <v>0.91255594181989197</v>
      </c>
      <c r="W814" s="41">
        <f t="shared" si="56"/>
        <v>8.6597747780048241E-3</v>
      </c>
      <c r="X814" s="43">
        <f t="shared" si="57"/>
        <v>2.6562011937440207E-4</v>
      </c>
      <c r="Y814" s="41">
        <f t="shared" si="58"/>
        <v>1.0532449535973262E-3</v>
      </c>
      <c r="Z814" s="62"/>
    </row>
    <row r="815" spans="15:26" x14ac:dyDescent="0.25">
      <c r="O815" s="45" t="s">
        <v>21</v>
      </c>
      <c r="P815" s="39">
        <f>_xll.qlCalendarAdvance(Calendar,P814,O814,"f",,Trigger)</f>
        <v>48493</v>
      </c>
      <c r="Q815" s="39">
        <f>_xll.qlInterestRateIndexValueDate(Index,P815,Trigger)</f>
        <v>48495</v>
      </c>
      <c r="R815" s="39">
        <f>_xll.qlInterestRateIndexMaturity(Index,Q815,Trigger)</f>
        <v>48589</v>
      </c>
      <c r="S815" s="40">
        <f>_xll.qlDayCounterYearFraction(DayCounter,Q815,R815,,,Trigger)</f>
        <v>0.26111111111111113</v>
      </c>
      <c r="T815" s="41">
        <f>_xll.qlIndexFixing(Index,P815,,AllTriggers)</f>
        <v>9.6975855055511356E-3</v>
      </c>
      <c r="U815" s="42">
        <f>_xll.qlYieldTSDiscount(OisCurve,Q815,,AllTriggers)</f>
        <v>0.9138938991429062</v>
      </c>
      <c r="V815" s="42">
        <f>_xll.qlYieldTSDiscount(OisCurve,R815,,AllTriggers)</f>
        <v>0.91183404218457487</v>
      </c>
      <c r="W815" s="41">
        <f t="shared" si="56"/>
        <v>8.6515895634596985E-3</v>
      </c>
      <c r="X815" s="43">
        <f t="shared" si="57"/>
        <v>2.7246844255748132E-4</v>
      </c>
      <c r="Y815" s="41">
        <f t="shared" si="58"/>
        <v>1.0459959420914371E-3</v>
      </c>
      <c r="Z815" s="62"/>
    </row>
    <row r="816" spans="15:26" x14ac:dyDescent="0.25">
      <c r="O816" s="45" t="s">
        <v>21</v>
      </c>
      <c r="P816" s="39">
        <f>_xll.qlCalendarAdvance(Calendar,P815,O815,"f",,Trigger)</f>
        <v>48526</v>
      </c>
      <c r="Q816" s="39">
        <f>_xll.qlInterestRateIndexValueDate(Index,P816,Trigger)</f>
        <v>48528</v>
      </c>
      <c r="R816" s="39">
        <f>_xll.qlInterestRateIndexMaturity(Index,Q816,Trigger)</f>
        <v>48620</v>
      </c>
      <c r="S816" s="40">
        <f>_xll.qlDayCounterYearFraction(DayCounter,Q816,R816,,,Trigger)</f>
        <v>0.25555555555555554</v>
      </c>
      <c r="T816" s="41">
        <f>_xll.qlIndexFixing(Index,P816,,AllTriggers)</f>
        <v>9.6808428381762839E-3</v>
      </c>
      <c r="U816" s="42">
        <f>_xll.qlYieldTSDiscount(OisCurve,Q816,,AllTriggers)</f>
        <v>0.91316952775540594</v>
      </c>
      <c r="V816" s="42">
        <f>_xll.qlYieldTSDiscount(OisCurve,R816,,AllTriggers)</f>
        <v>0.91115716837698701</v>
      </c>
      <c r="W816" s="41">
        <f t="shared" si="56"/>
        <v>8.6422518693074976E-3</v>
      </c>
      <c r="X816" s="43">
        <f t="shared" si="57"/>
        <v>2.6479772682826185E-4</v>
      </c>
      <c r="Y816" s="41">
        <f t="shared" si="58"/>
        <v>1.0385909688687862E-3</v>
      </c>
      <c r="Z816" s="62"/>
    </row>
    <row r="817" spans="15:26" x14ac:dyDescent="0.25">
      <c r="O817" s="45" t="s">
        <v>21</v>
      </c>
      <c r="P817" s="39">
        <f>_xll.qlCalendarAdvance(Calendar,P816,O816,"f",,Trigger)</f>
        <v>48556</v>
      </c>
      <c r="Q817" s="39">
        <f>_xll.qlInterestRateIndexValueDate(Index,P817,Trigger)</f>
        <v>48558</v>
      </c>
      <c r="R817" s="39">
        <f>_xll.qlInterestRateIndexMaturity(Index,Q817,Trigger)</f>
        <v>48648</v>
      </c>
      <c r="S817" s="40">
        <f>_xll.qlDayCounterYearFraction(DayCounter,Q817,R817,,,Trigger)</f>
        <v>0.25</v>
      </c>
      <c r="T817" s="41">
        <f>_xll.qlIndexFixing(Index,P817,,AllTriggers)</f>
        <v>9.6652814948150478E-3</v>
      </c>
      <c r="U817" s="42">
        <f>_xll.qlYieldTSDiscount(OisCurve,Q817,,AllTriggers)</f>
        <v>0.91251215128674712</v>
      </c>
      <c r="V817" s="42">
        <f>_xll.qlYieldTSDiscount(OisCurve,R817,,AllTriggers)</f>
        <v>0.91054689046067483</v>
      </c>
      <c r="W817" s="41">
        <f t="shared" si="56"/>
        <v>8.633320685233592E-3</v>
      </c>
      <c r="X817" s="43">
        <f t="shared" si="57"/>
        <v>2.5740144299396815E-4</v>
      </c>
      <c r="Y817" s="41">
        <f t="shared" si="58"/>
        <v>1.0319608095814559E-3</v>
      </c>
      <c r="Z817" s="62"/>
    </row>
    <row r="818" spans="15:26" x14ac:dyDescent="0.25">
      <c r="O818" s="45" t="s">
        <v>21</v>
      </c>
      <c r="P818" s="39">
        <f>_xll.qlCalendarAdvance(Calendar,P817,O817,"f",,Trigger)</f>
        <v>48589</v>
      </c>
      <c r="Q818" s="39">
        <f>_xll.qlInterestRateIndexValueDate(Index,P818,Trigger)</f>
        <v>48591</v>
      </c>
      <c r="R818" s="39">
        <f>_xll.qlInterestRateIndexMaturity(Index,Q818,Trigger)</f>
        <v>48681</v>
      </c>
      <c r="S818" s="40">
        <f>_xll.qlDayCounterYearFraction(DayCounter,Q818,R818,,,Trigger)</f>
        <v>0.25</v>
      </c>
      <c r="T818" s="41">
        <f>_xll.qlIndexFixing(Index,P818,,AllTriggers)</f>
        <v>9.6474393071384057E-3</v>
      </c>
      <c r="U818" s="42">
        <f>_xll.qlYieldTSDiscount(OisCurve,Q818,,AllTriggers)</f>
        <v>0.9117903352398351</v>
      </c>
      <c r="V818" s="42">
        <f>_xll.qlYieldTSDiscount(OisCurve,R818,,AllTriggers)</f>
        <v>0.90982900246140486</v>
      </c>
      <c r="W818" s="41">
        <f t="shared" si="56"/>
        <v>8.6228632990339449E-3</v>
      </c>
      <c r="X818" s="43">
        <f t="shared" si="57"/>
        <v>2.5556035778631609E-4</v>
      </c>
      <c r="Y818" s="41">
        <f t="shared" si="58"/>
        <v>1.0245760081044608E-3</v>
      </c>
      <c r="Z818" s="62"/>
    </row>
    <row r="819" spans="15:26" x14ac:dyDescent="0.25">
      <c r="O819" s="45" t="s">
        <v>21</v>
      </c>
      <c r="P819" s="39">
        <f>_xll.qlCalendarAdvance(Calendar,P818,O818,"f",,Trigger)</f>
        <v>48620</v>
      </c>
      <c r="Q819" s="39">
        <f>_xll.qlInterestRateIndexValueDate(Index,P819,Trigger)</f>
        <v>48624</v>
      </c>
      <c r="R819" s="39">
        <f>_xll.qlInterestRateIndexMaturity(Index,Q819,Trigger)</f>
        <v>48715</v>
      </c>
      <c r="S819" s="40">
        <f>_xll.qlDayCounterYearFraction(DayCounter,Q819,R819,,,Trigger)</f>
        <v>0.25277777777777777</v>
      </c>
      <c r="T819" s="41">
        <f>_xll.qlIndexFixing(Index,P819,,AllTriggers)</f>
        <v>9.6289914369615259E-3</v>
      </c>
      <c r="U819" s="42">
        <f>_xll.qlYieldTSDiscount(OisCurve,Q819,,AllTriggers)</f>
        <v>0.91106992167970169</v>
      </c>
      <c r="V819" s="42">
        <f>_xll.qlYieldTSDiscount(OisCurve,R819,,AllTriggers)</f>
        <v>0.9090909522122691</v>
      </c>
      <c r="W819" s="41">
        <f t="shared" si="56"/>
        <v>8.6117788124283993E-3</v>
      </c>
      <c r="X819" s="43">
        <f t="shared" si="57"/>
        <v>2.5653731915991598E-4</v>
      </c>
      <c r="Y819" s="41">
        <f t="shared" si="58"/>
        <v>1.0172126245331266E-3</v>
      </c>
      <c r="Z819" s="62"/>
    </row>
    <row r="820" spans="15:26" x14ac:dyDescent="0.25">
      <c r="O820" s="45" t="s">
        <v>21</v>
      </c>
      <c r="P820" s="39">
        <f>_xll.qlCalendarAdvance(Calendar,P819,O819,"f",,Trigger)</f>
        <v>48648</v>
      </c>
      <c r="Q820" s="39">
        <f>_xll.qlInterestRateIndexValueDate(Index,P820,Trigger)</f>
        <v>48652</v>
      </c>
      <c r="R820" s="39">
        <f>_xll.qlInterestRateIndexMaturity(Index,Q820,Trigger)</f>
        <v>48744</v>
      </c>
      <c r="S820" s="40">
        <f>_xll.qlDayCounterYearFraction(DayCounter,Q820,R820,,,Trigger)</f>
        <v>0.25555555555555554</v>
      </c>
      <c r="T820" s="41">
        <f>_xll.qlIndexFixing(Index,P820,,AllTriggers)</f>
        <v>9.6129492575769901E-3</v>
      </c>
      <c r="U820" s="42">
        <f>_xll.qlYieldTSDiscount(OisCurve,Q820,,AllTriggers)</f>
        <v>0.91045979414429123</v>
      </c>
      <c r="V820" s="42">
        <f>_xll.qlYieldTSDiscount(OisCurve,R820,,AllTriggers)</f>
        <v>0.90846275084458272</v>
      </c>
      <c r="W820" s="41">
        <f t="shared" si="56"/>
        <v>8.6019126843273064E-3</v>
      </c>
      <c r="X820" s="43">
        <f t="shared" si="57"/>
        <v>2.5777605254007584E-4</v>
      </c>
      <c r="Y820" s="41">
        <f t="shared" si="58"/>
        <v>1.0110365732496837E-3</v>
      </c>
      <c r="Z820" s="62"/>
    </row>
    <row r="821" spans="15:26" x14ac:dyDescent="0.25">
      <c r="O821" s="45" t="s">
        <v>21</v>
      </c>
      <c r="P821" s="39">
        <f>_xll.qlCalendarAdvance(Calendar,P820,O820,"f",,Trigger)</f>
        <v>48680</v>
      </c>
      <c r="Q821" s="39">
        <f>_xll.qlInterestRateIndexValueDate(Index,P821,Trigger)</f>
        <v>48682</v>
      </c>
      <c r="R821" s="39">
        <f>_xll.qlInterestRateIndexMaturity(Index,Q821,Trigger)</f>
        <v>48773</v>
      </c>
      <c r="S821" s="40">
        <f>_xll.qlDayCounterYearFraction(DayCounter,Q821,R821,,,Trigger)</f>
        <v>0.25277777777777777</v>
      </c>
      <c r="T821" s="41">
        <f>_xll.qlIndexFixing(Index,P821,,AllTriggers)</f>
        <v>9.595735654031436E-3</v>
      </c>
      <c r="U821" s="42">
        <f>_xll.qlYieldTSDiscount(OisCurve,Q821,,AllTriggers)</f>
        <v>0.9098072718135034</v>
      </c>
      <c r="V821" s="42">
        <f>_xll.qlYieldTSDiscount(OisCurve,R821,,AllTriggers)</f>
        <v>0.90783578849179625</v>
      </c>
      <c r="W821" s="41">
        <f t="shared" si="56"/>
        <v>8.5910632497073671E-3</v>
      </c>
      <c r="X821" s="43">
        <f t="shared" si="57"/>
        <v>2.5337644566244893E-4</v>
      </c>
      <c r="Y821" s="41">
        <f t="shared" si="58"/>
        <v>1.0046724043240689E-3</v>
      </c>
      <c r="Z821" s="62"/>
    </row>
    <row r="822" spans="15:26" x14ac:dyDescent="0.25">
      <c r="O822" s="45" t="s">
        <v>21</v>
      </c>
      <c r="P822" s="39">
        <f>_xll.qlCalendarAdvance(Calendar,P821,O821,"f",,Trigger)</f>
        <v>48710</v>
      </c>
      <c r="Q822" s="39">
        <f>_xll.qlInterestRateIndexValueDate(Index,P822,Trigger)</f>
        <v>48712</v>
      </c>
      <c r="R822" s="39">
        <f>_xll.qlInterestRateIndexMaturity(Index,Q822,Trigger)</f>
        <v>48806</v>
      </c>
      <c r="S822" s="40">
        <f>_xll.qlDayCounterYearFraction(DayCounter,Q822,R822,,,Trigger)</f>
        <v>0.26111111111111113</v>
      </c>
      <c r="T822" s="41">
        <f>_xll.qlIndexFixing(Index,P822,,AllTriggers)</f>
        <v>9.5774633621963645E-3</v>
      </c>
      <c r="U822" s="42">
        <f>_xll.qlYieldTSDiscount(OisCurve,Q822,,AllTriggers)</f>
        <v>0.90915600810247765</v>
      </c>
      <c r="V822" s="42">
        <f>_xll.qlYieldTSDiscount(OisCurve,R822,,AllTriggers)</f>
        <v>0.90712389299059593</v>
      </c>
      <c r="W822" s="41">
        <f t="shared" si="56"/>
        <v>8.5793887403097305E-3</v>
      </c>
      <c r="X822" s="43">
        <f t="shared" si="57"/>
        <v>2.5999206950219357E-4</v>
      </c>
      <c r="Y822" s="41">
        <f t="shared" si="58"/>
        <v>9.9807462188663404E-4</v>
      </c>
      <c r="Z822" s="62"/>
    </row>
    <row r="823" spans="15:26" x14ac:dyDescent="0.25">
      <c r="O823" s="45" t="s">
        <v>21</v>
      </c>
      <c r="P823" s="39">
        <f>_xll.qlCalendarAdvance(Calendar,P822,O822,"f",,Trigger)</f>
        <v>48743</v>
      </c>
      <c r="Q823" s="39">
        <f>_xll.qlInterestRateIndexValueDate(Index,P823,Trigger)</f>
        <v>48745</v>
      </c>
      <c r="R823" s="39">
        <f>_xll.qlInterestRateIndexMaturity(Index,Q823,Trigger)</f>
        <v>48837</v>
      </c>
      <c r="S823" s="40">
        <f>_xll.qlDayCounterYearFraction(DayCounter,Q823,R823,,,Trigger)</f>
        <v>0.25555555555555554</v>
      </c>
      <c r="T823" s="41">
        <f>_xll.qlIndexFixing(Index,P823,,AllTriggers)</f>
        <v>9.557853758447938E-3</v>
      </c>
      <c r="U823" s="42">
        <f>_xll.qlYieldTSDiscount(OisCurve,Q823,,AllTriggers)</f>
        <v>0.90844111065902533</v>
      </c>
      <c r="V823" s="42">
        <f>_xll.qlYieldTSDiscount(OisCurve,R823,,AllTriggers)</f>
        <v>0.90645667711379219</v>
      </c>
      <c r="W823" s="41">
        <f t="shared" si="56"/>
        <v>8.5665150230251896E-3</v>
      </c>
      <c r="X823" s="43">
        <f t="shared" si="57"/>
        <v>2.5275676536218062E-4</v>
      </c>
      <c r="Y823" s="41">
        <f t="shared" si="58"/>
        <v>9.9133873542274834E-4</v>
      </c>
      <c r="Z823" s="62"/>
    </row>
    <row r="824" spans="15:26" x14ac:dyDescent="0.25">
      <c r="O824" s="45" t="s">
        <v>21</v>
      </c>
      <c r="P824" s="39">
        <f>_xll.qlCalendarAdvance(Calendar,P823,O823,"f",,Trigger)</f>
        <v>48773</v>
      </c>
      <c r="Q824" s="39">
        <f>_xll.qlInterestRateIndexValueDate(Index,P824,Trigger)</f>
        <v>48775</v>
      </c>
      <c r="R824" s="39">
        <f>_xll.qlInterestRateIndexMaturity(Index,Q824,Trigger)</f>
        <v>48869</v>
      </c>
      <c r="S824" s="40">
        <f>_xll.qlDayCounterYearFraction(DayCounter,Q824,R824,,,Trigger)</f>
        <v>0.26111111111111113</v>
      </c>
      <c r="T824" s="41">
        <f>_xll.qlIndexFixing(Index,P824,,AllTriggers)</f>
        <v>9.5389394484445677E-3</v>
      </c>
      <c r="U824" s="42">
        <f>_xll.qlYieldTSDiscount(OisCurve,Q824,,AllTriggers)</f>
        <v>0.90779259612520569</v>
      </c>
      <c r="V824" s="42">
        <f>_xll.qlYieldTSDiscount(OisCurve,R824,,AllTriggers)</f>
        <v>0.90576953584700948</v>
      </c>
      <c r="W824" s="41">
        <f t="shared" si="56"/>
        <v>8.5539313484300893E-3</v>
      </c>
      <c r="X824" s="43">
        <f t="shared" si="57"/>
        <v>2.5659046216556754E-4</v>
      </c>
      <c r="Y824" s="41">
        <f t="shared" si="58"/>
        <v>9.8500810001447836E-4</v>
      </c>
      <c r="Z824" s="62"/>
    </row>
    <row r="825" spans="15:26" x14ac:dyDescent="0.25">
      <c r="O825" s="45" t="s">
        <v>21</v>
      </c>
      <c r="P825" s="39">
        <f>_xll.qlCalendarAdvance(Calendar,P824,O824,"f",,Trigger)</f>
        <v>48806</v>
      </c>
      <c r="Q825" s="39">
        <f>_xll.qlInterestRateIndexValueDate(Index,P825,Trigger)</f>
        <v>48808</v>
      </c>
      <c r="R825" s="39">
        <f>_xll.qlInterestRateIndexMaturity(Index,Q825,Trigger)</f>
        <v>48900</v>
      </c>
      <c r="S825" s="40">
        <f>_xll.qlDayCounterYearFraction(DayCounter,Q825,R825,,,Trigger)</f>
        <v>0.25555555555555554</v>
      </c>
      <c r="T825" s="41">
        <f>_xll.qlIndexFixing(Index,P825,,AllTriggers)</f>
        <v>9.5184977387039269E-3</v>
      </c>
      <c r="U825" s="42">
        <f>_xll.qlYieldTSDiscount(OisCurve,Q825,,AllTriggers)</f>
        <v>0.90708080154276782</v>
      </c>
      <c r="V825" s="42">
        <f>_xll.qlYieldTSDiscount(OisCurve,R825,,AllTriggers)</f>
        <v>0.90510545193943204</v>
      </c>
      <c r="W825" s="41">
        <f t="shared" si="56"/>
        <v>8.5400312925478505E-3</v>
      </c>
      <c r="X825" s="43">
        <f t="shared" si="57"/>
        <v>2.4947687495934689E-4</v>
      </c>
      <c r="Y825" s="41">
        <f t="shared" si="58"/>
        <v>9.7846644615607638E-4</v>
      </c>
      <c r="Z825" s="62"/>
    </row>
    <row r="826" spans="15:26" x14ac:dyDescent="0.25">
      <c r="O826" s="45" t="s">
        <v>21</v>
      </c>
      <c r="P826" s="39">
        <f>_xll.qlCalendarAdvance(Calendar,P825,O825,"f",,Trigger)</f>
        <v>48837</v>
      </c>
      <c r="Q826" s="39">
        <f>_xll.qlInterestRateIndexValueDate(Index,P826,Trigger)</f>
        <v>48841</v>
      </c>
      <c r="R826" s="39">
        <f>_xll.qlInterestRateIndexMaturity(Index,Q826,Trigger)</f>
        <v>48932</v>
      </c>
      <c r="S826" s="40">
        <f>_xll.qlDayCounterYearFraction(DayCounter,Q826,R826,,,Trigger)</f>
        <v>0.25277777777777777</v>
      </c>
      <c r="T826" s="41">
        <f>_xll.qlIndexFixing(Index,P826,,AllTriggers)</f>
        <v>9.4974309062353292E-3</v>
      </c>
      <c r="U826" s="42">
        <f>_xll.qlYieldTSDiscount(OisCurve,Q826,,AllTriggers)</f>
        <v>0.90637069491541189</v>
      </c>
      <c r="V826" s="42">
        <f>_xll.qlYieldTSDiscount(OisCurve,R826,,AllTriggers)</f>
        <v>0.90442161914910668</v>
      </c>
      <c r="W826" s="41">
        <f t="shared" si="56"/>
        <v>8.5254810830570869E-3</v>
      </c>
      <c r="X826" s="43">
        <f t="shared" si="57"/>
        <v>2.4512893945799474E-4</v>
      </c>
      <c r="Y826" s="41">
        <f t="shared" si="58"/>
        <v>9.7194982317824231E-4</v>
      </c>
      <c r="Z826" s="62"/>
    </row>
    <row r="827" spans="15:26" x14ac:dyDescent="0.25">
      <c r="O827" s="45" t="s">
        <v>21</v>
      </c>
      <c r="P827" s="39">
        <f>_xll.qlCalendarAdvance(Calendar,P826,O826,"f",,Trigger)</f>
        <v>48869</v>
      </c>
      <c r="Q827" s="39">
        <f>_xll.qlInterestRateIndexValueDate(Index,P827,Trigger)</f>
        <v>48871</v>
      </c>
      <c r="R827" s="39">
        <f>_xll.qlInterestRateIndexMaturity(Index,Q827,Trigger)</f>
        <v>48963</v>
      </c>
      <c r="S827" s="40">
        <f>_xll.qlDayCounterYearFraction(DayCounter,Q827,R827,,,Trigger)</f>
        <v>0.25555555555555554</v>
      </c>
      <c r="T827" s="41">
        <f>_xll.qlIndexFixing(Index,P827,,AllTriggers)</f>
        <v>9.4774995256663927E-3</v>
      </c>
      <c r="U827" s="42">
        <f>_xll.qlYieldTSDiscount(OisCurve,Q827,,AllTriggers)</f>
        <v>0.90572664428607474</v>
      </c>
      <c r="V827" s="42">
        <f>_xll.qlYieldTSDiscount(OisCurve,R827,,AllTriggers)</f>
        <v>0.90376081322818869</v>
      </c>
      <c r="W827" s="41">
        <f t="shared" si="56"/>
        <v>8.5115246067672384E-3</v>
      </c>
      <c r="X827" s="43">
        <f t="shared" si="57"/>
        <v>2.462941272279693E-4</v>
      </c>
      <c r="Y827" s="41">
        <f t="shared" si="58"/>
        <v>9.6597491889915434E-4</v>
      </c>
      <c r="Z827" s="62"/>
    </row>
    <row r="828" spans="15:26" x14ac:dyDescent="0.25">
      <c r="O828" s="45" t="s">
        <v>21</v>
      </c>
      <c r="P828" s="39">
        <f>_xll.qlCalendarAdvance(Calendar,P827,O827,"f",,Trigger)</f>
        <v>48900</v>
      </c>
      <c r="Q828" s="39">
        <f>_xll.qlInterestRateIndexValueDate(Index,P828,Trigger)</f>
        <v>48904</v>
      </c>
      <c r="R828" s="39">
        <f>_xll.qlInterestRateIndexMaturity(Index,Q828,Trigger)</f>
        <v>48996</v>
      </c>
      <c r="S828" s="40">
        <f>_xll.qlDayCounterYearFraction(DayCounter,Q828,R828,,,Trigger)</f>
        <v>0.25555555555555554</v>
      </c>
      <c r="T828" s="41">
        <f>_xll.qlIndexFixing(Index,P828,,AllTriggers)</f>
        <v>9.4553689006269068E-3</v>
      </c>
      <c r="U828" s="42">
        <f>_xll.qlYieldTSDiscount(OisCurve,Q828,,AllTriggers)</f>
        <v>0.90501987911215231</v>
      </c>
      <c r="V828" s="42">
        <f>_xll.qlYieldTSDiscount(OisCurve,R828,,AllTriggers)</f>
        <v>0.90305920653469063</v>
      </c>
      <c r="W828" s="41">
        <f t="shared" si="56"/>
        <v>8.4957852007087591E-3</v>
      </c>
      <c r="X828" s="43">
        <f t="shared" si="57"/>
        <v>2.4466574261165579E-4</v>
      </c>
      <c r="Y828" s="41">
        <f t="shared" si="58"/>
        <v>9.5958369991814771E-4</v>
      </c>
      <c r="Z828" s="62"/>
    </row>
    <row r="829" spans="15:26" x14ac:dyDescent="0.25">
      <c r="O829" s="45" t="s">
        <v>21</v>
      </c>
      <c r="P829" s="39">
        <f>_xll.qlCalendarAdvance(Calendar,P828,O828,"f",,Trigger)</f>
        <v>48932</v>
      </c>
      <c r="Q829" s="39">
        <f>_xll.qlInterestRateIndexValueDate(Index,P829,Trigger)</f>
        <v>48934</v>
      </c>
      <c r="R829" s="39">
        <f>_xll.qlInterestRateIndexMaturity(Index,Q829,Trigger)</f>
        <v>49024</v>
      </c>
      <c r="S829" s="40">
        <f>_xll.qlDayCounterYearFraction(DayCounter,Q829,R829,,,Trigger)</f>
        <v>0.25</v>
      </c>
      <c r="T829" s="41">
        <f>_xll.qlIndexFixing(Index,P829,,AllTriggers)</f>
        <v>9.4353080024420777E-3</v>
      </c>
      <c r="U829" s="42">
        <f>_xll.qlYieldTSDiscount(OisCurve,Q829,,AllTriggers)</f>
        <v>0.90437893690852844</v>
      </c>
      <c r="V829" s="42">
        <f>_xll.qlYieldTSDiscount(OisCurve,R829,,AllTriggers)</f>
        <v>0.90246541614380826</v>
      </c>
      <c r="W829" s="41">
        <f t="shared" si="56"/>
        <v>8.4813034626707307E-3</v>
      </c>
      <c r="X829" s="43">
        <f t="shared" si="57"/>
        <v>2.3796818812244218E-4</v>
      </c>
      <c r="Y829" s="41">
        <f t="shared" si="58"/>
        <v>9.5400453977134703E-4</v>
      </c>
      <c r="Z829" s="62"/>
    </row>
    <row r="830" spans="15:26" x14ac:dyDescent="0.25">
      <c r="O830" s="45" t="s">
        <v>21</v>
      </c>
      <c r="P830" s="39">
        <f>_xll.qlCalendarAdvance(Calendar,P829,O829,"f",,Trigger)</f>
        <v>48963</v>
      </c>
      <c r="Q830" s="39">
        <f>_xll.qlInterestRateIndexValueDate(Index,P830,Trigger)</f>
        <v>48967</v>
      </c>
      <c r="R830" s="39">
        <f>_xll.qlInterestRateIndexMaturity(Index,Q830,Trigger)</f>
        <v>49058</v>
      </c>
      <c r="S830" s="40">
        <f>_xll.qlDayCounterYearFraction(DayCounter,Q830,R830,,,Trigger)</f>
        <v>0.25277777777777777</v>
      </c>
      <c r="T830" s="41">
        <f>_xll.qlIndexFixing(Index,P830,,AllTriggers)</f>
        <v>9.4121003176850723E-3</v>
      </c>
      <c r="U830" s="42">
        <f>_xll.qlYieldTSDiscount(OisCurve,Q830,,AllTriggers)</f>
        <v>0.90367566858169701</v>
      </c>
      <c r="V830" s="42">
        <f>_xll.qlYieldTSDiscount(OisCurve,R830,,AllTriggers)</f>
        <v>0.90174629051473043</v>
      </c>
      <c r="W830" s="41">
        <f t="shared" si="56"/>
        <v>8.4643591229968031E-3</v>
      </c>
      <c r="X830" s="43">
        <f t="shared" si="57"/>
        <v>2.3902785808314821E-4</v>
      </c>
      <c r="Y830" s="41">
        <f t="shared" si="58"/>
        <v>9.4774119468826919E-4</v>
      </c>
      <c r="Z830" s="62"/>
    </row>
    <row r="831" spans="15:26" x14ac:dyDescent="0.25">
      <c r="O831" s="45" t="s">
        <v>21</v>
      </c>
      <c r="P831" s="39">
        <f>_xll.qlCalendarAdvance(Calendar,P830,O830,"f",,Trigger)</f>
        <v>48995</v>
      </c>
      <c r="Q831" s="39">
        <f>_xll.qlInterestRateIndexValueDate(Index,P831,Trigger)</f>
        <v>48997</v>
      </c>
      <c r="R831" s="39">
        <f>_xll.qlInterestRateIndexMaturity(Index,Q831,Trigger)</f>
        <v>49086</v>
      </c>
      <c r="S831" s="40">
        <f>_xll.qlDayCounterYearFraction(DayCounter,Q831,R831,,,Trigger)</f>
        <v>0.24722222222222223</v>
      </c>
      <c r="T831" s="41">
        <f>_xll.qlIndexFixing(Index,P831,,AllTriggers)</f>
        <v>9.3912923073302176E-3</v>
      </c>
      <c r="U831" s="42">
        <f>_xll.qlYieldTSDiscount(OisCurve,Q831,,AllTriggers)</f>
        <v>0.90303797564960731</v>
      </c>
      <c r="V831" s="42">
        <f>_xll.qlYieldTSDiscount(OisCurve,R831,,AllTriggers)</f>
        <v>0.90115566914415379</v>
      </c>
      <c r="W831" s="41">
        <f t="shared" si="56"/>
        <v>8.4489554110376008E-3</v>
      </c>
      <c r="X831" s="43">
        <f t="shared" si="57"/>
        <v>2.3245400278206618E-4</v>
      </c>
      <c r="Y831" s="41">
        <f t="shared" si="58"/>
        <v>9.4233689629261673E-4</v>
      </c>
      <c r="Z831" s="62"/>
    </row>
    <row r="832" spans="15:26" x14ac:dyDescent="0.25">
      <c r="O832" s="45" t="s">
        <v>21</v>
      </c>
      <c r="P832" s="39">
        <f>_xll.qlCalendarAdvance(Calendar,P831,O831,"f",,Trigger)</f>
        <v>49023</v>
      </c>
      <c r="Q832" s="39">
        <f>_xll.qlInterestRateIndexValueDate(Index,P832,Trigger)</f>
        <v>49025</v>
      </c>
      <c r="R832" s="39">
        <f>_xll.qlInterestRateIndexMaturity(Index,Q832,Trigger)</f>
        <v>49117</v>
      </c>
      <c r="S832" s="40">
        <f>_xll.qlDayCounterYearFraction(DayCounter,Q832,R832,,,Trigger)</f>
        <v>0.25555555555555554</v>
      </c>
      <c r="T832" s="41">
        <f>_xll.qlIndexFixing(Index,P832,,AllTriggers)</f>
        <v>9.3703685663948377E-3</v>
      </c>
      <c r="U832" s="42">
        <f>_xll.qlYieldTSDiscount(OisCurve,Q832,,AllTriggers)</f>
        <v>0.90244423537235696</v>
      </c>
      <c r="V832" s="42">
        <f>_xll.qlYieldTSDiscount(OisCurve,R832,,AllTriggers)</f>
        <v>0.90050348540701819</v>
      </c>
      <c r="W832" s="41">
        <f t="shared" si="56"/>
        <v>8.4333254872092245E-3</v>
      </c>
      <c r="X832" s="43">
        <f t="shared" si="57"/>
        <v>2.3892303587231636E-4</v>
      </c>
      <c r="Y832" s="41">
        <f t="shared" si="58"/>
        <v>9.3704307918561318E-4</v>
      </c>
      <c r="Z832" s="62"/>
    </row>
    <row r="833" spans="15:26" x14ac:dyDescent="0.25">
      <c r="O833" s="45" t="s">
        <v>21</v>
      </c>
      <c r="P833" s="39">
        <f>_xll.qlCalendarAdvance(Calendar,P832,O832,"f",,Trigger)</f>
        <v>49054</v>
      </c>
      <c r="Q833" s="39">
        <f>_xll.qlInterestRateIndexValueDate(Index,P833,Trigger)</f>
        <v>49058</v>
      </c>
      <c r="R833" s="39">
        <f>_xll.qlInterestRateIndexMaturity(Index,Q833,Trigger)</f>
        <v>49149</v>
      </c>
      <c r="S833" s="40">
        <f>_xll.qlDayCounterYearFraction(DayCounter,Q833,R833,,,Trigger)</f>
        <v>0.25277777777777777</v>
      </c>
      <c r="T833" s="41">
        <f>_xll.qlIndexFixing(Index,P833,,AllTriggers)</f>
        <v>9.3463878619585612E-3</v>
      </c>
      <c r="U833" s="42">
        <f>_xll.qlYieldTSDiscount(OisCurve,Q833,,AllTriggers)</f>
        <v>0.90174629051473043</v>
      </c>
      <c r="V833" s="42">
        <f>_xll.qlYieldTSDiscount(OisCurve,R833,,AllTriggers)</f>
        <v>0.89983219323316666</v>
      </c>
      <c r="W833" s="41">
        <f t="shared" si="56"/>
        <v>8.4151834519310392E-3</v>
      </c>
      <c r="X833" s="43">
        <f t="shared" si="57"/>
        <v>2.3486055221024035E-4</v>
      </c>
      <c r="Y833" s="41">
        <f t="shared" si="58"/>
        <v>9.3120441002752206E-4</v>
      </c>
      <c r="Z833" s="62"/>
    </row>
    <row r="834" spans="15:26" x14ac:dyDescent="0.25">
      <c r="O834" s="45" t="s">
        <v>21</v>
      </c>
      <c r="P834" s="39">
        <f>_xll.qlCalendarAdvance(Calendar,P833,O833,"f",,Trigger)</f>
        <v>49086</v>
      </c>
      <c r="Q834" s="39">
        <f>_xll.qlInterestRateIndexValueDate(Index,P834,Trigger)</f>
        <v>49088</v>
      </c>
      <c r="R834" s="39">
        <f>_xll.qlInterestRateIndexMaturity(Index,Q834,Trigger)</f>
        <v>49180</v>
      </c>
      <c r="S834" s="40">
        <f>_xll.qlDayCounterYearFraction(DayCounter,Q834,R834,,,Trigger)</f>
        <v>0.25555555555555554</v>
      </c>
      <c r="T834" s="41">
        <f>_xll.qlIndexFixing(Index,P834,,AllTriggers)</f>
        <v>9.3237143168546713E-3</v>
      </c>
      <c r="U834" s="42">
        <f>_xll.qlYieldTSDiscount(OisCurve,Q834,,AllTriggers)</f>
        <v>0.90111353794061766</v>
      </c>
      <c r="V834" s="42">
        <f>_xll.qlYieldTSDiscount(OisCurve,R834,,AllTriggers)</f>
        <v>0.89918378386004005</v>
      </c>
      <c r="W834" s="41">
        <f t="shared" si="56"/>
        <v>8.3978512014924681E-3</v>
      </c>
      <c r="X834" s="43">
        <f t="shared" si="57"/>
        <v>2.3607489067609076E-4</v>
      </c>
      <c r="Y834" s="41">
        <f t="shared" si="58"/>
        <v>9.2586311536220316E-4</v>
      </c>
      <c r="Z834" s="62"/>
    </row>
    <row r="835" spans="15:26" x14ac:dyDescent="0.25">
      <c r="O835" s="45" t="s">
        <v>21</v>
      </c>
      <c r="P835" s="39">
        <f>_xll.qlCalendarAdvance(Calendar,P834,O834,"f",,Trigger)</f>
        <v>49117</v>
      </c>
      <c r="Q835" s="39">
        <f>_xll.qlInterestRateIndexValueDate(Index,P835,Trigger)</f>
        <v>49121</v>
      </c>
      <c r="R835" s="39">
        <f>_xll.qlInterestRateIndexMaturity(Index,Q835,Trigger)</f>
        <v>49213</v>
      </c>
      <c r="S835" s="40">
        <f>_xll.qlDayCounterYearFraction(DayCounter,Q835,R835,,,Trigger)</f>
        <v>0.25555555555555554</v>
      </c>
      <c r="T835" s="41">
        <f>_xll.qlIndexFixing(Index,P835,,AllTriggers)</f>
        <v>9.298621082673696E-3</v>
      </c>
      <c r="U835" s="42">
        <f>_xll.qlYieldTSDiscount(OisCurve,Q835,,AllTriggers)</f>
        <v>0.90041946591849042</v>
      </c>
      <c r="V835" s="42">
        <f>_xll.qlYieldTSDiscount(OisCurve,R835,,AllTriggers)</f>
        <v>0.89849564069725396</v>
      </c>
      <c r="W835" s="41">
        <f t="shared" si="56"/>
        <v>8.378462169756665E-3</v>
      </c>
      <c r="X835" s="43">
        <f t="shared" si="57"/>
        <v>2.3462177405436432E-4</v>
      </c>
      <c r="Y835" s="41">
        <f t="shared" si="58"/>
        <v>9.2015891291703095E-4</v>
      </c>
      <c r="Z835" s="62"/>
    </row>
    <row r="836" spans="15:26" x14ac:dyDescent="0.25">
      <c r="O836" s="45" t="s">
        <v>21</v>
      </c>
      <c r="P836" s="39">
        <f>_xll.qlCalendarAdvance(Calendar,P835,O835,"f",,Trigger)</f>
        <v>49149</v>
      </c>
      <c r="Q836" s="39">
        <f>_xll.qlInterestRateIndexValueDate(Index,P836,Trigger)</f>
        <v>49151</v>
      </c>
      <c r="R836" s="39">
        <f>_xll.qlInterestRateIndexMaturity(Index,Q836,Trigger)</f>
        <v>49243</v>
      </c>
      <c r="S836" s="40">
        <f>_xll.qlDayCounterYearFraction(DayCounter,Q836,R836,,,Trigger)</f>
        <v>0.25555555555555554</v>
      </c>
      <c r="T836" s="41">
        <f>_xll.qlIndexFixing(Index,P836,,AllTriggers)</f>
        <v>9.2754181186983017E-3</v>
      </c>
      <c r="U836" s="42">
        <f>_xll.qlYieldTSDiscount(OisCurve,Q836,,AllTriggers)</f>
        <v>0.89979030341773769</v>
      </c>
      <c r="V836" s="42">
        <f>_xll.qlYieldTSDiscount(OisCurve,R836,,AllTriggers)</f>
        <v>0.89787196856976026</v>
      </c>
      <c r="W836" s="41">
        <f t="shared" ref="W836:W899" si="59">(U836/V836-1)/S836</f>
        <v>8.3603541805138161E-3</v>
      </c>
      <c r="X836" s="43">
        <f t="shared" ref="X836:X899" si="60">LN((1+T836*S836)/(1+W836*S836))</f>
        <v>2.333238881516751E-4</v>
      </c>
      <c r="Y836" s="41">
        <f t="shared" ref="Y836:Y899" si="61">T836-W836</f>
        <v>9.1506393818448564E-4</v>
      </c>
      <c r="Z836" s="62"/>
    </row>
    <row r="837" spans="15:26" x14ac:dyDescent="0.25">
      <c r="O837" s="45" t="s">
        <v>21</v>
      </c>
      <c r="P837" s="39">
        <f>_xll.qlCalendarAdvance(Calendar,P836,O836,"f",,Trigger)</f>
        <v>49180</v>
      </c>
      <c r="Q837" s="39">
        <f>_xll.qlInterestRateIndexValueDate(Index,P837,Trigger)</f>
        <v>49184</v>
      </c>
      <c r="R837" s="39">
        <f>_xll.qlInterestRateIndexMaturity(Index,Q837,Trigger)</f>
        <v>49276</v>
      </c>
      <c r="S837" s="40">
        <f>_xll.qlDayCounterYearFraction(DayCounter,Q837,R837,,,Trigger)</f>
        <v>0.25555555555555554</v>
      </c>
      <c r="T837" s="41">
        <f>_xll.qlIndexFixing(Index,P837,,AllTriggers)</f>
        <v>9.2494648402745485E-3</v>
      </c>
      <c r="U837" s="42">
        <f>_xll.qlYieldTSDiscount(OisCurve,Q837,,AllTriggers)</f>
        <v>0.89910025649647918</v>
      </c>
      <c r="V837" s="42">
        <f>_xll.qlYieldTSDiscount(OisCurve,R837,,AllTriggers)</f>
        <v>0.8971880712880077</v>
      </c>
      <c r="W837" s="41">
        <f t="shared" si="59"/>
        <v>8.3399056437456105E-3</v>
      </c>
      <c r="X837" s="43">
        <f t="shared" si="60"/>
        <v>2.3192165578642102E-4</v>
      </c>
      <c r="Y837" s="41">
        <f t="shared" si="61"/>
        <v>9.0955919652893798E-4</v>
      </c>
      <c r="Z837" s="62"/>
    </row>
    <row r="838" spans="15:26" x14ac:dyDescent="0.25">
      <c r="O838" s="45" t="s">
        <v>21</v>
      </c>
      <c r="P838" s="39">
        <f>_xll.qlCalendarAdvance(Calendar,P837,O837,"f",,Trigger)</f>
        <v>49212</v>
      </c>
      <c r="Q838" s="39">
        <f>_xll.qlInterestRateIndexValueDate(Index,P838,Trigger)</f>
        <v>49214</v>
      </c>
      <c r="R838" s="39">
        <f>_xll.qlInterestRateIndexMaturity(Index,Q838,Trigger)</f>
        <v>49305</v>
      </c>
      <c r="S838" s="40">
        <f>_xll.qlDayCounterYearFraction(DayCounter,Q838,R838,,,Trigger)</f>
        <v>0.25277777777777777</v>
      </c>
      <c r="T838" s="41">
        <f>_xll.qlIndexFixing(Index,P838,,AllTriggers)</f>
        <v>9.2257678613906699E-3</v>
      </c>
      <c r="U838" s="42">
        <f>_xll.qlYieldTSDiscount(OisCurve,Q838,,AllTriggers)</f>
        <v>0.89847482209092611</v>
      </c>
      <c r="V838" s="42">
        <f>_xll.qlYieldTSDiscount(OisCurve,R838,,AllTriggers)</f>
        <v>0.8965889547827125</v>
      </c>
      <c r="W838" s="41">
        <f t="shared" si="59"/>
        <v>8.3210638796764429E-3</v>
      </c>
      <c r="X838" s="43">
        <f t="shared" si="60"/>
        <v>2.2818301595632087E-4</v>
      </c>
      <c r="Y838" s="41">
        <f t="shared" si="61"/>
        <v>9.0470398171422703E-4</v>
      </c>
      <c r="Z838" s="62"/>
    </row>
    <row r="839" spans="15:26" x14ac:dyDescent="0.25">
      <c r="O839" s="45" t="s">
        <v>21</v>
      </c>
      <c r="P839" s="39">
        <f>_xll.qlCalendarAdvance(Calendar,P838,O838,"f",,Trigger)</f>
        <v>49242</v>
      </c>
      <c r="Q839" s="39">
        <f>_xll.qlInterestRateIndexValueDate(Index,P839,Trigger)</f>
        <v>49244</v>
      </c>
      <c r="R839" s="39">
        <f>_xll.qlInterestRateIndexMaturity(Index,Q839,Trigger)</f>
        <v>49338</v>
      </c>
      <c r="S839" s="40">
        <f>_xll.qlDayCounterYearFraction(DayCounter,Q839,R839,,,Trigger)</f>
        <v>0.26111111111111113</v>
      </c>
      <c r="T839" s="41">
        <f>_xll.qlIndexFixing(Index,P839,,AllTriggers)</f>
        <v>9.2005331457716798E-3</v>
      </c>
      <c r="U839" s="42">
        <f>_xll.qlYieldTSDiscount(OisCurve,Q839,,AllTriggers)</f>
        <v>0.89785121124933931</v>
      </c>
      <c r="V839" s="42">
        <f>_xll.qlYieldTSDiscount(OisCurve,R839,,AllTriggers)</f>
        <v>0.89590938256329122</v>
      </c>
      <c r="W839" s="41">
        <f t="shared" si="59"/>
        <v>8.3008291432858945E-3</v>
      </c>
      <c r="X839" s="43">
        <f t="shared" si="60"/>
        <v>2.3438716159215455E-4</v>
      </c>
      <c r="Y839" s="41">
        <f t="shared" si="61"/>
        <v>8.9970400248578532E-4</v>
      </c>
      <c r="Z839" s="62"/>
    </row>
    <row r="840" spans="15:26" x14ac:dyDescent="0.25">
      <c r="O840" s="45" t="s">
        <v>21</v>
      </c>
      <c r="P840" s="39">
        <f>_xll.qlCalendarAdvance(Calendar,P839,O839,"f",,Trigger)</f>
        <v>49275</v>
      </c>
      <c r="Q840" s="39">
        <f>_xll.qlInterestRateIndexValueDate(Index,P840,Trigger)</f>
        <v>49277</v>
      </c>
      <c r="R840" s="39">
        <f>_xll.qlInterestRateIndexMaturity(Index,Q840,Trigger)</f>
        <v>49368</v>
      </c>
      <c r="S840" s="40">
        <f>_xll.qlDayCounterYearFraction(DayCounter,Q840,R840,,,Trigger)</f>
        <v>0.25277777777777777</v>
      </c>
      <c r="T840" s="41">
        <f>_xll.qlIndexFixing(Index,P840,,AllTriggers)</f>
        <v>9.1742022963973123E-3</v>
      </c>
      <c r="U840" s="42">
        <f>_xll.qlYieldTSDiscount(OisCurve,Q840,,AllTriggers)</f>
        <v>0.89716738257517548</v>
      </c>
      <c r="V840" s="42">
        <f>_xll.qlYieldTSDiscount(OisCurve,R840,,AllTriggers)</f>
        <v>0.89529363741752277</v>
      </c>
      <c r="W840" s="41">
        <f t="shared" si="59"/>
        <v>8.279538574048971E-3</v>
      </c>
      <c r="X840" s="43">
        <f t="shared" si="60"/>
        <v>2.2565332658563823E-4</v>
      </c>
      <c r="Y840" s="41">
        <f t="shared" si="61"/>
        <v>8.9466372234834127E-4</v>
      </c>
      <c r="Z840" s="62"/>
    </row>
    <row r="841" spans="15:26" x14ac:dyDescent="0.25">
      <c r="O841" s="45" t="s">
        <v>21</v>
      </c>
      <c r="P841" s="39">
        <f>_xll.qlCalendarAdvance(Calendar,P840,O840,"f",,Trigger)</f>
        <v>49305</v>
      </c>
      <c r="Q841" s="39">
        <f>_xll.qlInterestRateIndexValueDate(Index,P841,Trigger)</f>
        <v>49307</v>
      </c>
      <c r="R841" s="39">
        <f>_xll.qlInterestRateIndexMaturity(Index,Q841,Trigger)</f>
        <v>49398</v>
      </c>
      <c r="S841" s="40">
        <f>_xll.qlDayCounterYearFraction(DayCounter,Q841,R841,,,Trigger)</f>
        <v>0.25277777777777777</v>
      </c>
      <c r="T841" s="41">
        <f>_xll.qlIndexFixing(Index,P841,,AllTriggers)</f>
        <v>9.1490702372883353E-3</v>
      </c>
      <c r="U841" s="42">
        <f>_xll.qlYieldTSDiscount(OisCurve,Q841,,AllTriggers)</f>
        <v>0.89654770212969315</v>
      </c>
      <c r="V841" s="42">
        <f>_xll.qlYieldTSDiscount(OisCurve,R841,,AllTriggers)</f>
        <v>0.89467987425487172</v>
      </c>
      <c r="W841" s="41">
        <f t="shared" si="59"/>
        <v>8.2590537551458388E-3</v>
      </c>
      <c r="X841" s="43">
        <f t="shared" si="60"/>
        <v>2.2448248459437344E-4</v>
      </c>
      <c r="Y841" s="41">
        <f t="shared" si="61"/>
        <v>8.9001648214249648E-4</v>
      </c>
      <c r="Z841" s="62"/>
    </row>
    <row r="842" spans="15:26" x14ac:dyDescent="0.25">
      <c r="O842" s="45" t="s">
        <v>21</v>
      </c>
      <c r="P842" s="39">
        <f>_xll.qlCalendarAdvance(Calendar,P841,O841,"f",,Trigger)</f>
        <v>49338</v>
      </c>
      <c r="Q842" s="39">
        <f>_xll.qlInterestRateIndexValueDate(Index,P842,Trigger)</f>
        <v>49340</v>
      </c>
      <c r="R842" s="39">
        <f>_xll.qlInterestRateIndexMaturity(Index,Q842,Trigger)</f>
        <v>49429</v>
      </c>
      <c r="S842" s="40">
        <f>_xll.qlDayCounterYearFraction(DayCounter,Q842,R842,,,Trigger)</f>
        <v>0.24722222222222223</v>
      </c>
      <c r="T842" s="41">
        <f>_xll.qlIndexFixing(Index,P842,,AllTriggers)</f>
        <v>9.1216280287934135E-3</v>
      </c>
      <c r="U842" s="42">
        <f>_xll.qlYieldTSDiscount(OisCurve,Q842,,AllTriggers)</f>
        <v>0.89586827184009776</v>
      </c>
      <c r="V842" s="42">
        <f>_xll.qlYieldTSDiscount(OisCurve,R842,,AllTriggers)</f>
        <v>0.89404776692614107</v>
      </c>
      <c r="W842" s="41">
        <f t="shared" si="59"/>
        <v>8.2365175260330058E-3</v>
      </c>
      <c r="X842" s="43">
        <f t="shared" si="60"/>
        <v>2.1835048045655542E-4</v>
      </c>
      <c r="Y842" s="41">
        <f t="shared" si="61"/>
        <v>8.8511050276040767E-4</v>
      </c>
      <c r="Z842" s="62"/>
    </row>
    <row r="843" spans="15:26" x14ac:dyDescent="0.25">
      <c r="O843" s="45" t="s">
        <v>21</v>
      </c>
      <c r="P843" s="39">
        <f>_xll.qlCalendarAdvance(Calendar,P842,O842,"f",,Trigger)</f>
        <v>49368</v>
      </c>
      <c r="Q843" s="39">
        <f>_xll.qlInterestRateIndexValueDate(Index,P843,Trigger)</f>
        <v>49370</v>
      </c>
      <c r="R843" s="39">
        <f>_xll.qlInterestRateIndexMaturity(Index,Q843,Trigger)</f>
        <v>49464</v>
      </c>
      <c r="S843" s="40">
        <f>_xll.qlDayCounterYearFraction(DayCounter,Q843,R843,,,Trigger)</f>
        <v>0.26111111111111113</v>
      </c>
      <c r="T843" s="41">
        <f>_xll.qlIndexFixing(Index,P843,,AllTriggers)</f>
        <v>9.0942274958369079E-3</v>
      </c>
      <c r="U843" s="42">
        <f>_xll.qlYieldTSDiscount(OisCurve,Q843,,AllTriggers)</f>
        <v>0.89525265787262498</v>
      </c>
      <c r="V843" s="42">
        <f>_xll.qlYieldTSDiscount(OisCurve,R843,,AllTriggers)</f>
        <v>0.89333669365742208</v>
      </c>
      <c r="W843" s="41">
        <f t="shared" si="59"/>
        <v>8.2138518929800227E-3</v>
      </c>
      <c r="X843" s="43">
        <f t="shared" si="60"/>
        <v>2.2935758135477047E-4</v>
      </c>
      <c r="Y843" s="41">
        <f t="shared" si="61"/>
        <v>8.8037560285688515E-4</v>
      </c>
      <c r="Z843" s="62"/>
    </row>
    <row r="844" spans="15:26" x14ac:dyDescent="0.25">
      <c r="O844" s="45" t="s">
        <v>21</v>
      </c>
      <c r="P844" s="39">
        <f>_xll.qlCalendarAdvance(Calendar,P843,O843,"f",,Trigger)</f>
        <v>49396</v>
      </c>
      <c r="Q844" s="39">
        <f>_xll.qlInterestRateIndexValueDate(Index,P844,Trigger)</f>
        <v>49398</v>
      </c>
      <c r="R844" s="39">
        <f>_xll.qlInterestRateIndexMaturity(Index,Q844,Trigger)</f>
        <v>49489</v>
      </c>
      <c r="S844" s="40">
        <f>_xll.qlDayCounterYearFraction(DayCounter,Q844,R844,,,Trigger)</f>
        <v>0.25277777777777777</v>
      </c>
      <c r="T844" s="41">
        <f>_xll.qlIndexFixing(Index,P844,,AllTriggers)</f>
        <v>9.0710633003037115E-3</v>
      </c>
      <c r="U844" s="42">
        <f>_xll.qlYieldTSDiscount(OisCurve,Q844,,AllTriggers)</f>
        <v>0.89467987425487172</v>
      </c>
      <c r="V844" s="42">
        <f>_xll.qlYieldTSDiscount(OisCurve,R844,,AllTriggers)</f>
        <v>0.8928304432921299</v>
      </c>
      <c r="W844" s="41">
        <f t="shared" si="59"/>
        <v>8.1946468528754403E-3</v>
      </c>
      <c r="X844" s="43">
        <f t="shared" si="60"/>
        <v>2.2105621536123345E-4</v>
      </c>
      <c r="Y844" s="41">
        <f t="shared" si="61"/>
        <v>8.7641644742827117E-4</v>
      </c>
      <c r="Z844" s="62"/>
    </row>
    <row r="845" spans="15:26" x14ac:dyDescent="0.25">
      <c r="O845" s="45" t="s">
        <v>21</v>
      </c>
      <c r="P845" s="39">
        <f>_xll.qlCalendarAdvance(Calendar,P844,O844,"f",,Trigger)</f>
        <v>49429</v>
      </c>
      <c r="Q845" s="39">
        <f>_xll.qlInterestRateIndexValueDate(Index,P845,Trigger)</f>
        <v>49432</v>
      </c>
      <c r="R845" s="39">
        <f>_xll.qlInterestRateIndexMaturity(Index,Q845,Trigger)</f>
        <v>49524</v>
      </c>
      <c r="S845" s="40">
        <f>_xll.qlDayCounterYearFraction(DayCounter,Q845,R845,,,Trigger)</f>
        <v>0.25555555555555554</v>
      </c>
      <c r="T845" s="41">
        <f>_xll.qlIndexFixing(Index,P845,,AllTriggers)</f>
        <v>9.0417947282694453E-3</v>
      </c>
      <c r="U845" s="42">
        <f>_xll.qlYieldTSDiscount(OisCurve,Q845,,AllTriggers)</f>
        <v>0.89398671033937915</v>
      </c>
      <c r="V845" s="42">
        <f>_xll.qlYieldTSDiscount(OisCurve,R845,,AllTriggers)</f>
        <v>0.89212396947198525</v>
      </c>
      <c r="W845" s="41">
        <f t="shared" si="59"/>
        <v>8.1703734595988987E-3</v>
      </c>
      <c r="X845" s="43">
        <f t="shared" si="60"/>
        <v>2.2220783841090552E-4</v>
      </c>
      <c r="Y845" s="41">
        <f t="shared" si="61"/>
        <v>8.7142126867054658E-4</v>
      </c>
      <c r="Z845" s="62"/>
    </row>
    <row r="846" spans="15:26" x14ac:dyDescent="0.25">
      <c r="O846" s="45" t="s">
        <v>21</v>
      </c>
      <c r="P846" s="39">
        <f>_xll.qlCalendarAdvance(Calendar,P845,O845,"f",,Trigger)</f>
        <v>49459</v>
      </c>
      <c r="Q846" s="39">
        <f>_xll.qlInterestRateIndexValueDate(Index,P846,Trigger)</f>
        <v>49461</v>
      </c>
      <c r="R846" s="39">
        <f>_xll.qlInterestRateIndexMaturity(Index,Q846,Trigger)</f>
        <v>49555</v>
      </c>
      <c r="S846" s="40">
        <f>_xll.qlDayCounterYearFraction(DayCounter,Q846,R846,,,Trigger)</f>
        <v>0.26111111111111113</v>
      </c>
      <c r="T846" s="41">
        <f>_xll.qlIndexFixing(Index,P846,,AllTriggers)</f>
        <v>9.0169773936894706E-3</v>
      </c>
      <c r="U846" s="42">
        <f>_xll.qlYieldTSDiscount(OisCurve,Q846,,AllTriggers)</f>
        <v>0.89339753598995453</v>
      </c>
      <c r="V846" s="42">
        <f>_xll.qlYieldTSDiscount(OisCurve,R846,,AllTriggers)</f>
        <v>0.89150041079929598</v>
      </c>
      <c r="W846" s="41">
        <f t="shared" si="59"/>
        <v>8.1498401442690379E-3</v>
      </c>
      <c r="X846" s="43">
        <f t="shared" si="60"/>
        <v>2.259128504779714E-4</v>
      </c>
      <c r="Y846" s="41">
        <f t="shared" si="61"/>
        <v>8.6713724942043269E-4</v>
      </c>
      <c r="Z846" s="62"/>
    </row>
    <row r="847" spans="15:26" x14ac:dyDescent="0.25">
      <c r="O847" s="45" t="s">
        <v>21</v>
      </c>
      <c r="P847" s="39">
        <f>_xll.qlCalendarAdvance(Calendar,P846,O846,"f",,Trigger)</f>
        <v>49492</v>
      </c>
      <c r="Q847" s="39">
        <f>_xll.qlInterestRateIndexValueDate(Index,P847,Trigger)</f>
        <v>49494</v>
      </c>
      <c r="R847" s="39">
        <f>_xll.qlInterestRateIndexMaturity(Index,Q847,Trigger)</f>
        <v>49586</v>
      </c>
      <c r="S847" s="40">
        <f>_xll.qlDayCounterYearFraction(DayCounter,Q847,R847,,,Trigger)</f>
        <v>0.25555555555555554</v>
      </c>
      <c r="T847" s="41">
        <f>_xll.qlIndexFixing(Index,P847,,AllTriggers)</f>
        <v>8.9905613214828466E-3</v>
      </c>
      <c r="U847" s="42">
        <f>_xll.qlYieldTSDiscount(OisCurve,Q847,,AllTriggers)</f>
        <v>0.89272935687738064</v>
      </c>
      <c r="V847" s="42">
        <f>_xll.qlYieldTSDiscount(OisCurve,R847,,AllTriggers)</f>
        <v>0.89087885277251777</v>
      </c>
      <c r="W847" s="41">
        <f t="shared" si="59"/>
        <v>8.1280445668827448E-3</v>
      </c>
      <c r="X847" s="43">
        <f t="shared" si="60"/>
        <v>2.1993985780777078E-4</v>
      </c>
      <c r="Y847" s="41">
        <f t="shared" si="61"/>
        <v>8.6251675460010183E-4</v>
      </c>
      <c r="Z847" s="62"/>
    </row>
    <row r="848" spans="15:26" x14ac:dyDescent="0.25">
      <c r="O848" s="45" t="s">
        <v>21</v>
      </c>
      <c r="P848" s="39">
        <f>_xll.qlCalendarAdvance(Calendar,P847,O847,"f",,Trigger)</f>
        <v>49523</v>
      </c>
      <c r="Q848" s="39">
        <f>_xll.qlInterestRateIndexValueDate(Index,P848,Trigger)</f>
        <v>49527</v>
      </c>
      <c r="R848" s="39">
        <f>_xll.qlInterestRateIndexMaturity(Index,Q848,Trigger)</f>
        <v>49619</v>
      </c>
      <c r="S848" s="40">
        <f>_xll.qlDayCounterYearFraction(DayCounter,Q848,R848,,,Trigger)</f>
        <v>0.25555555555555554</v>
      </c>
      <c r="T848" s="41">
        <f>_xll.qlIndexFixing(Index,P848,,AllTriggers)</f>
        <v>8.9641444828671216E-3</v>
      </c>
      <c r="U848" s="42">
        <f>_xll.qlYieldTSDiscount(OisCurve,Q848,,AllTriggers)</f>
        <v>0.89206353651034298</v>
      </c>
      <c r="V848" s="42">
        <f>_xll.qlYieldTSDiscount(OisCurve,R848,,AllTriggers)</f>
        <v>0.89021934672415948</v>
      </c>
      <c r="W848" s="41">
        <f t="shared" si="59"/>
        <v>8.1063109244430952E-3</v>
      </c>
      <c r="X848" s="43">
        <f t="shared" si="60"/>
        <v>2.1874699608609834E-4</v>
      </c>
      <c r="Y848" s="41">
        <f t="shared" si="61"/>
        <v>8.5783355842402632E-4</v>
      </c>
      <c r="Z848" s="62"/>
    </row>
    <row r="849" spans="15:26" x14ac:dyDescent="0.25">
      <c r="O849" s="45" t="s">
        <v>21</v>
      </c>
      <c r="P849" s="39">
        <f>_xll.qlCalendarAdvance(Calendar,P848,O848,"f",,Trigger)</f>
        <v>49555</v>
      </c>
      <c r="Q849" s="39">
        <f>_xll.qlInterestRateIndexValueDate(Index,P849,Trigger)</f>
        <v>49557</v>
      </c>
      <c r="R849" s="39">
        <f>_xll.qlInterestRateIndexMaturity(Index,Q849,Trigger)</f>
        <v>49648</v>
      </c>
      <c r="S849" s="40">
        <f>_xll.qlDayCounterYearFraction(DayCounter,Q849,R849,,,Trigger)</f>
        <v>0.25277777777777777</v>
      </c>
      <c r="T849" s="41">
        <f>_xll.qlIndexFixing(Index,P849,,AllTriggers)</f>
        <v>8.9409157295472011E-3</v>
      </c>
      <c r="U849" s="42">
        <f>_xll.qlYieldTSDiscount(OisCurve,Q849,,AllTriggers)</f>
        <v>0.89146025034686938</v>
      </c>
      <c r="V849" s="42">
        <f>_xll.qlYieldTSDiscount(OisCurve,R849,,AllTriggers)</f>
        <v>0.88964157511411246</v>
      </c>
      <c r="W849" s="41">
        <f t="shared" si="59"/>
        <v>8.0872559959122986E-3</v>
      </c>
      <c r="X849" s="43">
        <f t="shared" si="60"/>
        <v>2.153227996436917E-4</v>
      </c>
      <c r="Y849" s="41">
        <f t="shared" si="61"/>
        <v>8.536597336349025E-4</v>
      </c>
      <c r="Z849" s="62"/>
    </row>
    <row r="850" spans="15:26" x14ac:dyDescent="0.25">
      <c r="O850" s="45" t="s">
        <v>21</v>
      </c>
      <c r="P850" s="39">
        <f>_xll.qlCalendarAdvance(Calendar,P849,O849,"f",,Trigger)</f>
        <v>49585</v>
      </c>
      <c r="Q850" s="39">
        <f>_xll.qlInterestRateIndexValueDate(Index,P850,Trigger)</f>
        <v>49587</v>
      </c>
      <c r="R850" s="39">
        <f>_xll.qlInterestRateIndexMaturity(Index,Q850,Trigger)</f>
        <v>49681</v>
      </c>
      <c r="S850" s="40">
        <f>_xll.qlDayCounterYearFraction(DayCounter,Q850,R850,,,Trigger)</f>
        <v>0.26111111111111113</v>
      </c>
      <c r="T850" s="41">
        <f>_xll.qlIndexFixing(Index,P850,,AllTriggers)</f>
        <v>8.9171017809722662E-3</v>
      </c>
      <c r="U850" s="42">
        <f>_xll.qlYieldTSDiscount(OisCurve,Q850,,AllTriggers)</f>
        <v>0.89085883536121091</v>
      </c>
      <c r="V850" s="42">
        <f>_xll.qlYieldTSDiscount(OisCurve,R850,,AllTriggers)</f>
        <v>0.88898610843627612</v>
      </c>
      <c r="W850" s="41">
        <f t="shared" si="59"/>
        <v>8.0677814893851847E-3</v>
      </c>
      <c r="X850" s="43">
        <f t="shared" si="60"/>
        <v>2.212762921978742E-4</v>
      </c>
      <c r="Y850" s="41">
        <f t="shared" si="61"/>
        <v>8.493202915870815E-4</v>
      </c>
      <c r="Z850" s="62"/>
    </row>
    <row r="851" spans="15:26" x14ac:dyDescent="0.25">
      <c r="O851" s="45" t="s">
        <v>21</v>
      </c>
      <c r="P851" s="39">
        <f>_xll.qlCalendarAdvance(Calendar,P850,O850,"f",,Trigger)</f>
        <v>49618</v>
      </c>
      <c r="Q851" s="39">
        <f>_xll.qlInterestRateIndexValueDate(Index,P851,Trigger)</f>
        <v>49620</v>
      </c>
      <c r="R851" s="39">
        <f>_xll.qlInterestRateIndexMaturity(Index,Q851,Trigger)</f>
        <v>49712</v>
      </c>
      <c r="S851" s="40">
        <f>_xll.qlDayCounterYearFraction(DayCounter,Q851,R851,,,Trigger)</f>
        <v>0.25555555555555554</v>
      </c>
      <c r="T851" s="41">
        <f>_xll.qlIndexFixing(Index,P851,,AllTriggers)</f>
        <v>8.8928835874347717E-3</v>
      </c>
      <c r="U851" s="42">
        <f>_xll.qlYieldTSDiscount(OisCurve,Q851,,AllTriggers)</f>
        <v>0.89019939583959373</v>
      </c>
      <c r="V851" s="42">
        <f>_xll.qlYieldTSDiscount(OisCurve,R851,,AllTriggers)</f>
        <v>0.88837226217699616</v>
      </c>
      <c r="W851" s="41">
        <f t="shared" si="59"/>
        <v>8.0480377052947489E-3</v>
      </c>
      <c r="X851" s="43">
        <f t="shared" si="60"/>
        <v>2.1543870519636244E-4</v>
      </c>
      <c r="Y851" s="41">
        <f t="shared" si="61"/>
        <v>8.4484588214002281E-4</v>
      </c>
      <c r="Z851" s="62"/>
    </row>
    <row r="852" spans="15:26" x14ac:dyDescent="0.25">
      <c r="O852" s="45" t="s">
        <v>21</v>
      </c>
      <c r="P852" s="39">
        <f>_xll.qlCalendarAdvance(Calendar,P851,O851,"f",,Trigger)</f>
        <v>49648</v>
      </c>
      <c r="Q852" s="39">
        <f>_xll.qlInterestRateIndexValueDate(Index,P852,Trigger)</f>
        <v>49650</v>
      </c>
      <c r="R852" s="39">
        <f>_xll.qlInterestRateIndexMaturity(Index,Q852,Trigger)</f>
        <v>49741</v>
      </c>
      <c r="S852" s="40">
        <f>_xll.qlDayCounterYearFraction(DayCounter,Q852,R852,,,Trigger)</f>
        <v>0.25277777777777777</v>
      </c>
      <c r="T852" s="41">
        <f>_xll.qlIndexFixing(Index,P852,,AllTriggers)</f>
        <v>8.8711486408686643E-3</v>
      </c>
      <c r="U852" s="42">
        <f>_xll.qlYieldTSDiscount(OisCurve,Q852,,AllTriggers)</f>
        <v>0.8896017897653099</v>
      </c>
      <c r="V852" s="42">
        <f>_xll.qlYieldTSDiscount(OisCurve,R852,,AllTriggers)</f>
        <v>0.88779964437342906</v>
      </c>
      <c r="W852" s="41">
        <f t="shared" si="59"/>
        <v>8.0303776090090619E-3</v>
      </c>
      <c r="X852" s="43">
        <f t="shared" si="60"/>
        <v>2.1207520619105004E-4</v>
      </c>
      <c r="Y852" s="41">
        <f t="shared" si="61"/>
        <v>8.4077103185960234E-4</v>
      </c>
      <c r="Z852" s="62"/>
    </row>
    <row r="853" spans="15:26" x14ac:dyDescent="0.25">
      <c r="O853" s="45" t="s">
        <v>21</v>
      </c>
      <c r="P853" s="39">
        <f>_xll.qlCalendarAdvance(Calendar,P852,O852,"f",,Trigger)</f>
        <v>49681</v>
      </c>
      <c r="Q853" s="39">
        <f>_xll.qlInterestRateIndexValueDate(Index,P853,Trigger)</f>
        <v>49683</v>
      </c>
      <c r="R853" s="39">
        <f>_xll.qlInterestRateIndexMaturity(Index,Q853,Trigger)</f>
        <v>49774</v>
      </c>
      <c r="S853" s="40">
        <f>_xll.qlDayCounterYearFraction(DayCounter,Q853,R853,,,Trigger)</f>
        <v>0.25277777777777777</v>
      </c>
      <c r="T853" s="41">
        <f>_xll.qlIndexFixing(Index,P853,,AllTriggers)</f>
        <v>8.8475232064826898E-3</v>
      </c>
      <c r="U853" s="42">
        <f>_xll.qlYieldTSDiscount(OisCurve,Q853,,AllTriggers)</f>
        <v>0.88894645050877374</v>
      </c>
      <c r="V853" s="42">
        <f>_xll.qlYieldTSDiscount(OisCurve,R853,,AllTriggers)</f>
        <v>0.88714991319711889</v>
      </c>
      <c r="W853" s="41">
        <f t="shared" si="59"/>
        <v>8.0112509372479313E-3</v>
      </c>
      <c r="X853" s="43">
        <f t="shared" si="60"/>
        <v>2.1094158037105305E-4</v>
      </c>
      <c r="Y853" s="41">
        <f t="shared" si="61"/>
        <v>8.362722692347585E-4</v>
      </c>
      <c r="Z853" s="62"/>
    </row>
    <row r="854" spans="15:26" x14ac:dyDescent="0.25">
      <c r="O854" s="45" t="s">
        <v>21</v>
      </c>
      <c r="P854" s="39">
        <f>_xll.qlCalendarAdvance(Calendar,P853,O853,"f",,Trigger)</f>
        <v>49712</v>
      </c>
      <c r="Q854" s="39">
        <f>_xll.qlInterestRateIndexValueDate(Index,P854,Trigger)</f>
        <v>49716</v>
      </c>
      <c r="R854" s="39">
        <f>_xll.qlInterestRateIndexMaturity(Index,Q854,Trigger)</f>
        <v>49807</v>
      </c>
      <c r="S854" s="40">
        <f>_xll.qlDayCounterYearFraction(DayCounter,Q854,R854,,,Trigger)</f>
        <v>0.25277777777777777</v>
      </c>
      <c r="T854" s="41">
        <f>_xll.qlIndexFixing(Index,P854,,AllTriggers)</f>
        <v>8.8244899893187897E-3</v>
      </c>
      <c r="U854" s="42">
        <f>_xll.qlYieldTSDiscount(OisCurve,Q854,,AllTriggers)</f>
        <v>0.88829318778391797</v>
      </c>
      <c r="V854" s="42">
        <f>_xll.qlYieldTSDiscount(OisCurve,R854,,AllTriggers)</f>
        <v>0.88650212439817511</v>
      </c>
      <c r="W854" s="41">
        <f t="shared" si="59"/>
        <v>7.992677385708075E-3</v>
      </c>
      <c r="X854" s="43">
        <f t="shared" si="60"/>
        <v>2.0981777391099313E-4</v>
      </c>
      <c r="Y854" s="41">
        <f t="shared" si="61"/>
        <v>8.3181260361071471E-4</v>
      </c>
      <c r="Z854" s="62"/>
    </row>
    <row r="855" spans="15:26" x14ac:dyDescent="0.25">
      <c r="O855" s="45" t="s">
        <v>21</v>
      </c>
      <c r="P855" s="39">
        <f>_xll.qlCalendarAdvance(Calendar,P854,O854,"f",,Trigger)</f>
        <v>49741</v>
      </c>
      <c r="Q855" s="39">
        <f>_xll.qlInterestRateIndexValueDate(Index,P855,Trigger)</f>
        <v>49745</v>
      </c>
      <c r="R855" s="39">
        <f>_xll.qlInterestRateIndexMaturity(Index,Q855,Trigger)</f>
        <v>49837</v>
      </c>
      <c r="S855" s="40">
        <f>_xll.qlDayCounterYearFraction(DayCounter,Q855,R855,,,Trigger)</f>
        <v>0.25555555555555554</v>
      </c>
      <c r="T855" s="41">
        <f>_xll.qlIndexFixing(Index,P855,,AllTriggers)</f>
        <v>8.804512742382694E-3</v>
      </c>
      <c r="U855" s="42">
        <f>_xll.qlYieldTSDiscount(OisCurve,Q855,,AllTriggers)</f>
        <v>0.88772078401147159</v>
      </c>
      <c r="V855" s="42">
        <f>_xll.qlYieldTSDiscount(OisCurve,R855,,AllTriggers)</f>
        <v>0.88591487031217409</v>
      </c>
      <c r="W855" s="41">
        <f t="shared" si="59"/>
        <v>7.9766341667207533E-3</v>
      </c>
      <c r="X855" s="43">
        <f t="shared" si="60"/>
        <v>2.1111628241575828E-4</v>
      </c>
      <c r="Y855" s="41">
        <f t="shared" si="61"/>
        <v>8.2787857566194063E-4</v>
      </c>
      <c r="Z855" s="62"/>
    </row>
    <row r="856" spans="15:26" x14ac:dyDescent="0.25">
      <c r="O856" s="45" t="s">
        <v>21</v>
      </c>
      <c r="P856" s="39">
        <f>_xll.qlCalendarAdvance(Calendar,P855,O855,"f",,Trigger)</f>
        <v>49772</v>
      </c>
      <c r="Q856" s="39">
        <f>_xll.qlInterestRateIndexValueDate(Index,P856,Trigger)</f>
        <v>49774</v>
      </c>
      <c r="R856" s="39">
        <f>_xll.qlInterestRateIndexMaturity(Index,Q856,Trigger)</f>
        <v>49865</v>
      </c>
      <c r="S856" s="40">
        <f>_xll.qlDayCounterYearFraction(DayCounter,Q856,R856,,,Trigger)</f>
        <v>0.25277777777777777</v>
      </c>
      <c r="T856" s="41">
        <f>_xll.qlIndexFixing(Index,P856,,AllTriggers)</f>
        <v>8.7854424683386657E-3</v>
      </c>
      <c r="U856" s="42">
        <f>_xll.qlYieldTSDiscount(OisCurve,Q856,,AllTriggers)</f>
        <v>0.88714991319711889</v>
      </c>
      <c r="V856" s="42">
        <f>_xll.qlYieldTSDiscount(OisCurve,R856,,AllTriggers)</f>
        <v>0.88536814675890041</v>
      </c>
      <c r="W856" s="41">
        <f t="shared" si="59"/>
        <v>7.9613733279199263E-3</v>
      </c>
      <c r="X856" s="43">
        <f t="shared" si="60"/>
        <v>2.0786639441174954E-4</v>
      </c>
      <c r="Y856" s="41">
        <f t="shared" si="61"/>
        <v>8.2406914041873933E-4</v>
      </c>
      <c r="Z856" s="62"/>
    </row>
    <row r="857" spans="15:26" x14ac:dyDescent="0.25">
      <c r="O857" s="45" t="s">
        <v>21</v>
      </c>
      <c r="P857" s="39">
        <f>_xll.qlCalendarAdvance(Calendar,P856,O856,"f",,Trigger)</f>
        <v>49802</v>
      </c>
      <c r="Q857" s="39">
        <f>_xll.qlInterestRateIndexValueDate(Index,P857,Trigger)</f>
        <v>49804</v>
      </c>
      <c r="R857" s="39">
        <f>_xll.qlInterestRateIndexMaturity(Index,Q857,Trigger)</f>
        <v>49898</v>
      </c>
      <c r="S857" s="40">
        <f>_xll.qlDayCounterYearFraction(DayCounter,Q857,R857,,,Trigger)</f>
        <v>0.26111111111111113</v>
      </c>
      <c r="T857" s="41">
        <f>_xll.qlIndexFixing(Index,P857,,AllTriggers)</f>
        <v>8.7653346215665184E-3</v>
      </c>
      <c r="U857" s="42">
        <f>_xll.qlYieldTSDiscount(OisCurve,Q857,,AllTriggers)</f>
        <v>0.88656093529864888</v>
      </c>
      <c r="V857" s="42">
        <f>_xll.qlYieldTSDiscount(OisCurve,R857,,AllTriggers)</f>
        <v>0.88472546400038332</v>
      </c>
      <c r="W857" s="41">
        <f t="shared" si="59"/>
        <v>7.9453625249626073E-3</v>
      </c>
      <c r="X857" s="43">
        <f t="shared" si="60"/>
        <v>2.1363773806532809E-4</v>
      </c>
      <c r="Y857" s="41">
        <f t="shared" si="61"/>
        <v>8.1997209660391104E-4</v>
      </c>
      <c r="Z857" s="62"/>
    </row>
    <row r="858" spans="15:26" x14ac:dyDescent="0.25">
      <c r="O858" s="45" t="s">
        <v>21</v>
      </c>
      <c r="P858" s="39">
        <f>_xll.qlCalendarAdvance(Calendar,P857,O857,"f",,Trigger)</f>
        <v>49835</v>
      </c>
      <c r="Q858" s="39">
        <f>_xll.qlInterestRateIndexValueDate(Index,P858,Trigger)</f>
        <v>49837</v>
      </c>
      <c r="R858" s="39">
        <f>_xll.qlInterestRateIndexMaturity(Index,Q858,Trigger)</f>
        <v>49929</v>
      </c>
      <c r="S858" s="40">
        <f>_xll.qlDayCounterYearFraction(DayCounter,Q858,R858,,,Trigger)</f>
        <v>0.25555555555555554</v>
      </c>
      <c r="T858" s="41">
        <f>_xll.qlIndexFixing(Index,P858,,AllTriggers)</f>
        <v>8.7449001873408511E-3</v>
      </c>
      <c r="U858" s="42">
        <f>_xll.qlYieldTSDiscount(OisCurve,Q858,,AllTriggers)</f>
        <v>0.88591487031217409</v>
      </c>
      <c r="V858" s="42">
        <f>_xll.qlYieldTSDiscount(OisCurve,R858,,AllTriggers)</f>
        <v>0.88412333703427892</v>
      </c>
      <c r="W858" s="41">
        <f t="shared" si="59"/>
        <v>7.9291511890987754E-3</v>
      </c>
      <c r="X858" s="43">
        <f t="shared" si="60"/>
        <v>2.0802597461848333E-4</v>
      </c>
      <c r="Y858" s="41">
        <f t="shared" si="61"/>
        <v>8.1574899824207563E-4</v>
      </c>
      <c r="Z858" s="62"/>
    </row>
    <row r="859" spans="15:26" x14ac:dyDescent="0.25">
      <c r="O859" s="45" t="s">
        <v>21</v>
      </c>
      <c r="P859" s="39">
        <f>_xll.qlCalendarAdvance(Calendar,P858,O858,"f",,Trigger)</f>
        <v>49865</v>
      </c>
      <c r="Q859" s="39">
        <f>_xll.qlInterestRateIndexValueDate(Index,P859,Trigger)</f>
        <v>49867</v>
      </c>
      <c r="R859" s="39">
        <f>_xll.qlInterestRateIndexMaturity(Index,Q859,Trigger)</f>
        <v>49961</v>
      </c>
      <c r="S859" s="40">
        <f>_xll.qlDayCounterYearFraction(DayCounter,Q859,R859,,,Trigger)</f>
        <v>0.26111111111111113</v>
      </c>
      <c r="T859" s="41">
        <f>_xll.qlIndexFixing(Index,P859,,AllTriggers)</f>
        <v>8.7260698682369523E-3</v>
      </c>
      <c r="U859" s="42">
        <f>_xll.qlYieldTSDiscount(OisCurve,Q859,,AllTriggers)</f>
        <v>0.88532914526749196</v>
      </c>
      <c r="V859" s="42">
        <f>_xll.qlYieldTSDiscount(OisCurve,R859,,AllTriggers)</f>
        <v>0.88350337488052222</v>
      </c>
      <c r="W859" s="41">
        <f t="shared" si="59"/>
        <v>7.9143015398841499E-3</v>
      </c>
      <c r="X859" s="43">
        <f t="shared" si="60"/>
        <v>2.1150224384082394E-4</v>
      </c>
      <c r="Y859" s="41">
        <f t="shared" si="61"/>
        <v>8.1176832835280245E-4</v>
      </c>
      <c r="Z859" s="62"/>
    </row>
    <row r="860" spans="15:26" x14ac:dyDescent="0.25">
      <c r="O860" s="45" t="s">
        <v>21</v>
      </c>
      <c r="P860" s="39">
        <f>_xll.qlCalendarAdvance(Calendar,P859,O859,"f",,Trigger)</f>
        <v>49898</v>
      </c>
      <c r="Q860" s="39">
        <f>_xll.qlInterestRateIndexValueDate(Index,P860,Trigger)</f>
        <v>49900</v>
      </c>
      <c r="R860" s="39">
        <f>_xll.qlInterestRateIndexMaturity(Index,Q860,Trigger)</f>
        <v>49992</v>
      </c>
      <c r="S860" s="40">
        <f>_xll.qlDayCounterYearFraction(DayCounter,Q860,R860,,,Trigger)</f>
        <v>0.25555555555555554</v>
      </c>
      <c r="T860" s="41">
        <f>_xll.qlIndexFixing(Index,P860,,AllTriggers)</f>
        <v>8.7067336112308623E-3</v>
      </c>
      <c r="U860" s="42">
        <f>_xll.qlYieldTSDiscount(OisCurve,Q860,,AllTriggers)</f>
        <v>0.88468657062068923</v>
      </c>
      <c r="V860" s="42">
        <f>_xll.qlYieldTSDiscount(OisCurve,R860,,AllTriggers)</f>
        <v>0.8829042845451115</v>
      </c>
      <c r="W860" s="41">
        <f t="shared" si="59"/>
        <v>7.8991154834274629E-3</v>
      </c>
      <c r="X860" s="43">
        <f t="shared" si="60"/>
        <v>2.0595429418834946E-4</v>
      </c>
      <c r="Y860" s="41">
        <f t="shared" si="61"/>
        <v>8.0761812780339934E-4</v>
      </c>
      <c r="Z860" s="62"/>
    </row>
    <row r="861" spans="15:26" x14ac:dyDescent="0.25">
      <c r="O861" s="45" t="s">
        <v>21</v>
      </c>
      <c r="P861" s="39">
        <f>_xll.qlCalendarAdvance(Calendar,P860,O860,"f",,Trigger)</f>
        <v>49929</v>
      </c>
      <c r="Q861" s="39">
        <f>_xll.qlInterestRateIndexValueDate(Index,P861,Trigger)</f>
        <v>49933</v>
      </c>
      <c r="R861" s="39">
        <f>_xll.qlInterestRateIndexMaturity(Index,Q861,Trigger)</f>
        <v>50024</v>
      </c>
      <c r="S861" s="40">
        <f>_xll.qlDayCounterYearFraction(DayCounter,Q861,R861,,,Trigger)</f>
        <v>0.25277777777777777</v>
      </c>
      <c r="T861" s="41">
        <f>_xll.qlIndexFixing(Index,P861,,AllTriggers)</f>
        <v>8.6877794774328256E-3</v>
      </c>
      <c r="U861" s="42">
        <f>_xll.qlYieldTSDiscount(OisCurve,Q861,,AllTriggers)</f>
        <v>0.88404575439689714</v>
      </c>
      <c r="V861" s="42">
        <f>_xll.qlYieldTSDiscount(OisCurve,R861,,AllTriggers)</f>
        <v>0.88228737277047564</v>
      </c>
      <c r="W861" s="41">
        <f t="shared" si="59"/>
        <v>7.8843188968924869E-3</v>
      </c>
      <c r="X861" s="43">
        <f t="shared" si="60"/>
        <v>2.0267247737451247E-4</v>
      </c>
      <c r="Y861" s="41">
        <f t="shared" si="61"/>
        <v>8.0346058054033866E-4</v>
      </c>
      <c r="Z861" s="62"/>
    </row>
    <row r="862" spans="15:26" x14ac:dyDescent="0.25">
      <c r="O862" s="45" t="s">
        <v>21</v>
      </c>
      <c r="P862" s="39">
        <f>_xll.qlCalendarAdvance(Calendar,P861,O861,"f",,Trigger)</f>
        <v>49961</v>
      </c>
      <c r="Q862" s="39">
        <f>_xll.qlInterestRateIndexValueDate(Index,P862,Trigger)</f>
        <v>49963</v>
      </c>
      <c r="R862" s="39">
        <f>_xll.qlInterestRateIndexMaturity(Index,Q862,Trigger)</f>
        <v>50055</v>
      </c>
      <c r="S862" s="40">
        <f>_xll.qlDayCounterYearFraction(DayCounter,Q862,R862,,,Trigger)</f>
        <v>0.25555555555555554</v>
      </c>
      <c r="T862" s="41">
        <f>_xll.qlIndexFixing(Index,P862,,AllTriggers)</f>
        <v>8.670725272748616E-3</v>
      </c>
      <c r="U862" s="42">
        <f>_xll.qlYieldTSDiscount(OisCurve,Q862,,AllTriggers)</f>
        <v>0.88346467983945509</v>
      </c>
      <c r="V862" s="42">
        <f>_xll.qlYieldTSDiscount(OisCurve,R862,,AllTriggers)</f>
        <v>0.8816911561379106</v>
      </c>
      <c r="W862" s="41">
        <f t="shared" si="59"/>
        <v>7.8710955707764815E-3</v>
      </c>
      <c r="X862" s="43">
        <f t="shared" si="60"/>
        <v>2.0391879494561593E-4</v>
      </c>
      <c r="Y862" s="41">
        <f t="shared" si="61"/>
        <v>7.9962970197213455E-4</v>
      </c>
      <c r="Z862" s="62"/>
    </row>
    <row r="863" spans="15:26" x14ac:dyDescent="0.25">
      <c r="O863" s="45" t="s">
        <v>21</v>
      </c>
      <c r="P863" s="39">
        <f>_xll.qlCalendarAdvance(Calendar,P862,O862,"f",,Trigger)</f>
        <v>49992</v>
      </c>
      <c r="Q863" s="39">
        <f>_xll.qlInterestRateIndexValueDate(Index,P863,Trigger)</f>
        <v>49996</v>
      </c>
      <c r="R863" s="39">
        <f>_xll.qlInterestRateIndexMaturity(Index,Q863,Trigger)</f>
        <v>50088</v>
      </c>
      <c r="S863" s="40">
        <f>_xll.qlDayCounterYearFraction(DayCounter,Q863,R863,,,Trigger)</f>
        <v>0.25555555555555554</v>
      </c>
      <c r="T863" s="41">
        <f>_xll.qlIndexFixing(Index,P863,,AllTriggers)</f>
        <v>8.652725079481392E-3</v>
      </c>
      <c r="U863" s="42">
        <f>_xll.qlYieldTSDiscount(OisCurve,Q863,,AllTriggers)</f>
        <v>0.88282708787851261</v>
      </c>
      <c r="V863" s="42">
        <f>_xll.qlYieldTSDiscount(OisCurve,R863,,AllTriggers)</f>
        <v>0.88105796139904446</v>
      </c>
      <c r="W863" s="41">
        <f t="shared" si="59"/>
        <v>7.857222947862591E-3</v>
      </c>
      <c r="X863" s="43">
        <f t="shared" si="60"/>
        <v>2.0286702071488775E-4</v>
      </c>
      <c r="Y863" s="41">
        <f t="shared" si="61"/>
        <v>7.9550213161880094E-4</v>
      </c>
      <c r="Z863" s="62"/>
    </row>
    <row r="864" spans="15:26" x14ac:dyDescent="0.25">
      <c r="O864" s="45" t="s">
        <v>21</v>
      </c>
      <c r="P864" s="39">
        <f>_xll.qlCalendarAdvance(Calendar,P863,O863,"f",,Trigger)</f>
        <v>50024</v>
      </c>
      <c r="Q864" s="39">
        <f>_xll.qlInterestRateIndexValueDate(Index,P864,Trigger)</f>
        <v>50026</v>
      </c>
      <c r="R864" s="39">
        <f>_xll.qlInterestRateIndexMaturity(Index,Q864,Trigger)</f>
        <v>50116</v>
      </c>
      <c r="S864" s="40">
        <f>_xll.qlDayCounterYearFraction(DayCounter,Q864,R864,,,Trigger)</f>
        <v>0.25</v>
      </c>
      <c r="T864" s="41">
        <f>_xll.qlIndexFixing(Index,P864,,AllTriggers)</f>
        <v>8.6371802356222105E-3</v>
      </c>
      <c r="U864" s="42">
        <f>_xll.qlYieldTSDiscount(OisCurve,Q864,,AllTriggers)</f>
        <v>0.88224886554317472</v>
      </c>
      <c r="V864" s="42">
        <f>_xll.qlYieldTSDiscount(OisCurve,R864,,AllTriggers)</f>
        <v>0.88052187380708591</v>
      </c>
      <c r="W864" s="41">
        <f t="shared" si="59"/>
        <v>7.8453098666217969E-3</v>
      </c>
      <c r="X864" s="43">
        <f t="shared" si="60"/>
        <v>1.9756055665408684E-4</v>
      </c>
      <c r="Y864" s="41">
        <f t="shared" si="61"/>
        <v>7.9187036900041363E-4</v>
      </c>
      <c r="Z864" s="62"/>
    </row>
    <row r="865" spans="15:26" x14ac:dyDescent="0.25">
      <c r="O865" s="45" t="s">
        <v>21</v>
      </c>
      <c r="P865" s="39">
        <f>_xll.qlCalendarAdvance(Calendar,P864,O864,"f",,Trigger)</f>
        <v>50055</v>
      </c>
      <c r="Q865" s="39">
        <f>_xll.qlInterestRateIndexValueDate(Index,P865,Trigger)</f>
        <v>50059</v>
      </c>
      <c r="R865" s="39">
        <f>_xll.qlInterestRateIndexMaturity(Index,Q865,Trigger)</f>
        <v>50150</v>
      </c>
      <c r="S865" s="40">
        <f>_xll.qlDayCounterYearFraction(DayCounter,Q865,R865,,,Trigger)</f>
        <v>0.25277777777777777</v>
      </c>
      <c r="T865" s="41">
        <f>_xll.qlIndexFixing(Index,P865,,AllTriggers)</f>
        <v>8.6201492796224993E-3</v>
      </c>
      <c r="U865" s="42">
        <f>_xll.qlYieldTSDiscount(OisCurve,Q865,,AllTriggers)</f>
        <v>0.88161432445139221</v>
      </c>
      <c r="V865" s="42">
        <f>_xll.qlYieldTSDiscount(OisCurve,R865,,AllTriggers)</f>
        <v>0.87987230880286227</v>
      </c>
      <c r="W865" s="41">
        <f t="shared" si="59"/>
        <v>7.8323756853732121E-3</v>
      </c>
      <c r="X865" s="43">
        <f t="shared" si="60"/>
        <v>1.9871844082688285E-4</v>
      </c>
      <c r="Y865" s="41">
        <f t="shared" si="61"/>
        <v>7.8777359424928722E-4</v>
      </c>
      <c r="Z865" s="62"/>
    </row>
    <row r="866" spans="15:26" x14ac:dyDescent="0.25">
      <c r="O866" s="45" t="s">
        <v>21</v>
      </c>
      <c r="P866" s="39">
        <f>_xll.qlCalendarAdvance(Calendar,P865,O865,"f",,Trigger)</f>
        <v>50087</v>
      </c>
      <c r="Q866" s="39">
        <f>_xll.qlInterestRateIndexValueDate(Index,P866,Trigger)</f>
        <v>50089</v>
      </c>
      <c r="R866" s="39">
        <f>_xll.qlInterestRateIndexMaturity(Index,Q866,Trigger)</f>
        <v>50178</v>
      </c>
      <c r="S866" s="40">
        <f>_xll.qlDayCounterYearFraction(DayCounter,Q866,R866,,,Trigger)</f>
        <v>0.24722222222222223</v>
      </c>
      <c r="T866" s="41">
        <f>_xll.qlIndexFixing(Index,P866,,AllTriggers)</f>
        <v>8.6055919101014639E-3</v>
      </c>
      <c r="U866" s="42">
        <f>_xll.qlYieldTSDiscount(OisCurve,Q866,,AllTriggers)</f>
        <v>0.88103879714187716</v>
      </c>
      <c r="V866" s="42">
        <f>_xll.qlYieldTSDiscount(OisCurve,R866,,AllTriggers)</f>
        <v>0.87933849060811686</v>
      </c>
      <c r="W866" s="41">
        <f t="shared" si="59"/>
        <v>7.8213844607953002E-3</v>
      </c>
      <c r="X866" s="43">
        <f t="shared" si="60"/>
        <v>1.934806354850632E-4</v>
      </c>
      <c r="Y866" s="41">
        <f t="shared" si="61"/>
        <v>7.8420744930616376E-4</v>
      </c>
      <c r="Z866" s="62"/>
    </row>
    <row r="867" spans="15:26" x14ac:dyDescent="0.25">
      <c r="O867" s="45" t="s">
        <v>21</v>
      </c>
      <c r="P867" s="39">
        <f>_xll.qlCalendarAdvance(Calendar,P866,O866,"f",,Trigger)</f>
        <v>50115</v>
      </c>
      <c r="Q867" s="39">
        <f>_xll.qlInterestRateIndexValueDate(Index,P867,Trigger)</f>
        <v>50117</v>
      </c>
      <c r="R867" s="39">
        <f>_xll.qlInterestRateIndexMaturity(Index,Q867,Trigger)</f>
        <v>50209</v>
      </c>
      <c r="S867" s="40">
        <f>_xll.qlDayCounterYearFraction(DayCounter,Q867,R867,,,Trigger)</f>
        <v>0.25555555555555554</v>
      </c>
      <c r="T867" s="41">
        <f>_xll.qlIndexFixing(Index,P867,,AllTriggers)</f>
        <v>8.5917904410515653E-3</v>
      </c>
      <c r="U867" s="42">
        <f>_xll.qlYieldTSDiscount(OisCurve,Q867,,AllTriggers)</f>
        <v>0.88050274726961297</v>
      </c>
      <c r="V867" s="42">
        <f>_xll.qlYieldTSDiscount(OisCurve,R867,,AllTriggers)</f>
        <v>0.87874861823901318</v>
      </c>
      <c r="W867" s="41">
        <f t="shared" si="59"/>
        <v>7.8110884281919991E-3</v>
      </c>
      <c r="X867" s="43">
        <f t="shared" si="60"/>
        <v>1.9909544846732379E-4</v>
      </c>
      <c r="Y867" s="41">
        <f t="shared" si="61"/>
        <v>7.8070201285956615E-4</v>
      </c>
      <c r="Z867" s="62"/>
    </row>
    <row r="868" spans="15:26" x14ac:dyDescent="0.25">
      <c r="O868" s="45" t="s">
        <v>21</v>
      </c>
      <c r="P868" s="39">
        <f>_xll.qlCalendarAdvance(Calendar,P867,O867,"f",,Trigger)</f>
        <v>50146</v>
      </c>
      <c r="Q868" s="39">
        <f>_xll.qlInterestRateIndexValueDate(Index,P868,Trigger)</f>
        <v>50150</v>
      </c>
      <c r="R868" s="39">
        <f>_xll.qlInterestRateIndexMaturity(Index,Q868,Trigger)</f>
        <v>50241</v>
      </c>
      <c r="S868" s="40">
        <f>_xll.qlDayCounterYearFraction(DayCounter,Q868,R868,,,Trigger)</f>
        <v>0.25277777777777777</v>
      </c>
      <c r="T868" s="41">
        <f>_xll.qlIndexFixing(Index,P868,,AllTriggers)</f>
        <v>8.57667373199285E-3</v>
      </c>
      <c r="U868" s="42">
        <f>_xll.qlYieldTSDiscount(OisCurve,Q868,,AllTriggers)</f>
        <v>0.87987230880286227</v>
      </c>
      <c r="V868" s="42">
        <f>_xll.qlYieldTSDiscount(OisCurve,R868,,AllTriggers)</f>
        <v>0.87814093525254278</v>
      </c>
      <c r="W868" s="41">
        <f t="shared" si="59"/>
        <v>7.7998753895076774E-3</v>
      </c>
      <c r="X868" s="43">
        <f t="shared" si="60"/>
        <v>1.959517757244411E-4</v>
      </c>
      <c r="Y868" s="41">
        <f t="shared" si="61"/>
        <v>7.7679834248517259E-4</v>
      </c>
      <c r="Z868" s="62"/>
    </row>
    <row r="869" spans="15:26" x14ac:dyDescent="0.25">
      <c r="O869" s="45" t="s">
        <v>21</v>
      </c>
      <c r="P869" s="39">
        <f>_xll.qlCalendarAdvance(Calendar,P868,O868,"f",,Trigger)</f>
        <v>50178</v>
      </c>
      <c r="Q869" s="39">
        <f>_xll.qlInterestRateIndexValueDate(Index,P869,Trigger)</f>
        <v>50180</v>
      </c>
      <c r="R869" s="39">
        <f>_xll.qlInterestRateIndexMaturity(Index,Q869,Trigger)</f>
        <v>50272</v>
      </c>
      <c r="S869" s="40">
        <f>_xll.qlDayCounterYearFraction(DayCounter,Q869,R869,,,Trigger)</f>
        <v>0.25555555555555554</v>
      </c>
      <c r="T869" s="41">
        <f>_xll.qlIndexFixing(Index,P869,,AllTriggers)</f>
        <v>8.5632155994099998E-3</v>
      </c>
      <c r="U869" s="42">
        <f>_xll.qlYieldTSDiscount(OisCurve,Q869,,AllTriggers)</f>
        <v>0.87930039853259379</v>
      </c>
      <c r="V869" s="42">
        <f>_xll.qlYieldTSDiscount(OisCurve,R869,,AllTriggers)</f>
        <v>0.87755338218346457</v>
      </c>
      <c r="W869" s="41">
        <f t="shared" si="59"/>
        <v>7.790011491228435E-3</v>
      </c>
      <c r="X869" s="43">
        <f t="shared" si="60"/>
        <v>1.9718457331755276E-4</v>
      </c>
      <c r="Y869" s="41">
        <f t="shared" si="61"/>
        <v>7.7320410818156483E-4</v>
      </c>
      <c r="Z869" s="62"/>
    </row>
    <row r="870" spans="15:26" x14ac:dyDescent="0.25">
      <c r="O870" s="45" t="s">
        <v>21</v>
      </c>
      <c r="P870" s="39">
        <f>_xll.qlCalendarAdvance(Calendar,P869,O869,"f",,Trigger)</f>
        <v>50209</v>
      </c>
      <c r="Q870" s="39">
        <f>_xll.qlInterestRateIndexValueDate(Index,P870,Trigger)</f>
        <v>50213</v>
      </c>
      <c r="R870" s="39">
        <f>_xll.qlInterestRateIndexMaturity(Index,Q870,Trigger)</f>
        <v>50305</v>
      </c>
      <c r="S870" s="40">
        <f>_xll.qlDayCounterYearFraction(DayCounter,Q870,R870,,,Trigger)</f>
        <v>0.25555555555555554</v>
      </c>
      <c r="T870" s="41">
        <f>_xll.qlIndexFixing(Index,P870,,AllTriggers)</f>
        <v>8.5491090709768069E-3</v>
      </c>
      <c r="U870" s="42">
        <f>_xll.qlYieldTSDiscount(OisCurve,Q870,,AllTriggers)</f>
        <v>0.87867259107326068</v>
      </c>
      <c r="V870" s="42">
        <f>_xll.qlYieldTSDiscount(OisCurve,R870,,AllTriggers)</f>
        <v>0.87692911141234453</v>
      </c>
      <c r="W870" s="41">
        <f t="shared" si="59"/>
        <v>7.7797756145195959E-3</v>
      </c>
      <c r="X870" s="43">
        <f t="shared" si="60"/>
        <v>1.9619807837335161E-4</v>
      </c>
      <c r="Y870" s="41">
        <f t="shared" si="61"/>
        <v>7.6933345645721109E-4</v>
      </c>
      <c r="Z870" s="62"/>
    </row>
    <row r="871" spans="15:26" x14ac:dyDescent="0.25">
      <c r="O871" s="45" t="s">
        <v>21</v>
      </c>
      <c r="P871" s="39">
        <f>_xll.qlCalendarAdvance(Calendar,P870,O870,"f",,Trigger)</f>
        <v>50241</v>
      </c>
      <c r="Q871" s="39">
        <f>_xll.qlInterestRateIndexValueDate(Index,P871,Trigger)</f>
        <v>50243</v>
      </c>
      <c r="R871" s="39">
        <f>_xll.qlInterestRateIndexMaturity(Index,Q871,Trigger)</f>
        <v>50335</v>
      </c>
      <c r="S871" s="40">
        <f>_xll.qlDayCounterYearFraction(DayCounter,Q871,R871,,,Trigger)</f>
        <v>0.25555555555555554</v>
      </c>
      <c r="T871" s="41">
        <f>_xll.qlIndexFixing(Index,P871,,AllTriggers)</f>
        <v>8.5367987584804728E-3</v>
      </c>
      <c r="U871" s="42">
        <f>_xll.qlYieldTSDiscount(OisCurve,Q871,,AllTriggers)</f>
        <v>0.87810299517788104</v>
      </c>
      <c r="V871" s="42">
        <f>_xll.qlYieldTSDiscount(OisCurve,R871,,AllTriggers)</f>
        <v>0.87636261833727347</v>
      </c>
      <c r="W871" s="41">
        <f t="shared" si="59"/>
        <v>7.7709501790215385E-3</v>
      </c>
      <c r="X871" s="43">
        <f t="shared" si="60"/>
        <v>1.9530987935628769E-4</v>
      </c>
      <c r="Y871" s="41">
        <f t="shared" si="61"/>
        <v>7.6584857945893436E-4</v>
      </c>
      <c r="Z871" s="62"/>
    </row>
    <row r="872" spans="15:26" x14ac:dyDescent="0.25">
      <c r="O872" s="45" t="s">
        <v>21</v>
      </c>
      <c r="P872" s="39">
        <f>_xll.qlCalendarAdvance(Calendar,P871,O871,"f",,Trigger)</f>
        <v>50272</v>
      </c>
      <c r="Q872" s="39">
        <f>_xll.qlInterestRateIndexValueDate(Index,P872,Trigger)</f>
        <v>50276</v>
      </c>
      <c r="R872" s="39">
        <f>_xll.qlInterestRateIndexMaturity(Index,Q872,Trigger)</f>
        <v>50368</v>
      </c>
      <c r="S872" s="40">
        <f>_xll.qlDayCounterYearFraction(DayCounter,Q872,R872,,,Trigger)</f>
        <v>0.25555555555555554</v>
      </c>
      <c r="T872" s="41">
        <f>_xll.qlIndexFixing(Index,P872,,AllTriggers)</f>
        <v>8.5238225937447065E-3</v>
      </c>
      <c r="U872" s="42">
        <f>_xll.qlYieldTSDiscount(OisCurve,Q872,,AllTriggers)</f>
        <v>0.87747764857031885</v>
      </c>
      <c r="V872" s="42">
        <f>_xll.qlYieldTSDiscount(OisCurve,R872,,AllTriggers)</f>
        <v>0.87574056158454339</v>
      </c>
      <c r="W872" s="41">
        <f t="shared" si="59"/>
        <v>7.7617700938295208E-3</v>
      </c>
      <c r="X872" s="43">
        <f t="shared" si="60"/>
        <v>1.9434233646315334E-4</v>
      </c>
      <c r="Y872" s="41">
        <f t="shared" si="61"/>
        <v>7.6205249991518568E-4</v>
      </c>
      <c r="Z872" s="62"/>
    </row>
    <row r="873" spans="15:26" x14ac:dyDescent="0.25">
      <c r="O873" s="45" t="s">
        <v>21</v>
      </c>
      <c r="P873" s="39">
        <f>_xll.qlCalendarAdvance(Calendar,P872,O872,"f",,Trigger)</f>
        <v>50304</v>
      </c>
      <c r="Q873" s="39">
        <f>_xll.qlInterestRateIndexValueDate(Index,P873,Trigger)</f>
        <v>50306</v>
      </c>
      <c r="R873" s="39">
        <f>_xll.qlInterestRateIndexMaturity(Index,Q873,Trigger)</f>
        <v>50397</v>
      </c>
      <c r="S873" s="40">
        <f>_xll.qlDayCounterYearFraction(DayCounter,Q873,R873,,,Trigger)</f>
        <v>0.25277777777777777</v>
      </c>
      <c r="T873" s="41">
        <f>_xll.qlIndexFixing(Index,P873,,AllTriggers)</f>
        <v>8.5126191907577455E-3</v>
      </c>
      <c r="U873" s="42">
        <f>_xll.qlYieldTSDiscount(OisCurve,Q873,,AllTriggers)</f>
        <v>0.8769102127814542</v>
      </c>
      <c r="V873" s="42">
        <f>_xll.qlYieldTSDiscount(OisCurve,R873,,AllTriggers)</f>
        <v>0.87519480920107107</v>
      </c>
      <c r="W873" s="41">
        <f t="shared" si="59"/>
        <v>7.7539444875660704E-3</v>
      </c>
      <c r="X873" s="43">
        <f t="shared" si="60"/>
        <v>1.9138264007395649E-4</v>
      </c>
      <c r="Y873" s="41">
        <f t="shared" si="61"/>
        <v>7.5867470319167501E-4</v>
      </c>
      <c r="Z873" s="62"/>
    </row>
    <row r="874" spans="15:26" x14ac:dyDescent="0.25">
      <c r="O874" s="45" t="s">
        <v>21</v>
      </c>
      <c r="P874" s="39">
        <f>_xll.qlCalendarAdvance(Calendar,P873,O873,"f",,Trigger)</f>
        <v>50334</v>
      </c>
      <c r="Q874" s="39">
        <f>_xll.qlInterestRateIndexValueDate(Index,P874,Trigger)</f>
        <v>50336</v>
      </c>
      <c r="R874" s="39">
        <f>_xll.qlInterestRateIndexMaturity(Index,Q874,Trigger)</f>
        <v>50430</v>
      </c>
      <c r="S874" s="40">
        <f>_xll.qlDayCounterYearFraction(DayCounter,Q874,R874,,,Trigger)</f>
        <v>0.26111111111111113</v>
      </c>
      <c r="T874" s="41">
        <f>_xll.qlIndexFixing(Index,P874,,AllTriggers)</f>
        <v>8.5016041717847542E-3</v>
      </c>
      <c r="U874" s="42">
        <f>_xll.qlYieldTSDiscount(OisCurve,Q874,,AllTriggers)</f>
        <v>0.87634375163484857</v>
      </c>
      <c r="V874" s="42">
        <f>_xll.qlYieldTSDiscount(OisCurve,R874,,AllTriggers)</f>
        <v>0.87457476738501194</v>
      </c>
      <c r="W874" s="41">
        <f t="shared" si="59"/>
        <v>7.7464312370954056E-3</v>
      </c>
      <c r="X874" s="43">
        <f t="shared" si="60"/>
        <v>1.9676664925012409E-4</v>
      </c>
      <c r="Y874" s="41">
        <f t="shared" si="61"/>
        <v>7.5517293468934862E-4</v>
      </c>
      <c r="Z874" s="62"/>
    </row>
    <row r="875" spans="15:26" x14ac:dyDescent="0.25">
      <c r="O875" s="45" t="s">
        <v>21</v>
      </c>
      <c r="P875" s="39">
        <f>_xll.qlCalendarAdvance(Calendar,P874,O874,"f",,Trigger)</f>
        <v>50367</v>
      </c>
      <c r="Q875" s="39">
        <f>_xll.qlInterestRateIndexValueDate(Index,P875,Trigger)</f>
        <v>50369</v>
      </c>
      <c r="R875" s="39">
        <f>_xll.qlInterestRateIndexMaturity(Index,Q875,Trigger)</f>
        <v>50461</v>
      </c>
      <c r="S875" s="40">
        <f>_xll.qlDayCounterYearFraction(DayCounter,Q875,R875,,,Trigger)</f>
        <v>0.25555555555555554</v>
      </c>
      <c r="T875" s="41">
        <f>_xll.qlIndexFixing(Index,P875,,AllTriggers)</f>
        <v>8.4904389078916086E-3</v>
      </c>
      <c r="U875" s="42">
        <f>_xll.qlYieldTSDiscount(OisCurve,Q875,,AllTriggers)</f>
        <v>0.87572172866910392</v>
      </c>
      <c r="V875" s="42">
        <f>_xll.qlYieldTSDiscount(OisCurve,R875,,AllTriggers)</f>
        <v>0.87399322150315217</v>
      </c>
      <c r="W875" s="41">
        <f t="shared" si="59"/>
        <v>7.7388743144049662E-3</v>
      </c>
      <c r="X875" s="43">
        <f t="shared" si="60"/>
        <v>1.9166903499856996E-4</v>
      </c>
      <c r="Y875" s="41">
        <f t="shared" si="61"/>
        <v>7.5156459348664235E-4</v>
      </c>
      <c r="Z875" s="62"/>
    </row>
    <row r="876" spans="15:26" x14ac:dyDescent="0.25">
      <c r="O876" s="45" t="s">
        <v>21</v>
      </c>
      <c r="P876" s="39">
        <f>_xll.qlCalendarAdvance(Calendar,P875,O875,"f",,Trigger)</f>
        <v>50397</v>
      </c>
      <c r="Q876" s="39">
        <f>_xll.qlInterestRateIndexValueDate(Index,P876,Trigger)</f>
        <v>50402</v>
      </c>
      <c r="R876" s="39">
        <f>_xll.qlInterestRateIndexMaturity(Index,Q876,Trigger)</f>
        <v>50493</v>
      </c>
      <c r="S876" s="40">
        <f>_xll.qlDayCounterYearFraction(DayCounter,Q876,R876,,,Trigger)</f>
        <v>0.25277777777777777</v>
      </c>
      <c r="T876" s="41">
        <f>_xll.qlIndexFixing(Index,P876,,AllTriggers)</f>
        <v>8.4797774016304121E-3</v>
      </c>
      <c r="U876" s="42">
        <f>_xll.qlYieldTSDiscount(OisCurve,Q876,,AllTriggers)</f>
        <v>0.8751007969641591</v>
      </c>
      <c r="V876" s="42">
        <f>_xll.qlYieldTSDiscount(OisCurve,R876,,AllTriggers)</f>
        <v>0.87339380749684625</v>
      </c>
      <c r="W876" s="41">
        <f t="shared" si="59"/>
        <v>7.7318218966394439E-3</v>
      </c>
      <c r="X876" s="43">
        <f t="shared" si="60"/>
        <v>1.8867993221894573E-4</v>
      </c>
      <c r="Y876" s="41">
        <f t="shared" si="61"/>
        <v>7.4795550499096811E-4</v>
      </c>
      <c r="Z876" s="62"/>
    </row>
    <row r="877" spans="15:26" x14ac:dyDescent="0.25">
      <c r="O877" s="45" t="s">
        <v>21</v>
      </c>
      <c r="P877" s="39">
        <f>_xll.qlCalendarAdvance(Calendar,P876,O876,"f",,Trigger)</f>
        <v>50430</v>
      </c>
      <c r="Q877" s="39">
        <f>_xll.qlInterestRateIndexValueDate(Index,P877,Trigger)</f>
        <v>50432</v>
      </c>
      <c r="R877" s="39">
        <f>_xll.qlInterestRateIndexMaturity(Index,Q877,Trigger)</f>
        <v>50522</v>
      </c>
      <c r="S877" s="40">
        <f>_xll.qlDayCounterYearFraction(DayCounter,Q877,R877,,,Trigger)</f>
        <v>0.25</v>
      </c>
      <c r="T877" s="41">
        <f>_xll.qlIndexFixing(Index,P877,,AllTriggers)</f>
        <v>8.4705881086764023E-3</v>
      </c>
      <c r="U877" s="42">
        <f>_xll.qlYieldTSDiscount(OisCurve,Q877,,AllTriggers)</f>
        <v>0.87453722190046956</v>
      </c>
      <c r="V877" s="42">
        <f>_xll.qlYieldTSDiscount(OisCurve,R877,,AllTriggers)</f>
        <v>0.87285133635166845</v>
      </c>
      <c r="W877" s="41">
        <f t="shared" si="59"/>
        <v>7.7258771503876389E-3</v>
      </c>
      <c r="X877" s="43">
        <f t="shared" si="60"/>
        <v>1.8580157401539902E-4</v>
      </c>
      <c r="Y877" s="41">
        <f t="shared" si="61"/>
        <v>7.4471095828876344E-4</v>
      </c>
      <c r="Z877" s="62"/>
    </row>
    <row r="878" spans="15:26" x14ac:dyDescent="0.25">
      <c r="O878" s="45" t="s">
        <v>21</v>
      </c>
      <c r="P878" s="39">
        <f>_xll.qlCalendarAdvance(Calendar,P877,O877,"f",,Trigger)</f>
        <v>50461</v>
      </c>
      <c r="Q878" s="39">
        <f>_xll.qlInterestRateIndexValueDate(Index,P878,Trigger)</f>
        <v>50465</v>
      </c>
      <c r="R878" s="39">
        <f>_xll.qlInterestRateIndexMaturity(Index,Q878,Trigger)</f>
        <v>50557</v>
      </c>
      <c r="S878" s="40">
        <f>_xll.qlDayCounterYearFraction(DayCounter,Q878,R878,,,Trigger)</f>
        <v>0.25555555555555554</v>
      </c>
      <c r="T878" s="41">
        <f>_xll.qlIndexFixing(Index,P878,,AllTriggers)</f>
        <v>8.4609106269972756E-3</v>
      </c>
      <c r="U878" s="42">
        <f>_xll.qlYieldTSDiscount(OisCurve,Q878,,AllTriggers)</f>
        <v>0.87391824605872648</v>
      </c>
      <c r="V878" s="42">
        <f>_xll.qlYieldTSDiscount(OisCurve,R878,,AllTriggers)</f>
        <v>0.87219753136017519</v>
      </c>
      <c r="W878" s="41">
        <f t="shared" si="59"/>
        <v>7.7198469234525694E-3</v>
      </c>
      <c r="X878" s="43">
        <f t="shared" si="60"/>
        <v>1.8899219786142201E-4</v>
      </c>
      <c r="Y878" s="41">
        <f t="shared" si="61"/>
        <v>7.4106370354470614E-4</v>
      </c>
      <c r="Z878" s="62"/>
    </row>
    <row r="879" spans="15:26" x14ac:dyDescent="0.25">
      <c r="O879" s="45" t="s">
        <v>21</v>
      </c>
      <c r="P879" s="39">
        <f>_xll.qlCalendarAdvance(Calendar,P878,O878,"f",,Trigger)</f>
        <v>50489</v>
      </c>
      <c r="Q879" s="39">
        <f>_xll.qlInterestRateIndexValueDate(Index,P879,Trigger)</f>
        <v>50493</v>
      </c>
      <c r="R879" s="39">
        <f>_xll.qlInterestRateIndexMaturity(Index,Q879,Trigger)</f>
        <v>50585</v>
      </c>
      <c r="S879" s="40">
        <f>_xll.qlDayCounterYearFraction(DayCounter,Q879,R879,,,Trigger)</f>
        <v>0.25555555555555554</v>
      </c>
      <c r="T879" s="41">
        <f>_xll.qlIndexFixing(Index,P879,,AllTriggers)</f>
        <v>8.4532420300233238E-3</v>
      </c>
      <c r="U879" s="42">
        <f>_xll.qlYieldTSDiscount(OisCurve,Q879,,AllTriggers)</f>
        <v>0.87339380749684625</v>
      </c>
      <c r="V879" s="42">
        <f>_xll.qlYieldTSDiscount(OisCurve,R879,,AllTriggers)</f>
        <v>0.87167516322180971</v>
      </c>
      <c r="W879" s="41">
        <f t="shared" si="59"/>
        <v>7.7151788368335777E-3</v>
      </c>
      <c r="X879" s="43">
        <f t="shared" si="60"/>
        <v>1.882272789782498E-4</v>
      </c>
      <c r="Y879" s="41">
        <f t="shared" si="61"/>
        <v>7.3806319318974606E-4</v>
      </c>
      <c r="Z879" s="62"/>
    </row>
    <row r="880" spans="15:26" x14ac:dyDescent="0.25">
      <c r="O880" s="45" t="s">
        <v>21</v>
      </c>
      <c r="P880" s="39">
        <f>_xll.qlCalendarAdvance(Calendar,P879,O879,"f",,Trigger)</f>
        <v>50522</v>
      </c>
      <c r="Q880" s="39">
        <f>_xll.qlInterestRateIndexValueDate(Index,P880,Trigger)</f>
        <v>50524</v>
      </c>
      <c r="R880" s="39">
        <f>_xll.qlInterestRateIndexMaturity(Index,Q880,Trigger)</f>
        <v>50615</v>
      </c>
      <c r="S880" s="40">
        <f>_xll.qlDayCounterYearFraction(DayCounter,Q880,R880,,,Trigger)</f>
        <v>0.25277777777777777</v>
      </c>
      <c r="T880" s="41">
        <f>_xll.qlIndexFixing(Index,P880,,AllTriggers)</f>
        <v>8.4452706219268966E-3</v>
      </c>
      <c r="U880" s="42">
        <f>_xll.qlYieldTSDiscount(OisCurve,Q880,,AllTriggers)</f>
        <v>0.8728139499333204</v>
      </c>
      <c r="V880" s="42">
        <f>_xll.qlYieldTSDiscount(OisCurve,R880,,AllTriggers)</f>
        <v>0.87111611579327786</v>
      </c>
      <c r="W880" s="41">
        <f t="shared" si="59"/>
        <v>7.7104605991173969E-3</v>
      </c>
      <c r="X880" s="43">
        <f t="shared" si="60"/>
        <v>1.8536514718081869E-4</v>
      </c>
      <c r="Y880" s="41">
        <f t="shared" si="61"/>
        <v>7.3481002280949975E-4</v>
      </c>
      <c r="Z880" s="62"/>
    </row>
    <row r="881" spans="15:26" x14ac:dyDescent="0.25">
      <c r="O881" s="45" t="s">
        <v>21</v>
      </c>
      <c r="P881" s="39">
        <f>_xll.qlCalendarAdvance(Calendar,P880,O880,"f",,Trigger)</f>
        <v>50552</v>
      </c>
      <c r="Q881" s="39">
        <f>_xll.qlInterestRateIndexValueDate(Index,P881,Trigger)</f>
        <v>50556</v>
      </c>
      <c r="R881" s="39">
        <f>_xll.qlInterestRateIndexMaturity(Index,Q881,Trigger)</f>
        <v>50648</v>
      </c>
      <c r="S881" s="40">
        <f>_xll.qlDayCounterYearFraction(DayCounter,Q881,R881,,,Trigger)</f>
        <v>0.25555555555555554</v>
      </c>
      <c r="T881" s="41">
        <f>_xll.qlIndexFixing(Index,P881,,AllTriggers)</f>
        <v>8.4375461080351023E-3</v>
      </c>
      <c r="U881" s="42">
        <f>_xll.qlYieldTSDiscount(OisCurve,Q881,,AllTriggers)</f>
        <v>0.87221619826904873</v>
      </c>
      <c r="V881" s="42">
        <f>_xll.qlYieldTSDiscount(OisCurve,R881,,AllTriggers)</f>
        <v>0.87050188003847273</v>
      </c>
      <c r="W881" s="41">
        <f t="shared" si="59"/>
        <v>7.7061312854637383E-3</v>
      </c>
      <c r="X881" s="43">
        <f t="shared" si="60"/>
        <v>1.865323423488278E-4</v>
      </c>
      <c r="Y881" s="41">
        <f t="shared" si="61"/>
        <v>7.31414822571364E-4</v>
      </c>
      <c r="Z881" s="62"/>
    </row>
    <row r="882" spans="15:26" x14ac:dyDescent="0.25">
      <c r="O882" s="45" t="s">
        <v>21</v>
      </c>
      <c r="P882" s="39">
        <f>_xll.qlCalendarAdvance(Calendar,P881,O881,"f",,Trigger)</f>
        <v>50584</v>
      </c>
      <c r="Q882" s="39">
        <f>_xll.qlInterestRateIndexValueDate(Index,P882,Trigger)</f>
        <v>50586</v>
      </c>
      <c r="R882" s="39">
        <f>_xll.qlInterestRateIndexMaturity(Index,Q882,Trigger)</f>
        <v>50678</v>
      </c>
      <c r="S882" s="40">
        <f>_xll.qlDayCounterYearFraction(DayCounter,Q882,R882,,,Trigger)</f>
        <v>0.25555555555555554</v>
      </c>
      <c r="T882" s="41">
        <f>_xll.qlIndexFixing(Index,P882,,AllTriggers)</f>
        <v>8.4308302689876154E-3</v>
      </c>
      <c r="U882" s="42">
        <f>_xll.qlYieldTSDiscount(OisCurve,Q882,,AllTriggers)</f>
        <v>0.87165651793834731</v>
      </c>
      <c r="V882" s="42">
        <f>_xll.qlYieldTSDiscount(OisCurve,R882,,AllTriggers)</f>
        <v>0.86994409851218357</v>
      </c>
      <c r="W882" s="41">
        <f t="shared" si="59"/>
        <v>7.7025313224803717E-3</v>
      </c>
      <c r="X882" s="43">
        <f t="shared" si="60"/>
        <v>1.8573794641262869E-4</v>
      </c>
      <c r="Y882" s="41">
        <f t="shared" si="61"/>
        <v>7.2829894650724373E-4</v>
      </c>
      <c r="Z882" s="62"/>
    </row>
    <row r="883" spans="15:26" x14ac:dyDescent="0.25">
      <c r="O883" s="45" t="s">
        <v>21</v>
      </c>
      <c r="P883" s="39">
        <f>_xll.qlCalendarAdvance(Calendar,P882,O882,"f",,Trigger)</f>
        <v>50614</v>
      </c>
      <c r="Q883" s="39">
        <f>_xll.qlInterestRateIndexValueDate(Index,P883,Trigger)</f>
        <v>50616</v>
      </c>
      <c r="R883" s="39">
        <f>_xll.qlInterestRateIndexMaturity(Index,Q883,Trigger)</f>
        <v>50707</v>
      </c>
      <c r="S883" s="40">
        <f>_xll.qlDayCounterYearFraction(DayCounter,Q883,R883,,,Trigger)</f>
        <v>0.25277777777777777</v>
      </c>
      <c r="T883" s="41">
        <f>_xll.qlIndexFixing(Index,P883,,AllTriggers)</f>
        <v>8.4246008381653886E-3</v>
      </c>
      <c r="U883" s="42">
        <f>_xll.qlYieldTSDiscount(OisCurve,Q883,,AllTriggers)</f>
        <v>0.8710974917687383</v>
      </c>
      <c r="V883" s="42">
        <f>_xll.qlYieldTSDiscount(OisCurve,R883,,AllTriggers)</f>
        <v>0.86940543334999865</v>
      </c>
      <c r="W883" s="41">
        <f t="shared" si="59"/>
        <v>7.6993508712447922E-3</v>
      </c>
      <c r="X883" s="43">
        <f t="shared" si="60"/>
        <v>1.8295423518010996E-4</v>
      </c>
      <c r="Y883" s="41">
        <f t="shared" si="61"/>
        <v>7.252499669205964E-4</v>
      </c>
      <c r="Z883" s="62"/>
    </row>
    <row r="884" spans="15:26" x14ac:dyDescent="0.25">
      <c r="O884" s="45" t="s">
        <v>21</v>
      </c>
      <c r="P884" s="39">
        <f>_xll.qlCalendarAdvance(Calendar,P883,O883,"f",,Trigger)</f>
        <v>50647</v>
      </c>
      <c r="Q884" s="39">
        <f>_xll.qlInterestRateIndexValueDate(Index,P884,Trigger)</f>
        <v>50649</v>
      </c>
      <c r="R884" s="39">
        <f>_xll.qlInterestRateIndexMaturity(Index,Q884,Trigger)</f>
        <v>50740</v>
      </c>
      <c r="S884" s="40">
        <f>_xll.qlDayCounterYearFraction(DayCounter,Q884,R884,,,Trigger)</f>
        <v>0.25277777777777777</v>
      </c>
      <c r="T884" s="41">
        <f>_xll.qlIndexFixing(Index,P884,,AllTriggers)</f>
        <v>8.418307944814362E-3</v>
      </c>
      <c r="U884" s="42">
        <f>_xll.qlYieldTSDiscount(OisCurve,Q884,,AllTriggers)</f>
        <v>0.87048327809578219</v>
      </c>
      <c r="V884" s="42">
        <f>_xll.qlYieldTSDiscount(OisCurve,R884,,AllTriggers)</f>
        <v>0.868793056648408</v>
      </c>
      <c r="W884" s="41">
        <f t="shared" si="59"/>
        <v>7.6964131907960014E-3</v>
      </c>
      <c r="X884" s="43">
        <f t="shared" si="60"/>
        <v>1.8210804879994851E-4</v>
      </c>
      <c r="Y884" s="41">
        <f t="shared" si="61"/>
        <v>7.218947540183606E-4</v>
      </c>
      <c r="Z884" s="62"/>
    </row>
    <row r="885" spans="15:26" x14ac:dyDescent="0.25">
      <c r="O885" s="45" t="s">
        <v>21</v>
      </c>
      <c r="P885" s="39">
        <f>_xll.qlCalendarAdvance(Calendar,P884,O884,"f",,Trigger)</f>
        <v>50678</v>
      </c>
      <c r="Q885" s="39">
        <f>_xll.qlInterestRateIndexValueDate(Index,P885,Trigger)</f>
        <v>50682</v>
      </c>
      <c r="R885" s="39">
        <f>_xll.qlInterestRateIndexMaturity(Index,Q885,Trigger)</f>
        <v>50774</v>
      </c>
      <c r="S885" s="40">
        <f>_xll.qlDayCounterYearFraction(DayCounter,Q885,R885,,,Trigger)</f>
        <v>0.25555555555555554</v>
      </c>
      <c r="T885" s="41">
        <f>_xll.qlIndexFixing(Index,P885,,AllTriggers)</f>
        <v>8.4126276215052594E-3</v>
      </c>
      <c r="U885" s="42">
        <f>_xll.qlYieldTSDiscount(OisCurve,Q885,,AllTriggers)</f>
        <v>0.8698697699709721</v>
      </c>
      <c r="V885" s="42">
        <f>_xll.qlYieldTSDiscount(OisCurve,R885,,AllTriggers)</f>
        <v>0.86816273148448131</v>
      </c>
      <c r="W885" s="41">
        <f t="shared" si="59"/>
        <v>7.694082658076638E-3</v>
      </c>
      <c r="X885" s="43">
        <f t="shared" si="60"/>
        <v>1.8325101265507894E-4</v>
      </c>
      <c r="Y885" s="41">
        <f t="shared" si="61"/>
        <v>7.1854496342862138E-4</v>
      </c>
      <c r="Z885" s="62"/>
    </row>
    <row r="886" spans="15:26" x14ac:dyDescent="0.25">
      <c r="O886" s="45" t="s">
        <v>21</v>
      </c>
      <c r="P886" s="39">
        <f>_xll.qlCalendarAdvance(Calendar,P885,O885,"f",,Trigger)</f>
        <v>50710</v>
      </c>
      <c r="Q886" s="39">
        <f>_xll.qlInterestRateIndexValueDate(Index,P886,Trigger)</f>
        <v>50712</v>
      </c>
      <c r="R886" s="39">
        <f>_xll.qlInterestRateIndexMaturity(Index,Q886,Trigger)</f>
        <v>50804</v>
      </c>
      <c r="S886" s="40">
        <f>_xll.qlDayCounterYearFraction(DayCounter,Q886,R886,,,Trigger)</f>
        <v>0.25555555555555554</v>
      </c>
      <c r="T886" s="41">
        <f>_xll.qlIndexFixing(Index,P886,,AllTriggers)</f>
        <v>8.4079667981258426E-3</v>
      </c>
      <c r="U886" s="42">
        <f>_xll.qlYieldTSDiscount(OisCurve,Q886,,AllTriggers)</f>
        <v>0.86931260981463077</v>
      </c>
      <c r="V886" s="42">
        <f>_xll.qlYieldTSDiscount(OisCurve,R886,,AllTriggers)</f>
        <v>0.86760703656556981</v>
      </c>
      <c r="W886" s="41">
        <f t="shared" si="59"/>
        <v>7.6924022024454685E-3</v>
      </c>
      <c r="X886" s="43">
        <f t="shared" si="60"/>
        <v>1.824910749932013E-4</v>
      </c>
      <c r="Y886" s="41">
        <f t="shared" si="61"/>
        <v>7.1556459568037408E-4</v>
      </c>
      <c r="Z886" s="62"/>
    </row>
    <row r="887" spans="15:26" x14ac:dyDescent="0.25">
      <c r="O887" s="45" t="s">
        <v>21</v>
      </c>
      <c r="P887" s="39">
        <f>_xll.qlCalendarAdvance(Calendar,P886,O886,"f",,Trigger)</f>
        <v>50740</v>
      </c>
      <c r="Q887" s="39">
        <f>_xll.qlInterestRateIndexValueDate(Index,P887,Trigger)</f>
        <v>50742</v>
      </c>
      <c r="R887" s="39">
        <f>_xll.qlInterestRateIndexMaturity(Index,Q887,Trigger)</f>
        <v>50832</v>
      </c>
      <c r="S887" s="40">
        <f>_xll.qlDayCounterYearFraction(DayCounter,Q887,R887,,,Trigger)</f>
        <v>0.25</v>
      </c>
      <c r="T887" s="41">
        <f>_xll.qlIndexFixing(Index,P887,,AllTriggers)</f>
        <v>8.4037221427450959E-3</v>
      </c>
      <c r="U887" s="42">
        <f>_xll.qlYieldTSDiscount(OisCurve,Q887,,AllTriggers)</f>
        <v>0.8687559620675509</v>
      </c>
      <c r="V887" s="42">
        <f>_xll.qlYieldTSDiscount(OisCurve,R887,,AllTriggers)</f>
        <v>0.86708875842611122</v>
      </c>
      <c r="W887" s="41">
        <f t="shared" si="59"/>
        <v>7.6910402781180665E-3</v>
      </c>
      <c r="X887" s="43">
        <f t="shared" si="60"/>
        <v>1.778127349108031E-4</v>
      </c>
      <c r="Y887" s="41">
        <f t="shared" si="61"/>
        <v>7.1268186462702943E-4</v>
      </c>
      <c r="Z887" s="62"/>
    </row>
    <row r="888" spans="15:26" x14ac:dyDescent="0.25">
      <c r="O888" s="45" t="s">
        <v>21</v>
      </c>
      <c r="P888" s="39">
        <f>_xll.qlCalendarAdvance(Calendar,P887,O887,"f",,Trigger)</f>
        <v>50773</v>
      </c>
      <c r="Q888" s="39">
        <f>_xll.qlInterestRateIndexValueDate(Index,P888,Trigger)</f>
        <v>50775</v>
      </c>
      <c r="R888" s="39">
        <f>_xll.qlInterestRateIndexMaturity(Index,Q888,Trigger)</f>
        <v>50865</v>
      </c>
      <c r="S888" s="40">
        <f>_xll.qlDayCounterYearFraction(DayCounter,Q888,R888,,,Trigger)</f>
        <v>0.25</v>
      </c>
      <c r="T888" s="41">
        <f>_xll.qlIndexFixing(Index,P888,,AllTriggers)</f>
        <v>8.3996808195996309E-3</v>
      </c>
      <c r="U888" s="42">
        <f>_xll.qlYieldTSDiscount(OisCurve,Q888,,AllTriggers)</f>
        <v>0.86814420136520276</v>
      </c>
      <c r="V888" s="42">
        <f>_xll.qlYieldTSDiscount(OisCurve,R888,,AllTriggers)</f>
        <v>0.86647835218687996</v>
      </c>
      <c r="W888" s="41">
        <f t="shared" si="59"/>
        <v>7.6902056427305965E-3</v>
      </c>
      <c r="X888" s="43">
        <f t="shared" si="60"/>
        <v>1.7701278023836791E-4</v>
      </c>
      <c r="Y888" s="41">
        <f t="shared" si="61"/>
        <v>7.0947517686903439E-4</v>
      </c>
      <c r="Z888" s="62"/>
    </row>
    <row r="889" spans="15:26" x14ac:dyDescent="0.25">
      <c r="O889" s="45" t="s">
        <v>21</v>
      </c>
      <c r="P889" s="39">
        <f>_xll.qlCalendarAdvance(Calendar,P888,O888,"f",,Trigger)</f>
        <v>50804</v>
      </c>
      <c r="Q889" s="39">
        <f>_xll.qlInterestRateIndexValueDate(Index,P889,Trigger)</f>
        <v>50808</v>
      </c>
      <c r="R889" s="39">
        <f>_xll.qlInterestRateIndexMaturity(Index,Q889,Trigger)</f>
        <v>50899</v>
      </c>
      <c r="S889" s="40">
        <f>_xll.qlDayCounterYearFraction(DayCounter,Q889,R889,,,Trigger)</f>
        <v>0.25277777777777777</v>
      </c>
      <c r="T889" s="41">
        <f>_xll.qlIndexFixing(Index,P889,,AllTriggers)</f>
        <v>8.3962857328034636E-3</v>
      </c>
      <c r="U889" s="42">
        <f>_xll.qlYieldTSDiscount(OisCurve,Q889,,AllTriggers)</f>
        <v>0.867532975603856</v>
      </c>
      <c r="V889" s="42">
        <f>_xll.qlYieldTSDiscount(OisCurve,R889,,AllTriggers)</f>
        <v>0.8658498815295651</v>
      </c>
      <c r="W889" s="41">
        <f t="shared" si="59"/>
        <v>7.6900098759497305E-3</v>
      </c>
      <c r="X889" s="43">
        <f t="shared" si="60"/>
        <v>1.7816860230852305E-4</v>
      </c>
      <c r="Y889" s="41">
        <f t="shared" si="61"/>
        <v>7.0627585685373306E-4</v>
      </c>
      <c r="Z889" s="62"/>
    </row>
    <row r="890" spans="15:26" x14ac:dyDescent="0.25">
      <c r="O890" s="45" t="s">
        <v>21</v>
      </c>
      <c r="P890" s="39">
        <f>_xll.qlCalendarAdvance(Calendar,P889,O889,"f",,Trigger)</f>
        <v>50832</v>
      </c>
      <c r="Q890" s="39">
        <f>_xll.qlInterestRateIndexValueDate(Index,P890,Trigger)</f>
        <v>50836</v>
      </c>
      <c r="R890" s="39">
        <f>_xll.qlInterestRateIndexMaturity(Index,Q890,Trigger)</f>
        <v>50928</v>
      </c>
      <c r="S890" s="40">
        <f>_xll.qlDayCounterYearFraction(DayCounter,Q890,R890,,,Trigger)</f>
        <v>0.25555555555555554</v>
      </c>
      <c r="T890" s="41">
        <f>_xll.qlIndexFixing(Index,P890,,AllTriggers)</f>
        <v>8.3938928091177173E-3</v>
      </c>
      <c r="U890" s="42">
        <f>_xll.qlYieldTSDiscount(OisCurve,Q890,,AllTriggers)</f>
        <v>0.86701474625931008</v>
      </c>
      <c r="V890" s="42">
        <f>_xll.qlYieldTSDiscount(OisCurve,R890,,AllTriggers)</f>
        <v>0.86531414426543507</v>
      </c>
      <c r="W890" s="41">
        <f t="shared" si="59"/>
        <v>7.6903048278488609E-3</v>
      </c>
      <c r="X890" s="43">
        <f t="shared" si="60"/>
        <v>1.7943703837260155E-4</v>
      </c>
      <c r="Y890" s="41">
        <f t="shared" si="61"/>
        <v>7.0358798126885641E-4</v>
      </c>
      <c r="Z890" s="62"/>
    </row>
    <row r="891" spans="15:26" x14ac:dyDescent="0.25">
      <c r="O891" s="45" t="s">
        <v>21</v>
      </c>
      <c r="P891" s="39">
        <f>_xll.qlCalendarAdvance(Calendar,P890,O890,"f",,Trigger)</f>
        <v>50864</v>
      </c>
      <c r="Q891" s="39">
        <f>_xll.qlInterestRateIndexValueDate(Index,P891,Trigger)</f>
        <v>50866</v>
      </c>
      <c r="R891" s="39">
        <f>_xll.qlInterestRateIndexMaturity(Index,Q891,Trigger)</f>
        <v>50957</v>
      </c>
      <c r="S891" s="40">
        <f>_xll.qlDayCounterYearFraction(DayCounter,Q891,R891,,,Trigger)</f>
        <v>0.25277777777777777</v>
      </c>
      <c r="T891" s="41">
        <f>_xll.qlIndexFixing(Index,P891,,AllTriggers)</f>
        <v>8.3916735586391181E-3</v>
      </c>
      <c r="U891" s="42">
        <f>_xll.qlYieldTSDiscount(OisCurve,Q891,,AllTriggers)</f>
        <v>0.86645986171643319</v>
      </c>
      <c r="V891" s="42">
        <f>_xll.qlYieldTSDiscount(OisCurve,R891,,AllTriggers)</f>
        <v>0.86477866201074582</v>
      </c>
      <c r="W891" s="41">
        <f t="shared" si="59"/>
        <v>7.6908696141081978E-3</v>
      </c>
      <c r="X891" s="43">
        <f t="shared" si="60"/>
        <v>1.7678831460832262E-4</v>
      </c>
      <c r="Y891" s="41">
        <f t="shared" si="61"/>
        <v>7.0080394453092033E-4</v>
      </c>
      <c r="Z891" s="62"/>
    </row>
    <row r="892" spans="15:26" x14ac:dyDescent="0.25">
      <c r="O892" s="45" t="s">
        <v>21</v>
      </c>
      <c r="P892" s="39">
        <f>_xll.qlCalendarAdvance(Calendar,P891,O891,"f",,Trigger)</f>
        <v>50894</v>
      </c>
      <c r="Q892" s="39">
        <f>_xll.qlInterestRateIndexValueDate(Index,P892,Trigger)</f>
        <v>50896</v>
      </c>
      <c r="R892" s="39">
        <f>_xll.qlInterestRateIndexMaturity(Index,Q892,Trigger)</f>
        <v>50990</v>
      </c>
      <c r="S892" s="40">
        <f>_xll.qlDayCounterYearFraction(DayCounter,Q892,R892,,,Trigger)</f>
        <v>0.26111111111111113</v>
      </c>
      <c r="T892" s="41">
        <f>_xll.qlIndexFixing(Index,P892,,AllTriggers)</f>
        <v>8.3902406535215652E-3</v>
      </c>
      <c r="U892" s="42">
        <f>_xll.qlYieldTSDiscount(OisCurve,Q892,,AllTriggers)</f>
        <v>0.86590531837278384</v>
      </c>
      <c r="V892" s="42">
        <f>_xll.qlYieldTSDiscount(OisCurve,R892,,AllTriggers)</f>
        <v>0.86416959249862235</v>
      </c>
      <c r="W892" s="41">
        <f t="shared" si="59"/>
        <v>7.6923104589240471E-3</v>
      </c>
      <c r="X892" s="43">
        <f t="shared" si="60"/>
        <v>1.8185549322362421E-4</v>
      </c>
      <c r="Y892" s="41">
        <f t="shared" si="61"/>
        <v>6.9793019459751804E-4</v>
      </c>
      <c r="Z892" s="62"/>
    </row>
    <row r="893" spans="15:26" x14ac:dyDescent="0.25">
      <c r="O893" s="45" t="s">
        <v>21</v>
      </c>
      <c r="P893" s="39">
        <f>_xll.qlCalendarAdvance(Calendar,P892,O892,"f",,Trigger)</f>
        <v>50927</v>
      </c>
      <c r="Q893" s="39">
        <f>_xll.qlInterestRateIndexValueDate(Index,P893,Trigger)</f>
        <v>50929</v>
      </c>
      <c r="R893" s="39">
        <f>_xll.qlInterestRateIndexMaturity(Index,Q893,Trigger)</f>
        <v>51021</v>
      </c>
      <c r="S893" s="40">
        <f>_xll.qlDayCounterYearFraction(DayCounter,Q893,R893,,,Trigger)</f>
        <v>0.25555555555555554</v>
      </c>
      <c r="T893" s="41">
        <f>_xll.qlIndexFixing(Index,P893,,AllTriggers)</f>
        <v>8.388822957570442E-3</v>
      </c>
      <c r="U893" s="42">
        <f>_xll.qlYieldTSDiscount(OisCurve,Q893,,AllTriggers)</f>
        <v>0.86529567528590212</v>
      </c>
      <c r="V893" s="42">
        <f>_xll.qlYieldTSDiscount(OisCurve,R893,,AllTriggers)</f>
        <v>0.86359766300637164</v>
      </c>
      <c r="W893" s="41">
        <f t="shared" si="59"/>
        <v>7.693855786145831E-3</v>
      </c>
      <c r="X893" s="43">
        <f t="shared" si="60"/>
        <v>1.7723849535683842E-4</v>
      </c>
      <c r="Y893" s="41">
        <f t="shared" si="61"/>
        <v>6.9496717142461095E-4</v>
      </c>
      <c r="Z893" s="62"/>
    </row>
    <row r="894" spans="15:26" x14ac:dyDescent="0.25">
      <c r="O894" s="45" t="s">
        <v>21</v>
      </c>
      <c r="P894" s="39">
        <f>_xll.qlCalendarAdvance(Calendar,P893,O893,"f",,Trigger)</f>
        <v>50957</v>
      </c>
      <c r="Q894" s="39">
        <f>_xll.qlInterestRateIndexValueDate(Index,P894,Trigger)</f>
        <v>50959</v>
      </c>
      <c r="R894" s="39">
        <f>_xll.qlInterestRateIndexMaturity(Index,Q894,Trigger)</f>
        <v>51053</v>
      </c>
      <c r="S894" s="40">
        <f>_xll.qlDayCounterYearFraction(DayCounter,Q894,R894,,,Trigger)</f>
        <v>0.26111111111111113</v>
      </c>
      <c r="T894" s="41">
        <f>_xll.qlIndexFixing(Index,P894,,AllTriggers)</f>
        <v>8.3883816255083347E-3</v>
      </c>
      <c r="U894" s="42">
        <f>_xll.qlYieldTSDiscount(OisCurve,Q894,,AllTriggers)</f>
        <v>0.86474174084356903</v>
      </c>
      <c r="V894" s="42">
        <f>_xll.qlYieldTSDiscount(OisCurve,R894,,AllTriggers)</f>
        <v>0.86300747542984224</v>
      </c>
      <c r="W894" s="41">
        <f t="shared" si="59"/>
        <v>7.6961877284133489E-3</v>
      </c>
      <c r="X894" s="43">
        <f t="shared" si="60"/>
        <v>1.8036077308678953E-4</v>
      </c>
      <c r="Y894" s="41">
        <f t="shared" si="61"/>
        <v>6.9219389709498577E-4</v>
      </c>
      <c r="Z894" s="62"/>
    </row>
    <row r="895" spans="15:26" x14ac:dyDescent="0.25">
      <c r="O895" s="45" t="s">
        <v>21</v>
      </c>
      <c r="P895" s="39">
        <f>_xll.qlCalendarAdvance(Calendar,P894,O894,"f",,Trigger)</f>
        <v>50990</v>
      </c>
      <c r="Q895" s="39">
        <f>_xll.qlInterestRateIndexValueDate(Index,P895,Trigger)</f>
        <v>50992</v>
      </c>
      <c r="R895" s="39">
        <f>_xll.qlInterestRateIndexMaturity(Index,Q895,Trigger)</f>
        <v>51084</v>
      </c>
      <c r="S895" s="40">
        <f>_xll.qlDayCounterYearFraction(DayCounter,Q895,R895,,,Trigger)</f>
        <v>0.25555555555555554</v>
      </c>
      <c r="T895" s="41">
        <f>_xll.qlIndexFixing(Index,P895,,AllTriggers)</f>
        <v>8.3880599968514918E-3</v>
      </c>
      <c r="U895" s="42">
        <f>_xll.qlYieldTSDiscount(OisCurve,Q895,,AllTriggers)</f>
        <v>0.86413268760476414</v>
      </c>
      <c r="V895" s="42">
        <f>_xll.qlYieldTSDiscount(OisCurve,R895,,AllTriggers)</f>
        <v>0.86243587948657519</v>
      </c>
      <c r="W895" s="41">
        <f t="shared" si="59"/>
        <v>7.6987566248893531E-3</v>
      </c>
      <c r="X895" s="43">
        <f t="shared" si="60"/>
        <v>1.7579395552229837E-4</v>
      </c>
      <c r="Y895" s="41">
        <f t="shared" si="61"/>
        <v>6.8930337196213866E-4</v>
      </c>
      <c r="Z895" s="62"/>
    </row>
    <row r="896" spans="15:26" x14ac:dyDescent="0.25">
      <c r="O896" s="45" t="s">
        <v>21</v>
      </c>
      <c r="P896" s="39">
        <f>_xll.qlCalendarAdvance(Calendar,P895,O895,"f",,Trigger)</f>
        <v>51021</v>
      </c>
      <c r="Q896" s="39">
        <f>_xll.qlInterestRateIndexValueDate(Index,P896,Trigger)</f>
        <v>51025</v>
      </c>
      <c r="R896" s="39">
        <f>_xll.qlInterestRateIndexMaturity(Index,Q896,Trigger)</f>
        <v>51116</v>
      </c>
      <c r="S896" s="40">
        <f>_xll.qlDayCounterYearFraction(DayCounter,Q896,R896,,,Trigger)</f>
        <v>0.25277777777777777</v>
      </c>
      <c r="T896" s="41">
        <f>_xll.qlIndexFixing(Index,P896,,AllTriggers)</f>
        <v>8.3884082622629752E-3</v>
      </c>
      <c r="U896" s="42">
        <f>_xll.qlYieldTSDiscount(OisCurve,Q896,,AllTriggers)</f>
        <v>0.86352387972525513</v>
      </c>
      <c r="V896" s="42">
        <f>_xll.qlYieldTSDiscount(OisCurve,R896,,AllTriggers)</f>
        <v>0.86184595951695986</v>
      </c>
      <c r="W896" s="41">
        <f t="shared" si="59"/>
        <v>7.7019866780729763E-3</v>
      </c>
      <c r="X896" s="43">
        <f t="shared" si="60"/>
        <v>1.7315997681240279E-4</v>
      </c>
      <c r="Y896" s="41">
        <f t="shared" si="61"/>
        <v>6.8642158418999889E-4</v>
      </c>
      <c r="Z896" s="62"/>
    </row>
    <row r="897" spans="15:26" x14ac:dyDescent="0.25">
      <c r="O897" s="45" t="s">
        <v>21</v>
      </c>
      <c r="P897" s="39">
        <f>_xll.qlCalendarAdvance(Calendar,P896,O896,"f",,Trigger)</f>
        <v>51053</v>
      </c>
      <c r="Q897" s="39">
        <f>_xll.qlInterestRateIndexValueDate(Index,P897,Trigger)</f>
        <v>51055</v>
      </c>
      <c r="R897" s="39">
        <f>_xll.qlInterestRateIndexMaturity(Index,Q897,Trigger)</f>
        <v>51147</v>
      </c>
      <c r="S897" s="40">
        <f>_xll.qlDayCounterYearFraction(DayCounter,Q897,R897,,,Trigger)</f>
        <v>0.25555555555555554</v>
      </c>
      <c r="T897" s="41">
        <f>_xll.qlIndexFixing(Index,P897,,AllTriggers)</f>
        <v>8.3894547477089097E-3</v>
      </c>
      <c r="U897" s="42">
        <f>_xll.qlYieldTSDiscount(OisCurve,Q897,,AllTriggers)</f>
        <v>0.86297059426581757</v>
      </c>
      <c r="V897" s="42">
        <f>_xll.qlYieldTSDiscount(OisCurve,R897,,AllTriggers)</f>
        <v>0.86127454871268394</v>
      </c>
      <c r="W897" s="41">
        <f t="shared" si="59"/>
        <v>7.7056729476595058E-3</v>
      </c>
      <c r="X897" s="43">
        <f t="shared" si="60"/>
        <v>1.7438559687576281E-4</v>
      </c>
      <c r="Y897" s="41">
        <f t="shared" si="61"/>
        <v>6.8378180004940396E-4</v>
      </c>
      <c r="Z897" s="62"/>
    </row>
    <row r="898" spans="15:26" x14ac:dyDescent="0.25">
      <c r="O898" s="45" t="s">
        <v>21</v>
      </c>
      <c r="P898" s="39">
        <f>_xll.qlCalendarAdvance(Calendar,P897,O897,"f",,Trigger)</f>
        <v>51084</v>
      </c>
      <c r="Q898" s="39">
        <f>_xll.qlInterestRateIndexValueDate(Index,P898,Trigger)</f>
        <v>51088</v>
      </c>
      <c r="R898" s="39">
        <f>_xll.qlInterestRateIndexMaturity(Index,Q898,Trigger)</f>
        <v>51180</v>
      </c>
      <c r="S898" s="40">
        <f>_xll.qlDayCounterYearFraction(DayCounter,Q898,R898,,,Trigger)</f>
        <v>0.25555555555555554</v>
      </c>
      <c r="T898" s="41">
        <f>_xll.qlIndexFixing(Index,P898,,AllTriggers)</f>
        <v>8.3910464596450782E-3</v>
      </c>
      <c r="U898" s="42">
        <f>_xll.qlYieldTSDiscount(OisCurve,Q898,,AllTriggers)</f>
        <v>0.86236213391326655</v>
      </c>
      <c r="V898" s="42">
        <f>_xll.qlYieldTSDiscount(OisCurve,R898,,AllTriggers)</f>
        <v>0.86066631236082813</v>
      </c>
      <c r="W898" s="41">
        <f t="shared" si="59"/>
        <v>7.7101001523588704E-3</v>
      </c>
      <c r="X898" s="43">
        <f t="shared" si="60"/>
        <v>1.7366232486200922E-4</v>
      </c>
      <c r="Y898" s="41">
        <f t="shared" si="61"/>
        <v>6.8094630728620775E-4</v>
      </c>
      <c r="Z898" s="62"/>
    </row>
    <row r="899" spans="15:26" x14ac:dyDescent="0.25">
      <c r="O899" s="45" t="s">
        <v>21</v>
      </c>
      <c r="P899" s="39">
        <f>_xll.qlCalendarAdvance(Calendar,P898,O898,"f",,Trigger)</f>
        <v>51116</v>
      </c>
      <c r="Q899" s="39">
        <f>_xll.qlInterestRateIndexValueDate(Index,P899,Trigger)</f>
        <v>51118</v>
      </c>
      <c r="R899" s="39">
        <f>_xll.qlInterestRateIndexMaturity(Index,Q899,Trigger)</f>
        <v>51209</v>
      </c>
      <c r="S899" s="40">
        <f>_xll.qlDayCounterYearFraction(DayCounter,Q899,R899,,,Trigger)</f>
        <v>0.25277777777777777</v>
      </c>
      <c r="T899" s="41">
        <f>_xll.qlIndexFixing(Index,P899,,AllTriggers)</f>
        <v>8.3928686132807382E-3</v>
      </c>
      <c r="U899" s="42">
        <f>_xll.qlYieldTSDiscount(OisCurve,Q899,,AllTriggers)</f>
        <v>0.8618090924960119</v>
      </c>
      <c r="V899" s="42">
        <f>_xll.qlYieldTSDiscount(OisCurve,R899,,AllTriggers)</f>
        <v>0.86013180205257367</v>
      </c>
      <c r="W899" s="41">
        <f t="shared" si="59"/>
        <v>7.7144394678349765E-3</v>
      </c>
      <c r="X899" s="43">
        <f t="shared" si="60"/>
        <v>1.7114340105455053E-4</v>
      </c>
      <c r="Y899" s="41">
        <f t="shared" si="61"/>
        <v>6.784291454457617E-4</v>
      </c>
      <c r="Z899" s="62"/>
    </row>
    <row r="900" spans="15:26" x14ac:dyDescent="0.25">
      <c r="O900" s="45" t="s">
        <v>21</v>
      </c>
      <c r="P900" s="39">
        <f>_xll.qlCalendarAdvance(Calendar,P899,O899,"f",,Trigger)</f>
        <v>51147</v>
      </c>
      <c r="Q900" s="39">
        <f>_xll.qlInterestRateIndexValueDate(Index,P900,Trigger)</f>
        <v>51151</v>
      </c>
      <c r="R900" s="39">
        <f>_xll.qlInterestRateIndexMaturity(Index,Q900,Trigger)</f>
        <v>51242</v>
      </c>
      <c r="S900" s="40">
        <f>_xll.qlDayCounterYearFraction(DayCounter,Q900,R900,,,Trigger)</f>
        <v>0.25277777777777777</v>
      </c>
      <c r="T900" s="41">
        <f>_xll.qlIndexFixing(Index,P900,,AllTriggers)</f>
        <v>8.3955815250976885E-3</v>
      </c>
      <c r="U900" s="42">
        <f>_xll.qlYieldTSDiscount(OisCurve,Q900,,AllTriggers)</f>
        <v>0.86120082172626966</v>
      </c>
      <c r="V900" s="42">
        <f>_xll.qlYieldTSDiscount(OisCurve,R900,,AllTriggers)</f>
        <v>0.85952352801577803</v>
      </c>
      <c r="W900" s="41">
        <f t="shared" ref="W900:W963" si="62">(U900/V900-1)/S900</f>
        <v>7.7199139169804093E-3</v>
      </c>
      <c r="X900" s="43">
        <f t="shared" ref="X900:X963" si="63">LN((1+T900*S900)/(1+W900*S900))</f>
        <v>1.7044658796510335E-4</v>
      </c>
      <c r="Y900" s="41">
        <f t="shared" ref="Y900:Y963" si="64">T900-W900</f>
        <v>6.7566760811727921E-4</v>
      </c>
      <c r="Z900" s="62"/>
    </row>
    <row r="901" spans="15:26" x14ac:dyDescent="0.25">
      <c r="O901" s="45" t="s">
        <v>21</v>
      </c>
      <c r="P901" s="39">
        <f>_xll.qlCalendarAdvance(Calendar,P900,O900,"f",,Trigger)</f>
        <v>51179</v>
      </c>
      <c r="Q901" s="39">
        <f>_xll.qlInterestRateIndexValueDate(Index,P901,Trigger)</f>
        <v>51181</v>
      </c>
      <c r="R901" s="39">
        <f>_xll.qlInterestRateIndexMaturity(Index,Q901,Trigger)</f>
        <v>51271</v>
      </c>
      <c r="S901" s="40">
        <f>_xll.qlDayCounterYearFraction(DayCounter,Q901,R901,,,Trigger)</f>
        <v>0.25</v>
      </c>
      <c r="T901" s="41">
        <f>_xll.qlIndexFixing(Index,P901,,AllTriggers)</f>
        <v>8.3983967412555316E-3</v>
      </c>
      <c r="U901" s="42">
        <f>_xll.qlYieldTSDiscount(OisCurve,Q901,,AllTriggers)</f>
        <v>0.86064788115383295</v>
      </c>
      <c r="V901" s="42">
        <f>_xll.qlYieldTSDiscount(OisCurve,R901,,AllTriggers)</f>
        <v>0.85898892011667327</v>
      </c>
      <c r="W901" s="41">
        <f t="shared" si="62"/>
        <v>7.7251801428790401E-3</v>
      </c>
      <c r="X901" s="43">
        <f t="shared" si="63"/>
        <v>1.6796562415783732E-4</v>
      </c>
      <c r="Y901" s="41">
        <f t="shared" si="64"/>
        <v>6.732165983764915E-4</v>
      </c>
      <c r="Z901" s="62"/>
    </row>
    <row r="902" spans="15:26" x14ac:dyDescent="0.25">
      <c r="O902" s="45" t="s">
        <v>21</v>
      </c>
      <c r="P902" s="39">
        <f>_xll.qlCalendarAdvance(Calendar,P901,O901,"f",,Trigger)</f>
        <v>51208</v>
      </c>
      <c r="Q902" s="39">
        <f>_xll.qlInterestRateIndexValueDate(Index,P902,Trigger)</f>
        <v>51210</v>
      </c>
      <c r="R902" s="39">
        <f>_xll.qlInterestRateIndexMaturity(Index,Q902,Trigger)</f>
        <v>51302</v>
      </c>
      <c r="S902" s="40">
        <f>_xll.qlDayCounterYearFraction(DayCounter,Q902,R902,,,Trigger)</f>
        <v>0.25555555555555554</v>
      </c>
      <c r="T902" s="41">
        <f>_xll.qlIndexFixing(Index,P902,,AllTriggers)</f>
        <v>8.4019355358961982E-3</v>
      </c>
      <c r="U902" s="42">
        <f>_xll.qlYieldTSDiscount(OisCurve,Q902,,AllTriggers)</f>
        <v>0.86011337029362023</v>
      </c>
      <c r="V902" s="42">
        <f>_xll.qlYieldTSDiscount(OisCurve,R902,,AllTriggers)</f>
        <v>0.85841736569094773</v>
      </c>
      <c r="W902" s="41">
        <f t="shared" si="62"/>
        <v>7.7311340786378547E-3</v>
      </c>
      <c r="X902" s="43">
        <f t="shared" si="63"/>
        <v>1.7107437859650512E-4</v>
      </c>
      <c r="Y902" s="41">
        <f t="shared" si="64"/>
        <v>6.7080145725834355E-4</v>
      </c>
      <c r="Z902" s="62"/>
    </row>
    <row r="903" spans="15:26" x14ac:dyDescent="0.25">
      <c r="O903" s="45" t="s">
        <v>21</v>
      </c>
      <c r="P903" s="39">
        <f>_xll.qlCalendarAdvance(Calendar,P902,O902,"f",,Trigger)</f>
        <v>51239</v>
      </c>
      <c r="Q903" s="39">
        <f>_xll.qlInterestRateIndexValueDate(Index,P903,Trigger)</f>
        <v>51243</v>
      </c>
      <c r="R903" s="39">
        <f>_xll.qlInterestRateIndexMaturity(Index,Q903,Trigger)</f>
        <v>51334</v>
      </c>
      <c r="S903" s="40">
        <f>_xll.qlDayCounterYearFraction(DayCounter,Q903,R903,,,Trigger)</f>
        <v>0.25277777777777777</v>
      </c>
      <c r="T903" s="41">
        <f>_xll.qlIndexFixing(Index,P903,,AllTriggers)</f>
        <v>8.4056928989264638E-3</v>
      </c>
      <c r="U903" s="42">
        <f>_xll.qlYieldTSDiscount(OisCurve,Q903,,AllTriggers)</f>
        <v>0.85950509440985345</v>
      </c>
      <c r="V903" s="42">
        <f>_xll.qlYieldTSDiscount(OisCurve,R903,,AllTriggers)</f>
        <v>0.85782729265440139</v>
      </c>
      <c r="W903" s="41">
        <f t="shared" si="62"/>
        <v>7.7375219358642401E-3</v>
      </c>
      <c r="X903" s="43">
        <f t="shared" si="63"/>
        <v>1.685548652524693E-4</v>
      </c>
      <c r="Y903" s="41">
        <f t="shared" si="64"/>
        <v>6.6817096306222377E-4</v>
      </c>
      <c r="Z903" s="62"/>
    </row>
    <row r="904" spans="15:26" x14ac:dyDescent="0.25">
      <c r="O904" s="45" t="s">
        <v>21</v>
      </c>
      <c r="P904" s="39">
        <f>_xll.qlCalendarAdvance(Calendar,P903,O903,"f",,Trigger)</f>
        <v>51270</v>
      </c>
      <c r="Q904" s="39">
        <f>_xll.qlInterestRateIndexValueDate(Index,P904,Trigger)</f>
        <v>51272</v>
      </c>
      <c r="R904" s="39">
        <f>_xll.qlInterestRateIndexMaturity(Index,Q904,Trigger)</f>
        <v>51364</v>
      </c>
      <c r="S904" s="40">
        <f>_xll.qlDayCounterYearFraction(DayCounter,Q904,R904,,,Trigger)</f>
        <v>0.25555555555555554</v>
      </c>
      <c r="T904" s="41">
        <f>_xll.qlIndexFixing(Index,P904,,AllTriggers)</f>
        <v>8.4093564560641307E-3</v>
      </c>
      <c r="U904" s="42">
        <f>_xll.qlYieldTSDiscount(OisCurve,Q904,,AllTriggers)</f>
        <v>0.85897048411035914</v>
      </c>
      <c r="V904" s="42">
        <f>_xll.qlYieldTSDiscount(OisCurve,R904,,AllTriggers)</f>
        <v>0.85727402618280557</v>
      </c>
      <c r="W904" s="41">
        <f t="shared" si="62"/>
        <v>7.7435142402667535E-3</v>
      </c>
      <c r="X904" s="43">
        <f t="shared" si="63"/>
        <v>1.6980919534909596E-4</v>
      </c>
      <c r="Y904" s="41">
        <f t="shared" si="64"/>
        <v>6.6584221579737719E-4</v>
      </c>
      <c r="Z904" s="62"/>
    </row>
    <row r="905" spans="15:26" x14ac:dyDescent="0.25">
      <c r="O905" s="45" t="s">
        <v>21</v>
      </c>
      <c r="P905" s="39">
        <f>_xll.qlCalendarAdvance(Calendar,P904,O904,"f",,Trigger)</f>
        <v>51301</v>
      </c>
      <c r="Q905" s="39">
        <f>_xll.qlInterestRateIndexValueDate(Index,P905,Trigger)</f>
        <v>51305</v>
      </c>
      <c r="R905" s="39">
        <f>_xll.qlInterestRateIndexMaturity(Index,Q905,Trigger)</f>
        <v>51397</v>
      </c>
      <c r="S905" s="40">
        <f>_xll.qlDayCounterYearFraction(DayCounter,Q905,R905,,,Trigger)</f>
        <v>0.25555555555555554</v>
      </c>
      <c r="T905" s="41">
        <f>_xll.qlIndexFixing(Index,P905,,AllTriggers)</f>
        <v>8.4133569875867037E-3</v>
      </c>
      <c r="U905" s="42">
        <f>_xll.qlYieldTSDiscount(OisCurve,Q905,,AllTriggers)</f>
        <v>0.85836204981981556</v>
      </c>
      <c r="V905" s="42">
        <f>_xll.qlYieldTSDiscount(OisCurve,R905,,AllTriggers)</f>
        <v>0.85666535383331077</v>
      </c>
      <c r="W905" s="41">
        <f t="shared" si="62"/>
        <v>7.7501035087688911E-3</v>
      </c>
      <c r="X905" s="43">
        <f t="shared" si="63"/>
        <v>1.6914876346204466E-4</v>
      </c>
      <c r="Y905" s="41">
        <f t="shared" si="64"/>
        <v>6.6325347881781259E-4</v>
      </c>
      <c r="Z905" s="62"/>
    </row>
    <row r="906" spans="15:26" x14ac:dyDescent="0.25">
      <c r="O906" s="45" t="s">
        <v>21</v>
      </c>
      <c r="P906" s="39">
        <f>_xll.qlCalendarAdvance(Calendar,P905,O905,"f",,Trigger)</f>
        <v>51333</v>
      </c>
      <c r="Q906" s="39">
        <f>_xll.qlInterestRateIndexValueDate(Index,P906,Trigger)</f>
        <v>51335</v>
      </c>
      <c r="R906" s="39">
        <f>_xll.qlInterestRateIndexMaturity(Index,Q906,Trigger)</f>
        <v>51427</v>
      </c>
      <c r="S906" s="40">
        <f>_xll.qlDayCounterYearFraction(DayCounter,Q906,R906,,,Trigger)</f>
        <v>0.25555555555555554</v>
      </c>
      <c r="T906" s="41">
        <f>_xll.qlIndexFixing(Index,P906,,AllTriggers)</f>
        <v>8.4170045898304333E-3</v>
      </c>
      <c r="U906" s="42">
        <f>_xll.qlYieldTSDiscount(OisCurve,Q906,,AllTriggers)</f>
        <v>0.85780885156538378</v>
      </c>
      <c r="V906" s="42">
        <f>_xll.qlYieldTSDiscount(OisCurve,R906,,AllTriggers)</f>
        <v>0.85611194540564417</v>
      </c>
      <c r="W906" s="41">
        <f t="shared" si="62"/>
        <v>7.7560739775022116E-3</v>
      </c>
      <c r="X906" s="43">
        <f t="shared" si="63"/>
        <v>1.6855615879507135E-4</v>
      </c>
      <c r="Y906" s="41">
        <f t="shared" si="64"/>
        <v>6.6093061232822166E-4</v>
      </c>
      <c r="Z906" s="62"/>
    </row>
    <row r="907" spans="15:26" x14ac:dyDescent="0.25">
      <c r="O907" s="45" t="s">
        <v>21</v>
      </c>
      <c r="P907" s="39">
        <f>_xll.qlCalendarAdvance(Calendar,P906,O906,"f",,Trigger)</f>
        <v>51364</v>
      </c>
      <c r="Q907" s="39">
        <f>_xll.qlInterestRateIndexValueDate(Index,P907,Trigger)</f>
        <v>51368</v>
      </c>
      <c r="R907" s="39">
        <f>_xll.qlInterestRateIndexMaturity(Index,Q907,Trigger)</f>
        <v>51460</v>
      </c>
      <c r="S907" s="40">
        <f>_xll.qlDayCounterYearFraction(DayCounter,Q907,R907,,,Trigger)</f>
        <v>0.25555555555555554</v>
      </c>
      <c r="T907" s="41">
        <f>_xll.qlIndexFixing(Index,P907,,AllTriggers)</f>
        <v>8.4210287832802069E-3</v>
      </c>
      <c r="U907" s="42">
        <f>_xll.qlYieldTSDiscount(OisCurve,Q907,,AllTriggers)</f>
        <v>0.85720025208980144</v>
      </c>
      <c r="V907" s="42">
        <f>_xll.qlYieldTSDiscount(OisCurve,R907,,AllTriggers)</f>
        <v>0.8555031215937301</v>
      </c>
      <c r="W907" s="41">
        <f t="shared" si="62"/>
        <v>7.7626197401106786E-3</v>
      </c>
      <c r="X907" s="43">
        <f t="shared" si="63"/>
        <v>1.6791286041384381E-4</v>
      </c>
      <c r="Y907" s="41">
        <f t="shared" si="64"/>
        <v>6.5840904316952827E-4</v>
      </c>
      <c r="Z907" s="62"/>
    </row>
    <row r="908" spans="15:26" x14ac:dyDescent="0.25">
      <c r="O908" s="45" t="s">
        <v>21</v>
      </c>
      <c r="P908" s="39">
        <f>_xll.qlCalendarAdvance(Calendar,P907,O907,"f",,Trigger)</f>
        <v>51396</v>
      </c>
      <c r="Q908" s="39">
        <f>_xll.qlInterestRateIndexValueDate(Index,P908,Trigger)</f>
        <v>51398</v>
      </c>
      <c r="R908" s="39">
        <f>_xll.qlInterestRateIndexMaturity(Index,Q908,Trigger)</f>
        <v>51489</v>
      </c>
      <c r="S908" s="40">
        <f>_xll.qlDayCounterYearFraction(DayCounter,Q908,R908,,,Trigger)</f>
        <v>0.25277777777777777</v>
      </c>
      <c r="T908" s="41">
        <f>_xll.qlIndexFixing(Index,P908,,AllTriggers)</f>
        <v>8.424538069589118E-3</v>
      </c>
      <c r="U908" s="42">
        <f>_xll.qlYieldTSDiscount(OisCurve,Q908,,AllTriggers)</f>
        <v>0.85664690794692611</v>
      </c>
      <c r="V908" s="42">
        <f>_xll.qlYieldTSDiscount(OisCurve,R908,,AllTriggers)</f>
        <v>0.85496803210924421</v>
      </c>
      <c r="W908" s="41">
        <f t="shared" si="62"/>
        <v>7.7683683613572535E-3</v>
      </c>
      <c r="X908" s="43">
        <f t="shared" si="63"/>
        <v>1.6552635426264639E-4</v>
      </c>
      <c r="Y908" s="41">
        <f t="shared" si="64"/>
        <v>6.561697082318645E-4</v>
      </c>
      <c r="Z908" s="62"/>
    </row>
    <row r="909" spans="15:26" x14ac:dyDescent="0.25">
      <c r="O909" s="45" t="s">
        <v>21</v>
      </c>
      <c r="P909" s="39">
        <f>_xll.qlCalendarAdvance(Calendar,P908,O908,"f",,Trigger)</f>
        <v>51426</v>
      </c>
      <c r="Q909" s="39">
        <f>_xll.qlInterestRateIndexValueDate(Index,P909,Trigger)</f>
        <v>51428</v>
      </c>
      <c r="R909" s="39">
        <f>_xll.qlInterestRateIndexMaturity(Index,Q909,Trigger)</f>
        <v>51522</v>
      </c>
      <c r="S909" s="40">
        <f>_xll.qlDayCounterYearFraction(DayCounter,Q909,R909,,,Trigger)</f>
        <v>0.26111111111111113</v>
      </c>
      <c r="T909" s="41">
        <f>_xll.qlIndexFixing(Index,P909,,AllTriggers)</f>
        <v>8.4286974447088346E-3</v>
      </c>
      <c r="U909" s="42">
        <f>_xll.qlYieldTSDiscount(OisCurve,Q909,,AllTriggers)</f>
        <v>0.85609349733475171</v>
      </c>
      <c r="V909" s="42">
        <f>_xll.qlYieldTSDiscount(OisCurve,R909,,AllTriggers)</f>
        <v>0.85435906836782527</v>
      </c>
      <c r="W909" s="41">
        <f t="shared" si="62"/>
        <v>7.7748269572161929E-3</v>
      </c>
      <c r="X909" s="43">
        <f t="shared" si="63"/>
        <v>1.7037243383380079E-4</v>
      </c>
      <c r="Y909" s="41">
        <f t="shared" si="64"/>
        <v>6.5387048749264171E-4</v>
      </c>
      <c r="Z909" s="62"/>
    </row>
    <row r="910" spans="15:26" x14ac:dyDescent="0.25">
      <c r="O910" s="45" t="s">
        <v>21</v>
      </c>
      <c r="P910" s="39">
        <f>_xll.qlCalendarAdvance(Calendar,P909,O909,"f",,Trigger)</f>
        <v>51459</v>
      </c>
      <c r="Q910" s="39">
        <f>_xll.qlInterestRateIndexValueDate(Index,P910,Trigger)</f>
        <v>51461</v>
      </c>
      <c r="R910" s="39">
        <f>_xll.qlInterestRateIndexMaturity(Index,Q910,Trigger)</f>
        <v>51553</v>
      </c>
      <c r="S910" s="40">
        <f>_xll.qlDayCounterYearFraction(DayCounter,Q910,R910,,,Trigger)</f>
        <v>0.25555555555555554</v>
      </c>
      <c r="T910" s="41">
        <f>_xll.qlIndexFixing(Index,P910,,AllTriggers)</f>
        <v>8.4324363761262046E-3</v>
      </c>
      <c r="U910" s="42">
        <f>_xll.qlYieldTSDiscount(OisCurve,Q910,,AllTriggers)</f>
        <v>0.85548467119415761</v>
      </c>
      <c r="V910" s="42">
        <f>_xll.qlYieldTSDiscount(OisCurve,R910,,AllTriggers)</f>
        <v>0.85378694698056878</v>
      </c>
      <c r="W910" s="41">
        <f t="shared" si="62"/>
        <v>7.7809442804948935E-3</v>
      </c>
      <c r="X910" s="43">
        <f t="shared" si="63"/>
        <v>1.6614821394715299E-4</v>
      </c>
      <c r="Y910" s="41">
        <f t="shared" si="64"/>
        <v>6.5149209563131107E-4</v>
      </c>
      <c r="Z910" s="62"/>
    </row>
    <row r="911" spans="15:26" x14ac:dyDescent="0.25">
      <c r="O911" s="45" t="s">
        <v>21</v>
      </c>
      <c r="P911" s="39">
        <f>_xll.qlCalendarAdvance(Calendar,P910,O910,"f",,Trigger)</f>
        <v>51489</v>
      </c>
      <c r="Q911" s="39">
        <f>_xll.qlInterestRateIndexValueDate(Index,P911,Trigger)</f>
        <v>51491</v>
      </c>
      <c r="R911" s="39">
        <f>_xll.qlInterestRateIndexMaturity(Index,Q911,Trigger)</f>
        <v>51581</v>
      </c>
      <c r="S911" s="40">
        <f>_xll.qlDayCounterYearFraction(DayCounter,Q911,R911,,,Trigger)</f>
        <v>0.25</v>
      </c>
      <c r="T911" s="41">
        <f>_xll.qlIndexFixing(Index,P911,,AllTriggers)</f>
        <v>8.4358160046109631E-3</v>
      </c>
      <c r="U911" s="42">
        <f>_xll.qlYieldTSDiscount(OisCurve,Q911,,AllTriggers)</f>
        <v>0.85493112727820286</v>
      </c>
      <c r="V911" s="42">
        <f>_xll.qlYieldTSDiscount(OisCurve,R911,,AllTriggers)</f>
        <v>0.85327014023720427</v>
      </c>
      <c r="W911" s="41">
        <f t="shared" si="62"/>
        <v>7.7864533758882359E-3</v>
      </c>
      <c r="X911" s="43">
        <f t="shared" si="63"/>
        <v>1.6201213197986671E-4</v>
      </c>
      <c r="Y911" s="41">
        <f t="shared" si="64"/>
        <v>6.4936262872272721E-4</v>
      </c>
      <c r="Z911" s="62"/>
    </row>
    <row r="912" spans="15:26" x14ac:dyDescent="0.25">
      <c r="O912" s="45" t="s">
        <v>21</v>
      </c>
      <c r="P912" s="39">
        <f>_xll.qlCalendarAdvance(Calendar,P911,O911,"f",,Trigger)</f>
        <v>51522</v>
      </c>
      <c r="Q912" s="39">
        <f>_xll.qlInterestRateIndexValueDate(Index,P912,Trigger)</f>
        <v>51524</v>
      </c>
      <c r="R912" s="39">
        <f>_xll.qlInterestRateIndexMaturity(Index,Q912,Trigger)</f>
        <v>51614</v>
      </c>
      <c r="S912" s="40">
        <f>_xll.qlDayCounterYearFraction(DayCounter,Q912,R912,,,Trigger)</f>
        <v>0.25</v>
      </c>
      <c r="T912" s="41">
        <f>_xll.qlIndexFixing(Index,P912,,AllTriggers)</f>
        <v>8.4398982233402364E-3</v>
      </c>
      <c r="U912" s="42">
        <f>_xll.qlYieldTSDiscount(OisCurve,Q912,,AllTriggers)</f>
        <v>0.85432215917328591</v>
      </c>
      <c r="V912" s="42">
        <f>_xll.qlYieldTSDiscount(OisCurve,R912,,AllTriggers)</f>
        <v>0.85266098546855118</v>
      </c>
      <c r="W912" s="41">
        <f t="shared" si="62"/>
        <v>7.7928918200562691E-3</v>
      </c>
      <c r="X912" s="43">
        <f t="shared" si="63"/>
        <v>1.6142405582153396E-4</v>
      </c>
      <c r="Y912" s="41">
        <f t="shared" si="64"/>
        <v>6.470064032839673E-4</v>
      </c>
      <c r="Z912" s="62"/>
    </row>
    <row r="913" spans="15:26" x14ac:dyDescent="0.25">
      <c r="O913" s="45" t="s">
        <v>21</v>
      </c>
      <c r="P913" s="39">
        <f>_xll.qlCalendarAdvance(Calendar,P912,O912,"f",,Trigger)</f>
        <v>51553</v>
      </c>
      <c r="Q913" s="39">
        <f>_xll.qlInterestRateIndexValueDate(Index,P913,Trigger)</f>
        <v>51557</v>
      </c>
      <c r="R913" s="39">
        <f>_xll.qlInterestRateIndexMaturity(Index,Q913,Trigger)</f>
        <v>51648</v>
      </c>
      <c r="S913" s="40">
        <f>_xll.qlDayCounterYearFraction(DayCounter,Q913,R913,,,Trigger)</f>
        <v>0.25277777777777777</v>
      </c>
      <c r="T913" s="41">
        <f>_xll.qlIndexFixing(Index,P913,,AllTriggers)</f>
        <v>8.444154018488614E-3</v>
      </c>
      <c r="U913" s="42">
        <f>_xll.qlYieldTSDiscount(OisCurve,Q913,,AllTriggers)</f>
        <v>0.85371312042453074</v>
      </c>
      <c r="V913" s="42">
        <f>_xll.qlYieldTSDiscount(OisCurve,R913,,AllTriggers)</f>
        <v>0.85203330486204787</v>
      </c>
      <c r="W913" s="41">
        <f t="shared" si="62"/>
        <v>7.7994887820785298E-3</v>
      </c>
      <c r="X913" s="43">
        <f t="shared" si="63"/>
        <v>1.6262317824823581E-4</v>
      </c>
      <c r="Y913" s="41">
        <f t="shared" si="64"/>
        <v>6.4466523641008421E-4</v>
      </c>
      <c r="Z913" s="62"/>
    </row>
    <row r="914" spans="15:26" x14ac:dyDescent="0.25">
      <c r="O914" s="45" t="s">
        <v>21</v>
      </c>
      <c r="P914" s="39">
        <f>_xll.qlCalendarAdvance(Calendar,P913,O913,"f",,Trigger)</f>
        <v>51581</v>
      </c>
      <c r="Q914" s="39">
        <f>_xll.qlInterestRateIndexValueDate(Index,P914,Trigger)</f>
        <v>51585</v>
      </c>
      <c r="R914" s="39">
        <f>_xll.qlInterestRateIndexMaturity(Index,Q914,Trigger)</f>
        <v>51677</v>
      </c>
      <c r="S914" s="40">
        <f>_xll.qlDayCounterYearFraction(DayCounter,Q914,R914,,,Trigger)</f>
        <v>0.25555555555555554</v>
      </c>
      <c r="T914" s="41">
        <f>_xll.qlIndexFixing(Index,P914,,AllTriggers)</f>
        <v>8.4477996274243006E-3</v>
      </c>
      <c r="U914" s="42">
        <f>_xll.qlYieldTSDiscount(OisCurve,Q914,,AllTriggers)</f>
        <v>0.85319630677309377</v>
      </c>
      <c r="V914" s="42">
        <f>_xll.qlYieldTSDiscount(OisCurve,R914,,AllTriggers)</f>
        <v>0.85149787887210893</v>
      </c>
      <c r="W914" s="41">
        <f t="shared" si="62"/>
        <v>7.8050954513806687E-3</v>
      </c>
      <c r="X914" s="43">
        <f t="shared" si="63"/>
        <v>1.6390622942744323E-4</v>
      </c>
      <c r="Y914" s="41">
        <f t="shared" si="64"/>
        <v>6.4270417604363195E-4</v>
      </c>
      <c r="Z914" s="62"/>
    </row>
    <row r="915" spans="15:26" x14ac:dyDescent="0.25">
      <c r="O915" s="45" t="s">
        <v>21</v>
      </c>
      <c r="P915" s="39">
        <f>_xll.qlCalendarAdvance(Calendar,P914,O914,"f",,Trigger)</f>
        <v>51614</v>
      </c>
      <c r="Q915" s="39">
        <f>_xll.qlInterestRateIndexValueDate(Index,P915,Trigger)</f>
        <v>51616</v>
      </c>
      <c r="R915" s="39">
        <f>_xll.qlInterestRateIndexMaturity(Index,Q915,Trigger)</f>
        <v>51707</v>
      </c>
      <c r="S915" s="40">
        <f>_xll.qlDayCounterYearFraction(DayCounter,Q915,R915,,,Trigger)</f>
        <v>0.25277777777777777</v>
      </c>
      <c r="T915" s="41">
        <f>_xll.qlIndexFixing(Index,P915,,AllTriggers)</f>
        <v>8.4515060857881883E-3</v>
      </c>
      <c r="U915" s="42">
        <f>_xll.qlYieldTSDiscount(OisCurve,Q915,,AllTriggers)</f>
        <v>0.85262406492476261</v>
      </c>
      <c r="V915" s="42">
        <f>_xll.qlYieldTSDiscount(OisCurve,R915,,AllTriggers)</f>
        <v>0.85094394209494295</v>
      </c>
      <c r="W915" s="41">
        <f t="shared" si="62"/>
        <v>7.8109020318734568E-3</v>
      </c>
      <c r="X915" s="43">
        <f t="shared" si="63"/>
        <v>1.6159832233352941E-4</v>
      </c>
      <c r="Y915" s="41">
        <f t="shared" si="64"/>
        <v>6.4060405391473153E-4</v>
      </c>
      <c r="Z915" s="62"/>
    </row>
    <row r="916" spans="15:26" x14ac:dyDescent="0.25">
      <c r="O916" s="45" t="s">
        <v>21</v>
      </c>
      <c r="P916" s="39">
        <f>_xll.qlCalendarAdvance(Calendar,P915,O915,"f",,Trigger)</f>
        <v>51644</v>
      </c>
      <c r="Q916" s="39">
        <f>_xll.qlInterestRateIndexValueDate(Index,P916,Trigger)</f>
        <v>51648</v>
      </c>
      <c r="R916" s="39">
        <f>_xll.qlInterestRateIndexMaturity(Index,Q916,Trigger)</f>
        <v>51740</v>
      </c>
      <c r="S916" s="40">
        <f>_xll.qlDayCounterYearFraction(DayCounter,Q916,R916,,,Trigger)</f>
        <v>0.25555555555555554</v>
      </c>
      <c r="T916" s="41">
        <f>_xll.qlIndexFixing(Index,P916,,AllTriggers)</f>
        <v>8.4556721939308219E-3</v>
      </c>
      <c r="U916" s="42">
        <f>_xll.qlYieldTSDiscount(OisCurve,Q916,,AllTriggers)</f>
        <v>0.85203330486204787</v>
      </c>
      <c r="V916" s="42">
        <f>_xll.qlYieldTSDiscount(OisCurve,R916,,AllTriggers)</f>
        <v>0.85033455770812305</v>
      </c>
      <c r="W916" s="41">
        <f t="shared" si="62"/>
        <v>7.817242533098543E-3</v>
      </c>
      <c r="X916" s="43">
        <f t="shared" si="63"/>
        <v>1.628157015806131E-4</v>
      </c>
      <c r="Y916" s="41">
        <f t="shared" si="64"/>
        <v>6.3842966083227891E-4</v>
      </c>
      <c r="Z916" s="62"/>
    </row>
    <row r="917" spans="15:26" x14ac:dyDescent="0.25">
      <c r="O917" s="45" t="s">
        <v>21</v>
      </c>
      <c r="P917" s="39">
        <f>_xll.qlCalendarAdvance(Calendar,P916,O916,"f",,Trigger)</f>
        <v>51676</v>
      </c>
      <c r="Q917" s="39">
        <f>_xll.qlInterestRateIndexValueDate(Index,P917,Trigger)</f>
        <v>51678</v>
      </c>
      <c r="R917" s="39">
        <f>_xll.qlInterestRateIndexMaturity(Index,Q917,Trigger)</f>
        <v>51770</v>
      </c>
      <c r="S917" s="40">
        <f>_xll.qlDayCounterYearFraction(DayCounter,Q917,R917,,,Trigger)</f>
        <v>0.25555555555555554</v>
      </c>
      <c r="T917" s="41">
        <f>_xll.qlIndexFixing(Index,P917,,AllTriggers)</f>
        <v>8.4594369126501992E-3</v>
      </c>
      <c r="U917" s="42">
        <f>_xll.qlYieldTSDiscount(OisCurve,Q917,,AllTriggers)</f>
        <v>0.85147941508620184</v>
      </c>
      <c r="V917" s="42">
        <f>_xll.qlYieldTSDiscount(OisCurve,R917,,AllTriggers)</f>
        <v>0.84978052492604783</v>
      </c>
      <c r="W917" s="41">
        <f t="shared" si="62"/>
        <v>7.8229976640738046E-3</v>
      </c>
      <c r="X917" s="43">
        <f t="shared" si="63"/>
        <v>1.6230789911434566E-4</v>
      </c>
      <c r="Y917" s="41">
        <f t="shared" si="64"/>
        <v>6.3643924857639464E-4</v>
      </c>
      <c r="Z917" s="62"/>
    </row>
    <row r="918" spans="15:26" x14ac:dyDescent="0.25">
      <c r="O918" s="45" t="s">
        <v>21</v>
      </c>
      <c r="P918" s="39">
        <f>_xll.qlCalendarAdvance(Calendar,P917,O917,"f",,Trigger)</f>
        <v>51706</v>
      </c>
      <c r="Q918" s="39">
        <f>_xll.qlInterestRateIndexValueDate(Index,P918,Trigger)</f>
        <v>51708</v>
      </c>
      <c r="R918" s="39">
        <f>_xll.qlInterestRateIndexMaturity(Index,Q918,Trigger)</f>
        <v>51802</v>
      </c>
      <c r="S918" s="40">
        <f>_xll.qlDayCounterYearFraction(DayCounter,Q918,R918,,,Trigger)</f>
        <v>0.26111111111111113</v>
      </c>
      <c r="T918" s="41">
        <f>_xll.qlIndexFixing(Index,P918,,AllTriggers)</f>
        <v>8.4635368865670912E-3</v>
      </c>
      <c r="U918" s="42">
        <f>_xll.qlYieldTSDiscount(OisCurve,Q918,,AllTriggers)</f>
        <v>0.8509254767199248</v>
      </c>
      <c r="V918" s="42">
        <f>_xll.qlYieldTSDiscount(OisCurve,R918,,AllTriggers)</f>
        <v>0.84918950950997807</v>
      </c>
      <c r="W918" s="41">
        <f t="shared" si="62"/>
        <v>7.8290946660500814E-3</v>
      </c>
      <c r="X918" s="43">
        <f t="shared" si="63"/>
        <v>1.653082873182571E-4</v>
      </c>
      <c r="Y918" s="41">
        <f t="shared" si="64"/>
        <v>6.3444222051700985E-4</v>
      </c>
      <c r="Z918" s="62"/>
    </row>
    <row r="919" spans="15:26" x14ac:dyDescent="0.25">
      <c r="O919" s="45" t="s">
        <v>21</v>
      </c>
      <c r="P919" s="39">
        <f>_xll.qlCalendarAdvance(Calendar,P918,O918,"f",,Trigger)</f>
        <v>51739</v>
      </c>
      <c r="Q919" s="39">
        <f>_xll.qlInterestRateIndexValueDate(Index,P919,Trigger)</f>
        <v>51741</v>
      </c>
      <c r="R919" s="39">
        <f>_xll.qlInterestRateIndexMaturity(Index,Q919,Trigger)</f>
        <v>51833</v>
      </c>
      <c r="S919" s="40">
        <f>_xll.qlDayCounterYearFraction(DayCounter,Q919,R919,,,Trigger)</f>
        <v>0.25555555555555554</v>
      </c>
      <c r="T919" s="41">
        <f>_xll.qlIndexFixing(Index,P919,,AllTriggers)</f>
        <v>8.4673761649301446E-3</v>
      </c>
      <c r="U919" s="42">
        <f>_xll.qlYieldTSDiscount(OisCurve,Q919,,AllTriggers)</f>
        <v>0.85031609065800928</v>
      </c>
      <c r="V919" s="42">
        <f>_xll.qlYieldTSDiscount(OisCurve,R919,,AllTriggers)</f>
        <v>0.84861691905939451</v>
      </c>
      <c r="W919" s="41">
        <f t="shared" si="62"/>
        <v>7.8350221319830084E-3</v>
      </c>
      <c r="X919" s="43">
        <f t="shared" si="63"/>
        <v>1.612656566023101E-4</v>
      </c>
      <c r="Y919" s="41">
        <f t="shared" si="64"/>
        <v>6.3235403294713624E-4</v>
      </c>
      <c r="Z919" s="62"/>
    </row>
    <row r="920" spans="15:26" x14ac:dyDescent="0.25">
      <c r="O920" s="45" t="s">
        <v>21</v>
      </c>
      <c r="P920" s="39">
        <f>_xll.qlCalendarAdvance(Calendar,P919,O919,"f",,Trigger)</f>
        <v>51770</v>
      </c>
      <c r="Q920" s="39">
        <f>_xll.qlInterestRateIndexValueDate(Index,P920,Trigger)</f>
        <v>51774</v>
      </c>
      <c r="R920" s="39">
        <f>_xll.qlInterestRateIndexMaturity(Index,Q920,Trigger)</f>
        <v>51866</v>
      </c>
      <c r="S920" s="40">
        <f>_xll.qlDayCounterYearFraction(DayCounter,Q920,R920,,,Trigger)</f>
        <v>0.25555555555555554</v>
      </c>
      <c r="T920" s="41">
        <f>_xll.qlIndexFixing(Index,P920,,AllTriggers)</f>
        <v>8.4715528497229502E-3</v>
      </c>
      <c r="U920" s="42">
        <f>_xll.qlYieldTSDiscount(OisCurve,Q920,,AllTriggers)</f>
        <v>0.84970665061442852</v>
      </c>
      <c r="V920" s="42">
        <f>_xll.qlYieldTSDiscount(OisCurve,R920,,AllTriggers)</f>
        <v>0.84800734177278936</v>
      </c>
      <c r="W920" s="41">
        <f t="shared" si="62"/>
        <v>7.8412875134149379E-3</v>
      </c>
      <c r="X920" s="43">
        <f t="shared" si="63"/>
        <v>1.6073277414778916E-4</v>
      </c>
      <c r="Y920" s="41">
        <f t="shared" si="64"/>
        <v>6.3026533630801233E-4</v>
      </c>
      <c r="Z920" s="62"/>
    </row>
    <row r="921" spans="15:26" x14ac:dyDescent="0.25">
      <c r="O921" s="45" t="s">
        <v>21</v>
      </c>
      <c r="P921" s="39">
        <f>_xll.qlCalendarAdvance(Calendar,P920,O920,"f",,Trigger)</f>
        <v>51802</v>
      </c>
      <c r="Q921" s="39">
        <f>_xll.qlInterestRateIndexValueDate(Index,P921,Trigger)</f>
        <v>51804</v>
      </c>
      <c r="R921" s="39">
        <f>_xll.qlInterestRateIndexMaturity(Index,Q921,Trigger)</f>
        <v>51896</v>
      </c>
      <c r="S921" s="40">
        <f>_xll.qlDayCounterYearFraction(DayCounter,Q921,R921,,,Trigger)</f>
        <v>0.25555555555555554</v>
      </c>
      <c r="T921" s="41">
        <f>_xll.qlIndexFixing(Index,P921,,AllTriggers)</f>
        <v>8.4753605917837378E-3</v>
      </c>
      <c r="U921" s="42">
        <f>_xll.qlYieldTSDiscount(OisCurve,Q921,,AllTriggers)</f>
        <v>0.84915256948228646</v>
      </c>
      <c r="V921" s="42">
        <f>_xll.qlYieldTSDiscount(OisCurve,R921,,AllTriggers)</f>
        <v>0.84745314192882204</v>
      </c>
      <c r="W921" s="41">
        <f t="shared" si="62"/>
        <v>7.8469635379783426E-3</v>
      </c>
      <c r="X921" s="43">
        <f t="shared" si="63"/>
        <v>1.6025612351061469E-4</v>
      </c>
      <c r="Y921" s="41">
        <f t="shared" si="64"/>
        <v>6.2839705380539519E-4</v>
      </c>
      <c r="Z921" s="62"/>
    </row>
    <row r="922" spans="15:26" x14ac:dyDescent="0.25">
      <c r="O922" s="45" t="s">
        <v>21</v>
      </c>
      <c r="P922" s="39">
        <f>_xll.qlCalendarAdvance(Calendar,P921,O921,"f",,Trigger)</f>
        <v>51833</v>
      </c>
      <c r="Q922" s="39">
        <f>_xll.qlInterestRateIndexValueDate(Index,P922,Trigger)</f>
        <v>51837</v>
      </c>
      <c r="R922" s="39">
        <f>_xll.qlInterestRateIndexMaturity(Index,Q922,Trigger)</f>
        <v>51928</v>
      </c>
      <c r="S922" s="40">
        <f>_xll.qlDayCounterYearFraction(DayCounter,Q922,R922,,,Trigger)</f>
        <v>0.25277777777777777</v>
      </c>
      <c r="T922" s="41">
        <f>_xll.qlIndexFixing(Index,P922,,AllTriggers)</f>
        <v>8.4793973278197449E-3</v>
      </c>
      <c r="U922" s="42">
        <f>_xll.qlYieldTSDiscount(OisCurve,Q922,,AllTriggers)</f>
        <v>0.84854303335633408</v>
      </c>
      <c r="V922" s="42">
        <f>_xll.qlYieldTSDiscount(OisCurve,R922,,AllTriggers)</f>
        <v>0.84686195700937872</v>
      </c>
      <c r="W922" s="41">
        <f t="shared" si="62"/>
        <v>7.853005873007024E-3</v>
      </c>
      <c r="X922" s="43">
        <f t="shared" si="63"/>
        <v>1.580116671937051E-4</v>
      </c>
      <c r="Y922" s="41">
        <f t="shared" si="64"/>
        <v>6.2639145481272092E-4</v>
      </c>
      <c r="Z922" s="62"/>
    </row>
    <row r="923" spans="15:26" x14ac:dyDescent="0.25">
      <c r="O923" s="45" t="s">
        <v>21</v>
      </c>
      <c r="P923" s="39">
        <f>_xll.qlCalendarAdvance(Calendar,P922,O922,"f",,Trigger)</f>
        <v>51865</v>
      </c>
      <c r="Q923" s="39">
        <f>_xll.qlInterestRateIndexValueDate(Index,P923,Trigger)</f>
        <v>51868</v>
      </c>
      <c r="R923" s="39">
        <f>_xll.qlInterestRateIndexMaturity(Index,Q923,Trigger)</f>
        <v>51958</v>
      </c>
      <c r="S923" s="40">
        <f>_xll.qlDayCounterYearFraction(DayCounter,Q923,R923,,,Trigger)</f>
        <v>0.25</v>
      </c>
      <c r="T923" s="41">
        <f>_xll.qlIndexFixing(Index,P923,,AllTriggers)</f>
        <v>8.4831902575173146E-3</v>
      </c>
      <c r="U923" s="42">
        <f>_xll.qlYieldTSDiscount(OisCurve,Q923,,AllTriggers)</f>
        <v>0.84797039623975279</v>
      </c>
      <c r="V923" s="42">
        <f>_xll.qlYieldTSDiscount(OisCurve,R923,,AllTriggers)</f>
        <v>0.84630768710316984</v>
      </c>
      <c r="W923" s="41">
        <f t="shared" si="62"/>
        <v>7.8586507575009179E-3</v>
      </c>
      <c r="X923" s="43">
        <f t="shared" si="63"/>
        <v>1.5581658408942646E-4</v>
      </c>
      <c r="Y923" s="41">
        <f t="shared" si="64"/>
        <v>6.2453950001639669E-4</v>
      </c>
      <c r="Z923" s="62"/>
    </row>
    <row r="924" spans="15:26" x14ac:dyDescent="0.25">
      <c r="O924" s="45" t="s">
        <v>21</v>
      </c>
      <c r="P924" s="39">
        <f>_xll.qlCalendarAdvance(Calendar,P923,O923,"f",,Trigger)</f>
        <v>51896</v>
      </c>
      <c r="Q924" s="39">
        <f>_xll.qlInterestRateIndexValueDate(Index,P924,Trigger)</f>
        <v>51900</v>
      </c>
      <c r="R924" s="39">
        <f>_xll.qlInterestRateIndexMaturity(Index,Q924,Trigger)</f>
        <v>51991</v>
      </c>
      <c r="S924" s="40">
        <f>_xll.qlDayCounterYearFraction(DayCounter,Q924,R924,,,Trigger)</f>
        <v>0.25277777777777777</v>
      </c>
      <c r="T924" s="41">
        <f>_xll.qlIndexFixing(Index,P924,,AllTriggers)</f>
        <v>8.4874500445531759E-3</v>
      </c>
      <c r="U924" s="42">
        <f>_xll.qlYieldTSDiscount(OisCurve,Q924,,AllTriggers)</f>
        <v>0.8473792459387518</v>
      </c>
      <c r="V924" s="42">
        <f>_xll.qlYieldTSDiscount(OisCurve,R924,,AllTriggers)</f>
        <v>0.84569795442699136</v>
      </c>
      <c r="W924" s="41">
        <f t="shared" si="62"/>
        <v>7.8648211085653071E-3</v>
      </c>
      <c r="X924" s="43">
        <f t="shared" si="63"/>
        <v>1.5706215166602332E-4</v>
      </c>
      <c r="Y924" s="41">
        <f t="shared" si="64"/>
        <v>6.2262893598786888E-4</v>
      </c>
      <c r="Z924" s="62"/>
    </row>
    <row r="925" spans="15:26" x14ac:dyDescent="0.25">
      <c r="O925" s="45" t="s">
        <v>21</v>
      </c>
      <c r="P925" s="39">
        <f>_xll.qlCalendarAdvance(Calendar,P924,O924,"f",,Trigger)</f>
        <v>51925</v>
      </c>
      <c r="Q925" s="39">
        <f>_xll.qlInterestRateIndexValueDate(Index,P925,Trigger)</f>
        <v>51929</v>
      </c>
      <c r="R925" s="39">
        <f>_xll.qlInterestRateIndexMaturity(Index,Q925,Trigger)</f>
        <v>52021</v>
      </c>
      <c r="S925" s="40">
        <f>_xll.qlDayCounterYearFraction(DayCounter,Q925,R925,,,Trigger)</f>
        <v>0.25555555555555554</v>
      </c>
      <c r="T925" s="41">
        <f>_xll.qlIndexFixing(Index,P925,,AllTriggers)</f>
        <v>8.4913364464090299E-3</v>
      </c>
      <c r="U925" s="42">
        <f>_xll.qlYieldTSDiscount(OisCurve,Q925,,AllTriggers)</f>
        <v>0.84684348186560876</v>
      </c>
      <c r="V925" s="42">
        <f>_xll.qlYieldTSDiscount(OisCurve,R925,,AllTriggers)</f>
        <v>0.84514362148628785</v>
      </c>
      <c r="W925" s="41">
        <f t="shared" si="62"/>
        <v>7.8704109007627539E-3</v>
      </c>
      <c r="X925" s="43">
        <f t="shared" si="63"/>
        <v>1.5834991605045588E-4</v>
      </c>
      <c r="Y925" s="41">
        <f t="shared" si="64"/>
        <v>6.2092554564627603E-4</v>
      </c>
      <c r="Z925" s="62"/>
    </row>
    <row r="926" spans="15:26" x14ac:dyDescent="0.25">
      <c r="O926" s="45" t="s">
        <v>21</v>
      </c>
      <c r="P926" s="39">
        <f>_xll.qlCalendarAdvance(Calendar,P925,O925,"f",,Trigger)</f>
        <v>51953</v>
      </c>
      <c r="Q926" s="39">
        <f>_xll.qlInterestRateIndexValueDate(Index,P926,Trigger)</f>
        <v>51957</v>
      </c>
      <c r="R926" s="39">
        <f>_xll.qlInterestRateIndexMaturity(Index,Q926,Trigger)</f>
        <v>52048</v>
      </c>
      <c r="S926" s="40">
        <f>_xll.qlDayCounterYearFraction(DayCounter,Q926,R926,,,Trigger)</f>
        <v>0.25277777777777777</v>
      </c>
      <c r="T926" s="41">
        <f>_xll.qlIndexFixing(Index,P926,,AllTriggers)</f>
        <v>8.4947747613405671E-3</v>
      </c>
      <c r="U926" s="42">
        <f>_xll.qlYieldTSDiscount(OisCurve,Q926,,AllTriggers)</f>
        <v>0.84632616327713417</v>
      </c>
      <c r="V926" s="42">
        <f>_xll.qlYieldTSDiscount(OisCurve,R926,,AllTriggers)</f>
        <v>0.84464469858524671</v>
      </c>
      <c r="W926" s="41">
        <f t="shared" si="62"/>
        <v>7.8754395105831865E-3</v>
      </c>
      <c r="X926" s="43">
        <f t="shared" si="63"/>
        <v>1.5623094481849388E-4</v>
      </c>
      <c r="Y926" s="41">
        <f t="shared" si="64"/>
        <v>6.1933525075738051E-4</v>
      </c>
      <c r="Z926" s="62"/>
    </row>
    <row r="927" spans="15:26" x14ac:dyDescent="0.25">
      <c r="O927" s="45" t="s">
        <v>21</v>
      </c>
      <c r="P927" s="39">
        <f>_xll.qlCalendarAdvance(Calendar,P926,O926,"f",,Trigger)</f>
        <v>51984</v>
      </c>
      <c r="Q927" s="39">
        <f>_xll.qlInterestRateIndexValueDate(Index,P927,Trigger)</f>
        <v>51986</v>
      </c>
      <c r="R927" s="39">
        <f>_xll.qlInterestRateIndexMaturity(Index,Q927,Trigger)</f>
        <v>52078</v>
      </c>
      <c r="S927" s="40">
        <f>_xll.qlDayCounterYearFraction(DayCounter,Q927,R927,,,Trigger)</f>
        <v>0.25555555555555554</v>
      </c>
      <c r="T927" s="41">
        <f>_xll.qlIndexFixing(Index,P927,,AllTriggers)</f>
        <v>8.4986804747388487E-3</v>
      </c>
      <c r="U927" s="42">
        <f>_xll.qlYieldTSDiscount(OisCurve,Q927,,AllTriggers)</f>
        <v>0.84579034048186963</v>
      </c>
      <c r="V927" s="42">
        <f>_xll.qlYieldTSDiscount(OisCurve,R927,,AllTriggers)</f>
        <v>0.84409031566987891</v>
      </c>
      <c r="W927" s="41">
        <f t="shared" si="62"/>
        <v>7.8809943437899276E-3</v>
      </c>
      <c r="X927" s="43">
        <f t="shared" si="63"/>
        <v>1.5752343268059103E-4</v>
      </c>
      <c r="Y927" s="41">
        <f t="shared" si="64"/>
        <v>6.1768613094892108E-4</v>
      </c>
      <c r="Z927" s="62"/>
    </row>
    <row r="928" spans="15:26" x14ac:dyDescent="0.25">
      <c r="O928" s="45" t="s">
        <v>21</v>
      </c>
      <c r="P928" s="39">
        <f>_xll.qlCalendarAdvance(Calendar,P927,O927,"f",,Trigger)</f>
        <v>52014</v>
      </c>
      <c r="Q928" s="39">
        <f>_xll.qlInterestRateIndexValueDate(Index,P928,Trigger)</f>
        <v>52016</v>
      </c>
      <c r="R928" s="39">
        <f>_xll.qlInterestRateIndexMaturity(Index,Q928,Trigger)</f>
        <v>52107</v>
      </c>
      <c r="S928" s="40">
        <f>_xll.qlDayCounterYearFraction(DayCounter,Q928,R928,,,Trigger)</f>
        <v>0.25277777777777777</v>
      </c>
      <c r="T928" s="41">
        <f>_xll.qlIndexFixing(Index,P928,,AllTriggers)</f>
        <v>8.5023954341797107E-3</v>
      </c>
      <c r="U928" s="42">
        <f>_xll.qlYieldTSDiscount(OisCurve,Q928,,AllTriggers)</f>
        <v>0.84523601224430278</v>
      </c>
      <c r="V928" s="42">
        <f>_xll.qlYieldTSDiscount(OisCurve,R928,,AllTriggers)</f>
        <v>0.84355438971437213</v>
      </c>
      <c r="W928" s="41">
        <f t="shared" si="62"/>
        <v>7.8863588726412505E-3</v>
      </c>
      <c r="X928" s="43">
        <f t="shared" si="63"/>
        <v>1.5539846775081199E-4</v>
      </c>
      <c r="Y928" s="41">
        <f t="shared" si="64"/>
        <v>6.1603656153846019E-4</v>
      </c>
      <c r="Z928" s="62"/>
    </row>
    <row r="929" spans="15:26" x14ac:dyDescent="0.25">
      <c r="O929" s="45" t="s">
        <v>21</v>
      </c>
      <c r="P929" s="39">
        <f>_xll.qlCalendarAdvance(Calendar,P928,O928,"f",,Trigger)</f>
        <v>52047</v>
      </c>
      <c r="Q929" s="39">
        <f>_xll.qlInterestRateIndexValueDate(Index,P929,Trigger)</f>
        <v>52049</v>
      </c>
      <c r="R929" s="39">
        <f>_xll.qlInterestRateIndexMaturity(Index,Q929,Trigger)</f>
        <v>52141</v>
      </c>
      <c r="S929" s="40">
        <f>_xll.qlDayCounterYearFraction(DayCounter,Q929,R929,,,Trigger)</f>
        <v>0.25555555555555554</v>
      </c>
      <c r="T929" s="41">
        <f>_xll.qlIndexFixing(Index,P929,,AllTriggers)</f>
        <v>8.5068405831243716E-3</v>
      </c>
      <c r="U929" s="42">
        <f>_xll.qlYieldTSDiscount(OisCurve,Q929,,AllTriggers)</f>
        <v>0.84462621955478623</v>
      </c>
      <c r="V929" s="42">
        <f>_xll.qlYieldTSDiscount(OisCurve,R929,,AllTriggers)</f>
        <v>0.84292603687064083</v>
      </c>
      <c r="W929" s="41">
        <f t="shared" si="62"/>
        <v>7.8926127240608324E-3</v>
      </c>
      <c r="X929" s="43">
        <f t="shared" si="63"/>
        <v>1.5664110289037597E-4</v>
      </c>
      <c r="Y929" s="41">
        <f t="shared" si="64"/>
        <v>6.1422785906353923E-4</v>
      </c>
      <c r="Z929" s="62"/>
    </row>
    <row r="930" spans="15:26" x14ac:dyDescent="0.25">
      <c r="O930" s="45" t="s">
        <v>21</v>
      </c>
      <c r="P930" s="39">
        <f>_xll.qlCalendarAdvance(Calendar,P929,O929,"f",,Trigger)</f>
        <v>52077</v>
      </c>
      <c r="Q930" s="39">
        <f>_xll.qlInterestRateIndexValueDate(Index,P930,Trigger)</f>
        <v>52079</v>
      </c>
      <c r="R930" s="39">
        <f>_xll.qlInterestRateIndexMaturity(Index,Q930,Trigger)</f>
        <v>52173</v>
      </c>
      <c r="S930" s="40">
        <f>_xll.qlDayCounterYearFraction(DayCounter,Q930,R930,,,Trigger)</f>
        <v>0.26111111111111113</v>
      </c>
      <c r="T930" s="41">
        <f>_xll.qlIndexFixing(Index,P930,,AllTriggers)</f>
        <v>8.5110737004030195E-3</v>
      </c>
      <c r="U930" s="42">
        <f>_xll.qlYieldTSDiscount(OisCurve,Q930,,AllTriggers)</f>
        <v>0.84407183582234235</v>
      </c>
      <c r="V930" s="42">
        <f>_xll.qlYieldTSDiscount(OisCurve,R930,,AllTriggers)</f>
        <v>0.84233462274071935</v>
      </c>
      <c r="W930" s="41">
        <f t="shared" si="62"/>
        <v>7.898472059908835E-3</v>
      </c>
      <c r="X930" s="43">
        <f t="shared" si="63"/>
        <v>1.596151426814177E-4</v>
      </c>
      <c r="Y930" s="41">
        <f t="shared" si="64"/>
        <v>6.1260164049418454E-4</v>
      </c>
      <c r="Z930" s="62"/>
    </row>
    <row r="931" spans="15:26" x14ac:dyDescent="0.25">
      <c r="O931" s="45" t="s">
        <v>21</v>
      </c>
      <c r="P931" s="39">
        <f>_xll.qlCalendarAdvance(Calendar,P930,O930,"f",,Trigger)</f>
        <v>52110</v>
      </c>
      <c r="Q931" s="39">
        <f>_xll.qlInterestRateIndexValueDate(Index,P931,Trigger)</f>
        <v>52112</v>
      </c>
      <c r="R931" s="39">
        <f>_xll.qlInterestRateIndexMaturity(Index,Q931,Trigger)</f>
        <v>52203</v>
      </c>
      <c r="S931" s="40">
        <f>_xll.qlDayCounterYearFraction(DayCounter,Q931,R931,,,Trigger)</f>
        <v>0.25277777777777777</v>
      </c>
      <c r="T931" s="41">
        <f>_xll.qlIndexFixing(Index,P931,,AllTriggers)</f>
        <v>8.5148798540547448E-3</v>
      </c>
      <c r="U931" s="42">
        <f>_xll.qlYieldTSDiscount(OisCurve,Q931,,AllTriggers)</f>
        <v>0.84346198657896077</v>
      </c>
      <c r="V931" s="42">
        <f>_xll.qlYieldTSDiscount(OisCurve,R931,,AllTriggers)</f>
        <v>0.84178015357175373</v>
      </c>
      <c r="W931" s="41">
        <f t="shared" si="62"/>
        <v>7.9039702646888088E-3</v>
      </c>
      <c r="X931" s="43">
        <f t="shared" si="63"/>
        <v>1.5410457704013685E-4</v>
      </c>
      <c r="Y931" s="41">
        <f t="shared" si="64"/>
        <v>6.1090958936593602E-4</v>
      </c>
      <c r="Z931" s="62"/>
    </row>
    <row r="932" spans="15:26" x14ac:dyDescent="0.25">
      <c r="O932" s="45" t="s">
        <v>21</v>
      </c>
      <c r="P932" s="39">
        <f>_xll.qlCalendarAdvance(Calendar,P931,O931,"f",,Trigger)</f>
        <v>52140</v>
      </c>
      <c r="Q932" s="39">
        <f>_xll.qlInterestRateIndexValueDate(Index,P932,Trigger)</f>
        <v>52142</v>
      </c>
      <c r="R932" s="39">
        <f>_xll.qlInterestRateIndexMaturity(Index,Q932,Trigger)</f>
        <v>52236</v>
      </c>
      <c r="S932" s="40">
        <f>_xll.qlDayCounterYearFraction(DayCounter,Q932,R932,,,Trigger)</f>
        <v>0.26111111111111113</v>
      </c>
      <c r="T932" s="41">
        <f>_xll.qlIndexFixing(Index,P932,,AllTriggers)</f>
        <v>8.519301603050736E-3</v>
      </c>
      <c r="U932" s="42">
        <f>_xll.qlYieldTSDiscount(OisCurve,Q932,,AllTriggers)</f>
        <v>0.84290755550755625</v>
      </c>
      <c r="V932" s="42">
        <f>_xll.qlYieldTSDiscount(OisCurve,R932,,AllTriggers)</f>
        <v>0.84117021913027779</v>
      </c>
      <c r="W932" s="41">
        <f t="shared" si="62"/>
        <v>7.9099670050356528E-3</v>
      </c>
      <c r="X932" s="43">
        <f t="shared" si="63"/>
        <v>1.5876349730840035E-4</v>
      </c>
      <c r="Y932" s="41">
        <f t="shared" si="64"/>
        <v>6.093345980150832E-4</v>
      </c>
      <c r="Z932" s="62"/>
    </row>
    <row r="933" spans="15:26" x14ac:dyDescent="0.25">
      <c r="O933" s="45" t="s">
        <v>21</v>
      </c>
      <c r="P933" s="39">
        <f>_xll.qlCalendarAdvance(Calendar,P932,O932,"f",,Trigger)</f>
        <v>52173</v>
      </c>
      <c r="Q933" s="39">
        <f>_xll.qlInterestRateIndexValueDate(Index,P933,Trigger)</f>
        <v>52175</v>
      </c>
      <c r="R933" s="39">
        <f>_xll.qlInterestRateIndexMaturity(Index,Q933,Trigger)</f>
        <v>52267</v>
      </c>
      <c r="S933" s="40">
        <f>_xll.qlDayCounterYearFraction(DayCounter,Q933,R933,,,Trigger)</f>
        <v>0.25555555555555554</v>
      </c>
      <c r="T933" s="41">
        <f>_xll.qlIndexFixing(Index,P933,,AllTriggers)</f>
        <v>8.5232963279876471E-3</v>
      </c>
      <c r="U933" s="42">
        <f>_xll.qlYieldTSDiscount(OisCurve,Q933,,AllTriggers)</f>
        <v>0.84229765866252626</v>
      </c>
      <c r="V933" s="42">
        <f>_xll.qlYieldTSDiscount(OisCurve,R933,,AllTriggers)</f>
        <v>0.84059723500208905</v>
      </c>
      <c r="W933" s="41">
        <f t="shared" si="62"/>
        <v>7.9156002871434532E-3</v>
      </c>
      <c r="X933" s="43">
        <f t="shared" si="63"/>
        <v>1.549745715704685E-4</v>
      </c>
      <c r="Y933" s="41">
        <f t="shared" si="64"/>
        <v>6.0769604084419393E-4</v>
      </c>
      <c r="Z933" s="62"/>
    </row>
    <row r="934" spans="15:26" x14ac:dyDescent="0.25">
      <c r="O934" s="45" t="s">
        <v>21</v>
      </c>
      <c r="P934" s="39">
        <f>_xll.qlCalendarAdvance(Calendar,P933,O933,"f",,Trigger)</f>
        <v>52203</v>
      </c>
      <c r="Q934" s="39">
        <f>_xll.qlInterestRateIndexValueDate(Index,P934,Trigger)</f>
        <v>52205</v>
      </c>
      <c r="R934" s="39">
        <f>_xll.qlInterestRateIndexMaturity(Index,Q934,Trigger)</f>
        <v>52295</v>
      </c>
      <c r="S934" s="40">
        <f>_xll.qlDayCounterYearFraction(DayCounter,Q934,R934,,,Trigger)</f>
        <v>0.25</v>
      </c>
      <c r="T934" s="41">
        <f>_xll.qlIndexFixing(Index,P934,,AllTriggers)</f>
        <v>8.5269073435840781E-3</v>
      </c>
      <c r="U934" s="42">
        <f>_xll.qlYieldTSDiscount(OisCurve,Q934,,AllTriggers)</f>
        <v>0.84174318837299689</v>
      </c>
      <c r="V934" s="42">
        <f>_xll.qlYieldTSDiscount(OisCurve,R934,,AllTriggers)</f>
        <v>0.84007968983214076</v>
      </c>
      <c r="W934" s="41">
        <f t="shared" si="62"/>
        <v>7.9206701982688088E-3</v>
      </c>
      <c r="X934" s="43">
        <f t="shared" si="63"/>
        <v>1.512483280422654E-4</v>
      </c>
      <c r="Y934" s="41">
        <f t="shared" si="64"/>
        <v>6.0623714531526929E-4</v>
      </c>
      <c r="Z934" s="62"/>
    </row>
    <row r="935" spans="15:26" x14ac:dyDescent="0.25">
      <c r="O935" s="45" t="s">
        <v>21</v>
      </c>
      <c r="P935" s="39">
        <f>_xll.qlCalendarAdvance(Calendar,P934,O934,"f",,Trigger)</f>
        <v>52236</v>
      </c>
      <c r="Q935" s="39">
        <f>_xll.qlInterestRateIndexValueDate(Index,P935,Trigger)</f>
        <v>52238</v>
      </c>
      <c r="R935" s="39">
        <f>_xll.qlInterestRateIndexMaturity(Index,Q935,Trigger)</f>
        <v>52328</v>
      </c>
      <c r="S935" s="40">
        <f>_xll.qlDayCounterYearFraction(DayCounter,Q935,R935,,,Trigger)</f>
        <v>0.25</v>
      </c>
      <c r="T935" s="41">
        <f>_xll.qlIndexFixing(Index,P935,,AllTriggers)</f>
        <v>8.5312577300085124E-3</v>
      </c>
      <c r="U935" s="42">
        <f>_xll.qlYieldTSDiscount(OisCurve,Q935,,AllTriggers)</f>
        <v>0.84113325283993445</v>
      </c>
      <c r="V935" s="42">
        <f>_xll.qlYieldTSDiscount(OisCurve,R935,,AllTriggers)</f>
        <v>0.83946971441628138</v>
      </c>
      <c r="W935" s="41">
        <f t="shared" si="62"/>
        <v>7.9266155530568483E-3</v>
      </c>
      <c r="X935" s="43">
        <f t="shared" si="63"/>
        <v>1.5085021031885078E-4</v>
      </c>
      <c r="Y935" s="41">
        <f t="shared" si="64"/>
        <v>6.0464217695166411E-4</v>
      </c>
      <c r="Z935" s="62"/>
    </row>
    <row r="936" spans="15:26" x14ac:dyDescent="0.25">
      <c r="O936" s="45" t="s">
        <v>21</v>
      </c>
      <c r="P936" s="39">
        <f>_xll.qlCalendarAdvance(Calendar,P935,O935,"f",,Trigger)</f>
        <v>52267</v>
      </c>
      <c r="Q936" s="39">
        <f>_xll.qlInterestRateIndexValueDate(Index,P936,Trigger)</f>
        <v>52271</v>
      </c>
      <c r="R936" s="39">
        <f>_xll.qlInterestRateIndexMaturity(Index,Q936,Trigger)</f>
        <v>52362</v>
      </c>
      <c r="S936" s="40">
        <f>_xll.qlDayCounterYearFraction(DayCounter,Q936,R936,,,Trigger)</f>
        <v>0.25277777777777777</v>
      </c>
      <c r="T936" s="41">
        <f>_xll.qlIndexFixing(Index,P936,,AllTriggers)</f>
        <v>8.5357879155504995E-3</v>
      </c>
      <c r="U936" s="42">
        <f>_xll.qlYieldTSDiscount(OisCurve,Q936,,AllTriggers)</f>
        <v>0.84052330058610703</v>
      </c>
      <c r="V936" s="42">
        <f>_xll.qlYieldTSDiscount(OisCurve,R936,,AllTriggers)</f>
        <v>0.83884124435050322</v>
      </c>
      <c r="W936" s="41">
        <f t="shared" si="62"/>
        <v>7.9327148604131301E-3</v>
      </c>
      <c r="X936" s="43">
        <f t="shared" si="63"/>
        <v>1.5212682479496639E-4</v>
      </c>
      <c r="Y936" s="41">
        <f t="shared" si="64"/>
        <v>6.0307305513736947E-4</v>
      </c>
      <c r="Z936" s="62"/>
    </row>
    <row r="937" spans="15:26" x14ac:dyDescent="0.25">
      <c r="O937" s="45" t="s">
        <v>21</v>
      </c>
      <c r="P937" s="39">
        <f>_xll.qlCalendarAdvance(Calendar,P936,O936,"f",,Trigger)</f>
        <v>52295</v>
      </c>
      <c r="Q937" s="39">
        <f>_xll.qlInterestRateIndexValueDate(Index,P937,Trigger)</f>
        <v>52299</v>
      </c>
      <c r="R937" s="39">
        <f>_xll.qlInterestRateIndexMaturity(Index,Q937,Trigger)</f>
        <v>52391</v>
      </c>
      <c r="S937" s="40">
        <f>_xll.qlDayCounterYearFraction(DayCounter,Q937,R937,,,Trigger)</f>
        <v>0.25555555555555554</v>
      </c>
      <c r="T937" s="41">
        <f>_xll.qlIndexFixing(Index,P937,,AllTriggers)</f>
        <v>8.5396672968012632E-3</v>
      </c>
      <c r="U937" s="42">
        <f>_xll.qlYieldTSDiscount(OisCurve,Q937,,AllTriggers)</f>
        <v>0.84000575403710387</v>
      </c>
      <c r="V937" s="42">
        <f>_xll.qlYieldTSDiscount(OisCurve,R937,,AllTriggers)</f>
        <v>0.83830518985878366</v>
      </c>
      <c r="W937" s="41">
        <f t="shared" si="62"/>
        <v>7.937898569446664E-3</v>
      </c>
      <c r="X937" s="43">
        <f t="shared" si="63"/>
        <v>1.5346223210994478E-4</v>
      </c>
      <c r="Y937" s="41">
        <f t="shared" si="64"/>
        <v>6.0176872735459921E-4</v>
      </c>
      <c r="Z937" s="62"/>
    </row>
    <row r="938" spans="15:26" x14ac:dyDescent="0.25">
      <c r="O938" s="45" t="s">
        <v>21</v>
      </c>
      <c r="P938" s="39">
        <f>_xll.qlCalendarAdvance(Calendar,P937,O937,"f",,Trigger)</f>
        <v>52327</v>
      </c>
      <c r="Q938" s="39">
        <f>_xll.qlInterestRateIndexValueDate(Index,P938,Trigger)</f>
        <v>52329</v>
      </c>
      <c r="R938" s="39">
        <f>_xll.qlInterestRateIndexMaturity(Index,Q938,Trigger)</f>
        <v>52420</v>
      </c>
      <c r="S938" s="40">
        <f>_xll.qlDayCounterYearFraction(DayCounter,Q938,R938,,,Trigger)</f>
        <v>0.25277777777777777</v>
      </c>
      <c r="T938" s="41">
        <f>_xll.qlIndexFixing(Index,P938,,AllTriggers)</f>
        <v>8.5434863831018552E-3</v>
      </c>
      <c r="U938" s="42">
        <f>_xll.qlYieldTSDiscount(OisCurve,Q938,,AllTriggers)</f>
        <v>0.83945123014278411</v>
      </c>
      <c r="V938" s="42">
        <f>_xll.qlYieldTSDiscount(OisCurve,R938,,AllTriggers)</f>
        <v>0.83776913111705575</v>
      </c>
      <c r="W938" s="41">
        <f t="shared" si="62"/>
        <v>7.9430686056993147E-3</v>
      </c>
      <c r="X938" s="43">
        <f t="shared" si="63"/>
        <v>1.5145667888813937E-4</v>
      </c>
      <c r="Y938" s="41">
        <f t="shared" si="64"/>
        <v>6.0041777740254057E-4</v>
      </c>
      <c r="Z938" s="62"/>
    </row>
    <row r="939" spans="15:26" x14ac:dyDescent="0.25">
      <c r="O939" s="45" t="s">
        <v>21</v>
      </c>
      <c r="P939" s="39">
        <f>_xll.qlCalendarAdvance(Calendar,P938,O938,"f",,Trigger)</f>
        <v>52357</v>
      </c>
      <c r="Q939" s="39">
        <f>_xll.qlInterestRateIndexValueDate(Index,P939,Trigger)</f>
        <v>52359</v>
      </c>
      <c r="R939" s="39">
        <f>_xll.qlInterestRateIndexMaturity(Index,Q939,Trigger)</f>
        <v>52453</v>
      </c>
      <c r="S939" s="40">
        <f>_xll.qlDayCounterYearFraction(DayCounter,Q939,R939,,,Trigger)</f>
        <v>0.26111111111111113</v>
      </c>
      <c r="T939" s="41">
        <f>_xll.qlIndexFixing(Index,P939,,AllTriggers)</f>
        <v>8.5479879720390516E-3</v>
      </c>
      <c r="U939" s="42">
        <f>_xll.qlYieldTSDiscount(OisCurve,Q939,,AllTriggers)</f>
        <v>0.8388966979554755</v>
      </c>
      <c r="V939" s="42">
        <f>_xll.qlYieldTSDiscount(OisCurve,R939,,AllTriggers)</f>
        <v>0.83715913014455123</v>
      </c>
      <c r="W939" s="41">
        <f t="shared" si="62"/>
        <v>7.9489248590192841E-3</v>
      </c>
      <c r="X939" s="43">
        <f t="shared" si="63"/>
        <v>1.5608586332992457E-4</v>
      </c>
      <c r="Y939" s="41">
        <f t="shared" si="64"/>
        <v>5.9906311301976753E-4</v>
      </c>
      <c r="Z939" s="62"/>
    </row>
    <row r="940" spans="15:26" x14ac:dyDescent="0.25">
      <c r="O940" s="45" t="s">
        <v>21</v>
      </c>
      <c r="P940" s="39">
        <f>_xll.qlCalendarAdvance(Calendar,P939,O939,"f",,Trigger)</f>
        <v>52390</v>
      </c>
      <c r="Q940" s="39">
        <f>_xll.qlInterestRateIndexValueDate(Index,P940,Trigger)</f>
        <v>52392</v>
      </c>
      <c r="R940" s="39">
        <f>_xll.qlInterestRateIndexMaturity(Index,Q940,Trigger)</f>
        <v>52484</v>
      </c>
      <c r="S940" s="40">
        <f>_xll.qlDayCounterYearFraction(DayCounter,Q940,R940,,,Trigger)</f>
        <v>0.25555555555555554</v>
      </c>
      <c r="T940" s="41">
        <f>_xll.qlIndexFixing(Index,P940,,AllTriggers)</f>
        <v>8.5520603782266984E-3</v>
      </c>
      <c r="U940" s="42">
        <f>_xll.qlYieldTSDiscount(OisCurve,Q940,,AllTriggers)</f>
        <v>0.83828670513596037</v>
      </c>
      <c r="V940" s="42">
        <f>_xll.qlYieldTSDiscount(OisCurve,R940,,AllTriggers)</f>
        <v>0.83658609798042782</v>
      </c>
      <c r="W940" s="41">
        <f t="shared" si="62"/>
        <v>7.9544110942133261E-3</v>
      </c>
      <c r="X940" s="43">
        <f t="shared" si="63"/>
        <v>1.5241113559111757E-4</v>
      </c>
      <c r="Y940" s="41">
        <f t="shared" si="64"/>
        <v>5.9764928401337229E-4</v>
      </c>
      <c r="Z940" s="62"/>
    </row>
    <row r="941" spans="15:26" x14ac:dyDescent="0.25">
      <c r="O941" s="45" t="s">
        <v>21</v>
      </c>
      <c r="P941" s="39">
        <f>_xll.qlCalendarAdvance(Calendar,P940,O940,"f",,Trigger)</f>
        <v>52420</v>
      </c>
      <c r="Q941" s="39">
        <f>_xll.qlInterestRateIndexValueDate(Index,P941,Trigger)</f>
        <v>52422</v>
      </c>
      <c r="R941" s="39">
        <f>_xll.qlInterestRateIndexMaturity(Index,Q941,Trigger)</f>
        <v>52516</v>
      </c>
      <c r="S941" s="40">
        <f>_xll.qlDayCounterYearFraction(DayCounter,Q941,R941,,,Trigger)</f>
        <v>0.26111111111111113</v>
      </c>
      <c r="T941" s="41">
        <f>_xll.qlIndexFixing(Index,P941,,AllTriggers)</f>
        <v>8.5564166719243277E-3</v>
      </c>
      <c r="U941" s="42">
        <f>_xll.qlYieldTSDiscount(OisCurve,Q941,,AllTriggers)</f>
        <v>0.83773216143349805</v>
      </c>
      <c r="V941" s="42">
        <f>_xll.qlYieldTSDiscount(OisCurve,R941,,AllTriggers)</f>
        <v>0.83599458209333999</v>
      </c>
      <c r="W941" s="41">
        <f t="shared" si="62"/>
        <v>7.9600506003407023E-3</v>
      </c>
      <c r="X941" s="43">
        <f t="shared" si="63"/>
        <v>1.5538275348891216E-4</v>
      </c>
      <c r="Y941" s="41">
        <f t="shared" si="64"/>
        <v>5.963660715836254E-4</v>
      </c>
      <c r="Z941" s="62"/>
    </row>
    <row r="942" spans="15:26" x14ac:dyDescent="0.25">
      <c r="O942" s="45" t="s">
        <v>21</v>
      </c>
      <c r="P942" s="39">
        <f>_xll.qlCalendarAdvance(Calendar,P941,O941,"f",,Trigger)</f>
        <v>52453</v>
      </c>
      <c r="Q942" s="39">
        <f>_xll.qlInterestRateIndexValueDate(Index,P942,Trigger)</f>
        <v>52455</v>
      </c>
      <c r="R942" s="39">
        <f>_xll.qlInterestRateIndexMaturity(Index,Q942,Trigger)</f>
        <v>52547</v>
      </c>
      <c r="S942" s="40">
        <f>_xll.qlDayCounterYearFraction(DayCounter,Q942,R942,,,Trigger)</f>
        <v>0.25555555555555554</v>
      </c>
      <c r="T942" s="41">
        <f>_xll.qlIndexFixing(Index,P942,,AllTriggers)</f>
        <v>8.5605116254383138E-3</v>
      </c>
      <c r="U942" s="42">
        <f>_xll.qlYieldTSDiscount(OisCurve,Q942,,AllTriggers)</f>
        <v>0.83712216033265252</v>
      </c>
      <c r="V942" s="42">
        <f>_xll.qlYieldTSDiscount(OisCurve,R942,,AllTriggers)</f>
        <v>0.83542155425954512</v>
      </c>
      <c r="W942" s="41">
        <f t="shared" si="62"/>
        <v>7.9654941502697082E-3</v>
      </c>
      <c r="X942" s="43">
        <f t="shared" si="63"/>
        <v>1.5173959984272838E-4</v>
      </c>
      <c r="Y942" s="41">
        <f t="shared" si="64"/>
        <v>5.9501747516860562E-4</v>
      </c>
      <c r="Z942" s="62"/>
    </row>
    <row r="943" spans="15:26" x14ac:dyDescent="0.25">
      <c r="O943" s="45" t="s">
        <v>21</v>
      </c>
      <c r="P943" s="39">
        <f>_xll.qlCalendarAdvance(Calendar,P942,O942,"f",,Trigger)</f>
        <v>52484</v>
      </c>
      <c r="Q943" s="39">
        <f>_xll.qlInterestRateIndexValueDate(Index,P943,Trigger)</f>
        <v>52488</v>
      </c>
      <c r="R943" s="39">
        <f>_xll.qlInterestRateIndexMaturity(Index,Q943,Trigger)</f>
        <v>52579</v>
      </c>
      <c r="S943" s="40">
        <f>_xll.qlDayCounterYearFraction(DayCounter,Q943,R943,,,Trigger)</f>
        <v>0.25277777777777777</v>
      </c>
      <c r="T943" s="41">
        <f>_xll.qlIndexFixing(Index,P943,,AllTriggers)</f>
        <v>8.5647871634106833E-3</v>
      </c>
      <c r="U943" s="42">
        <f>_xll.qlYieldTSDiscount(OisCurve,Q943,,AllTriggers)</f>
        <v>0.83651215838521542</v>
      </c>
      <c r="V943" s="42">
        <f>_xll.qlYieldTSDiscount(OisCurve,R943,,AllTriggers)</f>
        <v>0.83483004705789632</v>
      </c>
      <c r="W943" s="41">
        <f t="shared" si="62"/>
        <v>7.971091090079728E-3</v>
      </c>
      <c r="X943" s="43">
        <f t="shared" si="63"/>
        <v>1.4976018288670172E-4</v>
      </c>
      <c r="Y943" s="41">
        <f t="shared" si="64"/>
        <v>5.9369607333095535E-4</v>
      </c>
      <c r="Z943" s="62"/>
    </row>
    <row r="944" spans="15:26" x14ac:dyDescent="0.25">
      <c r="O944" s="45" t="s">
        <v>21</v>
      </c>
      <c r="P944" s="39">
        <f>_xll.qlCalendarAdvance(Calendar,P943,O943,"f",,Trigger)</f>
        <v>52516</v>
      </c>
      <c r="Q944" s="39">
        <f>_xll.qlInterestRateIndexValueDate(Index,P944,Trigger)</f>
        <v>52518</v>
      </c>
      <c r="R944" s="39">
        <f>_xll.qlInterestRateIndexMaturity(Index,Q944,Trigger)</f>
        <v>52610</v>
      </c>
      <c r="S944" s="40">
        <f>_xll.qlDayCounterYearFraction(DayCounter,Q944,R944,,,Trigger)</f>
        <v>0.25555555555555554</v>
      </c>
      <c r="T944" s="41">
        <f>_xll.qlIndexFixing(Index,P944,,AllTriggers)</f>
        <v>8.569008050442738E-3</v>
      </c>
      <c r="U944" s="42">
        <f>_xll.qlYieldTSDiscount(OisCurve,Q944,,AllTriggers)</f>
        <v>0.83595761243936595</v>
      </c>
      <c r="V944" s="42">
        <f>_xll.qlYieldTSDiscount(OisCurve,R944,,AllTriggers)</f>
        <v>0.83425703171276777</v>
      </c>
      <c r="W944" s="41">
        <f t="shared" si="62"/>
        <v>7.9764941361171182E-3</v>
      </c>
      <c r="X944" s="43">
        <f t="shared" si="63"/>
        <v>1.511007735152443E-4</v>
      </c>
      <c r="Y944" s="41">
        <f t="shared" si="64"/>
        <v>5.925139143256198E-4</v>
      </c>
      <c r="Z944" s="62"/>
    </row>
    <row r="945" spans="15:26" x14ac:dyDescent="0.25">
      <c r="O945" s="45" t="s">
        <v>21</v>
      </c>
      <c r="P945" s="39">
        <f>_xll.qlCalendarAdvance(Calendar,P944,O944,"f",,Trigger)</f>
        <v>52547</v>
      </c>
      <c r="Q945" s="39">
        <f>_xll.qlInterestRateIndexValueDate(Index,P945,Trigger)</f>
        <v>52551</v>
      </c>
      <c r="R945" s="39">
        <f>_xll.qlInterestRateIndexMaturity(Index,Q945,Trigger)</f>
        <v>52643</v>
      </c>
      <c r="S945" s="40">
        <f>_xll.qlDayCounterYearFraction(DayCounter,Q945,R945,,,Trigger)</f>
        <v>0.25555555555555554</v>
      </c>
      <c r="T945" s="41">
        <f>_xll.qlIndexFixing(Index,P945,,AllTriggers)</f>
        <v>8.5734765890140806E-3</v>
      </c>
      <c r="U945" s="42">
        <f>_xll.qlYieldTSDiscount(OisCurve,Q945,,AllTriggers)</f>
        <v>0.83534761551601544</v>
      </c>
      <c r="V945" s="42">
        <f>_xll.qlYieldTSDiscount(OisCurve,R945,,AllTriggers)</f>
        <v>0.8336470577135513</v>
      </c>
      <c r="W945" s="41">
        <f t="shared" si="62"/>
        <v>7.9822228804942563E-3</v>
      </c>
      <c r="X945" s="43">
        <f t="shared" si="63"/>
        <v>1.5077920430013446E-4</v>
      </c>
      <c r="Y945" s="41">
        <f t="shared" si="64"/>
        <v>5.9125370851982433E-4</v>
      </c>
      <c r="Z945" s="62"/>
    </row>
    <row r="946" spans="15:26" x14ac:dyDescent="0.25">
      <c r="O946" s="45" t="s">
        <v>21</v>
      </c>
      <c r="P946" s="39">
        <f>_xll.qlCalendarAdvance(Calendar,P945,O945,"f",,Trigger)</f>
        <v>52579</v>
      </c>
      <c r="Q946" s="39">
        <f>_xll.qlInterestRateIndexValueDate(Index,P946,Trigger)</f>
        <v>52581</v>
      </c>
      <c r="R946" s="39">
        <f>_xll.qlInterestRateIndexMaturity(Index,Q946,Trigger)</f>
        <v>52672</v>
      </c>
      <c r="S946" s="40">
        <f>_xll.qlDayCounterYearFraction(DayCounter,Q946,R946,,,Trigger)</f>
        <v>0.25277777777777777</v>
      </c>
      <c r="T946" s="41">
        <f>_xll.qlIndexFixing(Index,P946,,AllTriggers)</f>
        <v>8.5773794888207733E-3</v>
      </c>
      <c r="U946" s="42">
        <f>_xll.qlYieldTSDiscount(OisCurve,Q946,,AllTriggers)</f>
        <v>0.83479307808873138</v>
      </c>
      <c r="V946" s="42">
        <f>_xll.qlYieldTSDiscount(OisCurve,R946,,AllTriggers)</f>
        <v>0.83311103037175205</v>
      </c>
      <c r="W946" s="41">
        <f t="shared" si="62"/>
        <v>7.9872363489950238E-3</v>
      </c>
      <c r="X946" s="43">
        <f t="shared" si="63"/>
        <v>1.4886341376084498E-4</v>
      </c>
      <c r="Y946" s="41">
        <f t="shared" si="64"/>
        <v>5.9014313982574951E-4</v>
      </c>
      <c r="Z946" s="62"/>
    </row>
    <row r="947" spans="15:26" x14ac:dyDescent="0.25">
      <c r="O947" s="45" t="s">
        <v>21</v>
      </c>
      <c r="P947" s="39">
        <f>_xll.qlCalendarAdvance(Calendar,P946,O946,"f",,Trigger)</f>
        <v>52610</v>
      </c>
      <c r="Q947" s="39">
        <f>_xll.qlInterestRateIndexValueDate(Index,P947,Trigger)</f>
        <v>52614</v>
      </c>
      <c r="R947" s="39">
        <f>_xll.qlInterestRateIndexMaturity(Index,Q947,Trigger)</f>
        <v>52706</v>
      </c>
      <c r="S947" s="40">
        <f>_xll.qlDayCounterYearFraction(DayCounter,Q947,R947,,,Trigger)</f>
        <v>0.25555555555555554</v>
      </c>
      <c r="T947" s="41">
        <f>_xll.qlIndexFixing(Index,P947,,AllTriggers)</f>
        <v>8.5820418569307454E-3</v>
      </c>
      <c r="U947" s="42">
        <f>_xll.qlYieldTSDiscount(OisCurve,Q947,,AllTriggers)</f>
        <v>0.83418309487230624</v>
      </c>
      <c r="V947" s="42">
        <f>_xll.qlYieldTSDiscount(OisCurve,R947,,AllTriggers)</f>
        <v>0.83248259918265266</v>
      </c>
      <c r="W947" s="41">
        <f t="shared" si="62"/>
        <v>7.9930962818231463E-3</v>
      </c>
      <c r="X947" s="43">
        <f t="shared" si="63"/>
        <v>1.5019022089843355E-4</v>
      </c>
      <c r="Y947" s="41">
        <f t="shared" si="64"/>
        <v>5.8894557510759914E-4</v>
      </c>
      <c r="Z947" s="62"/>
    </row>
    <row r="948" spans="15:26" x14ac:dyDescent="0.25">
      <c r="O948" s="45" t="s">
        <v>21</v>
      </c>
      <c r="P948" s="39">
        <f>_xll.qlCalendarAdvance(Calendar,P947,O947,"f",,Trigger)</f>
        <v>52642</v>
      </c>
      <c r="Q948" s="39">
        <f>_xll.qlInterestRateIndexValueDate(Index,P948,Trigger)</f>
        <v>52644</v>
      </c>
      <c r="R948" s="39">
        <f>_xll.qlInterestRateIndexMaturity(Index,Q948,Trigger)</f>
        <v>52734</v>
      </c>
      <c r="S948" s="40">
        <f>_xll.qlDayCounterYearFraction(DayCounter,Q948,R948,,,Trigger)</f>
        <v>0.25</v>
      </c>
      <c r="T948" s="41">
        <f>_xll.qlIndexFixing(Index,P948,,AllTriggers)</f>
        <v>8.5857949882202078E-3</v>
      </c>
      <c r="U948" s="42">
        <f>_xll.qlYieldTSDiscount(OisCurve,Q948,,AllTriggers)</f>
        <v>0.83362857383947908</v>
      </c>
      <c r="V948" s="42">
        <f>_xll.qlYieldTSDiscount(OisCurve,R948,,AllTriggers)</f>
        <v>0.83196508122277701</v>
      </c>
      <c r="W948" s="41">
        <f t="shared" si="62"/>
        <v>7.9978963264046854E-3</v>
      </c>
      <c r="X948" s="43">
        <f t="shared" si="63"/>
        <v>1.4667062317479272E-4</v>
      </c>
      <c r="Y948" s="41">
        <f t="shared" si="64"/>
        <v>5.8789866181552242E-4</v>
      </c>
      <c r="Z948" s="62"/>
    </row>
    <row r="949" spans="15:26" x14ac:dyDescent="0.25">
      <c r="O949" s="45" t="s">
        <v>21</v>
      </c>
      <c r="P949" s="39">
        <f>_xll.qlCalendarAdvance(Calendar,P948,O948,"f",,Trigger)</f>
        <v>52671</v>
      </c>
      <c r="Q949" s="39">
        <f>_xll.qlInterestRateIndexValueDate(Index,P949,Trigger)</f>
        <v>52673</v>
      </c>
      <c r="R949" s="39">
        <f>_xll.qlInterestRateIndexMaturity(Index,Q949,Trigger)</f>
        <v>52765</v>
      </c>
      <c r="S949" s="40">
        <f>_xll.qlDayCounterYearFraction(DayCounter,Q949,R949,,,Trigger)</f>
        <v>0.25555555555555554</v>
      </c>
      <c r="T949" s="41">
        <f>_xll.qlIndexFixing(Index,P949,,AllTriggers)</f>
        <v>8.5901042651882822E-3</v>
      </c>
      <c r="U949" s="42">
        <f>_xll.qlYieldTSDiscount(OisCurve,Q949,,AllTriggers)</f>
        <v>0.83309254686480083</v>
      </c>
      <c r="V949" s="42">
        <f>_xll.qlYieldTSDiscount(OisCurve,R949,,AllTriggers)</f>
        <v>0.83139213110144183</v>
      </c>
      <c r="W949" s="41">
        <f t="shared" si="62"/>
        <v>8.0032039806879948E-3</v>
      </c>
      <c r="X949" s="43">
        <f t="shared" si="63"/>
        <v>1.4966829343606979E-4</v>
      </c>
      <c r="Y949" s="41">
        <f t="shared" si="64"/>
        <v>5.8690028450028749E-4</v>
      </c>
      <c r="Z949" s="62"/>
    </row>
    <row r="950" spans="15:26" x14ac:dyDescent="0.25">
      <c r="O950" s="45" t="s">
        <v>21</v>
      </c>
      <c r="P950" s="39">
        <f>_xll.qlCalendarAdvance(Calendar,P949,O949,"f",,Trigger)</f>
        <v>52706</v>
      </c>
      <c r="Q950" s="39">
        <f>_xll.qlInterestRateIndexValueDate(Index,P950,Trigger)</f>
        <v>52708</v>
      </c>
      <c r="R950" s="39">
        <f>_xll.qlInterestRateIndexMaturity(Index,Q950,Trigger)</f>
        <v>52799</v>
      </c>
      <c r="S950" s="40">
        <f>_xll.qlDayCounterYearFraction(DayCounter,Q950,R950,,,Trigger)</f>
        <v>0.25277777777777777</v>
      </c>
      <c r="T950" s="41">
        <f>_xll.qlIndexFixing(Index,P950,,AllTriggers)</f>
        <v>8.5947344736370598E-3</v>
      </c>
      <c r="U950" s="42">
        <f>_xll.qlYieldTSDiscount(OisCurve,Q950,,AllTriggers)</f>
        <v>0.83244563318605502</v>
      </c>
      <c r="V950" s="42">
        <f>_xll.qlYieldTSDiscount(OisCurve,R950,,AllTriggers)</f>
        <v>0.83076375599444419</v>
      </c>
      <c r="W950" s="41">
        <f t="shared" si="62"/>
        <v>8.008991786979754E-3</v>
      </c>
      <c r="X950" s="43">
        <f t="shared" si="63"/>
        <v>1.4775267205238408E-4</v>
      </c>
      <c r="Y950" s="41">
        <f t="shared" si="64"/>
        <v>5.8574268665730587E-4</v>
      </c>
      <c r="Z950" s="62"/>
    </row>
    <row r="951" spans="15:26" x14ac:dyDescent="0.25">
      <c r="O951" s="45" t="s">
        <v>21</v>
      </c>
      <c r="P951" s="39">
        <f>_xll.qlCalendarAdvance(Calendar,P950,O950,"f",,Trigger)</f>
        <v>52736</v>
      </c>
      <c r="Q951" s="39">
        <f>_xll.qlInterestRateIndexValueDate(Index,P951,Trigger)</f>
        <v>52740</v>
      </c>
      <c r="R951" s="39">
        <f>_xll.qlInterestRateIndexMaturity(Index,Q951,Trigger)</f>
        <v>52832</v>
      </c>
      <c r="S951" s="40">
        <f>_xll.qlDayCounterYearFraction(DayCounter,Q951,R951,,,Trigger)</f>
        <v>0.25555555555555554</v>
      </c>
      <c r="T951" s="41">
        <f>_xll.qlIndexFixing(Index,P951,,AllTriggers)</f>
        <v>8.5993079286665799E-3</v>
      </c>
      <c r="U951" s="42">
        <f>_xll.qlYieldTSDiscount(OisCurve,Q951,,AllTriggers)</f>
        <v>0.83185418626747332</v>
      </c>
      <c r="V951" s="42">
        <f>_xll.qlYieldTSDiscount(OisCurve,R951,,AllTriggers)</f>
        <v>0.83015388667037249</v>
      </c>
      <c r="W951" s="41">
        <f t="shared" si="62"/>
        <v>8.0145938679039887E-3</v>
      </c>
      <c r="X951" s="43">
        <f t="shared" si="63"/>
        <v>1.4911038235649107E-4</v>
      </c>
      <c r="Y951" s="41">
        <f t="shared" si="64"/>
        <v>5.8471406076259121E-4</v>
      </c>
      <c r="Z951" s="62"/>
    </row>
    <row r="952" spans="15:26" x14ac:dyDescent="0.25">
      <c r="O952" s="45" t="s">
        <v>21</v>
      </c>
      <c r="P952" s="39">
        <f>_xll.qlCalendarAdvance(Calendar,P951,O951,"f",,Trigger)</f>
        <v>52768</v>
      </c>
      <c r="Q952" s="39">
        <f>_xll.qlInterestRateIndexValueDate(Index,P952,Trigger)</f>
        <v>52770</v>
      </c>
      <c r="R952" s="39">
        <f>_xll.qlInterestRateIndexMaturity(Index,Q952,Trigger)</f>
        <v>52862</v>
      </c>
      <c r="S952" s="40">
        <f>_xll.qlDayCounterYearFraction(DayCounter,Q952,R952,,,Trigger)</f>
        <v>0.25555555555555554</v>
      </c>
      <c r="T952" s="41">
        <f>_xll.qlIndexFixing(Index,P952,,AllTriggers)</f>
        <v>8.6034455342595094E-3</v>
      </c>
      <c r="U952" s="42">
        <f>_xll.qlYieldTSDiscount(OisCurve,Q952,,AllTriggers)</f>
        <v>0.83129972151041165</v>
      </c>
      <c r="V952" s="42">
        <f>_xll.qlYieldTSDiscount(OisCurve,R952,,AllTriggers)</f>
        <v>0.82959948265174044</v>
      </c>
      <c r="W952" s="41">
        <f t="shared" si="62"/>
        <v>8.0196633635098991E-3</v>
      </c>
      <c r="X952" s="43">
        <f t="shared" si="63"/>
        <v>1.4887256240710963E-4</v>
      </c>
      <c r="Y952" s="41">
        <f t="shared" si="64"/>
        <v>5.8378217074961034E-4</v>
      </c>
      <c r="Z952" s="62"/>
    </row>
    <row r="953" spans="15:26" x14ac:dyDescent="0.25">
      <c r="O953" s="45" t="s">
        <v>21</v>
      </c>
      <c r="P953" s="39">
        <f>_xll.qlCalendarAdvance(Calendar,P952,O952,"f",,Trigger)</f>
        <v>52798</v>
      </c>
      <c r="Q953" s="39">
        <f>_xll.qlInterestRateIndexValueDate(Index,P953,Trigger)</f>
        <v>52800</v>
      </c>
      <c r="R953" s="39">
        <f>_xll.qlInterestRateIndexMaturity(Index,Q953,Trigger)</f>
        <v>52894</v>
      </c>
      <c r="S953" s="40">
        <f>_xll.qlDayCounterYearFraction(DayCounter,Q953,R953,,,Trigger)</f>
        <v>0.26111111111111113</v>
      </c>
      <c r="T953" s="41">
        <f>_xll.qlIndexFixing(Index,P953,,AllTriggers)</f>
        <v>8.6079376656203275E-3</v>
      </c>
      <c r="U953" s="42">
        <f>_xll.qlYieldTSDiscount(OisCurve,Q953,,AllTriggers)</f>
        <v>0.83074527474399229</v>
      </c>
      <c r="V953" s="42">
        <f>_xll.qlYieldTSDiscount(OisCurve,R953,,AllTriggers)</f>
        <v>0.82900814416723878</v>
      </c>
      <c r="W953" s="41">
        <f t="shared" si="62"/>
        <v>8.025060493704576E-3</v>
      </c>
      <c r="X953" s="43">
        <f t="shared" si="63"/>
        <v>1.5186592483302895E-4</v>
      </c>
      <c r="Y953" s="41">
        <f t="shared" si="64"/>
        <v>5.8287717191575147E-4</v>
      </c>
      <c r="Z953" s="62"/>
    </row>
    <row r="954" spans="15:26" x14ac:dyDescent="0.25">
      <c r="O954" s="45" t="s">
        <v>21</v>
      </c>
      <c r="P954" s="39">
        <f>_xll.qlCalendarAdvance(Calendar,P953,O953,"f",,Trigger)</f>
        <v>52831</v>
      </c>
      <c r="Q954" s="39">
        <f>_xll.qlInterestRateIndexValueDate(Index,P954,Trigger)</f>
        <v>52833</v>
      </c>
      <c r="R954" s="39">
        <f>_xll.qlInterestRateIndexMaturity(Index,Q954,Trigger)</f>
        <v>52925</v>
      </c>
      <c r="S954" s="40">
        <f>_xll.qlDayCounterYearFraction(DayCounter,Q954,R954,,,Trigger)</f>
        <v>0.25555555555555554</v>
      </c>
      <c r="T954" s="41">
        <f>_xll.qlIndexFixing(Index,P954,,AllTriggers)</f>
        <v>8.6121678526531464E-3</v>
      </c>
      <c r="U954" s="42">
        <f>_xll.qlYieldTSDiscount(OisCurve,Q954,,AllTriggers)</f>
        <v>0.83013540617837278</v>
      </c>
      <c r="V954" s="42">
        <f>_xll.qlYieldTSDiscount(OisCurve,R954,,AllTriggers)</f>
        <v>0.82843531236719359</v>
      </c>
      <c r="W954" s="41">
        <f t="shared" si="62"/>
        <v>8.0302479879294491E-3</v>
      </c>
      <c r="X954" s="43">
        <f t="shared" si="63"/>
        <v>1.4839728318109948E-4</v>
      </c>
      <c r="Y954" s="41">
        <f t="shared" si="64"/>
        <v>5.8191986472369735E-4</v>
      </c>
      <c r="Z954" s="62"/>
    </row>
    <row r="955" spans="15:26" x14ac:dyDescent="0.25">
      <c r="O955" s="45" t="s">
        <v>21</v>
      </c>
      <c r="P955" s="39">
        <f>_xll.qlCalendarAdvance(Calendar,P954,O954,"f",,Trigger)</f>
        <v>52862</v>
      </c>
      <c r="Q955" s="39">
        <f>_xll.qlInterestRateIndexValueDate(Index,P955,Trigger)</f>
        <v>52866</v>
      </c>
      <c r="R955" s="39">
        <f>_xll.qlInterestRateIndexMaturity(Index,Q955,Trigger)</f>
        <v>52958</v>
      </c>
      <c r="S955" s="40">
        <f>_xll.qlDayCounterYearFraction(DayCounter,Q955,R955,,,Trigger)</f>
        <v>0.25555555555555554</v>
      </c>
      <c r="T955" s="41">
        <f>_xll.qlIndexFixing(Index,P955,,AllTriggers)</f>
        <v>8.6167547169285052E-3</v>
      </c>
      <c r="U955" s="42">
        <f>_xll.qlYieldTSDiscount(OisCurve,Q955,,AllTriggers)</f>
        <v>0.82952556384351728</v>
      </c>
      <c r="V955" s="42">
        <f>_xll.qlYieldTSDiscount(OisCurve,R955,,AllTriggers)</f>
        <v>0.82782555544148151</v>
      </c>
      <c r="W955" s="41">
        <f t="shared" si="62"/>
        <v>8.035759160669358E-3</v>
      </c>
      <c r="X955" s="43">
        <f t="shared" si="63"/>
        <v>1.4816138149550099E-4</v>
      </c>
      <c r="Y955" s="41">
        <f t="shared" si="64"/>
        <v>5.809955562591472E-4</v>
      </c>
      <c r="Z955" s="62"/>
    </row>
    <row r="956" spans="15:26" x14ac:dyDescent="0.25">
      <c r="O956" s="45" t="s">
        <v>21</v>
      </c>
      <c r="P956" s="39">
        <f>_xll.qlCalendarAdvance(Calendar,P955,O955,"f",,Trigger)</f>
        <v>52894</v>
      </c>
      <c r="Q956" s="39">
        <f>_xll.qlInterestRateIndexValueDate(Index,P956,Trigger)</f>
        <v>52896</v>
      </c>
      <c r="R956" s="39">
        <f>_xll.qlInterestRateIndexMaturity(Index,Q956,Trigger)</f>
        <v>52988</v>
      </c>
      <c r="S956" s="40">
        <f>_xll.qlDayCounterYearFraction(DayCounter,Q956,R956,,,Trigger)</f>
        <v>0.25555555555555554</v>
      </c>
      <c r="T956" s="41">
        <f>_xll.qlIndexFixing(Index,P956,,AllTriggers)</f>
        <v>8.6209353506216477E-3</v>
      </c>
      <c r="U956" s="42">
        <f>_xll.qlYieldTSDiscount(OisCurve,Q956,,AllTriggers)</f>
        <v>0.82897118644324008</v>
      </c>
      <c r="V956" s="42">
        <f>_xll.qlYieldTSDiscount(OisCurve,R956,,AllTriggers)</f>
        <v>0.82727126129570783</v>
      </c>
      <c r="W956" s="41">
        <f t="shared" si="62"/>
        <v>8.0407495380224493E-3</v>
      </c>
      <c r="X956" s="43">
        <f t="shared" si="63"/>
        <v>1.4795471337539451E-4</v>
      </c>
      <c r="Y956" s="41">
        <f t="shared" si="64"/>
        <v>5.8018581259919842E-4</v>
      </c>
      <c r="Z956" s="62"/>
    </row>
    <row r="957" spans="15:26" x14ac:dyDescent="0.25">
      <c r="O957" s="45" t="s">
        <v>21</v>
      </c>
      <c r="P957" s="39">
        <f>_xll.qlCalendarAdvance(Calendar,P956,O956,"f",,Trigger)</f>
        <v>52925</v>
      </c>
      <c r="Q957" s="39">
        <f>_xll.qlInterestRateIndexValueDate(Index,P957,Trigger)</f>
        <v>52929</v>
      </c>
      <c r="R957" s="39">
        <f>_xll.qlInterestRateIndexMaturity(Index,Q957,Trigger)</f>
        <v>53021</v>
      </c>
      <c r="S957" s="40">
        <f>_xll.qlDayCounterYearFraction(DayCounter,Q957,R957,,,Trigger)</f>
        <v>0.25555555555555554</v>
      </c>
      <c r="T957" s="41">
        <f>_xll.qlIndexFixing(Index,P957,,AllTriggers)</f>
        <v>8.6255458805099532E-3</v>
      </c>
      <c r="U957" s="42">
        <f>_xll.qlYieldTSDiscount(OisCurve,Q957,,AllTriggers)</f>
        <v>0.82836140064854169</v>
      </c>
      <c r="V957" s="42">
        <f>_xll.qlYieldTSDiscount(OisCurve,R957,,AllTriggers)</f>
        <v>0.82666157323740008</v>
      </c>
      <c r="W957" s="41">
        <f t="shared" si="62"/>
        <v>8.0462171953728061E-3</v>
      </c>
      <c r="X957" s="43">
        <f t="shared" si="63"/>
        <v>1.4773594519571954E-4</v>
      </c>
      <c r="Y957" s="41">
        <f t="shared" si="64"/>
        <v>5.7932868513714715E-4</v>
      </c>
      <c r="Z957" s="62"/>
    </row>
    <row r="958" spans="15:26" x14ac:dyDescent="0.25">
      <c r="O958" s="45" t="s">
        <v>21</v>
      </c>
      <c r="P958" s="39">
        <f>_xll.qlCalendarAdvance(Calendar,P957,O957,"f",,Trigger)</f>
        <v>52958</v>
      </c>
      <c r="Q958" s="39">
        <f>_xll.qlInterestRateIndexValueDate(Index,P958,Trigger)</f>
        <v>52960</v>
      </c>
      <c r="R958" s="39">
        <f>_xll.qlInterestRateIndexMaturity(Index,Q958,Trigger)</f>
        <v>53050</v>
      </c>
      <c r="S958" s="40">
        <f>_xll.qlDayCounterYearFraction(DayCounter,Q958,R958,,,Trigger)</f>
        <v>0.25</v>
      </c>
      <c r="T958" s="41">
        <f>_xll.qlIndexFixing(Index,P958,,AllTriggers)</f>
        <v>8.6295411429162527E-3</v>
      </c>
      <c r="U958" s="42">
        <f>_xll.qlYieldTSDiscount(OisCurve,Q958,,AllTriggers)</f>
        <v>0.82778860157869316</v>
      </c>
      <c r="V958" s="42">
        <f>_xll.qlYieldTSDiscount(OisCurve,R958,,AllTriggers)</f>
        <v>0.82612581923230832</v>
      </c>
      <c r="W958" s="41">
        <f t="shared" si="62"/>
        <v>8.0509883975299346E-3</v>
      </c>
      <c r="X958" s="43">
        <f t="shared" si="63"/>
        <v>1.4433723391104071E-4</v>
      </c>
      <c r="Y958" s="41">
        <f t="shared" si="64"/>
        <v>5.7855274538631818E-4</v>
      </c>
      <c r="Z958" s="62"/>
    </row>
    <row r="959" spans="15:26" x14ac:dyDescent="0.25">
      <c r="O959" s="45" t="s">
        <v>21</v>
      </c>
      <c r="P959" s="39">
        <f>_xll.qlCalendarAdvance(Calendar,P958,O958,"f",,Trigger)</f>
        <v>52989</v>
      </c>
      <c r="Q959" s="39">
        <f>_xll.qlInterestRateIndexValueDate(Index,P959,Trigger)</f>
        <v>52993</v>
      </c>
      <c r="R959" s="39">
        <f>_xll.qlInterestRateIndexMaturity(Index,Q959,Trigger)</f>
        <v>53080</v>
      </c>
      <c r="S959" s="40">
        <f>_xll.qlDayCounterYearFraction(DayCounter,Q959,R959,,,Trigger)</f>
        <v>0.24166666666666667</v>
      </c>
      <c r="T959" s="41">
        <f>_xll.qlIndexFixing(Index,P959,,AllTriggers)</f>
        <v>8.6336535386191196E-3</v>
      </c>
      <c r="U959" s="42">
        <f>_xll.qlYieldTSDiscount(OisCurve,Q959,,AllTriggers)</f>
        <v>0.82717888187407385</v>
      </c>
      <c r="V959" s="42">
        <f>_xll.qlYieldTSDiscount(OisCurve,R959,,AllTriggers)</f>
        <v>0.82557162465977818</v>
      </c>
      <c r="W959" s="41">
        <f t="shared" si="62"/>
        <v>8.0558964343905425E-3</v>
      </c>
      <c r="X959" s="43">
        <f t="shared" si="63"/>
        <v>1.3934362587366916E-4</v>
      </c>
      <c r="Y959" s="41">
        <f t="shared" si="64"/>
        <v>5.7775710422857708E-4</v>
      </c>
      <c r="Z959" s="62"/>
    </row>
    <row r="960" spans="15:26" x14ac:dyDescent="0.25">
      <c r="O960" s="45" t="s">
        <v>21</v>
      </c>
      <c r="P960" s="39">
        <f>_xll.qlCalendarAdvance(Calendar,P959,O959,"f",,Trigger)</f>
        <v>53020</v>
      </c>
      <c r="Q960" s="39">
        <f>_xll.qlInterestRateIndexValueDate(Index,P960,Trigger)</f>
        <v>53022</v>
      </c>
      <c r="R960" s="39">
        <f>_xll.qlInterestRateIndexMaturity(Index,Q960,Trigger)</f>
        <v>53114</v>
      </c>
      <c r="S960" s="40">
        <f>_xll.qlDayCounterYearFraction(DayCounter,Q960,R960,,,Trigger)</f>
        <v>0.25555555555555554</v>
      </c>
      <c r="T960" s="41">
        <f>_xll.qlIndexFixing(Index,P960,,AllTriggers)</f>
        <v>8.6385675510796036E-3</v>
      </c>
      <c r="U960" s="42">
        <f>_xll.qlYieldTSDiscount(OisCurve,Q960,,AllTriggers)</f>
        <v>0.82664309844554917</v>
      </c>
      <c r="V960" s="42">
        <f>_xll.qlYieldTSDiscount(OisCurve,R960,,AllTriggers)</f>
        <v>0.8249435882585</v>
      </c>
      <c r="W960" s="41">
        <f t="shared" si="62"/>
        <v>8.0614691093115701E-3</v>
      </c>
      <c r="X960" s="43">
        <f t="shared" si="63"/>
        <v>1.4716667514024531E-4</v>
      </c>
      <c r="Y960" s="41">
        <f t="shared" si="64"/>
        <v>5.7709844176803346E-4</v>
      </c>
      <c r="Z960" s="62"/>
    </row>
    <row r="961" spans="15:26" x14ac:dyDescent="0.25">
      <c r="O961" s="45" t="s">
        <v>21</v>
      </c>
      <c r="P961" s="39">
        <f>_xll.qlCalendarAdvance(Calendar,P960,O960,"f",,Trigger)</f>
        <v>53048</v>
      </c>
      <c r="Q961" s="39">
        <f>_xll.qlInterestRateIndexValueDate(Index,P961,Trigger)</f>
        <v>53050</v>
      </c>
      <c r="R961" s="39">
        <f>_xll.qlInterestRateIndexMaturity(Index,Q961,Trigger)</f>
        <v>53142</v>
      </c>
      <c r="S961" s="40">
        <f>_xll.qlDayCounterYearFraction(DayCounter,Q961,R961,,,Trigger)</f>
        <v>0.25555555555555554</v>
      </c>
      <c r="T961" s="41">
        <f>_xll.qlIndexFixing(Index,P961,,AllTriggers)</f>
        <v>8.6423563601035133E-3</v>
      </c>
      <c r="U961" s="42">
        <f>_xll.qlYieldTSDiscount(OisCurve,Q961,,AllTriggers)</f>
        <v>0.82612581923230832</v>
      </c>
      <c r="V961" s="42">
        <f>_xll.qlYieldTSDiscount(OisCurve,R961,,AllTriggers)</f>
        <v>0.82442644290943279</v>
      </c>
      <c r="W961" s="41">
        <f t="shared" si="62"/>
        <v>8.0658905285370952E-3</v>
      </c>
      <c r="X961" s="43">
        <f t="shared" si="63"/>
        <v>1.4700519844104302E-4</v>
      </c>
      <c r="Y961" s="41">
        <f t="shared" si="64"/>
        <v>5.7646583156641812E-4</v>
      </c>
      <c r="Z961" s="62"/>
    </row>
    <row r="962" spans="15:26" x14ac:dyDescent="0.25">
      <c r="O962" s="45" t="s">
        <v>21</v>
      </c>
      <c r="P962" s="39">
        <f>_xll.qlCalendarAdvance(Calendar,P961,O961,"f",,Trigger)</f>
        <v>53079</v>
      </c>
      <c r="Q962" s="39">
        <f>_xll.qlInterestRateIndexValueDate(Index,P962,Trigger)</f>
        <v>53084</v>
      </c>
      <c r="R962" s="39">
        <f>_xll.qlInterestRateIndexMaturity(Index,Q962,Trigger)</f>
        <v>53176</v>
      </c>
      <c r="S962" s="40">
        <f>_xll.qlDayCounterYearFraction(DayCounter,Q962,R962,,,Trigger)</f>
        <v>0.25555555555555554</v>
      </c>
      <c r="T962" s="41">
        <f>_xll.qlIndexFixing(Index,P962,,AllTriggers)</f>
        <v>8.6466689767142942E-3</v>
      </c>
      <c r="U962" s="42">
        <f>_xll.qlYieldTSDiscount(OisCurve,Q962,,AllTriggers)</f>
        <v>0.82549773478848831</v>
      </c>
      <c r="V962" s="42">
        <f>_xll.qlYieldTSDiscount(OisCurve,R962,,AllTriggers)</f>
        <v>0.82379858354814872</v>
      </c>
      <c r="W962" s="41">
        <f t="shared" si="62"/>
        <v>8.070968817344825E-3</v>
      </c>
      <c r="X962" s="43">
        <f t="shared" si="63"/>
        <v>1.4680976772541029E-4</v>
      </c>
      <c r="Y962" s="41">
        <f t="shared" si="64"/>
        <v>5.7570015936946918E-4</v>
      </c>
      <c r="Z962" s="62"/>
    </row>
    <row r="963" spans="15:26" x14ac:dyDescent="0.25">
      <c r="O963" s="45" t="s">
        <v>21</v>
      </c>
      <c r="P963" s="39">
        <f>_xll.qlCalendarAdvance(Calendar,P962,O962,"f",,Trigger)</f>
        <v>53111</v>
      </c>
      <c r="Q963" s="39">
        <f>_xll.qlInterestRateIndexValueDate(Index,P963,Trigger)</f>
        <v>53113</v>
      </c>
      <c r="R963" s="39">
        <f>_xll.qlInterestRateIndexMaturity(Index,Q963,Trigger)</f>
        <v>53205</v>
      </c>
      <c r="S963" s="40">
        <f>_xll.qlDayCounterYearFraction(DayCounter,Q963,R963,,,Trigger)</f>
        <v>0.25555555555555554</v>
      </c>
      <c r="T963" s="41">
        <f>_xll.qlIndexFixing(Index,P963,,AllTriggers)</f>
        <v>8.6500159678828611E-3</v>
      </c>
      <c r="U963" s="42">
        <f>_xll.qlYieldTSDiscount(OisCurve,Q963,,AllTriggers)</f>
        <v>0.82496205889162277</v>
      </c>
      <c r="V963" s="42">
        <f>_xll.qlYieldTSDiscount(OisCurve,R963,,AllTriggers)</f>
        <v>0.82326316906214125</v>
      </c>
      <c r="W963" s="41">
        <f t="shared" si="62"/>
        <v>8.0749753145275393E-3</v>
      </c>
      <c r="X963" s="43">
        <f t="shared" si="63"/>
        <v>1.4664144906507159E-4</v>
      </c>
      <c r="Y963" s="41">
        <f t="shared" si="64"/>
        <v>5.7504065335532185E-4</v>
      </c>
      <c r="Z963" s="62"/>
    </row>
    <row r="964" spans="15:26" x14ac:dyDescent="0.25">
      <c r="O964" s="45" t="s">
        <v>21</v>
      </c>
      <c r="P964" s="39">
        <f>_xll.qlCalendarAdvance(Calendar,P963,O963,"f",,Trigger)</f>
        <v>53142</v>
      </c>
      <c r="Q964" s="39">
        <f>_xll.qlInterestRateIndexValueDate(Index,P964,Trigger)</f>
        <v>53146</v>
      </c>
      <c r="R964" s="39">
        <f>_xll.qlInterestRateIndexMaturity(Index,Q964,Trigger)</f>
        <v>53238</v>
      </c>
      <c r="S964" s="40">
        <f>_xll.qlDayCounterYearFraction(DayCounter,Q964,R964,,,Trigger)</f>
        <v>0.25555555555555554</v>
      </c>
      <c r="T964" s="41">
        <f>_xll.qlIndexFixing(Index,P964,,AllTriggers)</f>
        <v>8.6534417394171347E-3</v>
      </c>
      <c r="U964" s="42">
        <f>_xll.qlYieldTSDiscount(OisCurve,Q964,,AllTriggers)</f>
        <v>0.82435257070450818</v>
      </c>
      <c r="V964" s="42">
        <f>_xll.qlYieldTSDiscount(OisCurve,R964,,AllTriggers)</f>
        <v>0.82265405807790459</v>
      </c>
      <c r="W964" s="41">
        <f t="shared" ref="W964:W1027" si="65">(U964/V964-1)/S964</f>
        <v>8.0791599956413409E-3</v>
      </c>
      <c r="X964" s="43">
        <f t="shared" ref="X964:X1027" si="66">LN((1+T964*S964)/(1+W964*S964))</f>
        <v>1.4644777698530456E-4</v>
      </c>
      <c r="Y964" s="41">
        <f t="shared" ref="Y964:Y1027" si="67">T964-W964</f>
        <v>5.7428174377579383E-4</v>
      </c>
      <c r="Z964" s="62"/>
    </row>
    <row r="965" spans="15:26" x14ac:dyDescent="0.25">
      <c r="O965" s="45" t="s">
        <v>21</v>
      </c>
      <c r="P965" s="39">
        <f>_xll.qlCalendarAdvance(Calendar,P964,O964,"f",,Trigger)</f>
        <v>53174</v>
      </c>
      <c r="Q965" s="39">
        <f>_xll.qlInterestRateIndexValueDate(Index,P965,Trigger)</f>
        <v>53176</v>
      </c>
      <c r="R965" s="39">
        <f>_xll.qlInterestRateIndexMaturity(Index,Q965,Trigger)</f>
        <v>53268</v>
      </c>
      <c r="S965" s="40">
        <f>_xll.qlDayCounterYearFraction(DayCounter,Q965,R965,,,Trigger)</f>
        <v>0.25555555555555554</v>
      </c>
      <c r="T965" s="41">
        <f>_xll.qlIndexFixing(Index,P965,,AllTriggers)</f>
        <v>8.6562023954365724E-3</v>
      </c>
      <c r="U965" s="42">
        <f>_xll.qlYieldTSDiscount(OisCurve,Q965,,AllTriggers)</f>
        <v>0.82379858354814872</v>
      </c>
      <c r="V965" s="42">
        <f>_xll.qlYieldTSDiscount(OisCurve,R965,,AllTriggers)</f>
        <v>0.82210048728832685</v>
      </c>
      <c r="W965" s="41">
        <f t="shared" si="65"/>
        <v>8.0826183632032311E-3</v>
      </c>
      <c r="X965" s="43">
        <f t="shared" si="66"/>
        <v>1.462697373484614E-4</v>
      </c>
      <c r="Y965" s="41">
        <f t="shared" si="67"/>
        <v>5.7358403223334124E-4</v>
      </c>
      <c r="Z965" s="62"/>
    </row>
    <row r="966" spans="15:26" x14ac:dyDescent="0.25">
      <c r="O966" s="45" t="s">
        <v>21</v>
      </c>
      <c r="P966" s="39">
        <f>_xll.qlCalendarAdvance(Calendar,P965,O965,"f",,Trigger)</f>
        <v>53205</v>
      </c>
      <c r="Q966" s="39">
        <f>_xll.qlInterestRateIndexValueDate(Index,P966,Trigger)</f>
        <v>53209</v>
      </c>
      <c r="R966" s="39">
        <f>_xll.qlInterestRateIndexMaturity(Index,Q966,Trigger)</f>
        <v>53300</v>
      </c>
      <c r="S966" s="40">
        <f>_xll.qlDayCounterYearFraction(DayCounter,Q966,R966,,,Trigger)</f>
        <v>0.25277777777777777</v>
      </c>
      <c r="T966" s="41">
        <f>_xll.qlIndexFixing(Index,P966,,AllTriggers)</f>
        <v>8.6587117902577684E-3</v>
      </c>
      <c r="U966" s="42">
        <f>_xll.qlYieldTSDiscount(OisCurve,Q966,,AllTriggers)</f>
        <v>0.82318932817094859</v>
      </c>
      <c r="V966" s="42">
        <f>_xll.qlYieldTSDiscount(OisCurve,R966,,AllTriggers)</f>
        <v>0.82151021292265825</v>
      </c>
      <c r="W966" s="41">
        <f t="shared" si="65"/>
        <v>8.0859052328372816E-3</v>
      </c>
      <c r="X966" s="43">
        <f t="shared" si="66"/>
        <v>1.4448698627796377E-4</v>
      </c>
      <c r="Y966" s="41">
        <f t="shared" si="67"/>
        <v>5.7280655742048686E-4</v>
      </c>
      <c r="Z966" s="62"/>
    </row>
    <row r="967" spans="15:26" x14ac:dyDescent="0.25">
      <c r="O967" s="45" t="s">
        <v>21</v>
      </c>
      <c r="P967" s="39">
        <f>_xll.qlCalendarAdvance(Calendar,P966,O966,"f",,Trigger)</f>
        <v>53237</v>
      </c>
      <c r="Q967" s="39">
        <f>_xll.qlInterestRateIndexValueDate(Index,P967,Trigger)</f>
        <v>53239</v>
      </c>
      <c r="R967" s="39">
        <f>_xll.qlInterestRateIndexMaturity(Index,Q967,Trigger)</f>
        <v>53331</v>
      </c>
      <c r="S967" s="40">
        <f>_xll.qlDayCounterYearFraction(DayCounter,Q967,R967,,,Trigger)</f>
        <v>0.25555555555555554</v>
      </c>
      <c r="T967" s="41">
        <f>_xll.qlIndexFixing(Index,P967,,AllTriggers)</f>
        <v>8.6609033565421753E-3</v>
      </c>
      <c r="U967" s="42">
        <f>_xll.qlYieldTSDiscount(OisCurve,Q967,,AllTriggers)</f>
        <v>0.82263560302569927</v>
      </c>
      <c r="V967" s="42">
        <f>_xll.qlYieldTSDiscount(OisCurve,R967,,AllTriggers)</f>
        <v>0.82093860799518448</v>
      </c>
      <c r="W967" s="41">
        <f t="shared" si="65"/>
        <v>8.088808678414966E-3</v>
      </c>
      <c r="X967" s="43">
        <f t="shared" si="66"/>
        <v>1.4588973437012952E-4</v>
      </c>
      <c r="Y967" s="41">
        <f t="shared" si="67"/>
        <v>5.7209467812720932E-4</v>
      </c>
      <c r="Z967" s="62"/>
    </row>
    <row r="968" spans="15:26" x14ac:dyDescent="0.25">
      <c r="O968" s="45" t="s">
        <v>21</v>
      </c>
      <c r="P968" s="39">
        <f>_xll.qlCalendarAdvance(Calendar,P967,O967,"f",,Trigger)</f>
        <v>53268</v>
      </c>
      <c r="Q968" s="39">
        <f>_xll.qlInterestRateIndexValueDate(Index,P968,Trigger)</f>
        <v>53272</v>
      </c>
      <c r="R968" s="39">
        <f>_xll.qlInterestRateIndexMaturity(Index,Q968,Trigger)</f>
        <v>53364</v>
      </c>
      <c r="S968" s="40">
        <f>_xll.qlDayCounterYearFraction(DayCounter,Q968,R968,,,Trigger)</f>
        <v>0.25555555555555554</v>
      </c>
      <c r="T968" s="41">
        <f>_xll.qlIndexFixing(Index,P968,,AllTriggers)</f>
        <v>8.6627729236624217E-3</v>
      </c>
      <c r="U968" s="42">
        <f>_xll.qlYieldTSDiscount(OisCurve,Q968,,AllTriggers)</f>
        <v>0.82202669110528115</v>
      </c>
      <c r="V968" s="42">
        <f>_xll.qlYieldTSDiscount(OisCurve,R968,,AllTriggers)</f>
        <v>0.82033039511328898</v>
      </c>
      <c r="W968" s="41">
        <f t="shared" si="65"/>
        <v>8.0914714463897752E-3</v>
      </c>
      <c r="X968" s="43">
        <f t="shared" si="66"/>
        <v>1.4568737620693662E-4</v>
      </c>
      <c r="Y968" s="41">
        <f t="shared" si="67"/>
        <v>5.713014772726465E-4</v>
      </c>
      <c r="Z968" s="62"/>
    </row>
    <row r="969" spans="15:26" x14ac:dyDescent="0.25">
      <c r="O969" s="45" t="s">
        <v>21</v>
      </c>
      <c r="P969" s="39">
        <f>_xll.qlCalendarAdvance(Calendar,P968,O968,"f",,Trigger)</f>
        <v>53300</v>
      </c>
      <c r="Q969" s="39">
        <f>_xll.qlInterestRateIndexValueDate(Index,P969,Trigger)</f>
        <v>53302</v>
      </c>
      <c r="R969" s="39">
        <f>_xll.qlInterestRateIndexMaturity(Index,Q969,Trigger)</f>
        <v>53392</v>
      </c>
      <c r="S969" s="40">
        <f>_xll.qlDayCounterYearFraction(DayCounter,Q969,R969,,,Trigger)</f>
        <v>0.25</v>
      </c>
      <c r="T969" s="41">
        <f>_xll.qlIndexFixing(Index,P969,,AllTriggers)</f>
        <v>8.6638767244879844E-3</v>
      </c>
      <c r="U969" s="42">
        <f>_xll.qlYieldTSDiscount(OisCurve,Q969,,AllTriggers)</f>
        <v>0.8214733282769634</v>
      </c>
      <c r="V969" s="42">
        <f>_xll.qlYieldTSDiscount(OisCurve,R969,,AllTriggers)</f>
        <v>0.81981457569572058</v>
      </c>
      <c r="W969" s="41">
        <f t="shared" si="65"/>
        <v>8.0933061227179692E-3</v>
      </c>
      <c r="X969" s="43">
        <f t="shared" si="66"/>
        <v>1.4234448910438832E-4</v>
      </c>
      <c r="Y969" s="41">
        <f t="shared" si="67"/>
        <v>5.7057060177001517E-4</v>
      </c>
      <c r="Z969" s="62"/>
    </row>
    <row r="970" spans="15:26" x14ac:dyDescent="0.25">
      <c r="O970" s="45" t="s">
        <v>21</v>
      </c>
      <c r="P970" s="39">
        <f>_xll.qlCalendarAdvance(Calendar,P969,O969,"f",,Trigger)</f>
        <v>53331</v>
      </c>
      <c r="Q970" s="39">
        <f>_xll.qlInterestRateIndexValueDate(Index,P970,Trigger)</f>
        <v>53335</v>
      </c>
      <c r="R970" s="39">
        <f>_xll.qlInterestRateIndexMaturity(Index,Q970,Trigger)</f>
        <v>53426</v>
      </c>
      <c r="S970" s="40">
        <f>_xll.qlDayCounterYearFraction(DayCounter,Q970,R970,,,Trigger)</f>
        <v>0.25277777777777777</v>
      </c>
      <c r="T970" s="41">
        <f>_xll.qlIndexFixing(Index,P970,,AllTriggers)</f>
        <v>8.6650954566523837E-3</v>
      </c>
      <c r="U970" s="42">
        <f>_xll.qlYieldTSDiscount(OisCurve,Q970,,AllTriggers)</f>
        <v>0.82086486983948792</v>
      </c>
      <c r="V970" s="42">
        <f>_xll.qlYieldTSDiscount(OisCurve,R970,,AllTriggers)</f>
        <v>0.81918854747905123</v>
      </c>
      <c r="W970" s="41">
        <f t="shared" si="65"/>
        <v>8.0953340507439429E-3</v>
      </c>
      <c r="X970" s="43">
        <f t="shared" si="66"/>
        <v>1.437185786238096E-4</v>
      </c>
      <c r="Y970" s="41">
        <f t="shared" si="67"/>
        <v>5.6976140590844077E-4</v>
      </c>
      <c r="Z970" s="62"/>
    </row>
    <row r="971" spans="15:26" x14ac:dyDescent="0.25">
      <c r="O971" s="45" t="s">
        <v>21</v>
      </c>
      <c r="P971" s="39">
        <f>_xll.qlCalendarAdvance(Calendar,P970,O970,"f",,Trigger)</f>
        <v>53363</v>
      </c>
      <c r="Q971" s="39">
        <f>_xll.qlInterestRateIndexValueDate(Index,P971,Trigger)</f>
        <v>53365</v>
      </c>
      <c r="R971" s="39">
        <f>_xll.qlInterestRateIndexMaturity(Index,Q971,Trigger)</f>
        <v>53454</v>
      </c>
      <c r="S971" s="40">
        <f>_xll.qlDayCounterYearFraction(DayCounter,Q971,R971,,,Trigger)</f>
        <v>0.24722222222222223</v>
      </c>
      <c r="T971" s="41">
        <f>_xll.qlIndexFixing(Index,P971,,AllTriggers)</f>
        <v>8.665520735440994E-3</v>
      </c>
      <c r="U971" s="42">
        <f>_xll.qlYieldTSDiscount(OisCurve,Q971,,AllTriggers)</f>
        <v>0.82031196907007153</v>
      </c>
      <c r="V971" s="42">
        <f>_xll.qlYieldTSDiscount(OisCurve,R971,,AllTriggers)</f>
        <v>0.81867328317351962</v>
      </c>
      <c r="W971" s="41">
        <f t="shared" si="65"/>
        <v>8.0965050732480278E-3</v>
      </c>
      <c r="X971" s="43">
        <f t="shared" si="66"/>
        <v>1.4038244812666141E-4</v>
      </c>
      <c r="Y971" s="41">
        <f t="shared" si="67"/>
        <v>5.6901566219296623E-4</v>
      </c>
      <c r="Z971" s="62"/>
    </row>
    <row r="972" spans="15:26" x14ac:dyDescent="0.25">
      <c r="O972" s="45" t="s">
        <v>21</v>
      </c>
      <c r="P972" s="39">
        <f>_xll.qlCalendarAdvance(Calendar,P971,O971,"f",,Trigger)</f>
        <v>53391</v>
      </c>
      <c r="Q972" s="39">
        <f>_xll.qlInterestRateIndexValueDate(Index,P972,Trigger)</f>
        <v>53393</v>
      </c>
      <c r="R972" s="39">
        <f>_xll.qlInterestRateIndexMaturity(Index,Q972,Trigger)</f>
        <v>53485</v>
      </c>
      <c r="S972" s="40">
        <f>_xll.qlDayCounterYearFraction(DayCounter,Q972,R972,,,Trigger)</f>
        <v>0.25555555555555554</v>
      </c>
      <c r="T972" s="41">
        <f>_xll.qlIndexFixing(Index,P972,,AllTriggers)</f>
        <v>8.6661409349262173E-3</v>
      </c>
      <c r="U972" s="42">
        <f>_xll.qlYieldTSDiscount(OisCurve,Q972,,AllTriggers)</f>
        <v>0.81979615789771909</v>
      </c>
      <c r="V972" s="42">
        <f>_xll.qlYieldTSDiscount(OisCurve,R972,,AllTriggers)</f>
        <v>0.81810313919292987</v>
      </c>
      <c r="W972" s="41">
        <f t="shared" si="65"/>
        <v>8.0978246922322351E-3</v>
      </c>
      <c r="X972" s="43">
        <f t="shared" si="66"/>
        <v>1.4492593301330817E-4</v>
      </c>
      <c r="Y972" s="41">
        <f t="shared" si="67"/>
        <v>5.6831624269398223E-4</v>
      </c>
      <c r="Z972" s="62"/>
    </row>
    <row r="973" spans="15:26" x14ac:dyDescent="0.25">
      <c r="O973" s="45" t="s">
        <v>21</v>
      </c>
      <c r="P973" s="39">
        <f>_xll.qlCalendarAdvance(Calendar,P972,O972,"f",,Trigger)</f>
        <v>53422</v>
      </c>
      <c r="Q973" s="39">
        <f>_xll.qlInterestRateIndexValueDate(Index,P973,Trigger)</f>
        <v>53426</v>
      </c>
      <c r="R973" s="39">
        <f>_xll.qlInterestRateIndexMaturity(Index,Q973,Trigger)</f>
        <v>53517</v>
      </c>
      <c r="S973" s="40">
        <f>_xll.qlDayCounterYearFraction(DayCounter,Q973,R973,,,Trigger)</f>
        <v>0.25277777777777777</v>
      </c>
      <c r="T973" s="41">
        <f>_xll.qlIndexFixing(Index,P973,,AllTriggers)</f>
        <v>8.6660106203897032E-3</v>
      </c>
      <c r="U973" s="42">
        <f>_xll.qlYieldTSDiscount(OisCurve,Q973,,AllTriggers)</f>
        <v>0.81918854747905123</v>
      </c>
      <c r="V973" s="42">
        <f>_xll.qlYieldTSDiscount(OisCurve,R973,,AllTriggers)</f>
        <v>0.81751498933359434</v>
      </c>
      <c r="W973" s="41">
        <f t="shared" si="65"/>
        <v>8.0985299019654053E-3</v>
      </c>
      <c r="X973" s="43">
        <f t="shared" si="66"/>
        <v>1.431432159408122E-4</v>
      </c>
      <c r="Y973" s="41">
        <f t="shared" si="67"/>
        <v>5.674807184242979E-4</v>
      </c>
      <c r="Z973" s="62"/>
    </row>
    <row r="974" spans="15:26" x14ac:dyDescent="0.25">
      <c r="O974" s="45" t="s">
        <v>21</v>
      </c>
      <c r="P974" s="39">
        <f>_xll.qlCalendarAdvance(Calendar,P973,O973,"f",,Trigger)</f>
        <v>53454</v>
      </c>
      <c r="Q974" s="39">
        <f>_xll.qlInterestRateIndexValueDate(Index,P974,Trigger)</f>
        <v>53456</v>
      </c>
      <c r="R974" s="39">
        <f>_xll.qlInterestRateIndexMaturity(Index,Q974,Trigger)</f>
        <v>53548</v>
      </c>
      <c r="S974" s="40">
        <f>_xll.qlDayCounterYearFraction(DayCounter,Q974,R974,,,Trigger)</f>
        <v>0.25555555555555554</v>
      </c>
      <c r="T974" s="41">
        <f>_xll.qlIndexFixing(Index,P974,,AllTriggers)</f>
        <v>8.6657252590125276E-3</v>
      </c>
      <c r="U974" s="42">
        <f>_xll.qlYieldTSDiscount(OisCurve,Q974,,AllTriggers)</f>
        <v>0.8186364890752158</v>
      </c>
      <c r="V974" s="42">
        <f>_xll.qlYieldTSDiscount(OisCurve,R974,,AllTriggers)</f>
        <v>0.8169456181022603</v>
      </c>
      <c r="W974" s="41">
        <f t="shared" si="65"/>
        <v>8.099011105138415E-3</v>
      </c>
      <c r="X974" s="43">
        <f t="shared" si="66"/>
        <v>1.445173712450936E-4</v>
      </c>
      <c r="Y974" s="41">
        <f t="shared" si="67"/>
        <v>5.6671415387411252E-4</v>
      </c>
      <c r="Z974" s="62"/>
    </row>
    <row r="975" spans="15:26" x14ac:dyDescent="0.25">
      <c r="O975" s="45" t="s">
        <v>21</v>
      </c>
      <c r="P975" s="39">
        <f>_xll.qlCalendarAdvance(Calendar,P974,O974,"f",,Trigger)</f>
        <v>53485</v>
      </c>
      <c r="Q975" s="39">
        <f>_xll.qlInterestRateIndexValueDate(Index,P975,Trigger)</f>
        <v>53489</v>
      </c>
      <c r="R975" s="39">
        <f>_xll.qlInterestRateIndexMaturity(Index,Q975,Trigger)</f>
        <v>53581</v>
      </c>
      <c r="S975" s="40">
        <f>_xll.qlDayCounterYearFraction(DayCounter,Q975,R975,,,Trigger)</f>
        <v>0.25555555555555554</v>
      </c>
      <c r="T975" s="41">
        <f>_xll.qlIndexFixing(Index,P975,,AllTriggers)</f>
        <v>8.6649146803770109E-3</v>
      </c>
      <c r="U975" s="42">
        <f>_xll.qlYieldTSDiscount(OisCurve,Q975,,AllTriggers)</f>
        <v>0.81802959848616419</v>
      </c>
      <c r="V975" s="42">
        <f>_xll.qlYieldTSDiscount(OisCurve,R975,,AllTriggers)</f>
        <v>0.81633997235335243</v>
      </c>
      <c r="W975" s="41">
        <f t="shared" si="65"/>
        <v>8.0990527765516917E-3</v>
      </c>
      <c r="X975" s="43">
        <f t="shared" si="66"/>
        <v>1.4430005371570439E-4</v>
      </c>
      <c r="Y975" s="41">
        <f t="shared" si="67"/>
        <v>5.6586190382531924E-4</v>
      </c>
      <c r="Z975" s="62"/>
    </row>
    <row r="976" spans="15:26" x14ac:dyDescent="0.25">
      <c r="O976" s="45" t="s">
        <v>21</v>
      </c>
      <c r="P976" s="39">
        <f>_xll.qlCalendarAdvance(Calendar,P975,O975,"f",,Trigger)</f>
        <v>53517</v>
      </c>
      <c r="Q976" s="39">
        <f>_xll.qlInterestRateIndexValueDate(Index,P976,Trigger)</f>
        <v>53519</v>
      </c>
      <c r="R976" s="39">
        <f>_xll.qlInterestRateIndexMaturity(Index,Q976,Trigger)</f>
        <v>53611</v>
      </c>
      <c r="S976" s="40">
        <f>_xll.qlDayCounterYearFraction(DayCounter,Q976,R976,,,Trigger)</f>
        <v>0.25555555555555554</v>
      </c>
      <c r="T976" s="41">
        <f>_xll.qlIndexFixing(Index,P976,,AllTriggers)</f>
        <v>8.663824105828952E-3</v>
      </c>
      <c r="U976" s="42">
        <f>_xll.qlYieldTSDiscount(OisCurve,Q976,,AllTriggers)</f>
        <v>0.81747824358828336</v>
      </c>
      <c r="V976" s="42">
        <f>_xll.qlYieldTSDiscount(OisCurve,R976,,AllTriggers)</f>
        <v>0.81578982035079073</v>
      </c>
      <c r="W976" s="41">
        <f t="shared" si="65"/>
        <v>8.098744766358688E-3</v>
      </c>
      <c r="X976" s="43">
        <f t="shared" si="66"/>
        <v>1.4410051821552803E-4</v>
      </c>
      <c r="Y976" s="41">
        <f t="shared" si="67"/>
        <v>5.6507933947026398E-4</v>
      </c>
      <c r="Z976" s="62"/>
    </row>
    <row r="977" spans="15:26" x14ac:dyDescent="0.25">
      <c r="O977" s="45" t="s">
        <v>21</v>
      </c>
      <c r="P977" s="39">
        <f>_xll.qlCalendarAdvance(Calendar,P976,O976,"f",,Trigger)</f>
        <v>53548</v>
      </c>
      <c r="Q977" s="39">
        <f>_xll.qlInterestRateIndexValueDate(Index,P977,Trigger)</f>
        <v>53552</v>
      </c>
      <c r="R977" s="39">
        <f>_xll.qlInterestRateIndexMaturity(Index,Q977,Trigger)</f>
        <v>53644</v>
      </c>
      <c r="S977" s="40">
        <f>_xll.qlDayCounterYearFraction(DayCounter,Q977,R977,,,Trigger)</f>
        <v>0.25555555555555554</v>
      </c>
      <c r="T977" s="41">
        <f>_xll.qlIndexFixing(Index,P977,,AllTriggers)</f>
        <v>8.6622354208062847E-3</v>
      </c>
      <c r="U977" s="42">
        <f>_xll.qlYieldTSDiscount(OisCurve,Q977,,AllTriggers)</f>
        <v>0.81687218072649459</v>
      </c>
      <c r="V977" s="42">
        <f>_xll.qlYieldTSDiscount(OisCurve,R977,,AllTriggers)</f>
        <v>0.81518515879140263</v>
      </c>
      <c r="W977" s="41">
        <f t="shared" si="65"/>
        <v>8.0980254726202034E-3</v>
      </c>
      <c r="X977" s="43">
        <f t="shared" si="66"/>
        <v>1.4387885764407515E-4</v>
      </c>
      <c r="Y977" s="41">
        <f t="shared" si="67"/>
        <v>5.6420994818608128E-4</v>
      </c>
      <c r="Z977" s="62"/>
    </row>
    <row r="978" spans="15:26" x14ac:dyDescent="0.25">
      <c r="O978" s="45" t="s">
        <v>21</v>
      </c>
      <c r="P978" s="39">
        <f>_xll.qlCalendarAdvance(Calendar,P977,O977,"f",,Trigger)</f>
        <v>53580</v>
      </c>
      <c r="Q978" s="39">
        <f>_xll.qlInterestRateIndexValueDate(Index,P978,Trigger)</f>
        <v>53582</v>
      </c>
      <c r="R978" s="39">
        <f>_xll.qlInterestRateIndexMaturity(Index,Q978,Trigger)</f>
        <v>53673</v>
      </c>
      <c r="S978" s="40">
        <f>_xll.qlDayCounterYearFraction(DayCounter,Q978,R978,,,Trigger)</f>
        <v>0.25277777777777777</v>
      </c>
      <c r="T978" s="41">
        <f>_xll.qlIndexFixing(Index,P978,,AllTriggers)</f>
        <v>8.6603689629583709E-3</v>
      </c>
      <c r="U978" s="42">
        <f>_xll.qlYieldTSDiscount(OisCurve,Q978,,AllTriggers)</f>
        <v>0.81632162714396417</v>
      </c>
      <c r="V978" s="42">
        <f>_xll.qlYieldTSDiscount(OisCurve,R978,,AllTriggers)</f>
        <v>0.81465424923700924</v>
      </c>
      <c r="W978" s="41">
        <f t="shared" si="65"/>
        <v>8.0969568346670063E-3</v>
      </c>
      <c r="X978" s="43">
        <f t="shared" si="66"/>
        <v>1.4211707060377739E-4</v>
      </c>
      <c r="Y978" s="41">
        <f t="shared" si="67"/>
        <v>5.6341212829136463E-4</v>
      </c>
      <c r="Z978" s="62"/>
    </row>
    <row r="979" spans="15:26" x14ac:dyDescent="0.25">
      <c r="O979" s="45" t="s">
        <v>21</v>
      </c>
      <c r="P979" s="39">
        <f>_xll.qlCalendarAdvance(Calendar,P978,O978,"f",,Trigger)</f>
        <v>53610</v>
      </c>
      <c r="Q979" s="39">
        <f>_xll.qlInterestRateIndexValueDate(Index,P979,Trigger)</f>
        <v>53612</v>
      </c>
      <c r="R979" s="39">
        <f>_xll.qlInterestRateIndexMaturity(Index,Q979,Trigger)</f>
        <v>53706</v>
      </c>
      <c r="S979" s="40">
        <f>_xll.qlDayCounterYearFraction(DayCounter,Q979,R979,,,Trigger)</f>
        <v>0.26111111111111113</v>
      </c>
      <c r="T979" s="41">
        <f>_xll.qlIndexFixing(Index,P979,,AllTriggers)</f>
        <v>8.6584280162569222E-3</v>
      </c>
      <c r="U979" s="42">
        <f>_xll.qlYieldTSDiscount(OisCurve,Q979,,AllTriggers)</f>
        <v>0.81577148935587485</v>
      </c>
      <c r="V979" s="42">
        <f>_xll.qlYieldTSDiscount(OisCurve,R979,,AllTriggers)</f>
        <v>0.81405066011939076</v>
      </c>
      <c r="W979" s="41">
        <f t="shared" si="65"/>
        <v>8.0958227352670737E-3</v>
      </c>
      <c r="X979" s="43">
        <f t="shared" si="66"/>
        <v>1.4658186292003926E-4</v>
      </c>
      <c r="Y979" s="41">
        <f t="shared" si="67"/>
        <v>5.6260528098984845E-4</v>
      </c>
      <c r="Z979" s="62"/>
    </row>
    <row r="980" spans="15:26" x14ac:dyDescent="0.25">
      <c r="O980" s="45" t="s">
        <v>21</v>
      </c>
      <c r="P980" s="39">
        <f>_xll.qlCalendarAdvance(Calendar,P979,O979,"f",,Trigger)</f>
        <v>53643</v>
      </c>
      <c r="Q980" s="39">
        <f>_xll.qlInterestRateIndexValueDate(Index,P980,Trigger)</f>
        <v>53645</v>
      </c>
      <c r="R980" s="39">
        <f>_xll.qlInterestRateIndexMaturity(Index,Q980,Trigger)</f>
        <v>53737</v>
      </c>
      <c r="S980" s="40">
        <f>_xll.qlDayCounterYearFraction(DayCounter,Q980,R980,,,Trigger)</f>
        <v>0.25555555555555554</v>
      </c>
      <c r="T980" s="41">
        <f>_xll.qlIndexFixing(Index,P980,,AllTriggers)</f>
        <v>8.6555653779795284E-3</v>
      </c>
      <c r="U980" s="42">
        <f>_xll.qlYieldTSDiscount(OisCurve,Q980,,AllTriggers)</f>
        <v>0.81516684427792929</v>
      </c>
      <c r="V980" s="42">
        <f>_xll.qlYieldTSDiscount(OisCurve,R980,,AllTriggers)</f>
        <v>0.81348420969230129</v>
      </c>
      <c r="W980" s="41">
        <f t="shared" si="65"/>
        <v>8.0938538365462331E-3</v>
      </c>
      <c r="X980" s="43">
        <f t="shared" si="66"/>
        <v>1.4324193837106944E-4</v>
      </c>
      <c r="Y980" s="41">
        <f t="shared" si="67"/>
        <v>5.6171154143329523E-4</v>
      </c>
      <c r="Z980" s="62"/>
    </row>
    <row r="981" spans="15:26" x14ac:dyDescent="0.25">
      <c r="O981" s="45" t="s">
        <v>21</v>
      </c>
      <c r="P981" s="39">
        <f>_xll.qlCalendarAdvance(Calendar,P980,O980,"f",,Trigger)</f>
        <v>53673</v>
      </c>
      <c r="Q981" s="39">
        <f>_xll.qlInterestRateIndexValueDate(Index,P981,Trigger)</f>
        <v>53675</v>
      </c>
      <c r="R981" s="39">
        <f>_xll.qlInterestRateIndexMaturity(Index,Q981,Trigger)</f>
        <v>53765</v>
      </c>
      <c r="S981" s="40">
        <f>_xll.qlDayCounterYearFraction(DayCounter,Q981,R981,,,Trigger)</f>
        <v>0.25</v>
      </c>
      <c r="T981" s="41">
        <f>_xll.qlIndexFixing(Index,P981,,AllTriggers)</f>
        <v>8.6526212495225963E-3</v>
      </c>
      <c r="U981" s="42">
        <f>_xll.qlYieldTSDiscount(OisCurve,Q981,,AllTriggers)</f>
        <v>0.81461765117258222</v>
      </c>
      <c r="V981" s="42">
        <f>_xll.qlYieldTSDiscount(OisCurve,R981,,AllTriggers)</f>
        <v>0.81297306168646799</v>
      </c>
      <c r="W981" s="41">
        <f t="shared" si="65"/>
        <v>8.09172930135027E-3</v>
      </c>
      <c r="X981" s="43">
        <f t="shared" si="66"/>
        <v>1.3993010742553678E-4</v>
      </c>
      <c r="Y981" s="41">
        <f t="shared" si="67"/>
        <v>5.6089194817232624E-4</v>
      </c>
      <c r="Z981" s="62"/>
    </row>
    <row r="982" spans="15:26" x14ac:dyDescent="0.25">
      <c r="O982" s="45" t="s">
        <v>21</v>
      </c>
      <c r="P982" s="39">
        <f>_xll.qlCalendarAdvance(Calendar,P981,O981,"f",,Trigger)</f>
        <v>53706</v>
      </c>
      <c r="Q982" s="39">
        <f>_xll.qlInterestRateIndexValueDate(Index,P982,Trigger)</f>
        <v>53708</v>
      </c>
      <c r="R982" s="39">
        <f>_xll.qlInterestRateIndexMaturity(Index,Q982,Trigger)</f>
        <v>53798</v>
      </c>
      <c r="S982" s="40">
        <f>_xll.qlDayCounterYearFraction(DayCounter,Q982,R982,,,Trigger)</f>
        <v>0.25</v>
      </c>
      <c r="T982" s="41">
        <f>_xll.qlIndexFixing(Index,P982,,AllTriggers)</f>
        <v>8.6491183534569416E-3</v>
      </c>
      <c r="U982" s="42">
        <f>_xll.qlYieldTSDiscount(OisCurve,Q982,,AllTriggers)</f>
        <v>0.8140140983588644</v>
      </c>
      <c r="V982" s="42">
        <f>_xll.qlYieldTSDiscount(OisCurve,R982,,AllTriggers)</f>
        <v>0.81237125258413179</v>
      </c>
      <c r="W982" s="41">
        <f t="shared" si="65"/>
        <v>8.0891379132719265E-3</v>
      </c>
      <c r="X982" s="43">
        <f t="shared" si="66"/>
        <v>1.3970281258912171E-4</v>
      </c>
      <c r="Y982" s="41">
        <f t="shared" si="67"/>
        <v>5.5998044018501503E-4</v>
      </c>
      <c r="Z982" s="62"/>
    </row>
    <row r="983" spans="15:26" x14ac:dyDescent="0.25">
      <c r="O983" s="45" t="s">
        <v>21</v>
      </c>
      <c r="P983" s="39">
        <f>_xll.qlCalendarAdvance(Calendar,P982,O982,"f",,Trigger)</f>
        <v>53737</v>
      </c>
      <c r="Q983" s="39">
        <f>_xll.qlInterestRateIndexValueDate(Index,P983,Trigger)</f>
        <v>53741</v>
      </c>
      <c r="R983" s="39">
        <f>_xll.qlInterestRateIndexMaturity(Index,Q983,Trigger)</f>
        <v>53832</v>
      </c>
      <c r="S983" s="40">
        <f>_xll.qlDayCounterYearFraction(DayCounter,Q983,R983,,,Trigger)</f>
        <v>0.25277777777777777</v>
      </c>
      <c r="T983" s="41">
        <f>_xll.qlIndexFixing(Index,P983,,AllTriggers)</f>
        <v>8.6452464255707615E-3</v>
      </c>
      <c r="U983" s="42">
        <f>_xll.qlYieldTSDiscount(OisCurve,Q983,,AllTriggers)</f>
        <v>0.81341115993527047</v>
      </c>
      <c r="V983" s="42">
        <f>_xll.qlYieldTSDiscount(OisCurve,R983,,AllTriggers)</f>
        <v>0.81175193206643492</v>
      </c>
      <c r="W983" s="41">
        <f t="shared" si="65"/>
        <v>8.0861875690233596E-3</v>
      </c>
      <c r="X983" s="43">
        <f t="shared" si="66"/>
        <v>1.410194464198404E-4</v>
      </c>
      <c r="Y983" s="41">
        <f t="shared" si="67"/>
        <v>5.5905885654740188E-4</v>
      </c>
      <c r="Z983" s="62"/>
    </row>
    <row r="984" spans="15:26" x14ac:dyDescent="0.25">
      <c r="O984" s="45" t="s">
        <v>21</v>
      </c>
      <c r="P984" s="39">
        <f>_xll.qlCalendarAdvance(Calendar,P983,O983,"f",,Trigger)</f>
        <v>53765</v>
      </c>
      <c r="Q984" s="39">
        <f>_xll.qlInterestRateIndexValueDate(Index,P984,Trigger)</f>
        <v>53769</v>
      </c>
      <c r="R984" s="39">
        <f>_xll.qlInterestRateIndexMaturity(Index,Q984,Trigger)</f>
        <v>53861</v>
      </c>
      <c r="S984" s="40">
        <f>_xll.qlDayCounterYearFraction(DayCounter,Q984,R984,,,Trigger)</f>
        <v>0.25555555555555554</v>
      </c>
      <c r="T984" s="41">
        <f>_xll.qlIndexFixing(Index,P984,,AllTriggers)</f>
        <v>8.6416366038897536E-3</v>
      </c>
      <c r="U984" s="42">
        <f>_xll.qlYieldTSDiscount(OisCurve,Q984,,AllTriggers)</f>
        <v>0.81290007917359097</v>
      </c>
      <c r="V984" s="42">
        <f>_xll.qlYieldTSDiscount(OisCurve,R984,,AllTriggers)</f>
        <v>0.8112242930840573</v>
      </c>
      <c r="W984" s="41">
        <f t="shared" si="65"/>
        <v>8.0833671828052095E-3</v>
      </c>
      <c r="X984" s="43">
        <f t="shared" si="66"/>
        <v>1.4236460719762711E-4</v>
      </c>
      <c r="Y984" s="41">
        <f t="shared" si="67"/>
        <v>5.582694210845441E-4</v>
      </c>
      <c r="Z984" s="62"/>
    </row>
    <row r="985" spans="15:26" x14ac:dyDescent="0.25">
      <c r="O985" s="45" t="s">
        <v>21</v>
      </c>
      <c r="P985" s="39">
        <f>_xll.qlCalendarAdvance(Calendar,P984,O984,"f",,Trigger)</f>
        <v>53798</v>
      </c>
      <c r="Q985" s="39">
        <f>_xll.qlInterestRateIndexValueDate(Index,P985,Trigger)</f>
        <v>53800</v>
      </c>
      <c r="R985" s="39">
        <f>_xll.qlInterestRateIndexMaturity(Index,Q985,Trigger)</f>
        <v>53891</v>
      </c>
      <c r="S985" s="40">
        <f>_xll.qlDayCounterYearFraction(DayCounter,Q985,R985,,,Trigger)</f>
        <v>0.25277777777777777</v>
      </c>
      <c r="T985" s="41">
        <f>_xll.qlIndexFixing(Index,P985,,AllTriggers)</f>
        <v>8.6372280764695879E-3</v>
      </c>
      <c r="U985" s="42">
        <f>_xll.qlYieldTSDiscount(OisCurve,Q985,,AllTriggers)</f>
        <v>0.81233480129184221</v>
      </c>
      <c r="V985" s="42">
        <f>_xll.qlYieldTSDiscount(OisCurve,R985,,AllTriggers)</f>
        <v>0.81067906761471353</v>
      </c>
      <c r="W985" s="41">
        <f t="shared" si="65"/>
        <v>8.0798375928169668E-3</v>
      </c>
      <c r="X985" s="43">
        <f t="shared" si="66"/>
        <v>1.4059886354477833E-4</v>
      </c>
      <c r="Y985" s="41">
        <f t="shared" si="67"/>
        <v>5.5739048365262105E-4</v>
      </c>
      <c r="Z985" s="62"/>
    </row>
    <row r="986" spans="15:26" x14ac:dyDescent="0.25">
      <c r="O986" s="45" t="s">
        <v>21</v>
      </c>
      <c r="P986" s="39">
        <f>_xll.qlCalendarAdvance(Calendar,P985,O985,"f",,Trigger)</f>
        <v>53828</v>
      </c>
      <c r="Q986" s="39">
        <f>_xll.qlInterestRateIndexValueDate(Index,P986,Trigger)</f>
        <v>53832</v>
      </c>
      <c r="R986" s="39">
        <f>_xll.qlInterestRateIndexMaturity(Index,Q986,Trigger)</f>
        <v>53924</v>
      </c>
      <c r="S986" s="40">
        <f>_xll.qlDayCounterYearFraction(DayCounter,Q986,R986,,,Trigger)</f>
        <v>0.25555555555555554</v>
      </c>
      <c r="T986" s="41">
        <f>_xll.qlIndexFixing(Index,P986,,AllTriggers)</f>
        <v>8.6323552874960543E-3</v>
      </c>
      <c r="U986" s="42">
        <f>_xll.qlYieldTSDiscount(OisCurve,Q986,,AllTriggers)</f>
        <v>0.81175193206643492</v>
      </c>
      <c r="V986" s="42">
        <f>_xll.qlYieldTSDiscount(OisCurve,R986,,AllTriggers)</f>
        <v>0.81008005900687097</v>
      </c>
      <c r="W986" s="41">
        <f t="shared" si="65"/>
        <v>8.0758832407591269E-3</v>
      </c>
      <c r="X986" s="43">
        <f t="shared" si="66"/>
        <v>1.4190656107462531E-4</v>
      </c>
      <c r="Y986" s="41">
        <f t="shared" si="67"/>
        <v>5.5647204673692739E-4</v>
      </c>
      <c r="Z986" s="62"/>
    </row>
    <row r="987" spans="15:26" x14ac:dyDescent="0.25">
      <c r="O987" s="45" t="s">
        <v>21</v>
      </c>
      <c r="P987" s="39">
        <f>_xll.qlCalendarAdvance(Calendar,P986,O986,"f",,Trigger)</f>
        <v>53860</v>
      </c>
      <c r="Q987" s="39">
        <f>_xll.qlInterestRateIndexValueDate(Index,P987,Trigger)</f>
        <v>53862</v>
      </c>
      <c r="R987" s="39">
        <f>_xll.qlInterestRateIndexMaturity(Index,Q987,Trigger)</f>
        <v>53954</v>
      </c>
      <c r="S987" s="40">
        <f>_xll.qlDayCounterYearFraction(DayCounter,Q987,R987,,,Trigger)</f>
        <v>0.25555555555555554</v>
      </c>
      <c r="T987" s="41">
        <f>_xll.qlIndexFixing(Index,P987,,AllTriggers)</f>
        <v>8.6274135191154611E-3</v>
      </c>
      <c r="U987" s="42">
        <f>_xll.qlYieldTSDiscount(OisCurve,Q987,,AllTriggers)</f>
        <v>0.81120610882551003</v>
      </c>
      <c r="V987" s="42">
        <f>_xll.qlYieldTSDiscount(OisCurve,R987,,AllTriggers)</f>
        <v>0.80953620111317925</v>
      </c>
      <c r="W987" s="41">
        <f t="shared" si="65"/>
        <v>8.0718088629613705E-3</v>
      </c>
      <c r="X987" s="43">
        <f t="shared" si="66"/>
        <v>1.4168552971096998E-4</v>
      </c>
      <c r="Y987" s="41">
        <f t="shared" si="67"/>
        <v>5.556046561540906E-4</v>
      </c>
      <c r="Z987" s="62"/>
    </row>
    <row r="988" spans="15:26" x14ac:dyDescent="0.25">
      <c r="O988" s="45" t="s">
        <v>21</v>
      </c>
      <c r="P988" s="39">
        <f>_xll.qlCalendarAdvance(Calendar,P987,O987,"f",,Trigger)</f>
        <v>53890</v>
      </c>
      <c r="Q988" s="39">
        <f>_xll.qlInterestRateIndexValueDate(Index,P988,Trigger)</f>
        <v>53892</v>
      </c>
      <c r="R988" s="39">
        <f>_xll.qlInterestRateIndexMaturity(Index,Q988,Trigger)</f>
        <v>53986</v>
      </c>
      <c r="S988" s="40">
        <f>_xll.qlDayCounterYearFraction(DayCounter,Q988,R988,,,Trigger)</f>
        <v>0.26111111111111113</v>
      </c>
      <c r="T988" s="41">
        <f>_xll.qlIndexFixing(Index,P988,,AllTriggers)</f>
        <v>8.6221537083378038E-3</v>
      </c>
      <c r="U988" s="42">
        <f>_xll.qlYieldTSDiscount(OisCurve,Q988,,AllTriggers)</f>
        <v>0.8106609043266314</v>
      </c>
      <c r="V988" s="42">
        <f>_xll.qlYieldTSDiscount(OisCurve,R988,,AllTriggers)</f>
        <v>0.80895684080142016</v>
      </c>
      <c r="W988" s="41">
        <f t="shared" si="65"/>
        <v>8.0674275878379678E-3</v>
      </c>
      <c r="X988" s="43">
        <f t="shared" si="66"/>
        <v>1.4453023447269034E-4</v>
      </c>
      <c r="Y988" s="41">
        <f t="shared" si="67"/>
        <v>5.5472612049983598E-4</v>
      </c>
      <c r="Z988" s="62"/>
    </row>
    <row r="989" spans="15:26" x14ac:dyDescent="0.25">
      <c r="O989" s="45" t="s">
        <v>21</v>
      </c>
      <c r="P989" s="39">
        <f>_xll.qlCalendarAdvance(Calendar,P988,O988,"f",,Trigger)</f>
        <v>53923</v>
      </c>
      <c r="Q989" s="39">
        <f>_xll.qlInterestRateIndexValueDate(Index,P989,Trigger)</f>
        <v>53925</v>
      </c>
      <c r="R989" s="39">
        <f>_xll.qlInterestRateIndexMaturity(Index,Q989,Trigger)</f>
        <v>54017</v>
      </c>
      <c r="S989" s="40">
        <f>_xll.qlDayCounterYearFraction(DayCounter,Q989,R989,,,Trigger)</f>
        <v>0.25555555555555554</v>
      </c>
      <c r="T989" s="41">
        <f>_xll.qlIndexFixing(Index,P989,,AllTriggers)</f>
        <v>8.615939415496052E-3</v>
      </c>
      <c r="U989" s="42">
        <f>_xll.qlYieldTSDiscount(OisCurve,Q989,,AllTriggers)</f>
        <v>0.81006191961053364</v>
      </c>
      <c r="V989" s="42">
        <f>_xll.qlYieldTSDiscount(OisCurve,R989,,AllTriggers)</f>
        <v>0.80839635231420492</v>
      </c>
      <c r="W989" s="41">
        <f t="shared" si="65"/>
        <v>8.0621804240534611E-3</v>
      </c>
      <c r="X989" s="43">
        <f t="shared" si="66"/>
        <v>1.4121524410606843E-4</v>
      </c>
      <c r="Y989" s="41">
        <f t="shared" si="67"/>
        <v>5.537589914425909E-4</v>
      </c>
      <c r="Z989" s="62"/>
    </row>
    <row r="990" spans="15:26" x14ac:dyDescent="0.25">
      <c r="O990" s="45" t="s">
        <v>21</v>
      </c>
      <c r="P990" s="39">
        <f>_xll.qlCalendarAdvance(Calendar,P989,O989,"f",,Trigger)</f>
        <v>53954</v>
      </c>
      <c r="Q990" s="39">
        <f>_xll.qlInterestRateIndexValueDate(Index,P990,Trigger)</f>
        <v>53958</v>
      </c>
      <c r="R990" s="39">
        <f>_xll.qlInterestRateIndexMaturity(Index,Q990,Trigger)</f>
        <v>54049</v>
      </c>
      <c r="S990" s="40">
        <f>_xll.qlDayCounterYearFraction(DayCounter,Q990,R990,,,Trigger)</f>
        <v>0.25277777777777777</v>
      </c>
      <c r="T990" s="41">
        <f>_xll.qlIndexFixing(Index,P990,,AllTriggers)</f>
        <v>8.6093394182665661E-3</v>
      </c>
      <c r="U990" s="42">
        <f>_xll.qlYieldTSDiscount(OisCurve,Q990,,AllTriggers)</f>
        <v>0.80946373796559601</v>
      </c>
      <c r="V990" s="42">
        <f>_xll.qlYieldTSDiscount(OisCurve,R990,,AllTriggers)</f>
        <v>0.80781860016381346</v>
      </c>
      <c r="W990" s="41">
        <f t="shared" si="65"/>
        <v>8.0565580642501453E-3</v>
      </c>
      <c r="X990" s="43">
        <f t="shared" si="66"/>
        <v>1.3943713430604387E-4</v>
      </c>
      <c r="Y990" s="41">
        <f t="shared" si="67"/>
        <v>5.527813540164208E-4</v>
      </c>
      <c r="Z990" s="62"/>
    </row>
    <row r="991" spans="15:26" x14ac:dyDescent="0.25">
      <c r="O991" s="45" t="s">
        <v>21</v>
      </c>
      <c r="P991" s="39">
        <f>_xll.qlCalendarAdvance(Calendar,P990,O990,"f",,Trigger)</f>
        <v>53986</v>
      </c>
      <c r="Q991" s="39">
        <f>_xll.qlInterestRateIndexValueDate(Index,P991,Trigger)</f>
        <v>53988</v>
      </c>
      <c r="R991" s="39">
        <f>_xll.qlInterestRateIndexMaturity(Index,Q991,Trigger)</f>
        <v>54080</v>
      </c>
      <c r="S991" s="40">
        <f>_xll.qlDayCounterYearFraction(DayCounter,Q991,R991,,,Trigger)</f>
        <v>0.25555555555555554</v>
      </c>
      <c r="T991" s="41">
        <f>_xll.qlIndexFixing(Index,P991,,AllTriggers)</f>
        <v>8.602979891178893E-3</v>
      </c>
      <c r="U991" s="42">
        <f>_xll.qlYieldTSDiscount(OisCurve,Q991,,AllTriggers)</f>
        <v>0.80892065722267947</v>
      </c>
      <c r="V991" s="42">
        <f>_xll.qlYieldTSDiscount(OisCurve,R991,,AllTriggers)</f>
        <v>0.80725971781210737</v>
      </c>
      <c r="W991" s="41">
        <f t="shared" si="65"/>
        <v>8.0510992743955956E-3</v>
      </c>
      <c r="X991" s="43">
        <f t="shared" si="66"/>
        <v>1.4073666723982492E-4</v>
      </c>
      <c r="Y991" s="41">
        <f t="shared" si="67"/>
        <v>5.5188061678329743E-4</v>
      </c>
      <c r="Z991" s="62"/>
    </row>
    <row r="992" spans="15:26" x14ac:dyDescent="0.25">
      <c r="O992" s="45" t="s">
        <v>21</v>
      </c>
      <c r="P992" s="39">
        <f>_xll.qlCalendarAdvance(Calendar,P991,O991,"f",,Trigger)</f>
        <v>54017</v>
      </c>
      <c r="Q992" s="39">
        <f>_xll.qlInterestRateIndexValueDate(Index,P992,Trigger)</f>
        <v>54021</v>
      </c>
      <c r="R992" s="39">
        <f>_xll.qlInterestRateIndexMaturity(Index,Q992,Trigger)</f>
        <v>54113</v>
      </c>
      <c r="S992" s="40">
        <f>_xll.qlDayCounterYearFraction(DayCounter,Q992,R992,,,Trigger)</f>
        <v>0.25555555555555554</v>
      </c>
      <c r="T992" s="41">
        <f>_xll.qlIndexFixing(Index,P992,,AllTriggers)</f>
        <v>8.5955987528366206E-3</v>
      </c>
      <c r="U992" s="42">
        <f>_xll.qlYieldTSDiscount(OisCurve,Q992,,AllTriggers)</f>
        <v>0.80832408741601081</v>
      </c>
      <c r="V992" s="42">
        <f>_xll.qlYieldTSDiscount(OisCurve,R992,,AllTriggers)</f>
        <v>0.80666568631123203</v>
      </c>
      <c r="W992" s="41">
        <f t="shared" si="65"/>
        <v>8.0447151000933425E-3</v>
      </c>
      <c r="X992" s="43">
        <f t="shared" si="66"/>
        <v>1.4048267513530363E-4</v>
      </c>
      <c r="Y992" s="41">
        <f t="shared" si="67"/>
        <v>5.5088365274327811E-4</v>
      </c>
      <c r="Z992" s="62"/>
    </row>
    <row r="993" spans="15:26" x14ac:dyDescent="0.25">
      <c r="O993" s="45" t="s">
        <v>21</v>
      </c>
      <c r="P993" s="39">
        <f>_xll.qlCalendarAdvance(Calendar,P992,O992,"f",,Trigger)</f>
        <v>54049</v>
      </c>
      <c r="Q993" s="39">
        <f>_xll.qlInterestRateIndexValueDate(Index,P993,Trigger)</f>
        <v>54053</v>
      </c>
      <c r="R993" s="39">
        <f>_xll.qlInterestRateIndexMaturity(Index,Q993,Trigger)</f>
        <v>54144</v>
      </c>
      <c r="S993" s="40">
        <f>_xll.qlDayCounterYearFraction(DayCounter,Q993,R993,,,Trigger)</f>
        <v>0.25277777777777777</v>
      </c>
      <c r="T993" s="41">
        <f>_xll.qlIndexFixing(Index,P993,,AllTriggers)</f>
        <v>8.5880734191528044E-3</v>
      </c>
      <c r="U993" s="42">
        <f>_xll.qlYieldTSDiscount(OisCurve,Q993,,AllTriggers)</f>
        <v>0.80774644073391721</v>
      </c>
      <c r="V993" s="42">
        <f>_xll.qlYieldTSDiscount(OisCurve,R993,,AllTriggers)</f>
        <v>0.8061085339295655</v>
      </c>
      <c r="W993" s="41">
        <f t="shared" si="65"/>
        <v>8.0381624076503854E-3</v>
      </c>
      <c r="X993" s="43">
        <f t="shared" si="66"/>
        <v>1.3871379447541715E-4</v>
      </c>
      <c r="Y993" s="41">
        <f t="shared" si="67"/>
        <v>5.4991101150241896E-4</v>
      </c>
      <c r="Z993" s="62"/>
    </row>
    <row r="994" spans="15:26" x14ac:dyDescent="0.25">
      <c r="O994" s="45" t="s">
        <v>21</v>
      </c>
      <c r="P994" s="39">
        <f>_xll.qlCalendarAdvance(Calendar,P993,O993,"f",,Trigger)</f>
        <v>54080</v>
      </c>
      <c r="Q994" s="39">
        <f>_xll.qlInterestRateIndexValueDate(Index,P994,Trigger)</f>
        <v>54084</v>
      </c>
      <c r="R994" s="39">
        <f>_xll.qlInterestRateIndexMaturity(Index,Q994,Trigger)</f>
        <v>54175</v>
      </c>
      <c r="S994" s="40">
        <f>_xll.qlDayCounterYearFraction(DayCounter,Q994,R994,,,Trigger)</f>
        <v>0.25277777777777777</v>
      </c>
      <c r="T994" s="41">
        <f>_xll.qlIndexFixing(Index,P994,,AllTriggers)</f>
        <v>8.580403096396955E-3</v>
      </c>
      <c r="U994" s="42">
        <f>_xll.qlYieldTSDiscount(OisCurve,Q994,,AllTriggers)</f>
        <v>0.80718766360747896</v>
      </c>
      <c r="V994" s="42">
        <f>_xll.qlYieldTSDiscount(OisCurve,R994,,AllTriggers)</f>
        <v>0.80555225496359983</v>
      </c>
      <c r="W994" s="41">
        <f t="shared" si="65"/>
        <v>8.0314448149265451E-3</v>
      </c>
      <c r="X994" s="43">
        <f t="shared" si="66"/>
        <v>1.3847372178652111E-4</v>
      </c>
      <c r="Y994" s="41">
        <f t="shared" si="67"/>
        <v>5.4895828147040991E-4</v>
      </c>
      <c r="Z994" s="62"/>
    </row>
    <row r="995" spans="15:26" x14ac:dyDescent="0.25">
      <c r="O995" s="45" t="s">
        <v>21</v>
      </c>
      <c r="P995" s="39">
        <f>_xll.qlCalendarAdvance(Calendar,P994,O994,"f",,Trigger)</f>
        <v>54112</v>
      </c>
      <c r="Q995" s="39">
        <f>_xll.qlInterestRateIndexValueDate(Index,P995,Trigger)</f>
        <v>54114</v>
      </c>
      <c r="R995" s="39">
        <f>_xll.qlInterestRateIndexMaturity(Index,Q995,Trigger)</f>
        <v>54204</v>
      </c>
      <c r="S995" s="40">
        <f>_xll.qlDayCounterYearFraction(DayCounter,Q995,R995,,,Trigger)</f>
        <v>0.25</v>
      </c>
      <c r="T995" s="41">
        <f>_xll.qlIndexFixing(Index,P995,,AllTriggers)</f>
        <v>8.5726707828097659E-3</v>
      </c>
      <c r="U995" s="42">
        <f>_xll.qlYieldTSDiscount(OisCurve,Q995,,AllTriggers)</f>
        <v>0.80664770025737198</v>
      </c>
      <c r="V995" s="42">
        <f>_xll.qlYieldTSDiscount(OisCurve,R995,,AllTriggers)</f>
        <v>0.80503267609671758</v>
      </c>
      <c r="W995" s="41">
        <f t="shared" si="65"/>
        <v>8.0246390419080882E-3</v>
      </c>
      <c r="X995" s="43">
        <f t="shared" si="66"/>
        <v>1.3672427853747449E-4</v>
      </c>
      <c r="Y995" s="41">
        <f t="shared" si="67"/>
        <v>5.4803174090167772E-4</v>
      </c>
      <c r="Z995" s="62"/>
    </row>
    <row r="996" spans="15:26" x14ac:dyDescent="0.25">
      <c r="O996" s="45" t="s">
        <v>21</v>
      </c>
      <c r="P996" s="39">
        <f>_xll.qlCalendarAdvance(Calendar,P995,O995,"f",,Trigger)</f>
        <v>54141</v>
      </c>
      <c r="Q996" s="39">
        <f>_xll.qlInterestRateIndexValueDate(Index,P996,Trigger)</f>
        <v>54143</v>
      </c>
      <c r="R996" s="39">
        <f>_xll.qlInterestRateIndexMaturity(Index,Q996,Trigger)</f>
        <v>54235</v>
      </c>
      <c r="S996" s="40">
        <f>_xll.qlDayCounterYearFraction(DayCounter,Q996,R996,,,Trigger)</f>
        <v>0.25555555555555554</v>
      </c>
      <c r="T996" s="41">
        <f>_xll.qlIndexFixing(Index,P996,,AllTriggers)</f>
        <v>8.5647723950276356E-3</v>
      </c>
      <c r="U996" s="42">
        <f>_xll.qlYieldTSDiscount(OisCurve,Q996,,AllTriggers)</f>
        <v>0.80612649307812012</v>
      </c>
      <c r="V996" s="42">
        <f>_xll.qlYieldTSDiscount(OisCurve,R996,,AllTriggers)</f>
        <v>0.80447815305092507</v>
      </c>
      <c r="W996" s="41">
        <f t="shared" si="65"/>
        <v>8.0176523985275392E-3</v>
      </c>
      <c r="X996" s="43">
        <f t="shared" si="66"/>
        <v>1.3952392247757177E-4</v>
      </c>
      <c r="Y996" s="41">
        <f t="shared" si="67"/>
        <v>5.4711999650009641E-4</v>
      </c>
      <c r="Z996" s="62"/>
    </row>
    <row r="997" spans="15:26" x14ac:dyDescent="0.25">
      <c r="O997" s="45" t="s">
        <v>21</v>
      </c>
      <c r="P997" s="39">
        <f>_xll.qlCalendarAdvance(Calendar,P996,O996,"f",,Trigger)</f>
        <v>54172</v>
      </c>
      <c r="Q997" s="39">
        <f>_xll.qlInterestRateIndexValueDate(Index,P997,Trigger)</f>
        <v>54176</v>
      </c>
      <c r="R997" s="39">
        <f>_xll.qlInterestRateIndexMaturity(Index,Q997,Trigger)</f>
        <v>54267</v>
      </c>
      <c r="S997" s="40">
        <f>_xll.qlDayCounterYearFraction(DayCounter,Q997,R997,,,Trigger)</f>
        <v>0.25277777777777777</v>
      </c>
      <c r="T997" s="41">
        <f>_xll.qlIndexFixing(Index,P997,,AllTriggers)</f>
        <v>8.5555221345821452E-3</v>
      </c>
      <c r="U997" s="42">
        <f>_xll.qlYieldTSDiscount(OisCurve,Q997,,AllTriggers)</f>
        <v>0.8055343252828151</v>
      </c>
      <c r="V997" s="42">
        <f>_xll.qlYieldTSDiscount(OisCurve,R997,,AllTriggers)</f>
        <v>0.80390672935157459</v>
      </c>
      <c r="W997" s="41">
        <f t="shared" si="65"/>
        <v>8.0094379255405742E-3</v>
      </c>
      <c r="X997" s="43">
        <f t="shared" si="66"/>
        <v>1.3774955688210897E-4</v>
      </c>
      <c r="Y997" s="41">
        <f t="shared" si="67"/>
        <v>5.4608420904157101E-4</v>
      </c>
      <c r="Z997" s="62"/>
    </row>
    <row r="998" spans="15:26" x14ac:dyDescent="0.25">
      <c r="O998" s="45" t="s">
        <v>21</v>
      </c>
      <c r="P998" s="39">
        <f>_xll.qlCalendarAdvance(Calendar,P997,O997,"f",,Trigger)</f>
        <v>54203</v>
      </c>
      <c r="Q998" s="39">
        <f>_xll.qlInterestRateIndexValueDate(Index,P998,Trigger)</f>
        <v>54205</v>
      </c>
      <c r="R998" s="39">
        <f>_xll.qlInterestRateIndexMaturity(Index,Q998,Trigger)</f>
        <v>54297</v>
      </c>
      <c r="S998" s="40">
        <f>_xll.qlDayCounterYearFraction(DayCounter,Q998,R998,,,Trigger)</f>
        <v>0.25555555555555554</v>
      </c>
      <c r="T998" s="41">
        <f>_xll.qlIndexFixing(Index,P998,,AllTriggers)</f>
        <v>8.5469718617281008E-3</v>
      </c>
      <c r="U998" s="42">
        <f>_xll.qlYieldTSDiscount(OisCurve,Q998,,AllTriggers)</f>
        <v>0.80501477380468744</v>
      </c>
      <c r="V998" s="42">
        <f>_xll.qlYieldTSDiscount(OisCurve,R998,,AllTriggers)</f>
        <v>0.80337195255903315</v>
      </c>
      <c r="W998" s="41">
        <f t="shared" si="65"/>
        <v>8.001811540444017E-3</v>
      </c>
      <c r="X998" s="43">
        <f t="shared" si="66"/>
        <v>1.390247718345322E-4</v>
      </c>
      <c r="Y998" s="41">
        <f t="shared" si="67"/>
        <v>5.451603212840838E-4</v>
      </c>
      <c r="Z998" s="62"/>
    </row>
    <row r="999" spans="15:26" x14ac:dyDescent="0.25">
      <c r="O999" s="45" t="s">
        <v>21</v>
      </c>
      <c r="P999" s="39">
        <f>_xll.qlCalendarAdvance(Calendar,P998,O998,"f",,Trigger)</f>
        <v>54234</v>
      </c>
      <c r="Q999" s="39">
        <f>_xll.qlInterestRateIndexValueDate(Index,P999,Trigger)</f>
        <v>54238</v>
      </c>
      <c r="R999" s="39">
        <f>_xll.qlInterestRateIndexMaturity(Index,Q999,Trigger)</f>
        <v>54330</v>
      </c>
      <c r="S999" s="40">
        <f>_xll.qlDayCounterYearFraction(DayCounter,Q999,R999,,,Trigger)</f>
        <v>0.25555555555555554</v>
      </c>
      <c r="T999" s="41">
        <f>_xll.qlIndexFixing(Index,P999,,AllTriggers)</f>
        <v>8.5369107682262985E-3</v>
      </c>
      <c r="U999" s="42">
        <f>_xll.qlYieldTSDiscount(OisCurve,Q999,,AllTriggers)</f>
        <v>0.8044245390984025</v>
      </c>
      <c r="V999" s="42">
        <f>_xll.qlYieldTSDiscount(OisCurve,R999,,AllTriggers)</f>
        <v>0.8027847660514783</v>
      </c>
      <c r="W999" s="41">
        <f t="shared" si="65"/>
        <v>7.9928064139212912E-3</v>
      </c>
      <c r="X999" s="43">
        <f t="shared" si="66"/>
        <v>1.3875582036355338E-4</v>
      </c>
      <c r="Y999" s="41">
        <f t="shared" si="67"/>
        <v>5.4410435430500732E-4</v>
      </c>
      <c r="Z999" s="62"/>
    </row>
    <row r="1000" spans="15:26" x14ac:dyDescent="0.25">
      <c r="O1000" s="45" t="s">
        <v>21</v>
      </c>
      <c r="P1000" s="39">
        <f>_xll.qlCalendarAdvance(Calendar,P999,O999,"f",,Trigger)</f>
        <v>54266</v>
      </c>
      <c r="Q1000" s="39">
        <f>_xll.qlInterestRateIndexValueDate(Index,P1000,Trigger)</f>
        <v>54268</v>
      </c>
      <c r="R1000" s="39">
        <f>_xll.qlInterestRateIndexMaturity(Index,Q1000,Trigger)</f>
        <v>54360</v>
      </c>
      <c r="S1000" s="40">
        <f>_xll.qlDayCounterYearFraction(DayCounter,Q1000,R1000,,,Trigger)</f>
        <v>0.25555555555555554</v>
      </c>
      <c r="T1000" s="41">
        <f>_xll.qlIndexFixing(Index,P1000,,AllTriggers)</f>
        <v>8.5274106692666222E-3</v>
      </c>
      <c r="U1000" s="42">
        <f>_xll.qlYieldTSDiscount(OisCurve,Q1000,,AllTriggers)</f>
        <v>0.80388888879062825</v>
      </c>
      <c r="V1000" s="42">
        <f>_xll.qlYieldTSDiscount(OisCurve,R1000,,AllTriggers)</f>
        <v>0.80225195337079436</v>
      </c>
      <c r="W1000" s="41">
        <f t="shared" si="65"/>
        <v>7.9842740700124936E-3</v>
      </c>
      <c r="X1000" s="43">
        <f t="shared" si="66"/>
        <v>1.3850934491651008E-4</v>
      </c>
      <c r="Y1000" s="41">
        <f t="shared" si="67"/>
        <v>5.4313659925412858E-4</v>
      </c>
      <c r="Z1000" s="62"/>
    </row>
    <row r="1001" spans="15:26" x14ac:dyDescent="0.25">
      <c r="O1001" s="45" t="s">
        <v>21</v>
      </c>
      <c r="P1001" s="39">
        <f>_xll.qlCalendarAdvance(Calendar,P1000,O1000,"f",,Trigger)</f>
        <v>54297</v>
      </c>
      <c r="Q1001" s="39">
        <f>_xll.qlInterestRateIndexValueDate(Index,P1001,Trigger)</f>
        <v>54301</v>
      </c>
      <c r="R1001" s="39">
        <f>_xll.qlInterestRateIndexMaturity(Index,Q1001,Trigger)</f>
        <v>54392</v>
      </c>
      <c r="S1001" s="40">
        <f>_xll.qlDayCounterYearFraction(DayCounter,Q1001,R1001,,,Trigger)</f>
        <v>0.25277777777777777</v>
      </c>
      <c r="T1001" s="41">
        <f>_xll.qlIndexFixing(Index,P1001,,AllTriggers)</f>
        <v>8.5166410023896043E-3</v>
      </c>
      <c r="U1001" s="42">
        <f>_xll.qlYieldTSDiscount(OisCurve,Q1001,,AllTriggers)</f>
        <v>0.8033007183463543</v>
      </c>
      <c r="V1001" s="42">
        <f>_xll.qlYieldTSDiscount(OisCurve,R1001,,AllTriggers)</f>
        <v>0.80168468638731671</v>
      </c>
      <c r="W1001" s="41">
        <f t="shared" si="65"/>
        <v>7.9745735111073166E-3</v>
      </c>
      <c r="X1001" s="43">
        <f t="shared" si="66"/>
        <v>1.367376130001916E-4</v>
      </c>
      <c r="Y1001" s="41">
        <f t="shared" si="67"/>
        <v>5.4206749128228766E-4</v>
      </c>
      <c r="Z1001" s="62"/>
    </row>
    <row r="1002" spans="15:26" x14ac:dyDescent="0.25">
      <c r="O1002" s="45" t="s">
        <v>21</v>
      </c>
      <c r="P1002" s="39">
        <f>_xll.qlCalendarAdvance(Calendar,P1001,O1001,"f",,Trigger)</f>
        <v>54329</v>
      </c>
      <c r="Q1002" s="39">
        <f>_xll.qlInterestRateIndexValueDate(Index,P1002,Trigger)</f>
        <v>54331</v>
      </c>
      <c r="R1002" s="39">
        <f>_xll.qlInterestRateIndexMaturity(Index,Q1002,Trigger)</f>
        <v>54423</v>
      </c>
      <c r="S1002" s="40">
        <f>_xll.qlDayCounterYearFraction(DayCounter,Q1002,R1002,,,Trigger)</f>
        <v>0.25555555555555554</v>
      </c>
      <c r="T1002" s="41">
        <f>_xll.qlIndexFixing(Index,P1002,,AllTriggers)</f>
        <v>8.5063641567069241E-3</v>
      </c>
      <c r="U1002" s="42">
        <f>_xll.qlYieldTSDiscount(OisCurve,Q1002,,AllTriggers)</f>
        <v>0.80276699026342768</v>
      </c>
      <c r="V1002" s="42">
        <f>_xll.qlYieldTSDiscount(OisCurve,R1002,,AllTriggers)</f>
        <v>0.80113621934928769</v>
      </c>
      <c r="W1002" s="41">
        <f t="shared" si="65"/>
        <v>7.9652839754217487E-3</v>
      </c>
      <c r="X1002" s="43">
        <f t="shared" si="66"/>
        <v>1.3798562673733285E-4</v>
      </c>
      <c r="Y1002" s="41">
        <f t="shared" si="67"/>
        <v>5.4108018128517545E-4</v>
      </c>
      <c r="Z1002" s="62"/>
    </row>
    <row r="1003" spans="15:26" x14ac:dyDescent="0.25">
      <c r="O1003" s="45" t="s">
        <v>21</v>
      </c>
      <c r="P1003" s="39">
        <f>_xll.qlCalendarAdvance(Calendar,P1002,O1002,"f",,Trigger)</f>
        <v>54359</v>
      </c>
      <c r="Q1003" s="39">
        <f>_xll.qlInterestRateIndexValueDate(Index,P1003,Trigger)</f>
        <v>54361</v>
      </c>
      <c r="R1003" s="39">
        <f>_xll.qlInterestRateIndexMaturity(Index,Q1003,Trigger)</f>
        <v>54452</v>
      </c>
      <c r="S1003" s="40">
        <f>_xll.qlDayCounterYearFraction(DayCounter,Q1003,R1003,,,Trigger)</f>
        <v>0.25277777777777777</v>
      </c>
      <c r="T1003" s="41">
        <f>_xll.qlIndexFixing(Index,P1003,,AllTriggers)</f>
        <v>8.4959011340253604E-3</v>
      </c>
      <c r="U1003" s="42">
        <f>_xll.qlYieldTSDiscount(OisCurve,Q1003,,AllTriggers)</f>
        <v>0.80223420949110658</v>
      </c>
      <c r="V1003" s="42">
        <f>_xll.qlYieldTSDiscount(OisCurve,R1003,,AllTriggers)</f>
        <v>0.8006241133186961</v>
      </c>
      <c r="W1003" s="41">
        <f t="shared" si="65"/>
        <v>7.955807382706629E-3</v>
      </c>
      <c r="X1003" s="43">
        <f t="shared" si="66"/>
        <v>1.3624041197967678E-4</v>
      </c>
      <c r="Y1003" s="41">
        <f t="shared" si="67"/>
        <v>5.4009375131873136E-4</v>
      </c>
      <c r="Z1003" s="62"/>
    </row>
    <row r="1004" spans="15:26" x14ac:dyDescent="0.25">
      <c r="O1004" s="45" t="s">
        <v>21</v>
      </c>
      <c r="P1004" s="39">
        <f>_xll.qlCalendarAdvance(Calendar,P1003,O1003,"f",,Trigger)</f>
        <v>54392</v>
      </c>
      <c r="Q1004" s="39">
        <f>_xll.qlInterestRateIndexValueDate(Index,P1004,Trigger)</f>
        <v>54394</v>
      </c>
      <c r="R1004" s="39">
        <f>_xll.qlInterestRateIndexMaturity(Index,Q1004,Trigger)</f>
        <v>54484</v>
      </c>
      <c r="S1004" s="40">
        <f>_xll.qlDayCounterYearFraction(DayCounter,Q1004,R1004,,,Trigger)</f>
        <v>0.25</v>
      </c>
      <c r="T1004" s="41">
        <f>_xll.qlIndexFixing(Index,P1004,,AllTriggers)</f>
        <v>8.484007470831223E-3</v>
      </c>
      <c r="U1004" s="42">
        <f>_xll.qlYieldTSDiscount(OisCurve,Q1004,,AllTriggers)</f>
        <v>0.8016492693065802</v>
      </c>
      <c r="V1004" s="42">
        <f>_xll.qlYieldTSDiscount(OisCurve,R1004,,AllTriggers)</f>
        <v>0.80006014835020323</v>
      </c>
      <c r="W1004" s="41">
        <f t="shared" si="65"/>
        <v>7.9450074330233988E-3</v>
      </c>
      <c r="X1004" s="43">
        <f t="shared" si="66"/>
        <v>1.3447385054314636E-4</v>
      </c>
      <c r="Y1004" s="41">
        <f t="shared" si="67"/>
        <v>5.3900003780782413E-4</v>
      </c>
      <c r="Z1004" s="62"/>
    </row>
    <row r="1005" spans="15:26" x14ac:dyDescent="0.25">
      <c r="O1005" s="45" t="s">
        <v>21</v>
      </c>
      <c r="P1005" s="39">
        <f>_xll.qlCalendarAdvance(Calendar,P1004,O1004,"f",,Trigger)</f>
        <v>54422</v>
      </c>
      <c r="Q1005" s="39">
        <f>_xll.qlInterestRateIndexValueDate(Index,P1005,Trigger)</f>
        <v>54427</v>
      </c>
      <c r="R1005" s="39">
        <f>_xll.qlInterestRateIndexMaturity(Index,Q1005,Trigger)</f>
        <v>54518</v>
      </c>
      <c r="S1005" s="40">
        <f>_xll.qlDayCounterYearFraction(DayCounter,Q1005,R1005,,,Trigger)</f>
        <v>0.25277777777777777</v>
      </c>
      <c r="T1005" s="41">
        <f>_xll.qlIndexFixing(Index,P1005,,AllTriggers)</f>
        <v>8.4715313026443514E-3</v>
      </c>
      <c r="U1005" s="42">
        <f>_xll.qlYieldTSDiscount(OisCurve,Q1005,,AllTriggers)</f>
        <v>0.80106552749977711</v>
      </c>
      <c r="V1005" s="42">
        <f>_xll.qlYieldTSDiscount(OisCurve,R1005,,AllTriggers)</f>
        <v>0.7994622470359577</v>
      </c>
      <c r="W1005" s="41">
        <f t="shared" si="65"/>
        <v>7.9336429109084835E-3</v>
      </c>
      <c r="X1005" s="43">
        <f t="shared" si="66"/>
        <v>1.3568489918734973E-4</v>
      </c>
      <c r="Y1005" s="41">
        <f t="shared" si="67"/>
        <v>5.3788839173586796E-4</v>
      </c>
      <c r="Z1005" s="62"/>
    </row>
    <row r="1006" spans="15:26" x14ac:dyDescent="0.25">
      <c r="O1006" s="45" t="s">
        <v>21</v>
      </c>
      <c r="P1006" s="39">
        <f>_xll.qlCalendarAdvance(Calendar,P1005,O1005,"f",,Trigger)</f>
        <v>54455</v>
      </c>
      <c r="Q1006" s="39">
        <f>_xll.qlInterestRateIndexValueDate(Index,P1006,Trigger)</f>
        <v>54457</v>
      </c>
      <c r="R1006" s="39">
        <f>_xll.qlInterestRateIndexMaturity(Index,Q1006,Trigger)</f>
        <v>54546</v>
      </c>
      <c r="S1006" s="40">
        <f>_xll.qlDayCounterYearFraction(DayCounter,Q1006,R1006,,,Trigger)</f>
        <v>0.24722222222222223</v>
      </c>
      <c r="T1006" s="41">
        <f>_xll.qlIndexFixing(Index,P1006,,AllTriggers)</f>
        <v>8.4601148094784247E-3</v>
      </c>
      <c r="U1006" s="42">
        <f>_xll.qlYieldTSDiscount(OisCurve,Q1006,,AllTriggers)</f>
        <v>0.80053591592635376</v>
      </c>
      <c r="V1006" s="42">
        <f>_xll.qlYieldTSDiscount(OisCurve,R1006,,AllTriggers)</f>
        <v>0.79897089270679489</v>
      </c>
      <c r="W1006" s="41">
        <f t="shared" si="65"/>
        <v>7.9232310691772171E-3</v>
      </c>
      <c r="X1006" s="43">
        <f t="shared" si="66"/>
        <v>1.3246133567248981E-4</v>
      </c>
      <c r="Y1006" s="41">
        <f t="shared" si="67"/>
        <v>5.3688374030120764E-4</v>
      </c>
      <c r="Z1006" s="62"/>
    </row>
    <row r="1007" spans="15:26" x14ac:dyDescent="0.25">
      <c r="O1007" s="45" t="s">
        <v>21</v>
      </c>
      <c r="P1007" s="39">
        <f>_xll.qlCalendarAdvance(Calendar,P1006,O1006,"f",,Trigger)</f>
        <v>54483</v>
      </c>
      <c r="Q1007" s="39">
        <f>_xll.qlInterestRateIndexValueDate(Index,P1007,Trigger)</f>
        <v>54485</v>
      </c>
      <c r="R1007" s="39">
        <f>_xll.qlInterestRateIndexMaturity(Index,Q1007,Trigger)</f>
        <v>54577</v>
      </c>
      <c r="S1007" s="40">
        <f>_xll.qlDayCounterYearFraction(DayCounter,Q1007,R1007,,,Trigger)</f>
        <v>0.25555555555555554</v>
      </c>
      <c r="T1007" s="41">
        <f>_xll.qlIndexFixing(Index,P1007,,AllTriggers)</f>
        <v>8.4486642647234513E-3</v>
      </c>
      <c r="U1007" s="42">
        <f>_xll.qlYieldTSDiscount(OisCurve,Q1007,,AllTriggers)</f>
        <v>0.80004254359476201</v>
      </c>
      <c r="V1007" s="42">
        <f>_xll.qlYieldTSDiscount(OisCurve,R1007,,AllTriggers)</f>
        <v>0.7984280049262541</v>
      </c>
      <c r="W1007" s="41">
        <f t="shared" si="65"/>
        <v>7.9127485111055284E-3</v>
      </c>
      <c r="X1007" s="43">
        <f t="shared" si="66"/>
        <v>1.3667052155542919E-4</v>
      </c>
      <c r="Y1007" s="41">
        <f t="shared" si="67"/>
        <v>5.3591575361792293E-4</v>
      </c>
      <c r="Z1007" s="62"/>
    </row>
    <row r="1008" spans="15:26" x14ac:dyDescent="0.25">
      <c r="O1008" s="45" t="s">
        <v>21</v>
      </c>
      <c r="P1008" s="39">
        <f>_xll.qlCalendarAdvance(Calendar,P1007,O1007,"f",,Trigger)</f>
        <v>54514</v>
      </c>
      <c r="Q1008" s="39">
        <f>_xll.qlInterestRateIndexValueDate(Index,P1008,Trigger)</f>
        <v>54518</v>
      </c>
      <c r="R1008" s="39">
        <f>_xll.qlInterestRateIndexMaturity(Index,Q1008,Trigger)</f>
        <v>54609</v>
      </c>
      <c r="S1008" s="40">
        <f>_xll.qlDayCounterYearFraction(DayCounter,Q1008,R1008,,,Trigger)</f>
        <v>0.25277777777777777</v>
      </c>
      <c r="T1008" s="41">
        <f>_xll.qlIndexFixing(Index,P1008,,AllTriggers)</f>
        <v>8.435257340946252E-3</v>
      </c>
      <c r="U1008" s="42">
        <f>_xll.qlYieldTSDiscount(OisCurve,Q1008,,AllTriggers)</f>
        <v>0.7994622470359577</v>
      </c>
      <c r="V1008" s="42">
        <f>_xll.qlYieldTSDiscount(OisCurve,R1008,,AllTriggers)</f>
        <v>0.7978688527741411</v>
      </c>
      <c r="W1008" s="41">
        <f t="shared" si="65"/>
        <v>7.9004685007286902E-3</v>
      </c>
      <c r="X1008" s="43">
        <f t="shared" si="66"/>
        <v>1.3490420427848384E-4</v>
      </c>
      <c r="Y1008" s="41">
        <f t="shared" si="67"/>
        <v>5.3478884021756178E-4</v>
      </c>
      <c r="Z1008" s="62"/>
    </row>
    <row r="1009" spans="15:26" x14ac:dyDescent="0.25">
      <c r="O1009" s="45" t="s">
        <v>21</v>
      </c>
      <c r="P1009" s="39">
        <f>_xll.qlCalendarAdvance(Calendar,P1008,O1008,"f",,Trigger)</f>
        <v>54546</v>
      </c>
      <c r="Q1009" s="39">
        <f>_xll.qlInterestRateIndexValueDate(Index,P1009,Trigger)</f>
        <v>54548</v>
      </c>
      <c r="R1009" s="39">
        <f>_xll.qlInterestRateIndexMaturity(Index,Q1009,Trigger)</f>
        <v>54640</v>
      </c>
      <c r="S1009" s="40">
        <f>_xll.qlDayCounterYearFraction(DayCounter,Q1009,R1009,,,Trigger)</f>
        <v>0.25555555555555554</v>
      </c>
      <c r="T1009" s="41">
        <f>_xll.qlIndexFixing(Index,P1009,,AllTriggers)</f>
        <v>8.4225018431855654E-3</v>
      </c>
      <c r="U1009" s="42">
        <f>_xll.qlYieldTSDiscount(OisCurve,Q1009,,AllTriggers)</f>
        <v>0.79893583221986741</v>
      </c>
      <c r="V1009" s="42">
        <f>_xll.qlYieldTSDiscount(OisCurve,R1009,,AllTriggers)</f>
        <v>0.79732840603909827</v>
      </c>
      <c r="W1009" s="41">
        <f t="shared" si="65"/>
        <v>7.8887551049271389E-3</v>
      </c>
      <c r="X1009" s="43">
        <f t="shared" si="66"/>
        <v>1.3611824458636821E-4</v>
      </c>
      <c r="Y1009" s="41">
        <f t="shared" si="67"/>
        <v>5.3374673825842649E-4</v>
      </c>
      <c r="Z1009" s="62"/>
    </row>
    <row r="1010" spans="15:26" x14ac:dyDescent="0.25">
      <c r="O1010" s="45" t="s">
        <v>21</v>
      </c>
      <c r="P1010" s="39">
        <f>_xll.qlCalendarAdvance(Calendar,P1009,O1009,"f",,Trigger)</f>
        <v>54577</v>
      </c>
      <c r="Q1010" s="39">
        <f>_xll.qlInterestRateIndexValueDate(Index,P1010,Trigger)</f>
        <v>54581</v>
      </c>
      <c r="R1010" s="39">
        <f>_xll.qlInterestRateIndexMaturity(Index,Q1010,Trigger)</f>
        <v>54673</v>
      </c>
      <c r="S1010" s="40">
        <f>_xll.qlDayCounterYearFraction(DayCounter,Q1010,R1010,,,Trigger)</f>
        <v>0.25555555555555554</v>
      </c>
      <c r="T1010" s="41">
        <f>_xll.qlIndexFixing(Index,P1010,,AllTriggers)</f>
        <v>8.4082049824329031E-3</v>
      </c>
      <c r="U1010" s="42">
        <f>_xll.qlYieldTSDiscount(OisCurve,Q1010,,AllTriggers)</f>
        <v>0.7983580410792388</v>
      </c>
      <c r="V1010" s="42">
        <f>_xll.qlYieldTSDiscount(OisCurve,R1010,,AllTriggers)</f>
        <v>0.79675444906682724</v>
      </c>
      <c r="W1010" s="41">
        <f t="shared" si="65"/>
        <v>7.8756074387878582E-3</v>
      </c>
      <c r="X1010" s="43">
        <f t="shared" si="66"/>
        <v>1.3582564766584685E-4</v>
      </c>
      <c r="Y1010" s="41">
        <f t="shared" si="67"/>
        <v>5.3259754364504489E-4</v>
      </c>
      <c r="Z1010" s="62"/>
    </row>
    <row r="1011" spans="15:26" x14ac:dyDescent="0.25">
      <c r="O1011" s="45" t="s">
        <v>21</v>
      </c>
      <c r="P1011" s="39">
        <f>_xll.qlCalendarAdvance(Calendar,P1010,O1010,"f",,Trigger)</f>
        <v>54609</v>
      </c>
      <c r="Q1011" s="39">
        <f>_xll.qlInterestRateIndexValueDate(Index,P1011,Trigger)</f>
        <v>54611</v>
      </c>
      <c r="R1011" s="39">
        <f>_xll.qlInterestRateIndexMaturity(Index,Q1011,Trigger)</f>
        <v>54703</v>
      </c>
      <c r="S1011" s="40">
        <f>_xll.qlDayCounterYearFraction(DayCounter,Q1011,R1011,,,Trigger)</f>
        <v>0.25555555555555554</v>
      </c>
      <c r="T1011" s="41">
        <f>_xll.qlIndexFixing(Index,P1011,,AllTriggers)</f>
        <v>8.394854220759319E-3</v>
      </c>
      <c r="U1011" s="42">
        <f>_xll.qlYieldTSDiscount(OisCurve,Q1011,,AllTriggers)</f>
        <v>0.79783394841329869</v>
      </c>
      <c r="V1011" s="42">
        <f>_xll.qlYieldTSDiscount(OisCurve,R1011,,AllTriggers)</f>
        <v>0.79623390654763371</v>
      </c>
      <c r="W1011" s="41">
        <f t="shared" si="65"/>
        <v>7.8633091807550383E-3</v>
      </c>
      <c r="X1011" s="43">
        <f t="shared" si="66"/>
        <v>1.3555767635573283E-4</v>
      </c>
      <c r="Y1011" s="41">
        <f t="shared" si="67"/>
        <v>5.3154504000428072E-4</v>
      </c>
      <c r="Z1011" s="62"/>
    </row>
    <row r="1012" spans="15:26" x14ac:dyDescent="0.25">
      <c r="O1012" s="45" t="s">
        <v>21</v>
      </c>
      <c r="P1012" s="39">
        <f>_xll.qlCalendarAdvance(Calendar,P1011,O1011,"f",,Trigger)</f>
        <v>54640</v>
      </c>
      <c r="Q1012" s="39">
        <f>_xll.qlInterestRateIndexValueDate(Index,P1012,Trigger)</f>
        <v>54644</v>
      </c>
      <c r="R1012" s="39">
        <f>_xll.qlInterestRateIndexMaturity(Index,Q1012,Trigger)</f>
        <v>54736</v>
      </c>
      <c r="S1012" s="40">
        <f>_xll.qlDayCounterYearFraction(DayCounter,Q1012,R1012,,,Trigger)</f>
        <v>0.25555555555555554</v>
      </c>
      <c r="T1012" s="41">
        <f>_xll.qlIndexFixing(Index,P1012,,AllTriggers)</f>
        <v>8.3797794100665367E-3</v>
      </c>
      <c r="U1012" s="42">
        <f>_xll.qlYieldTSDiscount(OisCurve,Q1012,,AllTriggers)</f>
        <v>0.79725876044702293</v>
      </c>
      <c r="V1012" s="42">
        <f>_xll.qlYieldTSDiscount(OisCurve,R1012,,AllTriggers)</f>
        <v>0.79566269453754079</v>
      </c>
      <c r="W1012" s="41">
        <f t="shared" si="65"/>
        <v>7.8494006830414943E-3</v>
      </c>
      <c r="X1012" s="43">
        <f t="shared" si="66"/>
        <v>1.3526073639329574E-4</v>
      </c>
      <c r="Y1012" s="41">
        <f t="shared" si="67"/>
        <v>5.3037872702504235E-4</v>
      </c>
      <c r="Z1012" s="62"/>
    </row>
    <row r="1013" spans="15:26" x14ac:dyDescent="0.25">
      <c r="O1013" s="45" t="s">
        <v>21</v>
      </c>
      <c r="P1013" s="39">
        <f>_xll.qlCalendarAdvance(Calendar,P1012,O1012,"f",,Trigger)</f>
        <v>54672</v>
      </c>
      <c r="Q1013" s="39">
        <f>_xll.qlInterestRateIndexValueDate(Index,P1013,Trigger)</f>
        <v>54674</v>
      </c>
      <c r="R1013" s="39">
        <f>_xll.qlInterestRateIndexMaturity(Index,Q1013,Trigger)</f>
        <v>54765</v>
      </c>
      <c r="S1013" s="40">
        <f>_xll.qlDayCounterYearFraction(DayCounter,Q1013,R1013,,,Trigger)</f>
        <v>0.25277777777777777</v>
      </c>
      <c r="T1013" s="41">
        <f>_xll.qlIndexFixing(Index,P1013,,AllTriggers)</f>
        <v>8.365864204332633E-3</v>
      </c>
      <c r="U1013" s="42">
        <f>_xll.qlYieldTSDiscount(OisCurve,Q1013,,AllTriggers)</f>
        <v>0.79673707855455966</v>
      </c>
      <c r="V1013" s="42">
        <f>_xll.qlYieldTSDiscount(OisCurve,R1013,,AllTriggers)</f>
        <v>0.7951619382421613</v>
      </c>
      <c r="W1013" s="41">
        <f t="shared" si="65"/>
        <v>7.836547517050688E-3</v>
      </c>
      <c r="X1013" s="43">
        <f t="shared" si="66"/>
        <v>1.3352606084031257E-4</v>
      </c>
      <c r="Y1013" s="41">
        <f t="shared" si="67"/>
        <v>5.2931668728194506E-4</v>
      </c>
      <c r="Z1013" s="62"/>
    </row>
    <row r="1014" spans="15:26" x14ac:dyDescent="0.25">
      <c r="O1014" s="45" t="s">
        <v>21</v>
      </c>
      <c r="P1014" s="39">
        <f>_xll.qlCalendarAdvance(Calendar,P1013,O1013,"f",,Trigger)</f>
        <v>54702</v>
      </c>
      <c r="Q1014" s="39">
        <f>_xll.qlInterestRateIndexValueDate(Index,P1014,Trigger)</f>
        <v>54704</v>
      </c>
      <c r="R1014" s="39">
        <f>_xll.qlInterestRateIndexMaturity(Index,Q1014,Trigger)</f>
        <v>54798</v>
      </c>
      <c r="S1014" s="40">
        <f>_xll.qlDayCounterYearFraction(DayCounter,Q1014,R1014,,,Trigger)</f>
        <v>0.26111111111111113</v>
      </c>
      <c r="T1014" s="41">
        <f>_xll.qlIndexFixing(Index,P1014,,AllTriggers)</f>
        <v>8.3510288342814511E-3</v>
      </c>
      <c r="U1014" s="42">
        <f>_xll.qlYieldTSDiscount(OisCurve,Q1014,,AllTriggers)</f>
        <v>0.79621657565661841</v>
      </c>
      <c r="V1014" s="42">
        <f>_xll.qlYieldTSDiscount(OisCurve,R1014,,AllTriggers)</f>
        <v>0.7945935217828699</v>
      </c>
      <c r="W1014" s="41">
        <f t="shared" si="65"/>
        <v>7.8228060454079845E-3</v>
      </c>
      <c r="X1014" s="43">
        <f t="shared" si="66"/>
        <v>1.3763421333217815E-4</v>
      </c>
      <c r="Y1014" s="41">
        <f t="shared" si="67"/>
        <v>5.2822278887346662E-4</v>
      </c>
      <c r="Z1014" s="62"/>
    </row>
    <row r="1015" spans="15:26" x14ac:dyDescent="0.25">
      <c r="O1015" s="45" t="s">
        <v>21</v>
      </c>
      <c r="P1015" s="39">
        <f>_xll.qlCalendarAdvance(Calendar,P1014,O1014,"f",,Trigger)</f>
        <v>54735</v>
      </c>
      <c r="Q1015" s="39">
        <f>_xll.qlInterestRateIndexValueDate(Index,P1015,Trigger)</f>
        <v>54737</v>
      </c>
      <c r="R1015" s="39">
        <f>_xll.qlInterestRateIndexMaturity(Index,Q1015,Trigger)</f>
        <v>54829</v>
      </c>
      <c r="S1015" s="40">
        <f>_xll.qlDayCounterYearFraction(DayCounter,Q1015,R1015,,,Trigger)</f>
        <v>0.25555555555555554</v>
      </c>
      <c r="T1015" s="41">
        <f>_xll.qlIndexFixing(Index,P1015,,AllTriggers)</f>
        <v>8.3351035005877049E-3</v>
      </c>
      <c r="U1015" s="42">
        <f>_xll.qlYieldTSDiscount(OisCurve,Q1015,,AllTriggers)</f>
        <v>0.79564540799629846</v>
      </c>
      <c r="V1015" s="42">
        <f>_xll.qlYieldTSDiscount(OisCurve,R1015,,AllTriggers)</f>
        <v>0.79406094427995888</v>
      </c>
      <c r="W1015" s="41">
        <f t="shared" si="65"/>
        <v>7.8080598931683657E-3</v>
      </c>
      <c r="X1015" s="43">
        <f t="shared" si="66"/>
        <v>1.3441166610859715E-4</v>
      </c>
      <c r="Y1015" s="41">
        <f t="shared" si="67"/>
        <v>5.2704360741933926E-4</v>
      </c>
      <c r="Z1015" s="62"/>
    </row>
    <row r="1016" spans="15:26" x14ac:dyDescent="0.25">
      <c r="O1016" s="45" t="s">
        <v>21</v>
      </c>
      <c r="P1016" s="39">
        <f>_xll.qlCalendarAdvance(Calendar,P1015,O1015,"f",,Trigger)</f>
        <v>54765</v>
      </c>
      <c r="Q1016" s="39">
        <f>_xll.qlInterestRateIndexValueDate(Index,P1016,Trigger)</f>
        <v>54767</v>
      </c>
      <c r="R1016" s="39">
        <f>_xll.qlInterestRateIndexMaturity(Index,Q1016,Trigger)</f>
        <v>54857</v>
      </c>
      <c r="S1016" s="40">
        <f>_xll.qlDayCounterYearFraction(DayCounter,Q1016,R1016,,,Trigger)</f>
        <v>0.25</v>
      </c>
      <c r="T1016" s="41">
        <f>_xll.qlIndexFixing(Index,P1016,,AllTriggers)</f>
        <v>8.3203238884017594E-3</v>
      </c>
      <c r="U1016" s="42">
        <f>_xll.qlYieldTSDiscount(OisCurve,Q1016,,AllTriggers)</f>
        <v>0.79512744580759909</v>
      </c>
      <c r="V1016" s="42">
        <f>_xll.qlYieldTSDiscount(OisCurve,R1016,,AllTriggers)</f>
        <v>0.79358108199951805</v>
      </c>
      <c r="W1016" s="41">
        <f t="shared" si="65"/>
        <v>7.7943582232826714E-3</v>
      </c>
      <c r="X1016" s="43">
        <f t="shared" si="66"/>
        <v>1.3122708113124908E-4</v>
      </c>
      <c r="Y1016" s="41">
        <f t="shared" si="67"/>
        <v>5.2596566511908804E-4</v>
      </c>
      <c r="Z1016" s="62"/>
    </row>
    <row r="1017" spans="15:26" x14ac:dyDescent="0.25">
      <c r="O1017" s="45" t="s">
        <v>21</v>
      </c>
      <c r="P1017" s="39">
        <f>_xll.qlCalendarAdvance(Calendar,P1016,O1016,"f",,Trigger)</f>
        <v>54798</v>
      </c>
      <c r="Q1017" s="39">
        <f>_xll.qlInterestRateIndexValueDate(Index,P1017,Trigger)</f>
        <v>54800</v>
      </c>
      <c r="R1017" s="39">
        <f>_xll.qlInterestRateIndexMaturity(Index,Q1017,Trigger)</f>
        <v>54890</v>
      </c>
      <c r="S1017" s="40">
        <f>_xll.qlDayCounterYearFraction(DayCounter,Q1017,R1017,,,Trigger)</f>
        <v>0.25</v>
      </c>
      <c r="T1017" s="41">
        <f>_xll.qlIndexFixing(Index,P1017,,AllTriggers)</f>
        <v>8.30333593226662E-3</v>
      </c>
      <c r="U1017" s="42">
        <f>_xll.qlYieldTSDiscount(OisCurve,Q1017,,AllTriggers)</f>
        <v>0.7945591210768298</v>
      </c>
      <c r="V1017" s="42">
        <f>_xll.qlYieldTSDiscount(OisCurve,R1017,,AllTriggers)</f>
        <v>0.79301698484230732</v>
      </c>
      <c r="W1017" s="41">
        <f t="shared" si="65"/>
        <v>7.7785785878425884E-3</v>
      </c>
      <c r="X1017" s="43">
        <f t="shared" si="66"/>
        <v>1.3092614341254195E-4</v>
      </c>
      <c r="Y1017" s="41">
        <f t="shared" si="67"/>
        <v>5.2475734442403166E-4</v>
      </c>
      <c r="Z1017" s="62"/>
    </row>
    <row r="1018" spans="15:26" x14ac:dyDescent="0.25">
      <c r="O1018" s="45" t="s">
        <v>21</v>
      </c>
      <c r="P1018" s="39">
        <f>_xll.qlCalendarAdvance(Calendar,P1017,O1017,"f",,Trigger)</f>
        <v>54829</v>
      </c>
      <c r="Q1018" s="39">
        <f>_xll.qlInterestRateIndexValueDate(Index,P1018,Trigger)</f>
        <v>54833</v>
      </c>
      <c r="R1018" s="39">
        <f>_xll.qlInterestRateIndexMaturity(Index,Q1018,Trigger)</f>
        <v>54924</v>
      </c>
      <c r="S1018" s="40">
        <f>_xll.qlDayCounterYearFraction(DayCounter,Q1018,R1018,,,Trigger)</f>
        <v>0.25277777777777777</v>
      </c>
      <c r="T1018" s="41">
        <f>_xll.qlIndexFixing(Index,P1018,,AllTriggers)</f>
        <v>8.2857662892171485E-3</v>
      </c>
      <c r="U1018" s="42">
        <f>_xll.qlYieldTSDiscount(OisCurve,Q1018,,AllTriggers)</f>
        <v>0.79399232380930795</v>
      </c>
      <c r="V1018" s="42">
        <f>_xll.qlYieldTSDiscount(OisCurve,R1018,,AllTriggers)</f>
        <v>0.79243746637199364</v>
      </c>
      <c r="W1018" s="41">
        <f t="shared" si="65"/>
        <v>7.7622331457381961E-3</v>
      </c>
      <c r="X1018" s="43">
        <f t="shared" si="66"/>
        <v>1.3206966936058273E-4</v>
      </c>
      <c r="Y1018" s="41">
        <f t="shared" si="67"/>
        <v>5.2353314347895231E-4</v>
      </c>
      <c r="Z1018" s="62"/>
    </row>
    <row r="1019" spans="15:26" x14ac:dyDescent="0.25">
      <c r="O1019" s="45" t="s">
        <v>21</v>
      </c>
      <c r="P1019" s="39">
        <f>_xll.qlCalendarAdvance(Calendar,P1018,O1018,"f",,Trigger)</f>
        <v>54857</v>
      </c>
      <c r="Q1019" s="39">
        <f>_xll.qlInterestRateIndexValueDate(Index,P1019,Trigger)</f>
        <v>54861</v>
      </c>
      <c r="R1019" s="39">
        <f>_xll.qlInterestRateIndexMaturity(Index,Q1019,Trigger)</f>
        <v>54953</v>
      </c>
      <c r="S1019" s="40">
        <f>_xll.qlDayCounterYearFraction(DayCounter,Q1019,R1019,,,Trigger)</f>
        <v>0.25555555555555554</v>
      </c>
      <c r="T1019" s="41">
        <f>_xll.qlIndexFixing(Index,P1019,,AllTriggers)</f>
        <v>8.270501488266354E-3</v>
      </c>
      <c r="U1019" s="42">
        <f>_xll.qlYieldTSDiscount(OisCurve,Q1019,,AllTriggers)</f>
        <v>0.7935126223020107</v>
      </c>
      <c r="V1019" s="42">
        <f>_xll.qlYieldTSDiscount(OisCurve,R1019,,AllTriggers)</f>
        <v>0.79194453379867047</v>
      </c>
      <c r="W1019" s="41">
        <f t="shared" si="65"/>
        <v>7.7480154599958743E-3</v>
      </c>
      <c r="X1019" s="43">
        <f t="shared" si="66"/>
        <v>1.332514669208642E-4</v>
      </c>
      <c r="Y1019" s="41">
        <f t="shared" si="67"/>
        <v>5.2248602827047966E-4</v>
      </c>
      <c r="Z1019" s="62"/>
    </row>
    <row r="1020" spans="15:26" x14ac:dyDescent="0.25">
      <c r="O1020" s="45" t="s">
        <v>21</v>
      </c>
      <c r="P1020" s="39">
        <f>_xll.qlCalendarAdvance(Calendar,P1019,O1019,"f",,Trigger)</f>
        <v>54890</v>
      </c>
      <c r="Q1020" s="39">
        <f>_xll.qlInterestRateIndexValueDate(Index,P1020,Trigger)</f>
        <v>54892</v>
      </c>
      <c r="R1020" s="39">
        <f>_xll.qlInterestRateIndexMaturity(Index,Q1020,Trigger)</f>
        <v>54983</v>
      </c>
      <c r="S1020" s="40">
        <f>_xll.qlDayCounterYearFraction(DayCounter,Q1020,R1020,,,Trigger)</f>
        <v>0.25277777777777777</v>
      </c>
      <c r="T1020" s="41">
        <f>_xll.qlIndexFixing(Index,P1020,,AllTriggers)</f>
        <v>8.2536382096920005E-3</v>
      </c>
      <c r="U1020" s="42">
        <f>_xll.qlYieldTSDiscount(OisCurve,Q1020,,AllTriggers)</f>
        <v>0.79298284825992404</v>
      </c>
      <c r="V1020" s="42">
        <f>_xll.qlYieldTSDiscount(OisCurve,R1020,,AllTriggers)</f>
        <v>0.79143594345994472</v>
      </c>
      <c r="W1020" s="41">
        <f t="shared" si="65"/>
        <v>7.7323040924576637E-3</v>
      </c>
      <c r="X1020" s="43">
        <f t="shared" si="66"/>
        <v>1.3151595899858851E-4</v>
      </c>
      <c r="Y1020" s="41">
        <f t="shared" si="67"/>
        <v>5.2133411723433686E-4</v>
      </c>
      <c r="Z1020" s="62"/>
    </row>
    <row r="1021" spans="15:26" x14ac:dyDescent="0.25">
      <c r="O1021" s="45" t="s">
        <v>21</v>
      </c>
      <c r="P1021" s="39">
        <f>_xll.qlCalendarAdvance(Calendar,P1020,O1020,"f",,Trigger)</f>
        <v>54920</v>
      </c>
      <c r="Q1021" s="39">
        <f>_xll.qlInterestRateIndexValueDate(Index,P1021,Trigger)</f>
        <v>54924</v>
      </c>
      <c r="R1021" s="39">
        <f>_xll.qlInterestRateIndexMaturity(Index,Q1021,Trigger)</f>
        <v>55016</v>
      </c>
      <c r="S1021" s="40">
        <f>_xll.qlDayCounterYearFraction(DayCounter,Q1021,R1021,,,Trigger)</f>
        <v>0.25555555555555554</v>
      </c>
      <c r="T1021" s="41">
        <f>_xll.qlIndexFixing(Index,P1021,,AllTriggers)</f>
        <v>8.2354755094881261E-3</v>
      </c>
      <c r="U1021" s="42">
        <f>_xll.qlYieldTSDiscount(OisCurve,Q1021,,AllTriggers)</f>
        <v>0.79243746637199364</v>
      </c>
      <c r="V1021" s="42">
        <f>_xll.qlYieldTSDiscount(OisCurve,R1021,,AllTriggers)</f>
        <v>0.79087809089169381</v>
      </c>
      <c r="W1021" s="41">
        <f t="shared" si="65"/>
        <v>7.7153535084872405E-3</v>
      </c>
      <c r="X1021" s="43">
        <f t="shared" si="66"/>
        <v>1.3264970559637913E-4</v>
      </c>
      <c r="Y1021" s="41">
        <f t="shared" si="67"/>
        <v>5.201220010008856E-4</v>
      </c>
      <c r="Z1021" s="62"/>
    </row>
    <row r="1022" spans="15:26" x14ac:dyDescent="0.25">
      <c r="O1022" s="45" t="s">
        <v>21</v>
      </c>
      <c r="P1022" s="39">
        <f>_xll.qlCalendarAdvance(Calendar,P1021,O1021,"f",,Trigger)</f>
        <v>54952</v>
      </c>
      <c r="Q1022" s="39">
        <f>_xll.qlInterestRateIndexValueDate(Index,P1022,Trigger)</f>
        <v>54954</v>
      </c>
      <c r="R1022" s="39">
        <f>_xll.qlInterestRateIndexMaturity(Index,Q1022,Trigger)</f>
        <v>55046</v>
      </c>
      <c r="S1022" s="40">
        <f>_xll.qlDayCounterYearFraction(DayCounter,Q1022,R1022,,,Trigger)</f>
        <v>0.25555555555555554</v>
      </c>
      <c r="T1022" s="41">
        <f>_xll.qlIndexFixing(Index,P1022,,AllTriggers)</f>
        <v>8.2182745347800599E-3</v>
      </c>
      <c r="U1022" s="42">
        <f>_xll.qlYieldTSDiscount(OisCurve,Q1022,,AllTriggers)</f>
        <v>0.79192755872940446</v>
      </c>
      <c r="V1022" s="42">
        <f>_xll.qlYieldTSDiscount(OisCurve,R1022,,AllTriggers)</f>
        <v>0.79037242489642434</v>
      </c>
      <c r="W1022" s="41">
        <f t="shared" si="65"/>
        <v>7.6992897414949971E-3</v>
      </c>
      <c r="X1022" s="43">
        <f t="shared" si="66"/>
        <v>1.3236023842276836E-4</v>
      </c>
      <c r="Y1022" s="41">
        <f t="shared" si="67"/>
        <v>5.1898479328506275E-4</v>
      </c>
      <c r="Z1022" s="62"/>
    </row>
    <row r="1023" spans="15:26" x14ac:dyDescent="0.25">
      <c r="O1023" s="45" t="s">
        <v>21</v>
      </c>
      <c r="P1023" s="39">
        <f>_xll.qlCalendarAdvance(Calendar,P1022,O1022,"f",,Trigger)</f>
        <v>54982</v>
      </c>
      <c r="Q1023" s="39">
        <f>_xll.qlInterestRateIndexValueDate(Index,P1023,Trigger)</f>
        <v>54984</v>
      </c>
      <c r="R1023" s="39">
        <f>_xll.qlInterestRateIndexMaturity(Index,Q1023,Trigger)</f>
        <v>55078</v>
      </c>
      <c r="S1023" s="40">
        <f>_xll.qlDayCounterYearFraction(DayCounter,Q1023,R1023,,,Trigger)</f>
        <v>0.26111111111111113</v>
      </c>
      <c r="T1023" s="41">
        <f>_xll.qlIndexFixing(Index,P1023,,AllTriggers)</f>
        <v>8.2003272993783835E-3</v>
      </c>
      <c r="U1023" s="42">
        <f>_xll.qlYieldTSDiscount(OisCurve,Q1023,,AllTriggers)</f>
        <v>0.7914190141396007</v>
      </c>
      <c r="V1023" s="42">
        <f>_xll.qlYieldTSDiscount(OisCurve,R1023,,AllTriggers)</f>
        <v>0.78983461631085383</v>
      </c>
      <c r="W1023" s="41">
        <f t="shared" si="65"/>
        <v>7.682502707365914E-3</v>
      </c>
      <c r="X1023" s="43">
        <f t="shared" si="66"/>
        <v>1.3492996513111871E-4</v>
      </c>
      <c r="Y1023" s="41">
        <f t="shared" si="67"/>
        <v>5.1782459201246949E-4</v>
      </c>
      <c r="Z1023" s="62"/>
    </row>
    <row r="1024" spans="15:26" x14ac:dyDescent="0.25">
      <c r="O1024" s="45" t="s">
        <v>21</v>
      </c>
      <c r="P1024" s="39">
        <f>_xll.qlCalendarAdvance(Calendar,P1023,O1023,"f",,Trigger)</f>
        <v>55015</v>
      </c>
      <c r="Q1024" s="39">
        <f>_xll.qlInterestRateIndexValueDate(Index,P1024,Trigger)</f>
        <v>55017</v>
      </c>
      <c r="R1024" s="39">
        <f>_xll.qlInterestRateIndexMaturity(Index,Q1024,Trigger)</f>
        <v>55109</v>
      </c>
      <c r="S1024" s="40">
        <f>_xll.qlDayCounterYearFraction(DayCounter,Q1024,R1024,,,Trigger)</f>
        <v>0.25555555555555554</v>
      </c>
      <c r="T1024" s="41">
        <f>_xll.qlIndexFixing(Index,P1024,,AllTriggers)</f>
        <v>8.1810564447849371E-3</v>
      </c>
      <c r="U1024" s="42">
        <f>_xll.qlYieldTSDiscount(OisCurve,Q1024,,AllTriggers)</f>
        <v>0.79086121264348896</v>
      </c>
      <c r="V1024" s="42">
        <f>_xll.qlYieldTSDiscount(OisCurve,R1024,,AllTriggers)</f>
        <v>0.78931517986431166</v>
      </c>
      <c r="W1024" s="41">
        <f t="shared" si="65"/>
        <v>7.6644838944782837E-3</v>
      </c>
      <c r="X1024" s="43">
        <f t="shared" si="66"/>
        <v>1.3174623761691358E-4</v>
      </c>
      <c r="Y1024" s="41">
        <f t="shared" si="67"/>
        <v>5.1657255030665341E-4</v>
      </c>
      <c r="Z1024" s="62"/>
    </row>
    <row r="1025" spans="15:26" x14ac:dyDescent="0.25">
      <c r="O1025" s="45" t="s">
        <v>21</v>
      </c>
      <c r="P1025" s="39">
        <f>_xll.qlCalendarAdvance(Calendar,P1024,O1024,"f",,Trigger)</f>
        <v>55046</v>
      </c>
      <c r="Q1025" s="39">
        <f>_xll.qlInterestRateIndexValueDate(Index,P1025,Trigger)</f>
        <v>55050</v>
      </c>
      <c r="R1025" s="39">
        <f>_xll.qlInterestRateIndexMaturity(Index,Q1025,Trigger)</f>
        <v>55141</v>
      </c>
      <c r="S1025" s="40">
        <f>_xll.qlDayCounterYearFraction(DayCounter,Q1025,R1025,,,Trigger)</f>
        <v>0.25277777777777777</v>
      </c>
      <c r="T1025" s="41">
        <f>_xll.qlIndexFixing(Index,P1025,,AllTriggers)</f>
        <v>8.1611864383343523E-3</v>
      </c>
      <c r="U1025" s="42">
        <f>_xll.qlYieldTSDiscount(OisCurve,Q1025,,AllTriggers)</f>
        <v>0.790305109825719</v>
      </c>
      <c r="V1025" s="42">
        <f>_xll.qlYieldTSDiscount(OisCurve,R1025,,AllTriggers)</f>
        <v>0.78878062630070422</v>
      </c>
      <c r="W1025" s="41">
        <f t="shared" si="65"/>
        <v>7.6458823076162793E-3</v>
      </c>
      <c r="X1025" s="43">
        <f t="shared" si="66"/>
        <v>1.2999771886215933E-4</v>
      </c>
      <c r="Y1025" s="41">
        <f t="shared" si="67"/>
        <v>5.1530413071807293E-4</v>
      </c>
      <c r="Z1025" s="62"/>
    </row>
    <row r="1026" spans="15:26" x14ac:dyDescent="0.25">
      <c r="O1026" s="45" t="s">
        <v>21</v>
      </c>
      <c r="P1026" s="39">
        <f>_xll.qlCalendarAdvance(Calendar,P1025,O1025,"f",,Trigger)</f>
        <v>55078</v>
      </c>
      <c r="Q1026" s="39">
        <f>_xll.qlInterestRateIndexValueDate(Index,P1026,Trigger)</f>
        <v>55080</v>
      </c>
      <c r="R1026" s="39">
        <f>_xll.qlInterestRateIndexMaturity(Index,Q1026,Trigger)</f>
        <v>55172</v>
      </c>
      <c r="S1026" s="40">
        <f>_xll.qlDayCounterYearFraction(DayCounter,Q1026,R1026,,,Trigger)</f>
        <v>0.25555555555555554</v>
      </c>
      <c r="T1026" s="41">
        <f>_xll.qlIndexFixing(Index,P1026,,AllTriggers)</f>
        <v>8.1423534282498242E-3</v>
      </c>
      <c r="U1026" s="42">
        <f>_xll.qlYieldTSDiscount(OisCurve,Q1026,,AllTriggers)</f>
        <v>0.78980105755162189</v>
      </c>
      <c r="V1026" s="42">
        <f>_xll.qlYieldTSDiscount(OisCurve,R1026,,AllTriggers)</f>
        <v>0.78826438699053614</v>
      </c>
      <c r="W1026" s="41">
        <f t="shared" si="65"/>
        <v>7.6282257787249983E-3</v>
      </c>
      <c r="X1026" s="43">
        <f t="shared" si="66"/>
        <v>1.3112394554974687E-4</v>
      </c>
      <c r="Y1026" s="41">
        <f t="shared" si="67"/>
        <v>5.1412764952482592E-4</v>
      </c>
      <c r="Z1026" s="62"/>
    </row>
    <row r="1027" spans="15:26" x14ac:dyDescent="0.25">
      <c r="O1027" s="45" t="s">
        <v>21</v>
      </c>
      <c r="P1027" s="39">
        <f>_xll.qlCalendarAdvance(Calendar,P1026,O1026,"f",,Trigger)</f>
        <v>55109</v>
      </c>
      <c r="Q1027" s="39">
        <f>_xll.qlInterestRateIndexValueDate(Index,P1027,Trigger)</f>
        <v>55113</v>
      </c>
      <c r="R1027" s="39">
        <f>_xll.qlInterestRateIndexMaturity(Index,Q1027,Trigger)</f>
        <v>55205</v>
      </c>
      <c r="S1027" s="40">
        <f>_xll.qlDayCounterYearFraction(DayCounter,Q1027,R1027,,,Trigger)</f>
        <v>0.25555555555555554</v>
      </c>
      <c r="T1027" s="41">
        <f>_xll.qlIndexFixing(Index,P1027,,AllTriggers)</f>
        <v>8.1214878105422671E-3</v>
      </c>
      <c r="U1027" s="42">
        <f>_xll.qlYieldTSDiscount(OisCurve,Q1027,,AllTriggers)</f>
        <v>0.78924826915353907</v>
      </c>
      <c r="V1027" s="42">
        <f>_xll.qlYieldTSDiscount(OisCurve,R1027,,AllTriggers)</f>
        <v>0.78771660638832486</v>
      </c>
      <c r="W1027" s="41">
        <f t="shared" si="65"/>
        <v>7.608653855599337E-3</v>
      </c>
      <c r="X1027" s="43">
        <f t="shared" si="66"/>
        <v>1.3079467405394259E-4</v>
      </c>
      <c r="Y1027" s="41">
        <f t="shared" si="67"/>
        <v>5.1283395494293015E-4</v>
      </c>
      <c r="Z1027" s="62"/>
    </row>
    <row r="1028" spans="15:26" x14ac:dyDescent="0.25">
      <c r="O1028" s="45" t="s">
        <v>21</v>
      </c>
      <c r="P1028" s="39">
        <f>_xll.qlCalendarAdvance(Calendar,P1027,O1027,"f",,Trigger)</f>
        <v>55141</v>
      </c>
      <c r="Q1028" s="39">
        <f>_xll.qlInterestRateIndexValueDate(Index,P1028,Trigger)</f>
        <v>55143</v>
      </c>
      <c r="R1028" s="39">
        <f>_xll.qlInterestRateIndexMaturity(Index,Q1028,Trigger)</f>
        <v>55233</v>
      </c>
      <c r="S1028" s="40">
        <f>_xll.qlDayCounterYearFraction(DayCounter,Q1028,R1028,,,Trigger)</f>
        <v>0.25</v>
      </c>
      <c r="T1028" s="41">
        <f>_xll.qlIndexFixing(Index,P1028,,AllTriggers)</f>
        <v>8.1026384569460319E-3</v>
      </c>
      <c r="U1028" s="42">
        <f>_xll.qlYieldTSDiscount(OisCurve,Q1028,,AllTriggers)</f>
        <v>0.78874727250776611</v>
      </c>
      <c r="V1028" s="42">
        <f>_xll.qlYieldTSDiscount(OisCurve,R1028,,AllTriggers)</f>
        <v>0.78725326833717268</v>
      </c>
      <c r="W1028" s="41">
        <f t="shared" ref="W1028:W1091" si="68">(U1028/V1028-1)/S1028</f>
        <v>7.590970940007935E-3</v>
      </c>
      <c r="X1028" s="43">
        <f t="shared" ref="X1028:X1091" si="69">LN((1+T1028*S1028)/(1+W1028*S1028))</f>
        <v>1.2766643601079967E-4</v>
      </c>
      <c r="Y1028" s="41">
        <f t="shared" ref="Y1028:Y1091" si="70">T1028-W1028</f>
        <v>5.1166751693809687E-4</v>
      </c>
      <c r="Z1028" s="62"/>
    </row>
    <row r="1029" spans="15:26" x14ac:dyDescent="0.25">
      <c r="O1029" s="45" t="s">
        <v>21</v>
      </c>
      <c r="P1029" s="39">
        <f>_xll.qlCalendarAdvance(Calendar,P1028,O1028,"f",,Trigger)</f>
        <v>55172</v>
      </c>
      <c r="Q1029" s="39">
        <f>_xll.qlInterestRateIndexValueDate(Index,P1029,Trigger)</f>
        <v>55176</v>
      </c>
      <c r="R1029" s="39">
        <f>_xll.qlInterestRateIndexMaturity(Index,Q1029,Trigger)</f>
        <v>55267</v>
      </c>
      <c r="S1029" s="40">
        <f>_xll.qlDayCounterYearFraction(DayCounter,Q1029,R1029,,,Trigger)</f>
        <v>0.25277777777777777</v>
      </c>
      <c r="T1029" s="41">
        <f>_xll.qlIndexFixing(Index,P1029,,AllTriggers)</f>
        <v>8.0807653254224305E-3</v>
      </c>
      <c r="U1029" s="42">
        <f>_xll.qlYieldTSDiscount(OisCurve,Q1029,,AllTriggers)</f>
        <v>0.78819789194998457</v>
      </c>
      <c r="V1029" s="42">
        <f>_xll.qlYieldTSDiscount(OisCurve,R1029,,AllTriggers)</f>
        <v>0.78669245114411313</v>
      </c>
      <c r="W1029" s="41">
        <f t="shared" si="68"/>
        <v>7.5704171211867398E-3</v>
      </c>
      <c r="X1029" s="43">
        <f t="shared" si="69"/>
        <v>1.287500001842052E-4</v>
      </c>
      <c r="Y1029" s="41">
        <f t="shared" si="70"/>
        <v>5.1034820423569074E-4</v>
      </c>
      <c r="Z1029" s="62"/>
    </row>
    <row r="1030" spans="15:26" x14ac:dyDescent="0.25">
      <c r="O1030" s="45" t="s">
        <v>21</v>
      </c>
      <c r="P1030" s="39">
        <f>_xll.qlCalendarAdvance(Calendar,P1029,O1029,"f",,Trigger)</f>
        <v>55204</v>
      </c>
      <c r="Q1030" s="39">
        <f>_xll.qlInterestRateIndexValueDate(Index,P1030,Trigger)</f>
        <v>55206</v>
      </c>
      <c r="R1030" s="39">
        <f>_xll.qlInterestRateIndexMaturity(Index,Q1030,Trigger)</f>
        <v>55295</v>
      </c>
      <c r="S1030" s="40">
        <f>_xll.qlDayCounterYearFraction(DayCounter,Q1030,R1030,,,Trigger)</f>
        <v>0.24722222222222223</v>
      </c>
      <c r="T1030" s="41">
        <f>_xll.qlIndexFixing(Index,P1030,,AllTriggers)</f>
        <v>8.0612401317749702E-3</v>
      </c>
      <c r="U1030" s="42">
        <f>_xll.qlYieldTSDiscount(OisCurve,Q1030,,AllTriggers)</f>
        <v>0.78770003564234825</v>
      </c>
      <c r="V1030" s="42">
        <f>_xll.qlYieldTSDiscount(OisCurve,R1030,,AllTriggers)</f>
        <v>0.78623210863380044</v>
      </c>
      <c r="W1030" s="41">
        <f t="shared" si="68"/>
        <v>7.5520730030782472E-3</v>
      </c>
      <c r="X1030" s="43">
        <f t="shared" si="69"/>
        <v>1.2563495637893352E-4</v>
      </c>
      <c r="Y1030" s="41">
        <f t="shared" si="70"/>
        <v>5.0916712869672302E-4</v>
      </c>
      <c r="Z1030" s="62"/>
    </row>
    <row r="1031" spans="15:26" x14ac:dyDescent="0.25">
      <c r="O1031" s="45" t="s">
        <v>21</v>
      </c>
      <c r="P1031" s="39">
        <f>_xll.qlCalendarAdvance(Calendar,P1030,O1030,"f",,Trigger)</f>
        <v>55232</v>
      </c>
      <c r="Q1031" s="39">
        <f>_xll.qlInterestRateIndexValueDate(Index,P1031,Trigger)</f>
        <v>55234</v>
      </c>
      <c r="R1031" s="39">
        <f>_xll.qlInterestRateIndexMaturity(Index,Q1031,Trigger)</f>
        <v>55326</v>
      </c>
      <c r="S1031" s="40">
        <f>_xll.qlDayCounterYearFraction(DayCounter,Q1031,R1031,,,Trigger)</f>
        <v>0.25555555555555554</v>
      </c>
      <c r="T1031" s="41">
        <f>_xll.qlIndexFixing(Index,P1031,,AllTriggers)</f>
        <v>8.0414949751622909E-3</v>
      </c>
      <c r="U1031" s="42">
        <f>_xll.qlYieldTSDiscount(OisCurve,Q1031,,AllTriggers)</f>
        <v>0.78723674530426357</v>
      </c>
      <c r="V1031" s="42">
        <f>_xll.qlYieldTSDiscount(OisCurve,R1031,,AllTriggers)</f>
        <v>0.78572405130758016</v>
      </c>
      <c r="W1031" s="41">
        <f t="shared" si="68"/>
        <v>7.5334812119798797E-3</v>
      </c>
      <c r="X1031" s="43">
        <f t="shared" si="69"/>
        <v>1.295678819750907E-4</v>
      </c>
      <c r="Y1031" s="41">
        <f t="shared" si="70"/>
        <v>5.0801376318241123E-4</v>
      </c>
      <c r="Z1031" s="62"/>
    </row>
    <row r="1032" spans="15:26" x14ac:dyDescent="0.25">
      <c r="O1032" s="45" t="s">
        <v>21</v>
      </c>
      <c r="P1032" s="39">
        <f>_xll.qlCalendarAdvance(Calendar,P1031,O1031,"f",,Trigger)</f>
        <v>55263</v>
      </c>
      <c r="Q1032" s="39">
        <f>_xll.qlInterestRateIndexValueDate(Index,P1032,Trigger)</f>
        <v>55267</v>
      </c>
      <c r="R1032" s="39">
        <f>_xll.qlInterestRateIndexMaturity(Index,Q1032,Trigger)</f>
        <v>55358</v>
      </c>
      <c r="S1032" s="40">
        <f>_xll.qlDayCounterYearFraction(DayCounter,Q1032,R1032,,,Trigger)</f>
        <v>0.25277777777777777</v>
      </c>
      <c r="T1032" s="41">
        <f>_xll.qlIndexFixing(Index,P1032,,AllTriggers)</f>
        <v>8.0189897598530891E-3</v>
      </c>
      <c r="U1032" s="42">
        <f>_xll.qlYieldTSDiscount(OisCurve,Q1032,,AllTriggers)</f>
        <v>0.78669245114411313</v>
      </c>
      <c r="V1032" s="42">
        <f>_xll.qlYieldTSDiscount(OisCurve,R1032,,AllTriggers)</f>
        <v>0.78520139843068959</v>
      </c>
      <c r="W1032" s="41">
        <f t="shared" si="68"/>
        <v>7.5123020499847995E-3</v>
      </c>
      <c r="X1032" s="43">
        <f t="shared" si="69"/>
        <v>1.2782846842828471E-4</v>
      </c>
      <c r="Y1032" s="41">
        <f t="shared" si="70"/>
        <v>5.0668770986828961E-4</v>
      </c>
      <c r="Z1032" s="62"/>
    </row>
    <row r="1033" spans="15:26" x14ac:dyDescent="0.25">
      <c r="O1033" s="45" t="s">
        <v>21</v>
      </c>
      <c r="P1033" s="39">
        <f>_xll.qlCalendarAdvance(Calendar,P1032,O1032,"f",,Trigger)</f>
        <v>55295</v>
      </c>
      <c r="Q1033" s="39">
        <f>_xll.qlInterestRateIndexValueDate(Index,P1033,Trigger)</f>
        <v>55297</v>
      </c>
      <c r="R1033" s="39">
        <f>_xll.qlInterestRateIndexMaturity(Index,Q1033,Trigger)</f>
        <v>55389</v>
      </c>
      <c r="S1033" s="40">
        <f>_xll.qlDayCounterYearFraction(DayCounter,Q1033,R1033,,,Trigger)</f>
        <v>0.25555555555555554</v>
      </c>
      <c r="T1033" s="41">
        <f>_xll.qlIndexFixing(Index,P1033,,AllTriggers)</f>
        <v>7.9976775587870218E-3</v>
      </c>
      <c r="U1033" s="42">
        <f>_xll.qlYieldTSDiscount(OisCurve,Q1033,,AllTriggers)</f>
        <v>0.78619927955924629</v>
      </c>
      <c r="V1033" s="42">
        <f>_xll.qlYieldTSDiscount(OisCurve,R1033,,AllTriggers)</f>
        <v>0.78469683720785266</v>
      </c>
      <c r="W1033" s="41">
        <f t="shared" si="68"/>
        <v>7.4922211557560819E-3</v>
      </c>
      <c r="X1033" s="43">
        <f t="shared" si="69"/>
        <v>1.2891703111817259E-4</v>
      </c>
      <c r="Y1033" s="41">
        <f t="shared" si="70"/>
        <v>5.0545640303093983E-4</v>
      </c>
      <c r="Z1033" s="62"/>
    </row>
    <row r="1034" spans="15:26" x14ac:dyDescent="0.25">
      <c r="O1034" s="45" t="s">
        <v>21</v>
      </c>
      <c r="P1034" s="39">
        <f>_xll.qlCalendarAdvance(Calendar,P1033,O1033,"f",,Trigger)</f>
        <v>55326</v>
      </c>
      <c r="Q1034" s="39">
        <f>_xll.qlInterestRateIndexValueDate(Index,P1034,Trigger)</f>
        <v>55330</v>
      </c>
      <c r="R1034" s="39">
        <f>_xll.qlInterestRateIndexMaturity(Index,Q1034,Trigger)</f>
        <v>55422</v>
      </c>
      <c r="S1034" s="40">
        <f>_xll.qlDayCounterYearFraction(DayCounter,Q1034,R1034,,,Trigger)</f>
        <v>0.25555555555555554</v>
      </c>
      <c r="T1034" s="41">
        <f>_xll.qlIndexFixing(Index,P1034,,AllTriggers)</f>
        <v>7.9741330349712165E-3</v>
      </c>
      <c r="U1034" s="42">
        <f>_xll.qlYieldTSDiscount(OisCurve,Q1034,,AllTriggers)</f>
        <v>0.78565861960742112</v>
      </c>
      <c r="V1034" s="42">
        <f>_xll.qlYieldTSDiscount(OisCurve,R1034,,AllTriggers)</f>
        <v>0.78416164916186204</v>
      </c>
      <c r="W1034" s="41">
        <f t="shared" si="68"/>
        <v>7.4700292285462995E-3</v>
      </c>
      <c r="X1034" s="43">
        <f t="shared" si="69"/>
        <v>1.2857280025619242E-4</v>
      </c>
      <c r="Y1034" s="41">
        <f t="shared" si="70"/>
        <v>5.0410380642491696E-4</v>
      </c>
      <c r="Z1034" s="62"/>
    </row>
    <row r="1035" spans="15:26" x14ac:dyDescent="0.25">
      <c r="O1035" s="45" t="s">
        <v>21</v>
      </c>
      <c r="P1035" s="39">
        <f>_xll.qlCalendarAdvance(Calendar,P1034,O1034,"f",,Trigger)</f>
        <v>55358</v>
      </c>
      <c r="Q1035" s="39">
        <f>_xll.qlInterestRateIndexValueDate(Index,P1035,Trigger)</f>
        <v>55360</v>
      </c>
      <c r="R1035" s="39">
        <f>_xll.qlInterestRateIndexMaturity(Index,Q1035,Trigger)</f>
        <v>55452</v>
      </c>
      <c r="S1035" s="40">
        <f>_xll.qlDayCounterYearFraction(DayCounter,Q1035,R1035,,,Trigger)</f>
        <v>0.25555555555555554</v>
      </c>
      <c r="T1035" s="41">
        <f>_xll.qlIndexFixing(Index,P1035,,AllTriggers)</f>
        <v>7.9523754242329173E-3</v>
      </c>
      <c r="U1035" s="42">
        <f>_xll.qlYieldTSDiscount(OisCurve,Q1035,,AllTriggers)</f>
        <v>0.78516879363291692</v>
      </c>
      <c r="V1035" s="42">
        <f>_xll.qlYieldTSDiscount(OisCurve,R1035,,AllTriggers)</f>
        <v>0.78367685829949651</v>
      </c>
      <c r="W1035" s="41">
        <f t="shared" si="68"/>
        <v>7.4495090222460453E-3</v>
      </c>
      <c r="X1035" s="43">
        <f t="shared" si="69"/>
        <v>1.2825788899906149E-4</v>
      </c>
      <c r="Y1035" s="41">
        <f t="shared" si="70"/>
        <v>5.0286640198687199E-4</v>
      </c>
      <c r="Z1035" s="62"/>
    </row>
    <row r="1036" spans="15:26" x14ac:dyDescent="0.25">
      <c r="O1036" s="45" t="s">
        <v>21</v>
      </c>
      <c r="P1036" s="39">
        <f>_xll.qlCalendarAdvance(Calendar,P1035,O1035,"f",,Trigger)</f>
        <v>55389</v>
      </c>
      <c r="Q1036" s="39">
        <f>_xll.qlInterestRateIndexValueDate(Index,P1036,Trigger)</f>
        <v>55393</v>
      </c>
      <c r="R1036" s="39">
        <f>_xll.qlInterestRateIndexMaturity(Index,Q1036,Trigger)</f>
        <v>55485</v>
      </c>
      <c r="S1036" s="40">
        <f>_xll.qlDayCounterYearFraction(DayCounter,Q1036,R1036,,,Trigger)</f>
        <v>0.25555555555555554</v>
      </c>
      <c r="T1036" s="41">
        <f>_xll.qlIndexFixing(Index,P1036,,AllTriggers)</f>
        <v>7.9280532113318071E-3</v>
      </c>
      <c r="U1036" s="42">
        <f>_xll.qlYieldTSDiscount(OisCurve,Q1036,,AllTriggers)</f>
        <v>0.78463185970066529</v>
      </c>
      <c r="V1036" s="42">
        <f>_xll.qlYieldTSDiscount(OisCurve,R1036,,AllTriggers)</f>
        <v>0.78314552954442362</v>
      </c>
      <c r="W1036" s="41">
        <f t="shared" si="68"/>
        <v>7.4265565019659982E-3</v>
      </c>
      <c r="X1036" s="43">
        <f t="shared" si="69"/>
        <v>1.2790931509560754E-4</v>
      </c>
      <c r="Y1036" s="41">
        <f t="shared" si="70"/>
        <v>5.0149670936580886E-4</v>
      </c>
      <c r="Z1036" s="62"/>
    </row>
    <row r="1037" spans="15:26" x14ac:dyDescent="0.25">
      <c r="O1037" s="45" t="s">
        <v>21</v>
      </c>
      <c r="P1037" s="39">
        <f>_xll.qlCalendarAdvance(Calendar,P1036,O1036,"f",,Trigger)</f>
        <v>55421</v>
      </c>
      <c r="Q1037" s="39">
        <f>_xll.qlInterestRateIndexValueDate(Index,P1037,Trigger)</f>
        <v>55423</v>
      </c>
      <c r="R1037" s="39">
        <f>_xll.qlInterestRateIndexMaturity(Index,Q1037,Trigger)</f>
        <v>55514</v>
      </c>
      <c r="S1037" s="40">
        <f>_xll.qlDayCounterYearFraction(DayCounter,Q1037,R1037,,,Trigger)</f>
        <v>0.25277777777777777</v>
      </c>
      <c r="T1037" s="41">
        <f>_xll.qlIndexFixing(Index,P1037,,AllTriggers)</f>
        <v>7.9058818921455779E-3</v>
      </c>
      <c r="U1037" s="42">
        <f>_xll.qlYieldTSDiscount(OisCurve,Q1037,,AllTriggers)</f>
        <v>0.78414546259664697</v>
      </c>
      <c r="V1037" s="42">
        <f>_xll.qlYieldTSDiscount(OisCurve,R1037,,AllTriggers)</f>
        <v>0.78268030219144502</v>
      </c>
      <c r="W1037" s="41">
        <f t="shared" si="68"/>
        <v>7.4056277504434085E-3</v>
      </c>
      <c r="X1037" s="43">
        <f t="shared" si="69"/>
        <v>1.2620889039467313E-4</v>
      </c>
      <c r="Y1037" s="41">
        <f t="shared" si="70"/>
        <v>5.0025414170216942E-4</v>
      </c>
      <c r="Z1037" s="62"/>
    </row>
    <row r="1038" spans="15:26" x14ac:dyDescent="0.25">
      <c r="O1038" s="45" t="s">
        <v>21</v>
      </c>
      <c r="P1038" s="39">
        <f>_xll.qlCalendarAdvance(Calendar,P1037,O1037,"f",,Trigger)</f>
        <v>55451</v>
      </c>
      <c r="Q1038" s="39">
        <f>_xll.qlInterestRateIndexValueDate(Index,P1038,Trigger)</f>
        <v>55453</v>
      </c>
      <c r="R1038" s="39">
        <f>_xll.qlInterestRateIndexMaturity(Index,Q1038,Trigger)</f>
        <v>55547</v>
      </c>
      <c r="S1038" s="40">
        <f>_xll.qlDayCounterYearFraction(DayCounter,Q1038,R1038,,,Trigger)</f>
        <v>0.26111111111111113</v>
      </c>
      <c r="T1038" s="41">
        <f>_xll.qlIndexFixing(Index,P1038,,AllTriggers)</f>
        <v>7.8821882080427688E-3</v>
      </c>
      <c r="U1038" s="42">
        <f>_xll.qlYieldTSDiscount(OisCurve,Q1038,,AllTriggers)</f>
        <v>0.78366072743459358</v>
      </c>
      <c r="V1038" s="42">
        <f>_xll.qlYieldTSDiscount(OisCurve,R1038,,AllTriggers)</f>
        <v>0.78215286004766926</v>
      </c>
      <c r="W1038" s="41">
        <f t="shared" si="68"/>
        <v>7.3832259191888433E-3</v>
      </c>
      <c r="X1038" s="43">
        <f t="shared" si="69"/>
        <v>1.3002545908838274E-4</v>
      </c>
      <c r="Y1038" s="41">
        <f t="shared" si="70"/>
        <v>4.9896228885392552E-4</v>
      </c>
      <c r="Z1038" s="62"/>
    </row>
    <row r="1039" spans="15:26" x14ac:dyDescent="0.25">
      <c r="O1039" s="45" t="s">
        <v>21</v>
      </c>
      <c r="P1039" s="39">
        <f>_xll.qlCalendarAdvance(Calendar,P1038,O1038,"f",,Trigger)</f>
        <v>55484</v>
      </c>
      <c r="Q1039" s="39">
        <f>_xll.qlInterestRateIndexValueDate(Index,P1039,Trigger)</f>
        <v>55486</v>
      </c>
      <c r="R1039" s="39">
        <f>_xll.qlInterestRateIndexMaturity(Index,Q1039,Trigger)</f>
        <v>55578</v>
      </c>
      <c r="S1039" s="40">
        <f>_xll.qlDayCounterYearFraction(DayCounter,Q1039,R1039,,,Trigger)</f>
        <v>0.25555555555555554</v>
      </c>
      <c r="T1039" s="41">
        <f>_xll.qlIndexFixing(Index,P1039,,AllTriggers)</f>
        <v>7.8573172081708442E-3</v>
      </c>
      <c r="U1039" s="42">
        <f>_xll.qlYieldTSDiscount(OisCurve,Q1039,,AllTriggers)</f>
        <v>0.78312946067071665</v>
      </c>
      <c r="V1039" s="42">
        <f>_xll.qlYieldTSDiscount(OisCurve,R1039,,AllTriggers)</f>
        <v>0.78165930056859023</v>
      </c>
      <c r="W1039" s="41">
        <f t="shared" si="68"/>
        <v>7.359728714851476E-3</v>
      </c>
      <c r="X1039" s="43">
        <f t="shared" si="69"/>
        <v>1.2691473097641083E-4</v>
      </c>
      <c r="Y1039" s="41">
        <f t="shared" si="70"/>
        <v>4.9758849331936819E-4</v>
      </c>
      <c r="Z1039" s="62"/>
    </row>
    <row r="1040" spans="15:26" x14ac:dyDescent="0.25">
      <c r="O1040" s="45" t="s">
        <v>21</v>
      </c>
      <c r="P1040" s="39">
        <f>_xll.qlCalendarAdvance(Calendar,P1039,O1039,"f",,Trigger)</f>
        <v>55514</v>
      </c>
      <c r="Q1040" s="39">
        <f>_xll.qlInterestRateIndexValueDate(Index,P1040,Trigger)</f>
        <v>55516</v>
      </c>
      <c r="R1040" s="39">
        <f>_xll.qlInterestRateIndexMaturity(Index,Q1040,Trigger)</f>
        <v>55607</v>
      </c>
      <c r="S1040" s="40">
        <f>_xll.qlDayCounterYearFraction(DayCounter,Q1040,R1040,,,Trigger)</f>
        <v>0.25277777777777777</v>
      </c>
      <c r="T1040" s="41">
        <f>_xll.qlIndexFixing(Index,P1040,,AllTriggers)</f>
        <v>7.8341212623765939E-3</v>
      </c>
      <c r="U1040" s="42">
        <f>_xll.qlYieldTSDiscount(OisCurve,Q1040,,AllTriggers)</f>
        <v>0.78264827655255353</v>
      </c>
      <c r="V1040" s="42">
        <f>_xll.qlYieldTSDiscount(OisCurve,R1040,,AllTriggers)</f>
        <v>0.78119928296822061</v>
      </c>
      <c r="W1040" s="41">
        <f t="shared" si="68"/>
        <v>7.337797712597573E-3</v>
      </c>
      <c r="X1040" s="43">
        <f t="shared" si="69"/>
        <v>1.25219448082833E-4</v>
      </c>
      <c r="Y1040" s="41">
        <f t="shared" si="70"/>
        <v>4.9632354977902082E-4</v>
      </c>
      <c r="Z1040" s="62"/>
    </row>
    <row r="1041" spans="15:26" x14ac:dyDescent="0.25">
      <c r="O1041" s="45" t="s">
        <v>21</v>
      </c>
      <c r="P1041" s="39">
        <f>_xll.qlCalendarAdvance(Calendar,P1040,O1040,"f",,Trigger)</f>
        <v>55547</v>
      </c>
      <c r="Q1041" s="39">
        <f>_xll.qlInterestRateIndexValueDate(Index,P1041,Trigger)</f>
        <v>55549</v>
      </c>
      <c r="R1041" s="39">
        <f>_xll.qlInterestRateIndexMaturity(Index,Q1041,Trigger)</f>
        <v>55639</v>
      </c>
      <c r="S1041" s="40">
        <f>_xll.qlDayCounterYearFraction(DayCounter,Q1041,R1041,,,Trigger)</f>
        <v>0.25</v>
      </c>
      <c r="T1041" s="41">
        <f>_xll.qlIndexFixing(Index,P1041,,AllTriggers)</f>
        <v>7.8081990342822039E-3</v>
      </c>
      <c r="U1041" s="42">
        <f>_xll.qlYieldTSDiscount(OisCurve,Q1041,,AllTriggers)</f>
        <v>0.78212096124168329</v>
      </c>
      <c r="V1041" s="42">
        <f>_xll.qlYieldTSDiscount(OisCurve,R1041,,AllTriggers)</f>
        <v>0.78069360425960788</v>
      </c>
      <c r="W1041" s="41">
        <f t="shared" si="68"/>
        <v>7.3132761651306666E-3</v>
      </c>
      <c r="X1041" s="43">
        <f t="shared" si="69"/>
        <v>1.234972848040155E-4</v>
      </c>
      <c r="Y1041" s="41">
        <f t="shared" si="70"/>
        <v>4.9492286915153727E-4</v>
      </c>
      <c r="Z1041" s="62"/>
    </row>
    <row r="1042" spans="15:26" x14ac:dyDescent="0.25">
      <c r="O1042" s="45" t="s">
        <v>21</v>
      </c>
      <c r="P1042" s="39">
        <f>_xll.qlCalendarAdvance(Calendar,P1041,O1041,"f",,Trigger)</f>
        <v>55578</v>
      </c>
      <c r="Q1042" s="39">
        <f>_xll.qlInterestRateIndexValueDate(Index,P1042,Trigger)</f>
        <v>55582</v>
      </c>
      <c r="R1042" s="39">
        <f>_xll.qlInterestRateIndexMaturity(Index,Q1042,Trigger)</f>
        <v>55674</v>
      </c>
      <c r="S1042" s="40">
        <f>_xll.qlDayCounterYearFraction(DayCounter,Q1042,R1042,,,Trigger)</f>
        <v>0.25555555555555554</v>
      </c>
      <c r="T1042" s="41">
        <f>_xll.qlIndexFixing(Index,P1042,,AllTriggers)</f>
        <v>7.7809061238518305E-3</v>
      </c>
      <c r="U1042" s="42">
        <f>_xll.qlYieldTSDiscount(OisCurve,Q1042,,AllTriggers)</f>
        <v>0.78159575180156993</v>
      </c>
      <c r="V1042" s="42">
        <f>_xll.qlYieldTSDiscount(OisCurve,R1042,,AllTriggers)</f>
        <v>0.78014285873449729</v>
      </c>
      <c r="W1042" s="41">
        <f t="shared" si="68"/>
        <v>7.2874264976815926E-3</v>
      </c>
      <c r="X1042" s="43">
        <f t="shared" si="69"/>
        <v>1.2586911204394408E-4</v>
      </c>
      <c r="Y1042" s="41">
        <f t="shared" si="70"/>
        <v>4.9347962617023785E-4</v>
      </c>
      <c r="Z1042" s="62"/>
    </row>
    <row r="1043" spans="15:26" x14ac:dyDescent="0.25">
      <c r="O1043" s="45" t="s">
        <v>21</v>
      </c>
      <c r="P1043" s="39">
        <f>_xll.qlCalendarAdvance(Calendar,P1042,O1042,"f",,Trigger)</f>
        <v>55607</v>
      </c>
      <c r="Q1043" s="39">
        <f>_xll.qlInterestRateIndexValueDate(Index,P1043,Trigger)</f>
        <v>55611</v>
      </c>
      <c r="R1043" s="39">
        <f>_xll.qlInterestRateIndexMaturity(Index,Q1043,Trigger)</f>
        <v>55702</v>
      </c>
      <c r="S1043" s="40">
        <f>_xll.qlDayCounterYearFraction(DayCounter,Q1043,R1043,,,Trigger)</f>
        <v>0.25277777777777777</v>
      </c>
      <c r="T1043" s="41">
        <f>_xll.qlIndexFixing(Index,P1043,,AllTriggers)</f>
        <v>7.7574773476874409E-3</v>
      </c>
      <c r="U1043" s="42">
        <f>_xll.qlYieldTSDiscount(OisCurve,Q1043,,AllTriggers)</f>
        <v>0.78113596214639902</v>
      </c>
      <c r="V1043" s="42">
        <f>_xll.qlYieldTSDiscount(OisCurve,R1043,,AllTriggers)</f>
        <v>0.77970404205955868</v>
      </c>
      <c r="W1043" s="41">
        <f t="shared" si="68"/>
        <v>7.2652423220992716E-3</v>
      </c>
      <c r="X1043" s="43">
        <f t="shared" si="69"/>
        <v>1.2419027539460536E-4</v>
      </c>
      <c r="Y1043" s="41">
        <f t="shared" si="70"/>
        <v>4.9223502558816933E-4</v>
      </c>
      <c r="Z1043" s="62"/>
    </row>
    <row r="1044" spans="15:26" x14ac:dyDescent="0.25">
      <c r="O1044" s="45" t="s">
        <v>21</v>
      </c>
      <c r="P1044" s="39">
        <f>_xll.qlCalendarAdvance(Calendar,P1043,O1043,"f",,Trigger)</f>
        <v>55638</v>
      </c>
      <c r="Q1044" s="39">
        <f>_xll.qlInterestRateIndexValueDate(Index,P1044,Trigger)</f>
        <v>55641</v>
      </c>
      <c r="R1044" s="39">
        <f>_xll.qlInterestRateIndexMaturity(Index,Q1044,Trigger)</f>
        <v>55733</v>
      </c>
      <c r="S1044" s="40">
        <f>_xll.qlDayCounterYearFraction(DayCounter,Q1044,R1044,,,Trigger)</f>
        <v>0.25555555555555554</v>
      </c>
      <c r="T1044" s="41">
        <f>_xll.qlIndexFixing(Index,P1044,,AllTriggers)</f>
        <v>7.7322349410338794E-3</v>
      </c>
      <c r="U1044" s="42">
        <f>_xll.qlYieldTSDiscount(OisCurve,Q1044,,AllTriggers)</f>
        <v>0.78066206695582518</v>
      </c>
      <c r="V1044" s="42">
        <f>_xll.qlYieldTSDiscount(OisCurve,R1044,,AllTriggers)</f>
        <v>0.77922007417215333</v>
      </c>
      <c r="W1044" s="41">
        <f t="shared" si="68"/>
        <v>7.2413181396038936E-3</v>
      </c>
      <c r="X1044" s="43">
        <f t="shared" si="69"/>
        <v>1.2521694009888414E-4</v>
      </c>
      <c r="Y1044" s="41">
        <f t="shared" si="70"/>
        <v>4.9091680142998584E-4</v>
      </c>
      <c r="Z1044" s="62"/>
    </row>
    <row r="1045" spans="15:26" x14ac:dyDescent="0.25">
      <c r="O1045" s="45" t="s">
        <v>21</v>
      </c>
      <c r="P1045" s="39">
        <f>_xll.qlCalendarAdvance(Calendar,P1044,O1044,"f",,Trigger)</f>
        <v>55668</v>
      </c>
      <c r="Q1045" s="39">
        <f>_xll.qlInterestRateIndexValueDate(Index,P1045,Trigger)</f>
        <v>55670</v>
      </c>
      <c r="R1045" s="39">
        <f>_xll.qlInterestRateIndexMaturity(Index,Q1045,Trigger)</f>
        <v>55761</v>
      </c>
      <c r="S1045" s="40">
        <f>_xll.qlDayCounterYearFraction(DayCounter,Q1045,R1045,,,Trigger)</f>
        <v>0.25277777777777777</v>
      </c>
      <c r="T1045" s="41">
        <f>_xll.qlIndexFixing(Index,P1045,,AllTriggers)</f>
        <v>7.708178331131371E-3</v>
      </c>
      <c r="U1045" s="42">
        <f>_xll.qlYieldTSDiscount(OisCurve,Q1045,,AllTriggers)</f>
        <v>0.78020567642477412</v>
      </c>
      <c r="V1045" s="42">
        <f>_xll.qlYieldTSDiscount(OisCurve,R1045,,AllTriggers)</f>
        <v>0.77878464257156599</v>
      </c>
      <c r="W1045" s="41">
        <f t="shared" si="68"/>
        <v>7.2185198307904231E-3</v>
      </c>
      <c r="X1045" s="43">
        <f t="shared" si="69"/>
        <v>1.2354171779378837E-4</v>
      </c>
      <c r="Y1045" s="41">
        <f t="shared" si="70"/>
        <v>4.8965850034094795E-4</v>
      </c>
      <c r="Z1045" s="62"/>
    </row>
    <row r="1046" spans="15:26" x14ac:dyDescent="0.25">
      <c r="O1046" s="45" t="s">
        <v>21</v>
      </c>
      <c r="P1046" s="39">
        <f>_xll.qlCalendarAdvance(Calendar,P1045,O1045,"f",,Trigger)</f>
        <v>55701</v>
      </c>
      <c r="Q1046" s="39">
        <f>_xll.qlInterestRateIndexValueDate(Index,P1046,Trigger)</f>
        <v>55703</v>
      </c>
      <c r="R1046" s="39">
        <f>_xll.qlInterestRateIndexMaturity(Index,Q1046,Trigger)</f>
        <v>55795</v>
      </c>
      <c r="S1046" s="40">
        <f>_xll.qlDayCounterYearFraction(DayCounter,Q1046,R1046,,,Trigger)</f>
        <v>0.25555555555555554</v>
      </c>
      <c r="T1046" s="41">
        <f>_xll.qlIndexFixing(Index,P1046,,AllTriggers)</f>
        <v>7.6796860691947418E-3</v>
      </c>
      <c r="U1046" s="42">
        <f>_xll.qlYieldTSDiscount(OisCurve,Q1046,,AllTriggers)</f>
        <v>0.77968839950529556</v>
      </c>
      <c r="V1046" s="42">
        <f>_xll.qlYieldTSDiscount(OisCurve,R1046,,AllTriggers)</f>
        <v>0.77825809650331179</v>
      </c>
      <c r="W1046" s="41">
        <f t="shared" si="68"/>
        <v>7.1914932321240485E-3</v>
      </c>
      <c r="X1046" s="43">
        <f t="shared" si="69"/>
        <v>1.2452377100989577E-4</v>
      </c>
      <c r="Y1046" s="41">
        <f t="shared" si="70"/>
        <v>4.8819283707069328E-4</v>
      </c>
      <c r="Z1046" s="62"/>
    </row>
    <row r="1047" spans="15:26" x14ac:dyDescent="0.25">
      <c r="O1047" s="45" t="s">
        <v>21</v>
      </c>
      <c r="P1047" s="39">
        <f>_xll.qlCalendarAdvance(Calendar,P1046,O1046,"f",,Trigger)</f>
        <v>55732</v>
      </c>
      <c r="Q1047" s="39">
        <f>_xll.qlInterestRateIndexValueDate(Index,P1047,Trigger)</f>
        <v>55736</v>
      </c>
      <c r="R1047" s="39">
        <f>_xll.qlInterestRateIndexMaturity(Index,Q1047,Trigger)</f>
        <v>55828</v>
      </c>
      <c r="S1047" s="40">
        <f>_xll.qlDayCounterYearFraction(DayCounter,Q1047,R1047,,,Trigger)</f>
        <v>0.25555555555555554</v>
      </c>
      <c r="T1047" s="41">
        <f>_xll.qlIndexFixing(Index,P1047,,AllTriggers)</f>
        <v>7.6511302790353061E-3</v>
      </c>
      <c r="U1047" s="42">
        <f>_xll.qlYieldTSDiscount(OisCurve,Q1047,,AllTriggers)</f>
        <v>0.77917334328730514</v>
      </c>
      <c r="V1047" s="42">
        <f>_xll.qlYieldTSDiscount(OisCurve,R1047,,AllTriggers)</f>
        <v>0.77774936022064445</v>
      </c>
      <c r="W1047" s="41">
        <f t="shared" si="68"/>
        <v>7.164400174588333E-3</v>
      </c>
      <c r="X1047" s="43">
        <f t="shared" si="69"/>
        <v>1.2415155165645188E-4</v>
      </c>
      <c r="Y1047" s="41">
        <f t="shared" si="70"/>
        <v>4.8673010444697309E-4</v>
      </c>
      <c r="Z1047" s="62"/>
    </row>
    <row r="1048" spans="15:26" x14ac:dyDescent="0.25">
      <c r="O1048" s="45" t="s">
        <v>21</v>
      </c>
      <c r="P1048" s="39">
        <f>_xll.qlCalendarAdvance(Calendar,P1047,O1047,"f",,Trigger)</f>
        <v>55764</v>
      </c>
      <c r="Q1048" s="39">
        <f>_xll.qlInterestRateIndexValueDate(Index,P1048,Trigger)</f>
        <v>55766</v>
      </c>
      <c r="R1048" s="39">
        <f>_xll.qlInterestRateIndexMaturity(Index,Q1048,Trigger)</f>
        <v>55857</v>
      </c>
      <c r="S1048" s="40">
        <f>_xll.qlDayCounterYearFraction(DayCounter,Q1048,R1048,,,Trigger)</f>
        <v>0.25277777777777777</v>
      </c>
      <c r="T1048" s="41">
        <f>_xll.qlIndexFixing(Index,P1048,,AllTriggers)</f>
        <v>7.6251805203129764E-3</v>
      </c>
      <c r="U1048" s="42">
        <f>_xll.qlYieldTSDiscount(OisCurve,Q1048,,AllTriggers)</f>
        <v>0.77870705798655915</v>
      </c>
      <c r="V1048" s="42">
        <f>_xll.qlYieldTSDiscount(OisCurve,R1048,,AllTriggers)</f>
        <v>0.77730419757804814</v>
      </c>
      <c r="W1048" s="41">
        <f t="shared" si="68"/>
        <v>7.1397754669995876E-3</v>
      </c>
      <c r="X1048" s="43">
        <f t="shared" si="69"/>
        <v>1.2247106436787288E-4</v>
      </c>
      <c r="Y1048" s="41">
        <f t="shared" si="70"/>
        <v>4.8540505331338881E-4</v>
      </c>
      <c r="Z1048" s="62"/>
    </row>
    <row r="1049" spans="15:26" x14ac:dyDescent="0.25">
      <c r="O1049" s="45" t="s">
        <v>21</v>
      </c>
      <c r="P1049" s="39">
        <f>_xll.qlCalendarAdvance(Calendar,P1048,O1048,"f",,Trigger)</f>
        <v>55794</v>
      </c>
      <c r="Q1049" s="39">
        <f>_xll.qlInterestRateIndexValueDate(Index,P1049,Trigger)</f>
        <v>55796</v>
      </c>
      <c r="R1049" s="39">
        <f>_xll.qlInterestRateIndexMaturity(Index,Q1049,Trigger)</f>
        <v>55890</v>
      </c>
      <c r="S1049" s="40">
        <f>_xll.qlDayCounterYearFraction(DayCounter,Q1049,R1049,,,Trigger)</f>
        <v>0.26111111111111113</v>
      </c>
      <c r="T1049" s="41">
        <f>_xll.qlIndexFixing(Index,P1049,,AllTriggers)</f>
        <v>7.5974275692256895E-3</v>
      </c>
      <c r="U1049" s="42">
        <f>_xll.qlYieldTSDiscount(OisCurve,Q1049,,AllTriggers)</f>
        <v>0.77824264650305131</v>
      </c>
      <c r="V1049" s="42">
        <f>_xll.qlYieldTSDiscount(OisCurve,R1049,,AllTriggers)</f>
        <v>0.77679982693822569</v>
      </c>
      <c r="W1049" s="41">
        <f t="shared" si="68"/>
        <v>7.1134052284427731E-3</v>
      </c>
      <c r="X1049" s="43">
        <f t="shared" si="69"/>
        <v>1.2614134670460938E-4</v>
      </c>
      <c r="Y1049" s="41">
        <f t="shared" si="70"/>
        <v>4.8402234078291639E-4</v>
      </c>
      <c r="Z1049" s="62"/>
    </row>
    <row r="1050" spans="15:26" x14ac:dyDescent="0.25">
      <c r="O1050" s="45" t="s">
        <v>21</v>
      </c>
      <c r="P1050" s="39">
        <f>_xll.qlCalendarAdvance(Calendar,P1049,O1049,"f",,Trigger)</f>
        <v>55827</v>
      </c>
      <c r="Q1050" s="39">
        <f>_xll.qlInterestRateIndexValueDate(Index,P1050,Trigger)</f>
        <v>55829</v>
      </c>
      <c r="R1050" s="39">
        <f>_xll.qlInterestRateIndexMaturity(Index,Q1050,Trigger)</f>
        <v>55921</v>
      </c>
      <c r="S1050" s="40">
        <f>_xll.qlDayCounterYearFraction(DayCounter,Q1050,R1050,,,Trigger)</f>
        <v>0.25555555555555554</v>
      </c>
      <c r="T1050" s="41">
        <f>_xll.qlIndexFixing(Index,P1050,,AllTriggers)</f>
        <v>7.5684637541820329E-3</v>
      </c>
      <c r="U1050" s="42">
        <f>_xll.qlYieldTSDiscount(OisCurve,Q1050,,AllTriggers)</f>
        <v>0.77773397995464322</v>
      </c>
      <c r="V1050" s="42">
        <f>_xll.qlYieldTSDiscount(OisCurve,R1050,,AllTriggers)</f>
        <v>0.77632817218424444</v>
      </c>
      <c r="W1050" s="41">
        <f t="shared" si="68"/>
        <v>7.0859040348488249E-3</v>
      </c>
      <c r="X1050" s="43">
        <f t="shared" si="69"/>
        <v>1.230903303609547E-4</v>
      </c>
      <c r="Y1050" s="41">
        <f t="shared" si="70"/>
        <v>4.8255971933320804E-4</v>
      </c>
      <c r="Z1050" s="62"/>
    </row>
    <row r="1051" spans="15:26" x14ac:dyDescent="0.25">
      <c r="O1051" s="45" t="s">
        <v>21</v>
      </c>
      <c r="P1051" s="39">
        <f>_xll.qlCalendarAdvance(Calendar,P1050,O1050,"f",,Trigger)</f>
        <v>55857</v>
      </c>
      <c r="Q1051" s="39">
        <f>_xll.qlInterestRateIndexValueDate(Index,P1051,Trigger)</f>
        <v>55859</v>
      </c>
      <c r="R1051" s="39">
        <f>_xll.qlInterestRateIndexMaturity(Index,Q1051,Trigger)</f>
        <v>55949</v>
      </c>
      <c r="S1051" s="40">
        <f>_xll.qlDayCounterYearFraction(DayCounter,Q1051,R1051,,,Trigger)</f>
        <v>0.25</v>
      </c>
      <c r="T1051" s="41">
        <f>_xll.qlIndexFixing(Index,P1051,,AllTriggers)</f>
        <v>7.541872255353077E-3</v>
      </c>
      <c r="U1051" s="42">
        <f>_xll.qlYieldTSDiscount(OisCurve,Q1051,,AllTriggers)</f>
        <v>0.77727356296748051</v>
      </c>
      <c r="V1051" s="42">
        <f>_xll.qlYieldTSDiscount(OisCurve,R1051,,AllTriggers)</f>
        <v>0.77590396698483743</v>
      </c>
      <c r="W1051" s="41">
        <f t="shared" si="68"/>
        <v>7.0606468888945173E-3</v>
      </c>
      <c r="X1051" s="43">
        <f t="shared" si="69"/>
        <v>1.2008714490514266E-4</v>
      </c>
      <c r="Y1051" s="41">
        <f t="shared" si="70"/>
        <v>4.8122536645855973E-4</v>
      </c>
      <c r="Z1051" s="62"/>
    </row>
    <row r="1052" spans="15:26" x14ac:dyDescent="0.25">
      <c r="O1052" s="45" t="s">
        <v>21</v>
      </c>
      <c r="P1052" s="39">
        <f>_xll.qlCalendarAdvance(Calendar,P1051,O1051,"f",,Trigger)</f>
        <v>55890</v>
      </c>
      <c r="Q1052" s="39">
        <f>_xll.qlInterestRateIndexValueDate(Index,P1052,Trigger)</f>
        <v>55892</v>
      </c>
      <c r="R1052" s="39">
        <f>_xll.qlInterestRateIndexMaturity(Index,Q1052,Trigger)</f>
        <v>55982</v>
      </c>
      <c r="S1052" s="40">
        <f>_xll.qlDayCounterYearFraction(DayCounter,Q1052,R1052,,,Trigger)</f>
        <v>0.25</v>
      </c>
      <c r="T1052" s="41">
        <f>_xll.qlIndexFixing(Index,P1052,,AllTriggers)</f>
        <v>7.5114049123250481E-3</v>
      </c>
      <c r="U1052" s="42">
        <f>_xll.qlYieldTSDiscount(OisCurve,Q1052,,AllTriggers)</f>
        <v>0.77676933457834252</v>
      </c>
      <c r="V1052" s="42">
        <f>_xll.qlYieldTSDiscount(OisCurve,R1052,,AllTriggers)</f>
        <v>0.77540623164909406</v>
      </c>
      <c r="W1052" s="41">
        <f t="shared" si="68"/>
        <v>7.0316841604407543E-3</v>
      </c>
      <c r="X1052" s="43">
        <f t="shared" si="69"/>
        <v>1.1971256430360879E-4</v>
      </c>
      <c r="Y1052" s="41">
        <f t="shared" si="70"/>
        <v>4.7972075188429386E-4</v>
      </c>
      <c r="Z1052" s="62"/>
    </row>
    <row r="1053" spans="15:26" x14ac:dyDescent="0.25">
      <c r="O1053" s="45" t="s">
        <v>21</v>
      </c>
      <c r="P1053" s="39">
        <f>_xll.qlCalendarAdvance(Calendar,P1052,O1052,"f",,Trigger)</f>
        <v>55921</v>
      </c>
      <c r="Q1053" s="39">
        <f>_xll.qlInterestRateIndexValueDate(Index,P1053,Trigger)</f>
        <v>55925</v>
      </c>
      <c r="R1053" s="39">
        <f>_xll.qlInterestRateIndexMaturity(Index,Q1053,Trigger)</f>
        <v>56016</v>
      </c>
      <c r="S1053" s="40">
        <f>_xll.qlDayCounterYearFraction(DayCounter,Q1053,R1053,,,Trigger)</f>
        <v>0.25277777777777777</v>
      </c>
      <c r="T1053" s="41">
        <f>_xll.qlIndexFixing(Index,P1053,,AllTriggers)</f>
        <v>7.4801342736388766E-3</v>
      </c>
      <c r="U1053" s="42">
        <f>_xll.qlYieldTSDiscount(OisCurve,Q1053,,AllTriggers)</f>
        <v>0.77626746614292541</v>
      </c>
      <c r="V1053" s="42">
        <f>_xll.qlYieldTSDiscount(OisCurve,R1053,,AllTriggers)</f>
        <v>0.77489595070292783</v>
      </c>
      <c r="W1053" s="41">
        <f t="shared" si="68"/>
        <v>7.0019405342117425E-3</v>
      </c>
      <c r="X1053" s="43">
        <f t="shared" si="69"/>
        <v>1.2065590559287642E-4</v>
      </c>
      <c r="Y1053" s="41">
        <f t="shared" si="70"/>
        <v>4.7819373942713413E-4</v>
      </c>
      <c r="Z1053" s="62"/>
    </row>
    <row r="1054" spans="15:26" x14ac:dyDescent="0.25">
      <c r="O1054" s="45" t="s">
        <v>21</v>
      </c>
      <c r="P1054" s="39">
        <f>_xll.qlCalendarAdvance(Calendar,P1053,O1053,"f",,Trigger)</f>
        <v>55949</v>
      </c>
      <c r="Q1054" s="39">
        <f>_xll.qlInterestRateIndexValueDate(Index,P1054,Trigger)</f>
        <v>55953</v>
      </c>
      <c r="R1054" s="39">
        <f>_xll.qlInterestRateIndexMaturity(Index,Q1054,Trigger)</f>
        <v>56045</v>
      </c>
      <c r="S1054" s="40">
        <f>_xll.qlDayCounterYearFraction(DayCounter,Q1054,R1054,,,Trigger)</f>
        <v>0.25555555555555554</v>
      </c>
      <c r="T1054" s="41">
        <f>_xll.qlIndexFixing(Index,P1054,,AllTriggers)</f>
        <v>7.4532105569899785E-3</v>
      </c>
      <c r="U1054" s="42">
        <f>_xll.qlYieldTSDiscount(OisCurve,Q1054,,AllTriggers)</f>
        <v>0.77584350704054117</v>
      </c>
      <c r="V1054" s="42">
        <f>_xll.qlYieldTSDiscount(OisCurve,R1054,,AllTriggers)</f>
        <v>0.77446276553850479</v>
      </c>
      <c r="W1054" s="41">
        <f t="shared" si="68"/>
        <v>6.9763218712664389E-3</v>
      </c>
      <c r="X1054" s="43">
        <f t="shared" si="69"/>
        <v>1.2164726315768722E-4</v>
      </c>
      <c r="Y1054" s="41">
        <f t="shared" si="70"/>
        <v>4.7688868572353955E-4</v>
      </c>
      <c r="Z1054" s="62"/>
    </row>
    <row r="1055" spans="15:26" x14ac:dyDescent="0.25">
      <c r="O1055" s="45" t="s">
        <v>21</v>
      </c>
      <c r="P1055" s="39">
        <f>_xll.qlCalendarAdvance(Calendar,P1054,O1054,"f",,Trigger)</f>
        <v>55982</v>
      </c>
      <c r="Q1055" s="39">
        <f>_xll.qlInterestRateIndexValueDate(Index,P1055,Trigger)</f>
        <v>55984</v>
      </c>
      <c r="R1055" s="39">
        <f>_xll.qlInterestRateIndexMaturity(Index,Q1055,Trigger)</f>
        <v>56075</v>
      </c>
      <c r="S1055" s="40">
        <f>_xll.qlDayCounterYearFraction(DayCounter,Q1055,R1055,,,Trigger)</f>
        <v>0.25277777777777777</v>
      </c>
      <c r="T1055" s="41">
        <f>_xll.qlIndexFixing(Index,P1055,,AllTriggers)</f>
        <v>7.4239073120783176E-3</v>
      </c>
      <c r="U1055" s="42">
        <f>_xll.qlYieldTSDiscount(OisCurve,Q1055,,AllTriggers)</f>
        <v>0.77537614358893292</v>
      </c>
      <c r="V1055" s="42">
        <f>_xll.qlYieldTSDiscount(OisCurve,R1055,,AllTriggers)</f>
        <v>0.77401665160808819</v>
      </c>
      <c r="W1055" s="41">
        <f t="shared" si="68"/>
        <v>6.948442288596251E-3</v>
      </c>
      <c r="X1055" s="43">
        <f t="shared" si="69"/>
        <v>1.1996906774408236E-4</v>
      </c>
      <c r="Y1055" s="41">
        <f t="shared" si="70"/>
        <v>4.7546502348206655E-4</v>
      </c>
      <c r="Z1055" s="62"/>
    </row>
    <row r="1056" spans="15:26" x14ac:dyDescent="0.25">
      <c r="O1056" s="45" t="s">
        <v>21</v>
      </c>
      <c r="P1056" s="39">
        <f>_xll.qlCalendarAdvance(Calendar,P1055,O1055,"f",,Trigger)</f>
        <v>56012</v>
      </c>
      <c r="Q1056" s="39">
        <f>_xll.qlInterestRateIndexValueDate(Index,P1056,Trigger)</f>
        <v>56016</v>
      </c>
      <c r="R1056" s="39">
        <f>_xll.qlInterestRateIndexMaturity(Index,Q1056,Trigger)</f>
        <v>56108</v>
      </c>
      <c r="S1056" s="40">
        <f>_xll.qlDayCounterYearFraction(DayCounter,Q1056,R1056,,,Trigger)</f>
        <v>0.25555555555555554</v>
      </c>
      <c r="T1056" s="41">
        <f>_xll.qlIndexFixing(Index,P1056,,AllTriggers)</f>
        <v>7.3924518726418923E-3</v>
      </c>
      <c r="U1056" s="42">
        <f>_xll.qlYieldTSDiscount(OisCurve,Q1056,,AllTriggers)</f>
        <v>0.77489595070292783</v>
      </c>
      <c r="V1056" s="42">
        <f>_xll.qlYieldTSDiscount(OisCurve,R1056,,AllTriggers)</f>
        <v>0.77352830680542395</v>
      </c>
      <c r="W1056" s="41">
        <f t="shared" si="68"/>
        <v>6.9184928161358317E-3</v>
      </c>
      <c r="X1056" s="43">
        <f t="shared" si="69"/>
        <v>1.2090178663251568E-4</v>
      </c>
      <c r="Y1056" s="41">
        <f t="shared" si="70"/>
        <v>4.7395905650606061E-4</v>
      </c>
      <c r="Z1056" s="62"/>
    </row>
    <row r="1057" spans="15:26" x14ac:dyDescent="0.25">
      <c r="O1057" s="45" t="s">
        <v>21</v>
      </c>
      <c r="P1057" s="39">
        <f>_xll.qlCalendarAdvance(Calendar,P1056,O1056,"f",,Trigger)</f>
        <v>56044</v>
      </c>
      <c r="Q1057" s="39">
        <f>_xll.qlInterestRateIndexValueDate(Index,P1057,Trigger)</f>
        <v>56046</v>
      </c>
      <c r="R1057" s="39">
        <f>_xll.qlInterestRateIndexMaturity(Index,Q1057,Trigger)</f>
        <v>56138</v>
      </c>
      <c r="S1057" s="40">
        <f>_xll.qlDayCounterYearFraction(DayCounter,Q1057,R1057,,,Trigger)</f>
        <v>0.25555555555555554</v>
      </c>
      <c r="T1057" s="41">
        <f>_xll.qlIndexFixing(Index,P1057,,AllTriggers)</f>
        <v>7.362997563471088E-3</v>
      </c>
      <c r="U1057" s="42">
        <f>_xll.qlYieldTSDiscount(OisCurve,Q1057,,AllTriggers)</f>
        <v>0.77444786206747629</v>
      </c>
      <c r="V1057" s="42">
        <f>_xll.qlYieldTSDiscount(OisCurve,R1057,,AllTriggers)</f>
        <v>0.77308654054479886</v>
      </c>
      <c r="W1057" s="41">
        <f t="shared" si="68"/>
        <v>6.8904450236255592E-3</v>
      </c>
      <c r="X1057" s="43">
        <f t="shared" si="69"/>
        <v>1.2054388364861243E-4</v>
      </c>
      <c r="Y1057" s="41">
        <f t="shared" si="70"/>
        <v>4.7255253984552874E-4</v>
      </c>
      <c r="Z1057" s="62"/>
    </row>
    <row r="1058" spans="15:26" x14ac:dyDescent="0.25">
      <c r="O1058" s="45" t="s">
        <v>21</v>
      </c>
      <c r="P1058" s="39">
        <f>_xll.qlCalendarAdvance(Calendar,P1057,O1057,"f",,Trigger)</f>
        <v>56074</v>
      </c>
      <c r="Q1058" s="39">
        <f>_xll.qlInterestRateIndexValueDate(Index,P1058,Trigger)</f>
        <v>56076</v>
      </c>
      <c r="R1058" s="39">
        <f>_xll.qlInterestRateIndexMaturity(Index,Q1058,Trigger)</f>
        <v>56170</v>
      </c>
      <c r="S1058" s="40">
        <f>_xll.qlDayCounterYearFraction(DayCounter,Q1058,R1058,,,Trigger)</f>
        <v>0.26111111111111113</v>
      </c>
      <c r="T1058" s="41">
        <f>_xll.qlIndexFixing(Index,P1058,,AllTriggers)</f>
        <v>7.3323513707306085E-3</v>
      </c>
      <c r="U1058" s="42">
        <f>_xll.qlYieldTSDiscount(OisCurve,Q1058,,AllTriggers)</f>
        <v>0.77400181652984823</v>
      </c>
      <c r="V1058" s="42">
        <f>_xll.qlYieldTSDiscount(OisCurve,R1058,,AllTriggers)</f>
        <v>0.77261763617837798</v>
      </c>
      <c r="W1058" s="41">
        <f t="shared" si="68"/>
        <v>6.8612415656139339E-3</v>
      </c>
      <c r="X1058" s="43">
        <f t="shared" si="69"/>
        <v>1.227844787494668E-4</v>
      </c>
      <c r="Y1058" s="41">
        <f t="shared" si="70"/>
        <v>4.7110980511667466E-4</v>
      </c>
      <c r="Z1058" s="62"/>
    </row>
    <row r="1059" spans="15:26" x14ac:dyDescent="0.25">
      <c r="O1059" s="45" t="s">
        <v>21</v>
      </c>
      <c r="P1059" s="39">
        <f>_xll.qlCalendarAdvance(Calendar,P1058,O1058,"f",,Trigger)</f>
        <v>56107</v>
      </c>
      <c r="Q1059" s="39">
        <f>_xll.qlInterestRateIndexValueDate(Index,P1059,Trigger)</f>
        <v>56109</v>
      </c>
      <c r="R1059" s="39">
        <f>_xll.qlInterestRateIndexMaturity(Index,Q1059,Trigger)</f>
        <v>56201</v>
      </c>
      <c r="S1059" s="40">
        <f>_xll.qlDayCounterYearFraction(DayCounter,Q1059,R1059,,,Trigger)</f>
        <v>0.25555555555555554</v>
      </c>
      <c r="T1059" s="41">
        <f>_xll.qlIndexFixing(Index,P1059,,AllTriggers)</f>
        <v>7.300048192118159E-3</v>
      </c>
      <c r="U1059" s="42">
        <f>_xll.qlYieldTSDiscount(OisCurve,Q1059,,AllTriggers)</f>
        <v>0.77351354765004021</v>
      </c>
      <c r="V1059" s="42">
        <f>_xll.qlYieldTSDiscount(OisCurve,R1059,,AllTriggers)</f>
        <v>0.77216568193566648</v>
      </c>
      <c r="W1059" s="41">
        <f t="shared" si="68"/>
        <v>6.8304733900889534E-3</v>
      </c>
      <c r="X1059" s="43">
        <f t="shared" si="69"/>
        <v>1.197861676419457E-4</v>
      </c>
      <c r="Y1059" s="41">
        <f t="shared" si="70"/>
        <v>4.6957480202920558E-4</v>
      </c>
      <c r="Z1059" s="62"/>
    </row>
    <row r="1060" spans="15:26" x14ac:dyDescent="0.25">
      <c r="O1060" s="45" t="s">
        <v>21</v>
      </c>
      <c r="P1060" s="39">
        <f>_xll.qlCalendarAdvance(Calendar,P1059,O1059,"f",,Trigger)</f>
        <v>56138</v>
      </c>
      <c r="Q1060" s="39">
        <f>_xll.qlInterestRateIndexValueDate(Index,P1060,Trigger)</f>
        <v>56142</v>
      </c>
      <c r="R1060" s="39">
        <f>_xll.qlInterestRateIndexMaturity(Index,Q1060,Trigger)</f>
        <v>56233</v>
      </c>
      <c r="S1060" s="40">
        <f>_xll.qlDayCounterYearFraction(DayCounter,Q1060,R1060,,,Trigger)</f>
        <v>0.25277777777777777</v>
      </c>
      <c r="T1060" s="41">
        <f>_xll.qlIndexFixing(Index,P1060,,AllTriggers)</f>
        <v>7.2669236445651389E-3</v>
      </c>
      <c r="U1060" s="42">
        <f>_xll.qlYieldTSDiscount(OisCurve,Q1060,,AllTriggers)</f>
        <v>0.77302779650745812</v>
      </c>
      <c r="V1060" s="42">
        <f>_xll.qlYieldTSDiscount(OisCurve,R1060,,AllTriggers)</f>
        <v>0.77170154055525553</v>
      </c>
      <c r="W1060" s="41">
        <f t="shared" si="68"/>
        <v>6.7989067899269524E-3</v>
      </c>
      <c r="X1060" s="43">
        <f t="shared" si="69"/>
        <v>1.1809431671025383E-4</v>
      </c>
      <c r="Y1060" s="41">
        <f t="shared" si="70"/>
        <v>4.6801685463818653E-4</v>
      </c>
      <c r="Z1060" s="62"/>
    </row>
    <row r="1061" spans="15:26" x14ac:dyDescent="0.25">
      <c r="O1061" s="45" t="s">
        <v>21</v>
      </c>
      <c r="P1061" s="39">
        <f>_xll.qlCalendarAdvance(Calendar,P1060,O1060,"f",,Trigger)</f>
        <v>56170</v>
      </c>
      <c r="Q1061" s="39">
        <f>_xll.qlInterestRateIndexValueDate(Index,P1061,Trigger)</f>
        <v>56172</v>
      </c>
      <c r="R1061" s="39">
        <f>_xll.qlInterestRateIndexMaturity(Index,Q1061,Trigger)</f>
        <v>56264</v>
      </c>
      <c r="S1061" s="40">
        <f>_xll.qlDayCounterYearFraction(DayCounter,Q1061,R1061,,,Trigger)</f>
        <v>0.25555555555555554</v>
      </c>
      <c r="T1061" s="41">
        <f>_xll.qlIndexFixing(Index,P1061,,AllTriggers)</f>
        <v>7.2356148952010622E-3</v>
      </c>
      <c r="U1061" s="42">
        <f>_xll.qlYieldTSDiscount(OisCurve,Q1061,,AllTriggers)</f>
        <v>0.77258840941094298</v>
      </c>
      <c r="V1061" s="42">
        <f>_xll.qlYieldTSDiscount(OisCurve,R1061,,AllTriggers)</f>
        <v>0.77125424104068785</v>
      </c>
      <c r="W1061" s="41">
        <f t="shared" si="68"/>
        <v>6.7690504146648064E-3</v>
      </c>
      <c r="X1061" s="43">
        <f t="shared" si="69"/>
        <v>1.1902016037353889E-4</v>
      </c>
      <c r="Y1061" s="41">
        <f t="shared" si="70"/>
        <v>4.6656448053625579E-4</v>
      </c>
      <c r="Z1061" s="62"/>
    </row>
    <row r="1062" spans="15:26" x14ac:dyDescent="0.25">
      <c r="O1062" s="45" t="s">
        <v>21</v>
      </c>
      <c r="P1062" s="39">
        <f>_xll.qlCalendarAdvance(Calendar,P1061,O1061,"f",,Trigger)</f>
        <v>56201</v>
      </c>
      <c r="Q1062" s="39">
        <f>_xll.qlInterestRateIndexValueDate(Index,P1062,Trigger)</f>
        <v>56205</v>
      </c>
      <c r="R1062" s="39">
        <f>_xll.qlInterestRateIndexMaturity(Index,Q1062,Trigger)</f>
        <v>56297</v>
      </c>
      <c r="S1062" s="40">
        <f>_xll.qlDayCounterYearFraction(DayCounter,Q1062,R1062,,,Trigger)</f>
        <v>0.25555555555555554</v>
      </c>
      <c r="T1062" s="41">
        <f>_xll.qlIndexFixing(Index,P1062,,AllTriggers)</f>
        <v>7.2012719208732227E-3</v>
      </c>
      <c r="U1062" s="42">
        <f>_xll.qlYieldTSDiscount(OisCurve,Q1062,,AllTriggers)</f>
        <v>0.77210753094149498</v>
      </c>
      <c r="V1062" s="42">
        <f>_xll.qlYieldTSDiscount(OisCurve,R1062,,AllTriggers)</f>
        <v>0.77078063347363157</v>
      </c>
      <c r="W1062" s="41">
        <f t="shared" si="68"/>
        <v>6.736297277663103E-3</v>
      </c>
      <c r="X1062" s="43">
        <f t="shared" si="69"/>
        <v>1.1861560948682679E-4</v>
      </c>
      <c r="Y1062" s="41">
        <f t="shared" si="70"/>
        <v>4.6497464321011966E-4</v>
      </c>
      <c r="Z1062" s="62"/>
    </row>
    <row r="1063" spans="15:26" x14ac:dyDescent="0.25">
      <c r="O1063" s="45" t="s">
        <v>21</v>
      </c>
      <c r="P1063" s="39">
        <f>_xll.qlCalendarAdvance(Calendar,P1062,O1062,"f",,Trigger)</f>
        <v>56233</v>
      </c>
      <c r="Q1063" s="39">
        <f>_xll.qlInterestRateIndexValueDate(Index,P1063,Trigger)</f>
        <v>56235</v>
      </c>
      <c r="R1063" s="39">
        <f>_xll.qlInterestRateIndexMaturity(Index,Q1063,Trigger)</f>
        <v>56325</v>
      </c>
      <c r="S1063" s="40">
        <f>_xll.qlDayCounterYearFraction(DayCounter,Q1063,R1063,,,Trigger)</f>
        <v>0.25</v>
      </c>
      <c r="T1063" s="41">
        <f>_xll.qlIndexFixing(Index,P1063,,AllTriggers)</f>
        <v>7.1706185696696068E-3</v>
      </c>
      <c r="U1063" s="42">
        <f>_xll.qlYieldTSDiscount(OisCurve,Q1063,,AllTriggers)</f>
        <v>0.77167261288833222</v>
      </c>
      <c r="V1063" s="42">
        <f>_xll.qlYieldTSDiscount(OisCurve,R1063,,AllTriggers)</f>
        <v>0.77038086403160955</v>
      </c>
      <c r="W1063" s="41">
        <f t="shared" si="68"/>
        <v>6.7070661644557106E-3</v>
      </c>
      <c r="X1063" s="43">
        <f t="shared" si="69"/>
        <v>1.1568741724459461E-4</v>
      </c>
      <c r="Y1063" s="41">
        <f t="shared" si="70"/>
        <v>4.6355240521389618E-4</v>
      </c>
      <c r="Z1063" s="62"/>
    </row>
    <row r="1064" spans="15:26" x14ac:dyDescent="0.25">
      <c r="O1064" s="45" t="s">
        <v>21</v>
      </c>
      <c r="P1064" s="39">
        <f>_xll.qlCalendarAdvance(Calendar,P1063,O1063,"f",,Trigger)</f>
        <v>56264</v>
      </c>
      <c r="Q1064" s="39">
        <f>_xll.qlInterestRateIndexValueDate(Index,P1064,Trigger)</f>
        <v>56268</v>
      </c>
      <c r="R1064" s="39">
        <f>_xll.qlInterestRateIndexMaturity(Index,Q1064,Trigger)</f>
        <v>56359</v>
      </c>
      <c r="S1064" s="40">
        <f>_xll.qlDayCounterYearFraction(DayCounter,Q1064,R1064,,,Trigger)</f>
        <v>0.25277777777777777</v>
      </c>
      <c r="T1064" s="41">
        <f>_xll.qlIndexFixing(Index,P1064,,AllTriggers)</f>
        <v>7.1350448949749354E-3</v>
      </c>
      <c r="U1064" s="42">
        <f>_xll.qlYieldTSDiscount(OisCurve,Q1064,,AllTriggers)</f>
        <v>0.77119669356229281</v>
      </c>
      <c r="V1064" s="42">
        <f>_xll.qlYieldTSDiscount(OisCurve,R1064,,AllTriggers)</f>
        <v>0.76989801797790425</v>
      </c>
      <c r="W1064" s="41">
        <f t="shared" si="68"/>
        <v>6.6731145898727747E-3</v>
      </c>
      <c r="X1064" s="43">
        <f t="shared" si="69"/>
        <v>1.1656229187303263E-4</v>
      </c>
      <c r="Y1064" s="41">
        <f t="shared" si="70"/>
        <v>4.619303051021607E-4</v>
      </c>
      <c r="Z1064" s="62"/>
    </row>
    <row r="1065" spans="15:26" x14ac:dyDescent="0.25">
      <c r="O1065" s="45" t="s">
        <v>21</v>
      </c>
      <c r="P1065" s="39">
        <f>_xll.qlCalendarAdvance(Calendar,P1064,O1064,"f",,Trigger)</f>
        <v>56296</v>
      </c>
      <c r="Q1065" s="39">
        <f>_xll.qlInterestRateIndexValueDate(Index,P1065,Trigger)</f>
        <v>56298</v>
      </c>
      <c r="R1065" s="39">
        <f>_xll.qlInterestRateIndexMaturity(Index,Q1065,Trigger)</f>
        <v>56387</v>
      </c>
      <c r="S1065" s="40">
        <f>_xll.qlDayCounterYearFraction(DayCounter,Q1065,R1065,,,Trigger)</f>
        <v>0.24722222222222223</v>
      </c>
      <c r="T1065" s="41">
        <f>_xll.qlIndexFixing(Index,P1065,,AllTriggers)</f>
        <v>7.1037171676633717E-3</v>
      </c>
      <c r="U1065" s="42">
        <f>_xll.qlYieldTSDiscount(OisCurve,Q1065,,AllTriggers)</f>
        <v>0.77076632302202885</v>
      </c>
      <c r="V1065" s="42">
        <f>_xll.qlYieldTSDiscount(OisCurve,R1065,,AllTriggers)</f>
        <v>0.76950252861462309</v>
      </c>
      <c r="W1065" s="41">
        <f t="shared" si="68"/>
        <v>6.6432236258840115E-3</v>
      </c>
      <c r="X1065" s="43">
        <f t="shared" si="69"/>
        <v>1.1365111238873302E-4</v>
      </c>
      <c r="Y1065" s="41">
        <f t="shared" si="70"/>
        <v>4.6049354177936028E-4</v>
      </c>
      <c r="Z1065" s="62"/>
    </row>
    <row r="1066" spans="15:26" x14ac:dyDescent="0.25">
      <c r="O1066" s="45" t="s">
        <v>21</v>
      </c>
      <c r="P1066" s="39">
        <f>_xll.qlCalendarAdvance(Calendar,P1065,O1065,"f",,Trigger)</f>
        <v>56324</v>
      </c>
      <c r="Q1066" s="39">
        <f>_xll.qlInterestRateIndexValueDate(Index,P1066,Trigger)</f>
        <v>56326</v>
      </c>
      <c r="R1066" s="39">
        <f>_xll.qlInterestRateIndexMaturity(Index,Q1066,Trigger)</f>
        <v>56418</v>
      </c>
      <c r="S1066" s="40">
        <f>_xll.qlDayCounterYearFraction(DayCounter,Q1066,R1066,,,Trigger)</f>
        <v>0.25555555555555554</v>
      </c>
      <c r="T1066" s="41">
        <f>_xll.qlIndexFixing(Index,P1066,,AllTriggers)</f>
        <v>7.0718645974301155E-3</v>
      </c>
      <c r="U1066" s="42">
        <f>_xll.qlYieldTSDiscount(OisCurve,Q1066,,AllTriggers)</f>
        <v>0.77036662205414552</v>
      </c>
      <c r="V1066" s="42">
        <f>_xll.qlYieldTSDiscount(OisCurve,R1066,,AllTriggers)</f>
        <v>0.76906694758676553</v>
      </c>
      <c r="W1066" s="41">
        <f t="shared" si="68"/>
        <v>6.6127958227846237E-3</v>
      </c>
      <c r="X1066" s="43">
        <f t="shared" si="69"/>
        <v>1.1711279297421927E-4</v>
      </c>
      <c r="Y1066" s="41">
        <f t="shared" si="70"/>
        <v>4.5906877464549183E-4</v>
      </c>
      <c r="Z1066" s="62"/>
    </row>
    <row r="1067" spans="15:26" x14ac:dyDescent="0.25">
      <c r="O1067" s="45" t="s">
        <v>21</v>
      </c>
      <c r="P1067" s="39">
        <f>_xll.qlCalendarAdvance(Calendar,P1066,O1066,"f",,Trigger)</f>
        <v>56355</v>
      </c>
      <c r="Q1067" s="39">
        <f>_xll.qlInterestRateIndexValueDate(Index,P1067,Trigger)</f>
        <v>56359</v>
      </c>
      <c r="R1067" s="39">
        <f>_xll.qlInterestRateIndexMaturity(Index,Q1067,Trigger)</f>
        <v>56450</v>
      </c>
      <c r="S1067" s="40">
        <f>_xll.qlDayCounterYearFraction(DayCounter,Q1067,R1067,,,Trigger)</f>
        <v>0.25277777777777777</v>
      </c>
      <c r="T1067" s="41">
        <f>_xll.qlIndexFixing(Index,P1067,,AllTriggers)</f>
        <v>7.0361081112545725E-3</v>
      </c>
      <c r="U1067" s="42">
        <f>_xll.qlYieldTSDiscount(OisCurve,Q1067,,AllTriggers)</f>
        <v>0.76989801797790425</v>
      </c>
      <c r="V1067" s="42">
        <f>_xll.qlYieldTSDiscount(OisCurve,R1067,,AllTriggers)</f>
        <v>0.76861985104391417</v>
      </c>
      <c r="W1067" s="41">
        <f t="shared" si="68"/>
        <v>6.5786546719544398E-3</v>
      </c>
      <c r="X1067" s="43">
        <f t="shared" si="69"/>
        <v>1.154354278917697E-4</v>
      </c>
      <c r="Y1067" s="41">
        <f t="shared" si="70"/>
        <v>4.5745343930013276E-4</v>
      </c>
      <c r="Z1067" s="62"/>
    </row>
    <row r="1068" spans="15:26" x14ac:dyDescent="0.25">
      <c r="O1068" s="45" t="s">
        <v>21</v>
      </c>
      <c r="P1068" s="39">
        <f>_xll.qlCalendarAdvance(Calendar,P1067,O1067,"f",,Trigger)</f>
        <v>56387</v>
      </c>
      <c r="Q1068" s="39">
        <f>_xll.qlInterestRateIndexValueDate(Index,P1068,Trigger)</f>
        <v>56389</v>
      </c>
      <c r="R1068" s="39">
        <f>_xll.qlInterestRateIndexMaturity(Index,Q1068,Trigger)</f>
        <v>56481</v>
      </c>
      <c r="S1068" s="40">
        <f>_xll.qlDayCounterYearFraction(DayCounter,Q1068,R1068,,,Trigger)</f>
        <v>0.25555555555555554</v>
      </c>
      <c r="T1068" s="41">
        <f>_xll.qlIndexFixing(Index,P1068,,AllTriggers)</f>
        <v>7.0023205721629327E-3</v>
      </c>
      <c r="U1068" s="42">
        <f>_xll.qlYieldTSDiscount(OisCurve,Q1068,,AllTriggers)</f>
        <v>0.76947435405198472</v>
      </c>
      <c r="V1068" s="42">
        <f>_xll.qlYieldTSDiscount(OisCurve,R1068,,AllTriggers)</f>
        <v>0.76818920245816558</v>
      </c>
      <c r="W1068" s="41">
        <f t="shared" si="68"/>
        <v>6.5463743133572462E-3</v>
      </c>
      <c r="X1068" s="43">
        <f t="shared" si="69"/>
        <v>1.1631822691594161E-4</v>
      </c>
      <c r="Y1068" s="41">
        <f t="shared" si="70"/>
        <v>4.5594625880568656E-4</v>
      </c>
      <c r="Z1068" s="62"/>
    </row>
    <row r="1069" spans="15:26" x14ac:dyDescent="0.25">
      <c r="O1069" s="45" t="s">
        <v>21</v>
      </c>
      <c r="P1069" s="39">
        <f>_xll.qlCalendarAdvance(Calendar,P1068,O1068,"f",,Trigger)</f>
        <v>56418</v>
      </c>
      <c r="Q1069" s="39">
        <f>_xll.qlInterestRateIndexValueDate(Index,P1069,Trigger)</f>
        <v>56422</v>
      </c>
      <c r="R1069" s="39">
        <f>_xll.qlInterestRateIndexMaturity(Index,Q1069,Trigger)</f>
        <v>56514</v>
      </c>
      <c r="S1069" s="40">
        <f>_xll.qlDayCounterYearFraction(DayCounter,Q1069,R1069,,,Trigger)</f>
        <v>0.25555555555555554</v>
      </c>
      <c r="T1069" s="41">
        <f>_xll.qlIndexFixing(Index,P1069,,AllTriggers)</f>
        <v>6.9653006550580814E-3</v>
      </c>
      <c r="U1069" s="42">
        <f>_xll.qlYieldTSDiscount(OisCurve,Q1069,,AllTriggers)</f>
        <v>0.76901091923253551</v>
      </c>
      <c r="V1069" s="42">
        <f>_xll.qlYieldTSDiscount(OisCurve,R1069,,AllTriggers)</f>
        <v>0.76773346986366309</v>
      </c>
      <c r="W1069" s="41">
        <f t="shared" si="68"/>
        <v>6.5110029950403141E-3</v>
      </c>
      <c r="X1069" s="43">
        <f t="shared" si="69"/>
        <v>1.1589871666300428E-4</v>
      </c>
      <c r="Y1069" s="41">
        <f t="shared" si="70"/>
        <v>4.5429766001776721E-4</v>
      </c>
      <c r="Z1069" s="62"/>
    </row>
    <row r="1070" spans="15:26" x14ac:dyDescent="0.25">
      <c r="O1070" s="45" t="s">
        <v>21</v>
      </c>
      <c r="P1070" s="39">
        <f>_xll.qlCalendarAdvance(Calendar,P1069,O1069,"f",,Trigger)</f>
        <v>56450</v>
      </c>
      <c r="Q1070" s="39">
        <f>_xll.qlInterestRateIndexValueDate(Index,P1070,Trigger)</f>
        <v>56452</v>
      </c>
      <c r="R1070" s="39">
        <f>_xll.qlInterestRateIndexMaturity(Index,Q1070,Trigger)</f>
        <v>56544</v>
      </c>
      <c r="S1070" s="40">
        <f>_xll.qlDayCounterYearFraction(DayCounter,Q1070,R1070,,,Trigger)</f>
        <v>0.25555555555555554</v>
      </c>
      <c r="T1070" s="41">
        <f>_xll.qlIndexFixing(Index,P1070,,AllTriggers)</f>
        <v>6.9312929595662402E-3</v>
      </c>
      <c r="U1070" s="42">
        <f>_xll.qlYieldTSDiscount(OisCurve,Q1070,,AllTriggers)</f>
        <v>0.76859199351253837</v>
      </c>
      <c r="V1070" s="42">
        <f>_xll.qlYieldTSDiscount(OisCurve,R1070,,AllTriggers)</f>
        <v>0.76732160272976346</v>
      </c>
      <c r="W1070" s="41">
        <f t="shared" si="68"/>
        <v>6.4785017777358872E-3</v>
      </c>
      <c r="X1070" s="43">
        <f t="shared" si="69"/>
        <v>1.1551536959603033E-4</v>
      </c>
      <c r="Y1070" s="41">
        <f t="shared" si="70"/>
        <v>4.5279118183035299E-4</v>
      </c>
      <c r="Z1070" s="62"/>
    </row>
    <row r="1071" spans="15:26" x14ac:dyDescent="0.25">
      <c r="O1071" s="45" t="s">
        <v>21</v>
      </c>
      <c r="P1071" s="39">
        <f>_xll.qlCalendarAdvance(Calendar,P1070,O1070,"f",,Trigger)</f>
        <v>56481</v>
      </c>
      <c r="Q1071" s="39">
        <f>_xll.qlInterestRateIndexValueDate(Index,P1071,Trigger)</f>
        <v>56485</v>
      </c>
      <c r="R1071" s="39">
        <f>_xll.qlInterestRateIndexMaturity(Index,Q1071,Trigger)</f>
        <v>56577</v>
      </c>
      <c r="S1071" s="40">
        <f>_xll.qlDayCounterYearFraction(DayCounter,Q1071,R1071,,,Trigger)</f>
        <v>0.25555555555555554</v>
      </c>
      <c r="T1071" s="41">
        <f>_xll.qlIndexFixing(Index,P1071,,AllTriggers)</f>
        <v>6.8934959573842339E-3</v>
      </c>
      <c r="U1071" s="42">
        <f>_xll.qlYieldTSDiscount(OisCurve,Q1071,,AllTriggers)</f>
        <v>0.76813381342089515</v>
      </c>
      <c r="V1071" s="42">
        <f>_xll.qlYieldTSDiscount(OisCurve,R1071,,AllTriggers)</f>
        <v>0.76687124920828498</v>
      </c>
      <c r="W1071" s="41">
        <f t="shared" si="68"/>
        <v>6.4423704280741389E-3</v>
      </c>
      <c r="X1071" s="43">
        <f t="shared" si="69"/>
        <v>1.150915163014478E-4</v>
      </c>
      <c r="Y1071" s="41">
        <f t="shared" si="70"/>
        <v>4.5112552931009502E-4</v>
      </c>
      <c r="Z1071" s="62"/>
    </row>
    <row r="1072" spans="15:26" x14ac:dyDescent="0.25">
      <c r="O1072" s="45" t="s">
        <v>21</v>
      </c>
      <c r="P1072" s="39">
        <f>_xll.qlCalendarAdvance(Calendar,P1071,O1071,"f",,Trigger)</f>
        <v>56513</v>
      </c>
      <c r="Q1072" s="39">
        <f>_xll.qlInterestRateIndexValueDate(Index,P1072,Trigger)</f>
        <v>56515</v>
      </c>
      <c r="R1072" s="39">
        <f>_xll.qlInterestRateIndexMaturity(Index,Q1072,Trigger)</f>
        <v>56606</v>
      </c>
      <c r="S1072" s="40">
        <f>_xll.qlDayCounterYearFraction(DayCounter,Q1072,R1072,,,Trigger)</f>
        <v>0.25277777777777777</v>
      </c>
      <c r="T1072" s="41">
        <f>_xll.qlIndexFixing(Index,P1072,,AllTriggers)</f>
        <v>6.8593007079834102E-3</v>
      </c>
      <c r="U1072" s="42">
        <f>_xll.qlYieldTSDiscount(OisCurve,Q1072,,AllTriggers)</f>
        <v>0.76771970348663754</v>
      </c>
      <c r="V1072" s="42">
        <f>_xll.qlYieldTSDiscount(OisCurve,R1072,,AllTriggers)</f>
        <v>0.76647783719830154</v>
      </c>
      <c r="W1072" s="41">
        <f t="shared" si="68"/>
        <v>6.4096799486656909E-3</v>
      </c>
      <c r="X1072" s="43">
        <f t="shared" si="69"/>
        <v>1.1346385175701855E-4</v>
      </c>
      <c r="Y1072" s="41">
        <f t="shared" si="70"/>
        <v>4.4962075931771935E-4</v>
      </c>
      <c r="Z1072" s="62"/>
    </row>
    <row r="1073" spans="15:26" x14ac:dyDescent="0.25">
      <c r="O1073" s="45" t="s">
        <v>21</v>
      </c>
      <c r="P1073" s="39">
        <f>_xll.qlCalendarAdvance(Calendar,P1072,O1072,"f",,Trigger)</f>
        <v>56543</v>
      </c>
      <c r="Q1073" s="39">
        <f>_xll.qlInterestRateIndexValueDate(Index,P1073,Trigger)</f>
        <v>56545</v>
      </c>
      <c r="R1073" s="39">
        <f>_xll.qlInterestRateIndexMaturity(Index,Q1073,Trigger)</f>
        <v>56639</v>
      </c>
      <c r="S1073" s="40">
        <f>_xll.qlDayCounterYearFraction(DayCounter,Q1073,R1073,,,Trigger)</f>
        <v>0.26111111111111113</v>
      </c>
      <c r="T1073" s="41">
        <f>_xll.qlIndexFixing(Index,P1073,,AllTriggers)</f>
        <v>6.8226806288817108E-3</v>
      </c>
      <c r="U1073" s="42">
        <f>_xll.qlYieldTSDiscount(OisCurve,Q1073,,AllTriggers)</f>
        <v>0.76730791398272402</v>
      </c>
      <c r="V1073" s="42">
        <f>_xll.qlYieldTSDiscount(OisCurve,R1073,,AllTriggers)</f>
        <v>0.76603286020503769</v>
      </c>
      <c r="W1073" s="41">
        <f t="shared" si="68"/>
        <v>6.3746412643365799E-3</v>
      </c>
      <c r="X1073" s="43">
        <f t="shared" si="69"/>
        <v>1.1678683461940498E-4</v>
      </c>
      <c r="Y1073" s="41">
        <f t="shared" si="70"/>
        <v>4.4803936454513096E-4</v>
      </c>
      <c r="Z1073" s="62"/>
    </row>
    <row r="1074" spans="15:26" x14ac:dyDescent="0.25">
      <c r="O1074" s="45" t="s">
        <v>21</v>
      </c>
      <c r="P1074" s="39">
        <f>_xll.qlCalendarAdvance(Calendar,P1073,O1073,"f",,Trigger)</f>
        <v>56576</v>
      </c>
      <c r="Q1074" s="39">
        <f>_xll.qlInterestRateIndexValueDate(Index,P1074,Trigger)</f>
        <v>56578</v>
      </c>
      <c r="R1074" s="39">
        <f>_xll.qlInterestRateIndexMaturity(Index,Q1074,Trigger)</f>
        <v>56670</v>
      </c>
      <c r="S1074" s="40">
        <f>_xll.qlDayCounterYearFraction(DayCounter,Q1074,R1074,,,Trigger)</f>
        <v>0.25555555555555554</v>
      </c>
      <c r="T1074" s="41">
        <f>_xll.qlIndexFixing(Index,P1074,,AllTriggers)</f>
        <v>6.7847872968274112E-3</v>
      </c>
      <c r="U1074" s="42">
        <f>_xll.qlYieldTSDiscount(OisCurve,Q1074,,AllTriggers)</f>
        <v>0.76685764652805433</v>
      </c>
      <c r="V1074" s="42">
        <f>_xll.qlYieldTSDiscount(OisCurve,R1074,,AllTriggers)</f>
        <v>0.76561748834303445</v>
      </c>
      <c r="W1074" s="41">
        <f t="shared" si="68"/>
        <v>6.3384039311929711E-3</v>
      </c>
      <c r="X1074" s="43">
        <f t="shared" si="69"/>
        <v>1.1388478117159323E-4</v>
      </c>
      <c r="Y1074" s="41">
        <f t="shared" si="70"/>
        <v>4.4638336563444011E-4</v>
      </c>
      <c r="Z1074" s="62"/>
    </row>
    <row r="1075" spans="15:26" x14ac:dyDescent="0.25">
      <c r="O1075" s="45" t="s">
        <v>21</v>
      </c>
      <c r="P1075" s="39">
        <f>_xll.qlCalendarAdvance(Calendar,P1074,O1074,"f",,Trigger)</f>
        <v>56606</v>
      </c>
      <c r="Q1075" s="39">
        <f>_xll.qlInterestRateIndexValueDate(Index,P1075,Trigger)</f>
        <v>56611</v>
      </c>
      <c r="R1075" s="39">
        <f>_xll.qlInterestRateIndexMaturity(Index,Q1075,Trigger)</f>
        <v>56702</v>
      </c>
      <c r="S1075" s="40">
        <f>_xll.qlDayCounterYearFraction(DayCounter,Q1075,R1075,,,Trigger)</f>
        <v>0.25277777777777777</v>
      </c>
      <c r="T1075" s="41">
        <f>_xll.qlIndexFixing(Index,P1075,,AllTriggers)</f>
        <v>6.7459752007211684E-3</v>
      </c>
      <c r="U1075" s="42">
        <f>_xll.qlYieldTSDiscount(OisCurve,Q1075,,AllTriggers)</f>
        <v>0.76641023126424512</v>
      </c>
      <c r="V1075" s="42">
        <f>_xll.qlYieldTSDiscount(OisCurve,R1075,,AllTriggers)</f>
        <v>0.76519141755769615</v>
      </c>
      <c r="W1075" s="41">
        <f t="shared" si="68"/>
        <v>6.3012737554303489E-3</v>
      </c>
      <c r="X1075" s="43">
        <f t="shared" si="69"/>
        <v>1.122255801878055E-4</v>
      </c>
      <c r="Y1075" s="41">
        <f t="shared" si="70"/>
        <v>4.4470144529081945E-4</v>
      </c>
      <c r="Z1075" s="62"/>
    </row>
    <row r="1076" spans="15:26" x14ac:dyDescent="0.25">
      <c r="O1076" s="45" t="s">
        <v>21</v>
      </c>
      <c r="P1076" s="39">
        <f>_xll.qlCalendarAdvance(Calendar,P1075,O1075,"f",,Trigger)</f>
        <v>56639</v>
      </c>
      <c r="Q1076" s="39">
        <f>_xll.qlInterestRateIndexValueDate(Index,P1076,Trigger)</f>
        <v>56641</v>
      </c>
      <c r="R1076" s="39">
        <f>_xll.qlInterestRateIndexMaturity(Index,Q1076,Trigger)</f>
        <v>56731</v>
      </c>
      <c r="S1076" s="40">
        <f>_xll.qlDayCounterYearFraction(DayCounter,Q1076,R1076,,,Trigger)</f>
        <v>0.25</v>
      </c>
      <c r="T1076" s="41">
        <f>_xll.qlIndexFixing(Index,P1076,,AllTriggers)</f>
        <v>6.7103997217259348E-3</v>
      </c>
      <c r="U1076" s="42">
        <f>_xll.qlYieldTSDiscount(OisCurve,Q1076,,AllTriggers)</f>
        <v>0.76600598471726122</v>
      </c>
      <c r="V1076" s="42">
        <f>_xll.qlYieldTSDiscount(OisCurve,R1076,,AllTriggers)</f>
        <v>0.76480767773086777</v>
      </c>
      <c r="W1076" s="41">
        <f t="shared" si="68"/>
        <v>6.2672330379776042E-3</v>
      </c>
      <c r="X1076" s="43">
        <f t="shared" si="69"/>
        <v>1.1061223542871953E-4</v>
      </c>
      <c r="Y1076" s="41">
        <f t="shared" si="70"/>
        <v>4.4316668374833057E-4</v>
      </c>
      <c r="Z1076" s="62"/>
    </row>
    <row r="1077" spans="15:26" x14ac:dyDescent="0.25">
      <c r="O1077" s="45" t="s">
        <v>21</v>
      </c>
      <c r="P1077" s="39">
        <f>_xll.qlCalendarAdvance(Calendar,P1076,O1076,"f",,Trigger)</f>
        <v>56670</v>
      </c>
      <c r="Q1077" s="39">
        <f>_xll.qlInterestRateIndexValueDate(Index,P1077,Trigger)</f>
        <v>56674</v>
      </c>
      <c r="R1077" s="39">
        <f>_xll.qlInterestRateIndexMaturity(Index,Q1077,Trigger)</f>
        <v>56766</v>
      </c>
      <c r="S1077" s="40">
        <f>_xll.qlDayCounterYearFraction(DayCounter,Q1077,R1077,,,Trigger)</f>
        <v>0.25555555555555554</v>
      </c>
      <c r="T1077" s="41">
        <f>_xll.qlIndexFixing(Index,P1077,,AllTriggers)</f>
        <v>6.6692563451776626E-3</v>
      </c>
      <c r="U1077" s="42">
        <f>_xll.qlYieldTSDiscount(OisCurve,Q1077,,AllTriggers)</f>
        <v>0.7655640790642575</v>
      </c>
      <c r="V1077" s="42">
        <f>_xll.qlYieldTSDiscount(OisCurve,R1077,,AllTriggers)</f>
        <v>0.7643475744773448</v>
      </c>
      <c r="W1077" s="41">
        <f t="shared" si="68"/>
        <v>6.2278412322402952E-3</v>
      </c>
      <c r="X1077" s="43">
        <f t="shared" si="69"/>
        <v>1.1262049019550717E-4</v>
      </c>
      <c r="Y1077" s="41">
        <f t="shared" si="70"/>
        <v>4.4141511293736748E-4</v>
      </c>
      <c r="Z1077" s="62"/>
    </row>
    <row r="1078" spans="15:26" x14ac:dyDescent="0.25">
      <c r="O1078" s="45" t="s">
        <v>21</v>
      </c>
      <c r="P1078" s="39">
        <f>_xll.qlCalendarAdvance(Calendar,P1077,O1077,"f",,Trigger)</f>
        <v>56698</v>
      </c>
      <c r="Q1078" s="39">
        <f>_xll.qlInterestRateIndexValueDate(Index,P1078,Trigger)</f>
        <v>56702</v>
      </c>
      <c r="R1078" s="39">
        <f>_xll.qlInterestRateIndexMaturity(Index,Q1078,Trigger)</f>
        <v>56794</v>
      </c>
      <c r="S1078" s="40">
        <f>_xll.qlDayCounterYearFraction(DayCounter,Q1078,R1078,,,Trigger)</f>
        <v>0.25555555555555554</v>
      </c>
      <c r="T1078" s="41">
        <f>_xll.qlIndexFixing(Index,P1078,,AllTriggers)</f>
        <v>6.6352352738453871E-3</v>
      </c>
      <c r="U1078" s="42">
        <f>_xll.qlYieldTSDiscount(OisCurve,Q1078,,AllTriggers)</f>
        <v>0.76519141755769615</v>
      </c>
      <c r="V1078" s="42">
        <f>_xll.qlYieldTSDiscount(OisCurve,R1078,,AllTriggers)</f>
        <v>0.76398185268564656</v>
      </c>
      <c r="W1078" s="41">
        <f t="shared" si="68"/>
        <v>6.1952779604239044E-3</v>
      </c>
      <c r="X1078" s="43">
        <f t="shared" si="69"/>
        <v>1.1224950781292093E-4</v>
      </c>
      <c r="Y1078" s="41">
        <f t="shared" si="70"/>
        <v>4.3995731342148271E-4</v>
      </c>
      <c r="Z1078" s="62"/>
    </row>
    <row r="1079" spans="15:26" x14ac:dyDescent="0.25">
      <c r="O1079" s="45" t="s">
        <v>21</v>
      </c>
      <c r="P1079" s="39">
        <f>_xll.qlCalendarAdvance(Calendar,P1078,O1078,"f",,Trigger)</f>
        <v>56730</v>
      </c>
      <c r="Q1079" s="39">
        <f>_xll.qlInterestRateIndexValueDate(Index,P1079,Trigger)</f>
        <v>56732</v>
      </c>
      <c r="R1079" s="39">
        <f>_xll.qlInterestRateIndexMaturity(Index,Q1079,Trigger)</f>
        <v>56823</v>
      </c>
      <c r="S1079" s="40">
        <f>_xll.qlDayCounterYearFraction(DayCounter,Q1079,R1079,,,Trigger)</f>
        <v>0.25277777777777777</v>
      </c>
      <c r="T1079" s="41">
        <f>_xll.qlIndexFixing(Index,P1079,,AllTriggers)</f>
        <v>6.599537443614913E-3</v>
      </c>
      <c r="U1079" s="42">
        <f>_xll.qlYieldTSDiscount(OisCurve,Q1079,,AllTriggers)</f>
        <v>0.76479448599795707</v>
      </c>
      <c r="V1079" s="42">
        <f>_xll.qlYieldTSDiscount(OisCurve,R1079,,AllTriggers)</f>
        <v>0.76360525123596745</v>
      </c>
      <c r="W1079" s="41">
        <f t="shared" si="68"/>
        <v>6.1611218425639356E-3</v>
      </c>
      <c r="X1079" s="43">
        <f t="shared" si="69"/>
        <v>1.1064327540138117E-4</v>
      </c>
      <c r="Y1079" s="41">
        <f t="shared" si="70"/>
        <v>4.3841560105097738E-4</v>
      </c>
      <c r="Z1079" s="62"/>
    </row>
    <row r="1080" spans="15:26" x14ac:dyDescent="0.25">
      <c r="O1080" s="45" t="s">
        <v>21</v>
      </c>
      <c r="P1080" s="39">
        <f>_xll.qlCalendarAdvance(Calendar,P1079,O1079,"f",,Trigger)</f>
        <v>56760</v>
      </c>
      <c r="Q1080" s="39">
        <f>_xll.qlInterestRateIndexValueDate(Index,P1080,Trigger)</f>
        <v>56762</v>
      </c>
      <c r="R1080" s="39">
        <f>_xll.qlInterestRateIndexMaturity(Index,Q1080,Trigger)</f>
        <v>56856</v>
      </c>
      <c r="S1080" s="40">
        <f>_xll.qlDayCounterYearFraction(DayCounter,Q1080,R1080,,,Trigger)</f>
        <v>0.26111111111111113</v>
      </c>
      <c r="T1080" s="41">
        <f>_xll.qlIndexFixing(Index,P1080,,AllTriggers)</f>
        <v>6.5621350105997487E-3</v>
      </c>
      <c r="U1080" s="42">
        <f>_xll.qlYieldTSDiscount(OisCurve,Q1080,,AllTriggers)</f>
        <v>0.76439999095881073</v>
      </c>
      <c r="V1080" s="42">
        <f>_xll.qlYieldTSDiscount(OisCurve,R1080,,AllTriggers)</f>
        <v>0.76317936858334634</v>
      </c>
      <c r="W1080" s="41">
        <f t="shared" si="68"/>
        <v>6.1253280468232677E-3</v>
      </c>
      <c r="X1080" s="43">
        <f t="shared" si="69"/>
        <v>1.1386654109791098E-4</v>
      </c>
      <c r="Y1080" s="41">
        <f t="shared" si="70"/>
        <v>4.3680696377648102E-4</v>
      </c>
      <c r="Z1080" s="62"/>
    </row>
    <row r="1081" spans="15:26" x14ac:dyDescent="0.25">
      <c r="O1081" s="45" t="s">
        <v>21</v>
      </c>
      <c r="P1081" s="39">
        <f>_xll.qlCalendarAdvance(Calendar,P1080,O1080,"f",,Trigger)</f>
        <v>56793</v>
      </c>
      <c r="Q1081" s="39">
        <f>_xll.qlInterestRateIndexValueDate(Index,P1081,Trigger)</f>
        <v>56795</v>
      </c>
      <c r="R1081" s="39">
        <f>_xll.qlInterestRateIndexMaturity(Index,Q1081,Trigger)</f>
        <v>56887</v>
      </c>
      <c r="S1081" s="40">
        <f>_xll.qlDayCounterYearFraction(DayCounter,Q1081,R1081,,,Trigger)</f>
        <v>0.25555555555555554</v>
      </c>
      <c r="T1081" s="41">
        <f>_xll.qlIndexFixing(Index,P1081,,AllTriggers)</f>
        <v>6.5243374678940385E-3</v>
      </c>
      <c r="U1081" s="42">
        <f>_xll.qlYieldTSDiscount(OisCurve,Q1081,,AllTriggers)</f>
        <v>0.76396882963310409</v>
      </c>
      <c r="V1081" s="42">
        <f>_xll.qlYieldTSDiscount(OisCurve,R1081,,AllTriggers)</f>
        <v>0.76278184338101418</v>
      </c>
      <c r="W1081" s="41">
        <f t="shared" si="68"/>
        <v>6.0891968691049233E-3</v>
      </c>
      <c r="X1081" s="43">
        <f t="shared" si="69"/>
        <v>1.1102365749096893E-4</v>
      </c>
      <c r="Y1081" s="41">
        <f t="shared" si="70"/>
        <v>4.3514059878911517E-4</v>
      </c>
      <c r="Z1081" s="62"/>
    </row>
    <row r="1082" spans="15:26" x14ac:dyDescent="0.25">
      <c r="O1082" s="45" t="s">
        <v>21</v>
      </c>
      <c r="P1082" s="39">
        <f>_xll.qlCalendarAdvance(Calendar,P1081,O1081,"f",,Trigger)</f>
        <v>56823</v>
      </c>
      <c r="Q1082" s="39">
        <f>_xll.qlInterestRateIndexValueDate(Index,P1082,Trigger)</f>
        <v>56825</v>
      </c>
      <c r="R1082" s="39">
        <f>_xll.qlInterestRateIndexMaturity(Index,Q1082,Trigger)</f>
        <v>56916</v>
      </c>
      <c r="S1082" s="40">
        <f>_xll.qlDayCounterYearFraction(DayCounter,Q1082,R1082,,,Trigger)</f>
        <v>0.25277777777777777</v>
      </c>
      <c r="T1082" s="41">
        <f>_xll.qlIndexFixing(Index,P1082,,AllTriggers)</f>
        <v>6.4900131372891048E-3</v>
      </c>
      <c r="U1082" s="42">
        <f>_xll.qlYieldTSDiscount(OisCurve,Q1082,,AllTriggers)</f>
        <v>0.76357935982716685</v>
      </c>
      <c r="V1082" s="42">
        <f>_xll.qlYieldTSDiscount(OisCurve,R1082,,AllTriggers)</f>
        <v>0.76241216605723472</v>
      </c>
      <c r="W1082" s="41">
        <f t="shared" si="68"/>
        <v>6.0563958245199966E-3</v>
      </c>
      <c r="X1082" s="43">
        <f t="shared" si="69"/>
        <v>1.0943528638290365E-4</v>
      </c>
      <c r="Y1082" s="41">
        <f t="shared" si="70"/>
        <v>4.3361731276910821E-4</v>
      </c>
      <c r="Z1082" s="62"/>
    </row>
    <row r="1083" spans="15:26" x14ac:dyDescent="0.25">
      <c r="O1083" s="45" t="s">
        <v>21</v>
      </c>
      <c r="P1083" s="39">
        <f>_xll.qlCalendarAdvance(Calendar,P1082,O1082,"f",,Trigger)</f>
        <v>56856</v>
      </c>
      <c r="Q1083" s="39">
        <f>_xll.qlInterestRateIndexValueDate(Index,P1083,Trigger)</f>
        <v>56858</v>
      </c>
      <c r="R1083" s="39">
        <f>_xll.qlInterestRateIndexMaturity(Index,Q1083,Trigger)</f>
        <v>56949</v>
      </c>
      <c r="S1083" s="40">
        <f>_xll.qlDayCounterYearFraction(DayCounter,Q1083,R1083,,,Trigger)</f>
        <v>0.25277777777777777</v>
      </c>
      <c r="T1083" s="41">
        <f>_xll.qlIndexFixing(Index,P1083,,AllTriggers)</f>
        <v>6.4522156404573493E-3</v>
      </c>
      <c r="U1083" s="42">
        <f>_xll.qlYieldTSDiscount(OisCurve,Q1083,,AllTriggers)</f>
        <v>0.76315364775902705</v>
      </c>
      <c r="V1083" s="42">
        <f>_xll.qlYieldTSDiscount(OisCurve,R1083,,AllTriggers)</f>
        <v>0.76199404925916481</v>
      </c>
      <c r="W1083" s="41">
        <f t="shared" si="68"/>
        <v>6.0202866955162042E-3</v>
      </c>
      <c r="X1083" s="43">
        <f t="shared" si="69"/>
        <v>1.0901019685156109E-4</v>
      </c>
      <c r="Y1083" s="41">
        <f t="shared" si="70"/>
        <v>4.3192894494114512E-4</v>
      </c>
      <c r="Z1083" s="62"/>
    </row>
    <row r="1084" spans="15:26" x14ac:dyDescent="0.25">
      <c r="O1084" s="45" t="s">
        <v>21</v>
      </c>
      <c r="P1084" s="39">
        <f>_xll.qlCalendarAdvance(Calendar,P1083,O1083,"f",,Trigger)</f>
        <v>56887</v>
      </c>
      <c r="Q1084" s="39">
        <f>_xll.qlInterestRateIndexValueDate(Index,P1084,Trigger)</f>
        <v>56891</v>
      </c>
      <c r="R1084" s="39">
        <f>_xll.qlInterestRateIndexMaturity(Index,Q1084,Trigger)</f>
        <v>56983</v>
      </c>
      <c r="S1084" s="40">
        <f>_xll.qlDayCounterYearFraction(DayCounter,Q1084,R1084,,,Trigger)</f>
        <v>0.25555555555555554</v>
      </c>
      <c r="T1084" s="41">
        <f>_xll.qlIndexFixing(Index,P1084,,AllTriggers)</f>
        <v>6.4144775673521349E-3</v>
      </c>
      <c r="U1084" s="42">
        <f>_xll.qlYieldTSDiscount(OisCurve,Q1084,,AllTriggers)</f>
        <v>0.76273072759969562</v>
      </c>
      <c r="V1084" s="42">
        <f>_xll.qlYieldTSDiscount(OisCurve,R1084,,AllTriggers)</f>
        <v>0.76156605876947769</v>
      </c>
      <c r="W1084" s="41">
        <f t="shared" si="68"/>
        <v>5.9842474831162604E-3</v>
      </c>
      <c r="X1084" s="43">
        <f t="shared" si="69"/>
        <v>1.0977377573821416E-4</v>
      </c>
      <c r="Y1084" s="41">
        <f t="shared" si="70"/>
        <v>4.3023008423587455E-4</v>
      </c>
      <c r="Z1084" s="62"/>
    </row>
    <row r="1085" spans="15:26" x14ac:dyDescent="0.25">
      <c r="O1085" s="45" t="s">
        <v>21</v>
      </c>
      <c r="P1085" s="39">
        <f>_xll.qlCalendarAdvance(Calendar,P1084,O1084,"f",,Trigger)</f>
        <v>56919</v>
      </c>
      <c r="Q1085" s="39">
        <f>_xll.qlInterestRateIndexValueDate(Index,P1085,Trigger)</f>
        <v>56921</v>
      </c>
      <c r="R1085" s="39">
        <f>_xll.qlInterestRateIndexMaturity(Index,Q1085,Trigger)</f>
        <v>57013</v>
      </c>
      <c r="S1085" s="40">
        <f>_xll.qlDayCounterYearFraction(DayCounter,Q1085,R1085,,,Trigger)</f>
        <v>0.25555555555555554</v>
      </c>
      <c r="T1085" s="41">
        <f>_xll.qlIndexFixing(Index,P1085,,AllTriggers)</f>
        <v>6.3811153788220897E-3</v>
      </c>
      <c r="U1085" s="42">
        <f>_xll.qlYieldTSDiscount(OisCurve,Q1085,,AllTriggers)</f>
        <v>0.76234864144743664</v>
      </c>
      <c r="V1085" s="42">
        <f>_xll.qlYieldTSDiscount(OisCurve,R1085,,AllTriggers)</f>
        <v>0.76119074043692392</v>
      </c>
      <c r="W1085" s="41">
        <f t="shared" si="68"/>
        <v>5.9524068764389045E-3</v>
      </c>
      <c r="X1085" s="43">
        <f t="shared" si="69"/>
        <v>1.093864520208149E-4</v>
      </c>
      <c r="Y1085" s="41">
        <f t="shared" si="70"/>
        <v>4.2870850238318527E-4</v>
      </c>
      <c r="Z1085" s="62"/>
    </row>
    <row r="1086" spans="15:26" x14ac:dyDescent="0.25">
      <c r="O1086" s="45" t="s">
        <v>21</v>
      </c>
      <c r="P1086" s="39">
        <f>_xll.qlCalendarAdvance(Calendar,P1085,O1085,"f",,Trigger)</f>
        <v>56949</v>
      </c>
      <c r="Q1086" s="39">
        <f>_xll.qlInterestRateIndexValueDate(Index,P1086,Trigger)</f>
        <v>56951</v>
      </c>
      <c r="R1086" s="39">
        <f>_xll.qlInterestRateIndexMaturity(Index,Q1086,Trigger)</f>
        <v>57042</v>
      </c>
      <c r="S1086" s="40">
        <f>_xll.qlDayCounterYearFraction(DayCounter,Q1086,R1086,,,Trigger)</f>
        <v>0.25277777777777777</v>
      </c>
      <c r="T1086" s="41">
        <f>_xll.qlIndexFixing(Index,P1086,,AllTriggers)</f>
        <v>6.3486993200179143E-3</v>
      </c>
      <c r="U1086" s="42">
        <f>_xll.qlYieldTSDiscount(OisCurve,Q1086,,AllTriggers)</f>
        <v>0.76196879522229777</v>
      </c>
      <c r="V1086" s="42">
        <f>_xll.qlYieldTSDiscount(OisCurve,R1086,,AllTriggers)</f>
        <v>0.76082996920037371</v>
      </c>
      <c r="W1086" s="41">
        <f t="shared" si="68"/>
        <v>5.9214883527169849E-3</v>
      </c>
      <c r="X1086" s="43">
        <f t="shared" si="69"/>
        <v>1.0782222669299813E-4</v>
      </c>
      <c r="Y1086" s="41">
        <f t="shared" si="70"/>
        <v>4.2721096730092938E-4</v>
      </c>
      <c r="Z1086" s="62"/>
    </row>
    <row r="1087" spans="15:26" x14ac:dyDescent="0.25">
      <c r="O1087" s="45" t="s">
        <v>21</v>
      </c>
      <c r="P1087" s="39">
        <f>_xll.qlCalendarAdvance(Calendar,P1086,O1086,"f",,Trigger)</f>
        <v>56982</v>
      </c>
      <c r="Q1087" s="39">
        <f>_xll.qlInterestRateIndexValueDate(Index,P1087,Trigger)</f>
        <v>56984</v>
      </c>
      <c r="R1087" s="39">
        <f>_xll.qlInterestRateIndexMaturity(Index,Q1087,Trigger)</f>
        <v>57075</v>
      </c>
      <c r="S1087" s="40">
        <f>_xll.qlDayCounterYearFraction(DayCounter,Q1087,R1087,,,Trigger)</f>
        <v>0.25277777777777777</v>
      </c>
      <c r="T1087" s="41">
        <f>_xll.qlIndexFixing(Index,P1087,,AllTriggers)</f>
        <v>6.3130335741113921E-3</v>
      </c>
      <c r="U1087" s="42">
        <f>_xll.qlYieldTSDiscount(OisCurve,Q1087,,AllTriggers)</f>
        <v>0.76155351331137022</v>
      </c>
      <c r="V1087" s="42">
        <f>_xll.qlYieldTSDiscount(OisCurve,R1087,,AllTriggers)</f>
        <v>0.76042183472485836</v>
      </c>
      <c r="W1087" s="41">
        <f t="shared" si="68"/>
        <v>5.8874824839481787E-3</v>
      </c>
      <c r="X1087" s="43">
        <f t="shared" si="69"/>
        <v>1.07404240628251E-4</v>
      </c>
      <c r="Y1087" s="41">
        <f t="shared" si="70"/>
        <v>4.2555109016321341E-4</v>
      </c>
      <c r="Z1087" s="62"/>
    </row>
    <row r="1088" spans="15:26" x14ac:dyDescent="0.25">
      <c r="O1088" s="45" t="s">
        <v>21</v>
      </c>
      <c r="P1088" s="39">
        <f>_xll.qlCalendarAdvance(Calendar,P1087,O1087,"f",,Trigger)</f>
        <v>57013</v>
      </c>
      <c r="Q1088" s="39">
        <f>_xll.qlInterestRateIndexValueDate(Index,P1088,Trigger)</f>
        <v>57017</v>
      </c>
      <c r="R1088" s="39">
        <f>_xll.qlInterestRateIndexMaturity(Index,Q1088,Trigger)</f>
        <v>57108</v>
      </c>
      <c r="S1088" s="40">
        <f>_xll.qlDayCounterYearFraction(DayCounter,Q1088,R1088,,,Trigger)</f>
        <v>0.25277777777777777</v>
      </c>
      <c r="T1088" s="41">
        <f>_xll.qlIndexFixing(Index,P1088,,AllTriggers)</f>
        <v>6.2779261070846984E-3</v>
      </c>
      <c r="U1088" s="42">
        <f>_xll.qlYieldTSDiscount(OisCurve,Q1088,,AllTriggers)</f>
        <v>0.7611408605312695</v>
      </c>
      <c r="V1088" s="42">
        <f>_xll.qlYieldTSDiscount(OisCurve,R1088,,AllTriggers)</f>
        <v>0.76001621282515652</v>
      </c>
      <c r="W1088" s="41">
        <f t="shared" si="68"/>
        <v>5.8540274343735852E-3</v>
      </c>
      <c r="X1088" s="43">
        <f t="shared" si="69"/>
        <v>1.0698811499522943E-4</v>
      </c>
      <c r="Y1088" s="41">
        <f t="shared" si="70"/>
        <v>4.2389867271111319E-4</v>
      </c>
      <c r="Z1088" s="62"/>
    </row>
    <row r="1089" spans="15:26" x14ac:dyDescent="0.25">
      <c r="O1089" s="45" t="s">
        <v>21</v>
      </c>
      <c r="P1089" s="39">
        <f>_xll.qlCalendarAdvance(Calendar,P1088,O1088,"f",,Trigger)</f>
        <v>57042</v>
      </c>
      <c r="Q1089" s="39">
        <f>_xll.qlInterestRateIndexValueDate(Index,P1089,Trigger)</f>
        <v>57046</v>
      </c>
      <c r="R1089" s="39">
        <f>_xll.qlInterestRateIndexMaturity(Index,Q1089,Trigger)</f>
        <v>57138</v>
      </c>
      <c r="S1089" s="40">
        <f>_xll.qlDayCounterYearFraction(DayCounter,Q1089,R1089,,,Trigger)</f>
        <v>0.25555555555555554</v>
      </c>
      <c r="T1089" s="41">
        <f>_xll.qlIndexFixing(Index,P1089,,AllTriggers)</f>
        <v>6.2470728291830688E-3</v>
      </c>
      <c r="U1089" s="42">
        <f>_xll.qlYieldTSDiscount(OisCurve,Q1089,,AllTriggers)</f>
        <v>0.7607803631297686</v>
      </c>
      <c r="V1089" s="42">
        <f>_xll.qlYieldTSDiscount(OisCurve,R1089,,AllTriggers)</f>
        <v>0.75964961057935765</v>
      </c>
      <c r="W1089" s="41">
        <f t="shared" si="68"/>
        <v>5.824637874213617E-3</v>
      </c>
      <c r="X1089" s="43">
        <f t="shared" si="69"/>
        <v>1.0778933505008134E-4</v>
      </c>
      <c r="Y1089" s="41">
        <f t="shared" si="70"/>
        <v>4.2243495496945178E-4</v>
      </c>
      <c r="Z1089" s="62"/>
    </row>
    <row r="1090" spans="15:26" x14ac:dyDescent="0.25">
      <c r="O1090" s="45" t="s">
        <v>21</v>
      </c>
      <c r="P1090" s="39">
        <f>_xll.qlCalendarAdvance(Calendar,P1089,O1089,"f",,Trigger)</f>
        <v>57074</v>
      </c>
      <c r="Q1090" s="39">
        <f>_xll.qlInterestRateIndexValueDate(Index,P1090,Trigger)</f>
        <v>57076</v>
      </c>
      <c r="R1090" s="39">
        <f>_xll.qlInterestRateIndexMaturity(Index,Q1090,Trigger)</f>
        <v>57167</v>
      </c>
      <c r="S1090" s="40">
        <f>_xll.qlDayCounterYearFraction(DayCounter,Q1090,R1090,,,Trigger)</f>
        <v>0.25277777777777777</v>
      </c>
      <c r="T1090" s="41">
        <f>_xll.qlIndexFixing(Index,P1090,,AllTriggers)</f>
        <v>6.2165495046108852E-3</v>
      </c>
      <c r="U1090" s="42">
        <f>_xll.qlYieldTSDiscount(OisCurve,Q1090,,AllTriggers)</f>
        <v>0.76040950644894456</v>
      </c>
      <c r="V1090" s="42">
        <f>_xll.qlYieldTSDiscount(OisCurve,R1090,,AllTriggers)</f>
        <v>0.7592971395616217</v>
      </c>
      <c r="W1090" s="41">
        <f t="shared" si="68"/>
        <v>5.7955865658045379E-3</v>
      </c>
      <c r="X1090" s="43">
        <f t="shared" si="69"/>
        <v>1.0624876936032274E-4</v>
      </c>
      <c r="Y1090" s="41">
        <f t="shared" si="70"/>
        <v>4.2096293880634732E-4</v>
      </c>
      <c r="Z1090" s="62"/>
    </row>
    <row r="1091" spans="15:26" x14ac:dyDescent="0.25">
      <c r="O1091" s="45" t="s">
        <v>21</v>
      </c>
      <c r="P1091" s="39">
        <f>_xll.qlCalendarAdvance(Calendar,P1090,O1090,"f",,Trigger)</f>
        <v>57104</v>
      </c>
      <c r="Q1091" s="39">
        <f>_xll.qlInterestRateIndexValueDate(Index,P1091,Trigger)</f>
        <v>57108</v>
      </c>
      <c r="R1091" s="39">
        <f>_xll.qlInterestRateIndexMaturity(Index,Q1091,Trigger)</f>
        <v>57200</v>
      </c>
      <c r="S1091" s="40">
        <f>_xll.qlDayCounterYearFraction(DayCounter,Q1091,R1091,,,Trigger)</f>
        <v>0.25555555555555554</v>
      </c>
      <c r="T1091" s="41">
        <f>_xll.qlIndexFixing(Index,P1091,,AllTriggers)</f>
        <v>6.1835595438911161E-3</v>
      </c>
      <c r="U1091" s="42">
        <f>_xll.qlYieldTSDiscount(OisCurve,Q1091,,AllTriggers)</f>
        <v>0.76001621282515652</v>
      </c>
      <c r="V1091" s="42">
        <f>_xll.qlYieldTSDiscount(OisCurve,R1091,,AllTriggers)</f>
        <v>0.75889830064313268</v>
      </c>
      <c r="W1091" s="41">
        <f t="shared" si="68"/>
        <v>5.7641965589191766E-3</v>
      </c>
      <c r="X1091" s="43">
        <f t="shared" si="69"/>
        <v>1.0700717737242483E-4</v>
      </c>
      <c r="Y1091" s="41">
        <f t="shared" si="70"/>
        <v>4.1936298497193946E-4</v>
      </c>
      <c r="Z1091" s="62"/>
    </row>
    <row r="1092" spans="15:26" x14ac:dyDescent="0.25">
      <c r="O1092" s="45" t="s">
        <v>21</v>
      </c>
      <c r="P1092" s="39">
        <f>_xll.qlCalendarAdvance(Calendar,P1091,O1091,"f",,Trigger)</f>
        <v>57136</v>
      </c>
      <c r="Q1092" s="39">
        <f>_xll.qlInterestRateIndexValueDate(Index,P1092,Trigger)</f>
        <v>57138</v>
      </c>
      <c r="R1092" s="39">
        <f>_xll.qlInterestRateIndexMaturity(Index,Q1092,Trigger)</f>
        <v>57230</v>
      </c>
      <c r="S1092" s="40">
        <f>_xll.qlDayCounterYearFraction(DayCounter,Q1092,R1092,,,Trigger)</f>
        <v>0.25555555555555554</v>
      </c>
      <c r="T1092" s="41">
        <f>_xll.qlIndexFixing(Index,P1092,,AllTriggers)</f>
        <v>6.1535347224567945E-3</v>
      </c>
      <c r="U1092" s="42">
        <f>_xll.qlYieldTSDiscount(OisCurve,Q1092,,AllTriggers)</f>
        <v>0.75964961057935765</v>
      </c>
      <c r="V1092" s="42">
        <f>_xll.qlYieldTSDiscount(OisCurve,R1092,,AllTriggers)</f>
        <v>0.75853776345084278</v>
      </c>
      <c r="W1092" s="41">
        <f t="shared" ref="W1092:W1127" si="71">(U1092/V1092-1)/S1092</f>
        <v>5.7356487240205383E-3</v>
      </c>
      <c r="X1092" s="43">
        <f t="shared" ref="X1092:X1127" si="72">LN((1+T1092*S1092)/(1+W1092*S1092))</f>
        <v>1.0663109745936073E-4</v>
      </c>
      <c r="Y1092" s="41">
        <f t="shared" ref="Y1092:Y1155" si="73">T1092-W1092</f>
        <v>4.178859984362562E-4</v>
      </c>
      <c r="Z1092" s="62"/>
    </row>
    <row r="1093" spans="15:26" x14ac:dyDescent="0.25">
      <c r="O1093" s="45" t="s">
        <v>21</v>
      </c>
      <c r="P1093" s="39">
        <f>_xll.qlCalendarAdvance(Calendar,P1092,O1092,"f",,Trigger)</f>
        <v>57166</v>
      </c>
      <c r="Q1093" s="39">
        <f>_xll.qlInterestRateIndexValueDate(Index,P1093,Trigger)</f>
        <v>57168</v>
      </c>
      <c r="R1093" s="39">
        <f>_xll.qlInterestRateIndexMaturity(Index,Q1093,Trigger)</f>
        <v>57262</v>
      </c>
      <c r="S1093" s="40">
        <f>_xll.qlDayCounterYearFraction(DayCounter,Q1093,R1093,,,Trigger)</f>
        <v>0.26111111111111113</v>
      </c>
      <c r="T1093" s="41">
        <f>_xll.qlIndexFixing(Index,P1093,,AllTriggers)</f>
        <v>6.1231057694126666E-3</v>
      </c>
      <c r="U1093" s="42">
        <f>_xll.qlYieldTSDiscount(OisCurve,Q1093,,AllTriggers)</f>
        <v>0.75928501854827635</v>
      </c>
      <c r="V1093" s="42">
        <f>_xll.qlYieldTSDiscount(OisCurve,R1093,,AllTriggers)</f>
        <v>0.75815529929857595</v>
      </c>
      <c r="W1093" s="41">
        <f t="shared" si="71"/>
        <v>5.706725738852586E-3</v>
      </c>
      <c r="X1093" s="43">
        <f t="shared" si="72"/>
        <v>1.0855379659518818E-4</v>
      </c>
      <c r="Y1093" s="41">
        <f t="shared" si="73"/>
        <v>4.1638003056008056E-4</v>
      </c>
      <c r="Z1093" s="62"/>
    </row>
    <row r="1094" spans="15:26" x14ac:dyDescent="0.25">
      <c r="O1094" s="45" t="s">
        <v>21</v>
      </c>
      <c r="P1094" s="39">
        <f>_xll.qlCalendarAdvance(Calendar,P1093,O1093,"f",,Trigger)</f>
        <v>57199</v>
      </c>
      <c r="Q1094" s="39">
        <f>_xll.qlInterestRateIndexValueDate(Index,P1094,Trigger)</f>
        <v>57201</v>
      </c>
      <c r="R1094" s="39">
        <f>_xll.qlInterestRateIndexMaturity(Index,Q1094,Trigger)</f>
        <v>57293</v>
      </c>
      <c r="S1094" s="40">
        <f>_xll.qlDayCounterYearFraction(DayCounter,Q1094,R1094,,,Trigger)</f>
        <v>0.25555555555555554</v>
      </c>
      <c r="T1094" s="41">
        <f>_xll.qlIndexFixing(Index,P1094,,AllTriggers)</f>
        <v>6.0919842536194301E-3</v>
      </c>
      <c r="U1094" s="42">
        <f>_xll.qlYieldTSDiscount(OisCurve,Q1094,,AllTriggers)</f>
        <v>0.75888625157004097</v>
      </c>
      <c r="V1094" s="42">
        <f>_xll.qlYieldTSDiscount(OisCurve,R1094,,AllTriggers)</f>
        <v>0.75778682802702879</v>
      </c>
      <c r="W1094" s="41">
        <f t="shared" si="71"/>
        <v>5.6771798686858109E-3</v>
      </c>
      <c r="X1094" s="43">
        <f t="shared" si="72"/>
        <v>1.0584638935349898E-4</v>
      </c>
      <c r="Y1094" s="41">
        <f t="shared" si="73"/>
        <v>4.1480438493361922E-4</v>
      </c>
      <c r="Z1094" s="62"/>
    </row>
    <row r="1095" spans="15:26" x14ac:dyDescent="0.25">
      <c r="O1095" s="45" t="s">
        <v>21</v>
      </c>
      <c r="P1095" s="39">
        <f>_xll.qlCalendarAdvance(Calendar,P1094,O1094,"f",,Trigger)</f>
        <v>57230</v>
      </c>
      <c r="Q1095" s="39">
        <f>_xll.qlInterestRateIndexValueDate(Index,P1095,Trigger)</f>
        <v>57234</v>
      </c>
      <c r="R1095" s="39">
        <f>_xll.qlInterestRateIndexMaturity(Index,Q1095,Trigger)</f>
        <v>57325</v>
      </c>
      <c r="S1095" s="40">
        <f>_xll.qlDayCounterYearFraction(DayCounter,Q1095,R1095,,,Trigger)</f>
        <v>0.25277777777777777</v>
      </c>
      <c r="T1095" s="41">
        <f>_xll.qlIndexFixing(Index,P1095,,AllTriggers)</f>
        <v>6.0609725887544085E-3</v>
      </c>
      <c r="U1095" s="42">
        <f>_xll.qlYieldTSDiscount(OisCurve,Q1095,,AllTriggers)</f>
        <v>0.75848983711880669</v>
      </c>
      <c r="V1095" s="42">
        <f>_xll.qlYieldTSDiscount(OisCurve,R1095,,AllTriggers)</f>
        <v>0.75740854044645167</v>
      </c>
      <c r="W1095" s="41">
        <f t="shared" si="71"/>
        <v>5.6477540678892824E-3</v>
      </c>
      <c r="X1095" s="43">
        <f t="shared" si="72"/>
        <v>1.0429811366422961E-4</v>
      </c>
      <c r="Y1095" s="41">
        <f t="shared" si="73"/>
        <v>4.1321852086512612E-4</v>
      </c>
      <c r="Z1095" s="62"/>
    </row>
    <row r="1096" spans="15:26" x14ac:dyDescent="0.25">
      <c r="O1096" s="45" t="s">
        <v>21</v>
      </c>
      <c r="P1096" s="39">
        <f>_xll.qlCalendarAdvance(Calendar,P1095,O1095,"f",,Trigger)</f>
        <v>57262</v>
      </c>
      <c r="Q1096" s="39">
        <f>_xll.qlInterestRateIndexValueDate(Index,P1096,Trigger)</f>
        <v>57264</v>
      </c>
      <c r="R1096" s="39">
        <f>_xll.qlInterestRateIndexMaturity(Index,Q1096,Trigger)</f>
        <v>57356</v>
      </c>
      <c r="S1096" s="40">
        <f>_xll.qlDayCounterYearFraction(DayCounter,Q1096,R1096,,,Trigger)</f>
        <v>0.25555555555555554</v>
      </c>
      <c r="T1096" s="41">
        <f>_xll.qlIndexFixing(Index,P1096,,AllTriggers)</f>
        <v>6.0324682079467796E-3</v>
      </c>
      <c r="U1096" s="42">
        <f>_xll.qlYieldTSDiscount(OisCurve,Q1096,,AllTriggers)</f>
        <v>0.75813146672858889</v>
      </c>
      <c r="V1096" s="42">
        <f>_xll.qlYieldTSDiscount(OisCurve,R1096,,AllTriggers)</f>
        <v>0.75704404428838679</v>
      </c>
      <c r="W1096" s="41">
        <f t="shared" si="71"/>
        <v>5.6207182658005537E-3</v>
      </c>
      <c r="X1096" s="43">
        <f t="shared" si="72"/>
        <v>1.0506853634162654E-4</v>
      </c>
      <c r="Y1096" s="41">
        <f t="shared" si="73"/>
        <v>4.1174994214622593E-4</v>
      </c>
      <c r="Z1096" s="62"/>
    </row>
    <row r="1097" spans="15:26" x14ac:dyDescent="0.25">
      <c r="O1097" s="45" t="s">
        <v>21</v>
      </c>
      <c r="P1097" s="39">
        <f>_xll.qlCalendarAdvance(Calendar,P1096,O1096,"f",,Trigger)</f>
        <v>57293</v>
      </c>
      <c r="Q1097" s="39">
        <f>_xll.qlInterestRateIndexValueDate(Index,P1097,Trigger)</f>
        <v>57297</v>
      </c>
      <c r="R1097" s="39">
        <f>_xll.qlInterestRateIndexMaturity(Index,Q1097,Trigger)</f>
        <v>57389</v>
      </c>
      <c r="S1097" s="40">
        <f>_xll.qlDayCounterYearFraction(DayCounter,Q1097,R1097,,,Trigger)</f>
        <v>0.25555555555555554</v>
      </c>
      <c r="T1097" s="41">
        <f>_xll.qlIndexFixing(Index,P1097,,AllTriggers)</f>
        <v>6.0021050291520668E-3</v>
      </c>
      <c r="U1097" s="42">
        <f>_xll.qlYieldTSDiscount(OisCurve,Q1097,,AllTriggers)</f>
        <v>0.75773942784049719</v>
      </c>
      <c r="V1097" s="42">
        <f>_xll.qlYieldTSDiscount(OisCurve,R1097,,AllTriggers)</f>
        <v>0.75665812372938634</v>
      </c>
      <c r="W1097" s="41">
        <f t="shared" si="71"/>
        <v>5.5919441915781194E-3</v>
      </c>
      <c r="X1097" s="43">
        <f t="shared" si="72"/>
        <v>1.0466382534513914E-4</v>
      </c>
      <c r="Y1097" s="41">
        <f t="shared" si="73"/>
        <v>4.1016083757394739E-4</v>
      </c>
      <c r="Z1097" s="62"/>
    </row>
    <row r="1098" spans="15:26" x14ac:dyDescent="0.25">
      <c r="O1098" s="45" t="s">
        <v>21</v>
      </c>
      <c r="P1098" s="39">
        <f>_xll.qlCalendarAdvance(Calendar,P1097,O1097,"f",,Trigger)</f>
        <v>57325</v>
      </c>
      <c r="Q1098" s="39">
        <f>_xll.qlInterestRateIndexValueDate(Index,P1098,Trigger)</f>
        <v>57327</v>
      </c>
      <c r="R1098" s="39">
        <f>_xll.qlInterestRateIndexMaturity(Index,Q1098,Trigger)</f>
        <v>57417</v>
      </c>
      <c r="S1098" s="40">
        <f>_xll.qlDayCounterYearFraction(DayCounter,Q1098,R1098,,,Trigger)</f>
        <v>0.25</v>
      </c>
      <c r="T1098" s="41">
        <f>_xll.qlIndexFixing(Index,P1098,,AllTriggers)</f>
        <v>5.9757760960197359E-3</v>
      </c>
      <c r="U1098" s="42">
        <f>_xll.qlYieldTSDiscount(OisCurve,Q1098,,AllTriggers)</f>
        <v>0.75738496644045816</v>
      </c>
      <c r="V1098" s="42">
        <f>_xll.qlYieldTSDiscount(OisCurve,R1098,,AllTriggers)</f>
        <v>0.75633233735663363</v>
      </c>
      <c r="W1098" s="41">
        <f t="shared" si="71"/>
        <v>5.5670187923126946E-3</v>
      </c>
      <c r="X1098" s="43">
        <f t="shared" si="72"/>
        <v>1.0204209464432822E-4</v>
      </c>
      <c r="Y1098" s="41">
        <f t="shared" si="73"/>
        <v>4.0875730370704133E-4</v>
      </c>
      <c r="Z1098" s="62"/>
    </row>
    <row r="1099" spans="15:26" x14ac:dyDescent="0.25">
      <c r="O1099" s="45" t="s">
        <v>21</v>
      </c>
      <c r="P1099" s="39">
        <f>_xll.qlCalendarAdvance(Calendar,P1098,O1098,"f",,Trigger)</f>
        <v>57356</v>
      </c>
      <c r="Q1099" s="39">
        <f>_xll.qlInterestRateIndexValueDate(Index,P1099,Trigger)</f>
        <v>57360</v>
      </c>
      <c r="R1099" s="39">
        <f>_xll.qlInterestRateIndexMaturity(Index,Q1099,Trigger)</f>
        <v>57451</v>
      </c>
      <c r="S1099" s="40">
        <f>_xll.qlDayCounterYearFraction(DayCounter,Q1099,R1099,,,Trigger)</f>
        <v>0.25277777777777777</v>
      </c>
      <c r="T1099" s="41">
        <f>_xll.qlIndexFixing(Index,P1099,,AllTriggers)</f>
        <v>5.946075631280013E-3</v>
      </c>
      <c r="U1099" s="42">
        <f>_xll.qlYieldTSDiscount(OisCurve,Q1099,,AllTriggers)</f>
        <v>0.75699715194255257</v>
      </c>
      <c r="V1099" s="42">
        <f>_xll.qlYieldTSDiscount(OisCurve,R1099,,AllTriggers)</f>
        <v>0.75593875188486437</v>
      </c>
      <c r="W1099" s="41">
        <f t="shared" si="71"/>
        <v>5.5389105808554056E-3</v>
      </c>
      <c r="X1099" s="43">
        <f t="shared" si="72"/>
        <v>1.0277309390829894E-4</v>
      </c>
      <c r="Y1099" s="41">
        <f t="shared" si="73"/>
        <v>4.0716505042460733E-4</v>
      </c>
      <c r="Z1099" s="62"/>
    </row>
    <row r="1100" spans="15:26" x14ac:dyDescent="0.25">
      <c r="O1100" s="45" t="s">
        <v>21</v>
      </c>
      <c r="P1100" s="39">
        <f>_xll.qlCalendarAdvance(Calendar,P1099,O1099,"f",,Trigger)</f>
        <v>57388</v>
      </c>
      <c r="Q1100" s="39">
        <f>_xll.qlInterestRateIndexValueDate(Index,P1100,Trigger)</f>
        <v>57390</v>
      </c>
      <c r="R1100" s="39">
        <f>_xll.qlInterestRateIndexMaturity(Index,Q1100,Trigger)</f>
        <v>57479</v>
      </c>
      <c r="S1100" s="40">
        <f>_xll.qlDayCounterYearFraction(DayCounter,Q1100,R1100,,,Trigger)</f>
        <v>0.24722222222222223</v>
      </c>
      <c r="T1100" s="41">
        <f>_xll.qlIndexFixing(Index,P1100,,AllTriggers)</f>
        <v>5.9206779741558992E-3</v>
      </c>
      <c r="U1100" s="42">
        <f>_xll.qlYieldTSDiscount(OisCurve,Q1100,,AllTriggers)</f>
        <v>0.75664646241408906</v>
      </c>
      <c r="V1100" s="42">
        <f>_xll.qlYieldTSDiscount(OisCurve,R1100,,AllTriggers)</f>
        <v>0.75561625010317568</v>
      </c>
      <c r="W1100" s="41">
        <f t="shared" si="71"/>
        <v>5.5149037887681661E-3</v>
      </c>
      <c r="X1100" s="43">
        <f t="shared" si="72"/>
        <v>1.0017479233882131E-4</v>
      </c>
      <c r="Y1100" s="41">
        <f t="shared" si="73"/>
        <v>4.0577418538773318E-4</v>
      </c>
      <c r="Z1100" s="62"/>
    </row>
    <row r="1101" spans="15:26" x14ac:dyDescent="0.25">
      <c r="O1101" s="45" t="s">
        <v>21</v>
      </c>
      <c r="P1101" s="39">
        <f>_xll.qlCalendarAdvance(Calendar,P1100,O1100,"f",,Trigger)</f>
        <v>57416</v>
      </c>
      <c r="Q1101" s="39">
        <f>_xll.qlInterestRateIndexValueDate(Index,P1101,Trigger)</f>
        <v>57418</v>
      </c>
      <c r="R1101" s="39">
        <f>_xll.qlInterestRateIndexMaturity(Index,Q1101,Trigger)</f>
        <v>57510</v>
      </c>
      <c r="S1101" s="40">
        <f>_xll.qlDayCounterYearFraction(DayCounter,Q1101,R1101,,,Trigger)</f>
        <v>0.25555555555555554</v>
      </c>
      <c r="T1101" s="41">
        <f>_xll.qlIndexFixing(Index,P1101,,AllTriggers)</f>
        <v>5.8955486403595332E-3</v>
      </c>
      <c r="U1101" s="42">
        <f>_xll.qlYieldTSDiscount(OisCurve,Q1101,,AllTriggers)</f>
        <v>0.7563207299943161</v>
      </c>
      <c r="V1101" s="42">
        <f>_xll.qlYieldTSDiscount(OisCurve,R1101,,AllTriggers)</f>
        <v>0.75526087687357324</v>
      </c>
      <c r="W1101" s="41">
        <f t="shared" si="71"/>
        <v>5.4911507652893156E-3</v>
      </c>
      <c r="X1101" s="43">
        <f t="shared" si="72"/>
        <v>1.0319597696470842E-4</v>
      </c>
      <c r="Y1101" s="41">
        <f t="shared" si="73"/>
        <v>4.0439787507021759E-4</v>
      </c>
      <c r="Z1101" s="62"/>
    </row>
    <row r="1102" spans="15:26" x14ac:dyDescent="0.25">
      <c r="O1102" s="45" t="s">
        <v>21</v>
      </c>
      <c r="P1102" s="39">
        <f>_xll.qlCalendarAdvance(Calendar,P1101,O1101,"f",,Trigger)</f>
        <v>57447</v>
      </c>
      <c r="Q1102" s="39">
        <f>_xll.qlInterestRateIndexValueDate(Index,P1102,Trigger)</f>
        <v>57451</v>
      </c>
      <c r="R1102" s="39">
        <f>_xll.qlInterestRateIndexMaturity(Index,Q1102,Trigger)</f>
        <v>57542</v>
      </c>
      <c r="S1102" s="40">
        <f>_xll.qlDayCounterYearFraction(DayCounter,Q1102,R1102,,,Trigger)</f>
        <v>0.25277777777777777</v>
      </c>
      <c r="T1102" s="41">
        <f>_xll.qlIndexFixing(Index,P1102,,AllTriggers)</f>
        <v>5.8681548080523937E-3</v>
      </c>
      <c r="U1102" s="42">
        <f>_xll.qlYieldTSDiscount(OisCurve,Q1102,,AllTriggers)</f>
        <v>0.75593875188486437</v>
      </c>
      <c r="V1102" s="42">
        <f>_xll.qlYieldTSDiscount(OisCurve,R1102,,AllTriggers)</f>
        <v>0.75489585954632521</v>
      </c>
      <c r="W1102" s="41">
        <f t="shared" si="71"/>
        <v>5.4652941601263964E-3</v>
      </c>
      <c r="X1102" s="43">
        <f t="shared" si="72"/>
        <v>1.0168855849391433E-4</v>
      </c>
      <c r="Y1102" s="41">
        <f t="shared" si="73"/>
        <v>4.0286064792599725E-4</v>
      </c>
      <c r="Z1102" s="62"/>
    </row>
    <row r="1103" spans="15:26" x14ac:dyDescent="0.25">
      <c r="O1103" s="45" t="s">
        <v>21</v>
      </c>
      <c r="P1103" s="39">
        <f>_xll.qlCalendarAdvance(Calendar,P1102,O1102,"f",,Trigger)</f>
        <v>57479</v>
      </c>
      <c r="Q1103" s="39">
        <f>_xll.qlInterestRateIndexValueDate(Index,P1103,Trigger)</f>
        <v>57481</v>
      </c>
      <c r="R1103" s="39">
        <f>_xll.qlInterestRateIndexMaturity(Index,Q1103,Trigger)</f>
        <v>57573</v>
      </c>
      <c r="S1103" s="40">
        <f>_xll.qlDayCounterYearFraction(DayCounter,Q1103,R1103,,,Trigger)</f>
        <v>0.25555555555555554</v>
      </c>
      <c r="T1103" s="41">
        <f>_xll.qlIndexFixing(Index,P1103,,AllTriggers)</f>
        <v>5.8430393627952109E-3</v>
      </c>
      <c r="U1103" s="42">
        <f>_xll.qlYieldTSDiscount(OisCurve,Q1103,,AllTriggers)</f>
        <v>0.75559326977967933</v>
      </c>
      <c r="V1103" s="42">
        <f>_xll.qlYieldTSDiscount(OisCurve,R1103,,AllTriggers)</f>
        <v>0.75454397699024234</v>
      </c>
      <c r="W1103" s="41">
        <f t="shared" si="71"/>
        <v>5.4416023872731461E-3</v>
      </c>
      <c r="X1103" s="43">
        <f t="shared" si="72"/>
        <v>1.0244173594151649E-4</v>
      </c>
      <c r="Y1103" s="41">
        <f t="shared" si="73"/>
        <v>4.0143697552206484E-4</v>
      </c>
      <c r="Z1103" s="62"/>
    </row>
    <row r="1104" spans="15:26" x14ac:dyDescent="0.25">
      <c r="O1104" s="45" t="s">
        <v>21</v>
      </c>
      <c r="P1104" s="39">
        <f>_xll.qlCalendarAdvance(Calendar,P1103,O1103,"f",,Trigger)</f>
        <v>57510</v>
      </c>
      <c r="Q1104" s="39">
        <f>_xll.qlInterestRateIndexValueDate(Index,P1104,Trigger)</f>
        <v>57514</v>
      </c>
      <c r="R1104" s="39">
        <f>_xll.qlInterestRateIndexMaturity(Index,Q1104,Trigger)</f>
        <v>57606</v>
      </c>
      <c r="S1104" s="40">
        <f>_xll.qlDayCounterYearFraction(DayCounter,Q1104,R1104,,,Trigger)</f>
        <v>0.25555555555555554</v>
      </c>
      <c r="T1104" s="41">
        <f>_xll.qlIndexFixing(Index,P1104,,AllTriggers)</f>
        <v>5.8163462774844018E-3</v>
      </c>
      <c r="U1104" s="42">
        <f>_xll.qlYieldTSDiscount(OisCurve,Q1104,,AllTriggers)</f>
        <v>0.7552151493632675</v>
      </c>
      <c r="V1104" s="42">
        <f>_xll.qlYieldTSDiscount(OisCurve,R1104,,AllTriggers)</f>
        <v>0.75417122273650228</v>
      </c>
      <c r="W1104" s="41">
        <f t="shared" si="71"/>
        <v>5.416449415591139E-3</v>
      </c>
      <c r="X1104" s="43">
        <f t="shared" si="72"/>
        <v>1.0204939313006412E-4</v>
      </c>
      <c r="Y1104" s="41">
        <f t="shared" si="73"/>
        <v>3.9989686189326277E-4</v>
      </c>
      <c r="Z1104" s="62"/>
    </row>
    <row r="1105" spans="15:26" x14ac:dyDescent="0.25">
      <c r="O1105" s="45" t="s">
        <v>21</v>
      </c>
      <c r="P1105" s="39">
        <f>_xll.qlCalendarAdvance(Calendar,P1104,O1104,"f",,Trigger)</f>
        <v>57542</v>
      </c>
      <c r="Q1105" s="39">
        <f>_xll.qlInterestRateIndexValueDate(Index,P1105,Trigger)</f>
        <v>57544</v>
      </c>
      <c r="R1105" s="39">
        <f>_xll.qlInterestRateIndexMaturity(Index,Q1105,Trigger)</f>
        <v>57636</v>
      </c>
      <c r="S1105" s="40">
        <f>_xll.qlDayCounterYearFraction(DayCounter,Q1105,R1105,,,Trigger)</f>
        <v>0.25555555555555554</v>
      </c>
      <c r="T1105" s="41">
        <f>_xll.qlIndexFixing(Index,P1105,,AllTriggers)</f>
        <v>5.7925641208395294E-3</v>
      </c>
      <c r="U1105" s="42">
        <f>_xll.qlYieldTSDiscount(OisCurve,Q1105,,AllTriggers)</f>
        <v>0.75487310650104733</v>
      </c>
      <c r="V1105" s="42">
        <f>_xll.qlYieldTSDiscount(OisCurve,R1105,,AllTriggers)</f>
        <v>0.75383395978315182</v>
      </c>
      <c r="W1105" s="41">
        <f t="shared" si="71"/>
        <v>5.3940608998124546E-3</v>
      </c>
      <c r="X1105" s="43">
        <f t="shared" si="72"/>
        <v>1.0169435001195272E-4</v>
      </c>
      <c r="Y1105" s="41">
        <f t="shared" si="73"/>
        <v>3.9850322102707482E-4</v>
      </c>
      <c r="Z1105" s="62"/>
    </row>
    <row r="1106" spans="15:26" x14ac:dyDescent="0.25">
      <c r="O1106" s="45" t="s">
        <v>21</v>
      </c>
      <c r="P1106" s="39">
        <f>_xll.qlCalendarAdvance(Calendar,P1105,O1105,"f",,Trigger)</f>
        <v>57573</v>
      </c>
      <c r="Q1106" s="39">
        <f>_xll.qlInterestRateIndexValueDate(Index,P1106,Trigger)</f>
        <v>57577</v>
      </c>
      <c r="R1106" s="39">
        <f>_xll.qlInterestRateIndexMaturity(Index,Q1106,Trigger)</f>
        <v>57669</v>
      </c>
      <c r="S1106" s="40">
        <f>_xll.qlDayCounterYearFraction(DayCounter,Q1106,R1106,,,Trigger)</f>
        <v>0.25555555555555554</v>
      </c>
      <c r="T1106" s="41">
        <f>_xll.qlIndexFixing(Index,P1106,,AllTriggers)</f>
        <v>5.7669364511922392E-3</v>
      </c>
      <c r="U1106" s="42">
        <f>_xll.qlYieldTSDiscount(OisCurve,Q1106,,AllTriggers)</f>
        <v>0.75449869488819676</v>
      </c>
      <c r="V1106" s="42">
        <f>_xll.qlYieldTSDiscount(OisCurve,R1106,,AllTriggers)</f>
        <v>0.75346469803773741</v>
      </c>
      <c r="W1106" s="41">
        <f t="shared" si="71"/>
        <v>5.369959127175649E-3</v>
      </c>
      <c r="X1106" s="43">
        <f t="shared" si="72"/>
        <v>1.0130559796373488E-4</v>
      </c>
      <c r="Y1106" s="41">
        <f t="shared" si="73"/>
        <v>3.9697732401659021E-4</v>
      </c>
      <c r="Z1106" s="62"/>
    </row>
    <row r="1107" spans="15:26" x14ac:dyDescent="0.25">
      <c r="O1107" s="45" t="s">
        <v>21</v>
      </c>
      <c r="P1107" s="39">
        <f>_xll.qlCalendarAdvance(Calendar,P1106,O1106,"f",,Trigger)</f>
        <v>57605</v>
      </c>
      <c r="Q1107" s="39">
        <f>_xll.qlInterestRateIndexValueDate(Index,P1107,Trigger)</f>
        <v>57607</v>
      </c>
      <c r="R1107" s="39">
        <f>_xll.qlInterestRateIndexMaturity(Index,Q1107,Trigger)</f>
        <v>57698</v>
      </c>
      <c r="S1107" s="40">
        <f>_xll.qlDayCounterYearFraction(DayCounter,Q1107,R1107,,,Trigger)</f>
        <v>0.25277777777777777</v>
      </c>
      <c r="T1107" s="41">
        <f>_xll.qlIndexFixing(Index,P1107,,AllTriggers)</f>
        <v>5.7444495676863558E-3</v>
      </c>
      <c r="U1107" s="42">
        <f>_xll.qlYieldTSDiscount(OisCurve,Q1107,,AllTriggers)</f>
        <v>0.75415995620343557</v>
      </c>
      <c r="V1107" s="42">
        <f>_xll.qlYieldTSDiscount(OisCurve,R1107,,AllTriggers)</f>
        <v>0.75314165828572577</v>
      </c>
      <c r="W1107" s="41">
        <f t="shared" si="71"/>
        <v>5.3488361432260994E-3</v>
      </c>
      <c r="X1107" s="43">
        <f t="shared" si="72"/>
        <v>9.9862268680372344E-5</v>
      </c>
      <c r="Y1107" s="41">
        <f t="shared" si="73"/>
        <v>3.9561342446025639E-4</v>
      </c>
      <c r="Z1107" s="62"/>
    </row>
    <row r="1108" spans="15:26" x14ac:dyDescent="0.25">
      <c r="O1108" s="45" t="s">
        <v>21</v>
      </c>
      <c r="P1108" s="39">
        <f>_xll.qlCalendarAdvance(Calendar,P1107,O1107,"f",,Trigger)</f>
        <v>57635</v>
      </c>
      <c r="Q1108" s="39">
        <f>_xll.qlInterestRateIndexValueDate(Index,P1108,Trigger)</f>
        <v>57637</v>
      </c>
      <c r="R1108" s="39">
        <f>_xll.qlInterestRateIndexMaturity(Index,Q1108,Trigger)</f>
        <v>57731</v>
      </c>
      <c r="S1108" s="40">
        <f>_xll.qlDayCounterYearFraction(DayCounter,Q1108,R1108,,,Trigger)</f>
        <v>0.26111111111111113</v>
      </c>
      <c r="T1108" s="41">
        <f>_xll.qlIndexFixing(Index,P1108,,AllTriggers)</f>
        <v>5.7211320951876931E-3</v>
      </c>
      <c r="U1108" s="42">
        <f>_xll.qlYieldTSDiscount(OisCurve,Q1108,,AllTriggers)</f>
        <v>0.75382274362973423</v>
      </c>
      <c r="V1108" s="42">
        <f>_xll.qlYieldTSDiscount(OisCurve,R1108,,AllTriggers)</f>
        <v>0.75277568973943398</v>
      </c>
      <c r="W1108" s="41">
        <f t="shared" si="71"/>
        <v>5.3269435730771792E-3</v>
      </c>
      <c r="X1108" s="43">
        <f t="shared" si="72"/>
        <v>1.0277875627664478E-4</v>
      </c>
      <c r="Y1108" s="41">
        <f t="shared" si="73"/>
        <v>3.9418852211051385E-4</v>
      </c>
      <c r="Z1108" s="62"/>
    </row>
    <row r="1109" spans="15:26" x14ac:dyDescent="0.25">
      <c r="O1109" s="45" t="s">
        <v>21</v>
      </c>
      <c r="P1109" s="39">
        <f>_xll.qlCalendarAdvance(Calendar,P1108,O1108,"f",,Trigger)</f>
        <v>57668</v>
      </c>
      <c r="Q1109" s="39">
        <f>_xll.qlInterestRateIndexValueDate(Index,P1109,Trigger)</f>
        <v>57670</v>
      </c>
      <c r="R1109" s="39">
        <f>_xll.qlInterestRateIndexMaturity(Index,Q1109,Trigger)</f>
        <v>57762</v>
      </c>
      <c r="S1109" s="40">
        <f>_xll.qlDayCounterYearFraction(DayCounter,Q1109,R1109,,,Trigger)</f>
        <v>0.25555555555555554</v>
      </c>
      <c r="T1109" s="41">
        <f>_xll.qlIndexFixing(Index,P1109,,AllTriggers)</f>
        <v>5.6977154326151467E-3</v>
      </c>
      <c r="U1109" s="42">
        <f>_xll.qlYieldTSDiscount(OisCurve,Q1109,,AllTriggers)</f>
        <v>0.75345353613127386</v>
      </c>
      <c r="V1109" s="42">
        <f>_xll.qlYieldTSDiscount(OisCurve,R1109,,AllTriggers)</f>
        <v>0.75243344571362192</v>
      </c>
      <c r="W1109" s="41">
        <f t="shared" si="71"/>
        <v>5.3049983075165418E-3</v>
      </c>
      <c r="X1109" s="43">
        <f t="shared" si="72"/>
        <v>1.0022014343355109E-4</v>
      </c>
      <c r="Y1109" s="41">
        <f t="shared" si="73"/>
        <v>3.9271712509860498E-4</v>
      </c>
      <c r="Z1109" s="62"/>
    </row>
    <row r="1110" spans="15:26" x14ac:dyDescent="0.25">
      <c r="O1110" s="45" t="s">
        <v>21</v>
      </c>
      <c r="P1110" s="39">
        <f>_xll.qlCalendarAdvance(Calendar,P1109,O1109,"f",,Trigger)</f>
        <v>57698</v>
      </c>
      <c r="Q1110" s="39">
        <f>_xll.qlInterestRateIndexValueDate(Index,P1110,Trigger)</f>
        <v>57700</v>
      </c>
      <c r="R1110" s="39">
        <f>_xll.qlInterestRateIndexMaturity(Index,Q1110,Trigger)</f>
        <v>57790</v>
      </c>
      <c r="S1110" s="40">
        <f>_xll.qlDayCounterYearFraction(DayCounter,Q1110,R1110,,,Trigger)</f>
        <v>0.25</v>
      </c>
      <c r="T1110" s="41">
        <f>_xll.qlIndexFixing(Index,P1110,,AllTriggers)</f>
        <v>5.6769396223987911E-3</v>
      </c>
      <c r="U1110" s="42">
        <f>_xll.qlYieldTSDiscount(OisCurve,Q1110,,AllTriggers)</f>
        <v>0.75311942938728416</v>
      </c>
      <c r="V1110" s="42">
        <f>_xll.qlYieldTSDiscount(OisCurve,R1110,,AllTriggers)</f>
        <v>0.75212557988438089</v>
      </c>
      <c r="W1110" s="41">
        <f t="shared" si="71"/>
        <v>5.2855508680131891E-3</v>
      </c>
      <c r="X1110" s="43">
        <f t="shared" si="72"/>
        <v>9.7713291046238045E-5</v>
      </c>
      <c r="Y1110" s="41">
        <f t="shared" si="73"/>
        <v>3.9138875438560206E-4</v>
      </c>
      <c r="Z1110" s="62"/>
    </row>
    <row r="1111" spans="15:26" x14ac:dyDescent="0.25">
      <c r="O1111" s="45" t="s">
        <v>21</v>
      </c>
      <c r="P1111" s="39">
        <f>_xll.qlCalendarAdvance(Calendar,P1110,O1110,"f",,Trigger)</f>
        <v>57731</v>
      </c>
      <c r="Q1111" s="39">
        <f>_xll.qlInterestRateIndexValueDate(Index,P1111,Trigger)</f>
        <v>57733</v>
      </c>
      <c r="R1111" s="39">
        <f>_xll.qlInterestRateIndexMaturity(Index,Q1111,Trigger)</f>
        <v>57823</v>
      </c>
      <c r="S1111" s="40">
        <f>_xll.qlDayCounterYearFraction(DayCounter,Q1111,R1111,,,Trigger)</f>
        <v>0.25</v>
      </c>
      <c r="T1111" s="41">
        <f>_xll.qlIndexFixing(Index,P1111,,AllTriggers)</f>
        <v>5.6539337707679493E-3</v>
      </c>
      <c r="U1111" s="42">
        <f>_xll.qlYieldTSDiscount(OisCurve,Q1111,,AllTriggers)</f>
        <v>0.75275356470353871</v>
      </c>
      <c r="V1111" s="42">
        <f>_xll.qlYieldTSDiscount(OisCurve,R1111,,AllTriggers)</f>
        <v>0.75176423623010746</v>
      </c>
      <c r="W1111" s="41">
        <f t="shared" si="71"/>
        <v>5.2640358546049981E-3</v>
      </c>
      <c r="X1111" s="43">
        <f t="shared" si="72"/>
        <v>9.7341632494426912E-5</v>
      </c>
      <c r="Y1111" s="41">
        <f t="shared" si="73"/>
        <v>3.8989791616295122E-4</v>
      </c>
      <c r="Z1111" s="62"/>
    </row>
    <row r="1112" spans="15:26" x14ac:dyDescent="0.25">
      <c r="O1112" s="45" t="s">
        <v>21</v>
      </c>
      <c r="P1112" s="39">
        <f>_xll.qlCalendarAdvance(Calendar,P1111,O1111,"f",,Trigger)</f>
        <v>57762</v>
      </c>
      <c r="Q1112" s="39">
        <f>_xll.qlInterestRateIndexValueDate(Index,P1112,Trigger)</f>
        <v>57766</v>
      </c>
      <c r="R1112" s="39">
        <f>_xll.qlInterestRateIndexMaturity(Index,Q1112,Trigger)</f>
        <v>57857</v>
      </c>
      <c r="S1112" s="40">
        <f>_xll.qlDayCounterYearFraction(DayCounter,Q1112,R1112,,,Trigger)</f>
        <v>0.25277777777777777</v>
      </c>
      <c r="T1112" s="41">
        <f>_xll.qlIndexFixing(Index,P1112,,AllTriggers)</f>
        <v>5.6311979659010181E-3</v>
      </c>
      <c r="U1112" s="42">
        <f>_xll.qlYieldTSDiscount(OisCurve,Q1112,,AllTriggers)</f>
        <v>0.75238939241357727</v>
      </c>
      <c r="V1112" s="42">
        <f>_xll.qlYieldTSDiscount(OisCurve,R1112,,AllTriggers)</f>
        <v>0.75139359803812356</v>
      </c>
      <c r="W1112" s="41">
        <f t="shared" si="71"/>
        <v>5.2427999529969117E-3</v>
      </c>
      <c r="X1112" s="43">
        <f t="shared" si="72"/>
        <v>9.8043640150353661E-5</v>
      </c>
      <c r="Y1112" s="41">
        <f t="shared" si="73"/>
        <v>3.8839801290410647E-4</v>
      </c>
      <c r="Z1112" s="62"/>
    </row>
    <row r="1113" spans="15:26" x14ac:dyDescent="0.25">
      <c r="O1113" s="45" t="s">
        <v>21</v>
      </c>
      <c r="P1113" s="39">
        <f>_xll.qlCalendarAdvance(Calendar,P1112,O1112,"f",,Trigger)</f>
        <v>57790</v>
      </c>
      <c r="Q1113" s="39">
        <f>_xll.qlInterestRateIndexValueDate(Index,P1113,Trigger)</f>
        <v>57794</v>
      </c>
      <c r="R1113" s="39">
        <f>_xll.qlInterestRateIndexMaturity(Index,Q1113,Trigger)</f>
        <v>57886</v>
      </c>
      <c r="S1113" s="40">
        <f>_xll.qlDayCounterYearFraction(DayCounter,Q1113,R1113,,,Trigger)</f>
        <v>0.25555555555555554</v>
      </c>
      <c r="T1113" s="41">
        <f>_xll.qlIndexFixing(Index,P1113,,AllTriggers)</f>
        <v>5.6123148512997748E-3</v>
      </c>
      <c r="U1113" s="42">
        <f>_xll.qlYieldTSDiscount(OisCurve,Q1113,,AllTriggers)</f>
        <v>0.75208169500804922</v>
      </c>
      <c r="V1113" s="42">
        <f>_xll.qlYieldTSDiscount(OisCurve,R1113,,AllTriggers)</f>
        <v>0.75107876052188749</v>
      </c>
      <c r="W1113" s="41">
        <f t="shared" si="71"/>
        <v>5.2251860343799847E-3</v>
      </c>
      <c r="X1113" s="43">
        <f t="shared" si="72"/>
        <v>9.8796107921774986E-5</v>
      </c>
      <c r="Y1113" s="41">
        <f t="shared" si="73"/>
        <v>3.871288169197901E-4</v>
      </c>
      <c r="Z1113" s="62"/>
    </row>
    <row r="1114" spans="15:26" x14ac:dyDescent="0.25">
      <c r="O1114" s="45" t="s">
        <v>21</v>
      </c>
      <c r="P1114" s="39">
        <f>_xll.qlCalendarAdvance(Calendar,P1113,O1113,"f",,Trigger)</f>
        <v>57822</v>
      </c>
      <c r="Q1114" s="39">
        <f>_xll.qlInterestRateIndexValueDate(Index,P1114,Trigger)</f>
        <v>57824</v>
      </c>
      <c r="R1114" s="39">
        <f>_xll.qlInterestRateIndexMaturity(Index,Q1114,Trigger)</f>
        <v>57915</v>
      </c>
      <c r="S1114" s="40">
        <f>_xll.qlDayCounterYearFraction(DayCounter,Q1114,R1114,,,Trigger)</f>
        <v>0.25277777777777777</v>
      </c>
      <c r="T1114" s="41">
        <f>_xll.qlIndexFixing(Index,P1114,,AllTriggers)</f>
        <v>5.5931105771987533E-3</v>
      </c>
      <c r="U1114" s="42">
        <f>_xll.qlYieldTSDiscount(OisCurve,Q1114,,AllTriggers)</f>
        <v>0.7517533113360263</v>
      </c>
      <c r="V1114" s="42">
        <f>_xll.qlYieldTSDiscount(OisCurve,R1114,,AllTriggers)</f>
        <v>0.75076508666480124</v>
      </c>
      <c r="W1114" s="41">
        <f t="shared" si="71"/>
        <v>5.2073016010651145E-3</v>
      </c>
      <c r="X1114" s="43">
        <f t="shared" si="72"/>
        <v>9.7390991933382412E-5</v>
      </c>
      <c r="Y1114" s="41">
        <f t="shared" si="73"/>
        <v>3.8580897613363883E-4</v>
      </c>
      <c r="Z1114" s="62"/>
    </row>
    <row r="1115" spans="15:26" x14ac:dyDescent="0.25">
      <c r="O1115" s="45" t="s">
        <v>21</v>
      </c>
      <c r="P1115" s="39">
        <f>_xll.qlCalendarAdvance(Calendar,P1114,O1114,"f",,Trigger)</f>
        <v>57852</v>
      </c>
      <c r="Q1115" s="39">
        <f>_xll.qlInterestRateIndexValueDate(Index,P1115,Trigger)</f>
        <v>57854</v>
      </c>
      <c r="R1115" s="39">
        <f>_xll.qlInterestRateIndexMaturity(Index,Q1115,Trigger)</f>
        <v>57948</v>
      </c>
      <c r="S1115" s="40">
        <f>_xll.qlDayCounterYearFraction(DayCounter,Q1115,R1115,,,Trigger)</f>
        <v>0.26111111111111113</v>
      </c>
      <c r="T1115" s="41">
        <f>_xll.qlIndexFixing(Index,P1115,,AllTriggers)</f>
        <v>5.573288647193894E-3</v>
      </c>
      <c r="U1115" s="42">
        <f>_xll.qlYieldTSDiscount(OisCurve,Q1115,,AllTriggers)</f>
        <v>0.75142623493455896</v>
      </c>
      <c r="V1115" s="42">
        <f>_xll.qlYieldTSDiscount(OisCurve,R1115,,AllTriggers)</f>
        <v>0.75040952856753174</v>
      </c>
      <c r="W1115" s="41">
        <f t="shared" si="71"/>
        <v>5.1888587724135959E-3</v>
      </c>
      <c r="X1115" s="43">
        <f t="shared" si="72"/>
        <v>1.0023807151435019E-4</v>
      </c>
      <c r="Y1115" s="41">
        <f t="shared" si="73"/>
        <v>3.8442987478029805E-4</v>
      </c>
      <c r="Z1115" s="62"/>
    </row>
    <row r="1116" spans="15:26" x14ac:dyDescent="0.25">
      <c r="O1116" s="45" t="s">
        <v>21</v>
      </c>
      <c r="P1116" s="39">
        <f>_xll.qlCalendarAdvance(Calendar,P1115,O1115,"f",,Trigger)</f>
        <v>57885</v>
      </c>
      <c r="Q1116" s="39">
        <f>_xll.qlInterestRateIndexValueDate(Index,P1116,Trigger)</f>
        <v>57887</v>
      </c>
      <c r="R1116" s="39">
        <f>_xll.qlInterestRateIndexMaturity(Index,Q1116,Trigger)</f>
        <v>57979</v>
      </c>
      <c r="S1116" s="40">
        <f>_xll.qlDayCounterYearFraction(DayCounter,Q1116,R1116,,,Trigger)</f>
        <v>0.25555555555555554</v>
      </c>
      <c r="T1116" s="41">
        <f>_xll.qlIndexFixing(Index,P1116,,AllTriggers)</f>
        <v>5.553434716247807E-3</v>
      </c>
      <c r="U1116" s="42">
        <f>_xll.qlYieldTSDiscount(OisCurve,Q1116,,AllTriggers)</f>
        <v>0.75106792496592201</v>
      </c>
      <c r="V1116" s="42">
        <f>_xll.qlYieldTSDiscount(OisCurve,R1116,,AllTriggers)</f>
        <v>0.75007682471960924</v>
      </c>
      <c r="W1116" s="41">
        <f t="shared" si="71"/>
        <v>5.1704281845881177E-3</v>
      </c>
      <c r="X1116" s="43">
        <f t="shared" si="72"/>
        <v>9.7745509184840796E-5</v>
      </c>
      <c r="Y1116" s="41">
        <f t="shared" si="73"/>
        <v>3.8300653165968934E-4</v>
      </c>
      <c r="Z1116" s="62"/>
    </row>
    <row r="1117" spans="15:26" x14ac:dyDescent="0.25">
      <c r="O1117" s="45" t="s">
        <v>21</v>
      </c>
      <c r="P1117" s="39">
        <f>_xll.qlCalendarAdvance(Calendar,P1116,O1116,"f",,Trigger)</f>
        <v>57915</v>
      </c>
      <c r="Q1117" s="39">
        <f>_xll.qlInterestRateIndexValueDate(Index,P1117,Trigger)</f>
        <v>57917</v>
      </c>
      <c r="R1117" s="39">
        <f>_xll.qlInterestRateIndexMaturity(Index,Q1117,Trigger)</f>
        <v>58011</v>
      </c>
      <c r="S1117" s="40">
        <f>_xll.qlDayCounterYearFraction(DayCounter,Q1117,R1117,,,Trigger)</f>
        <v>0.26111111111111113</v>
      </c>
      <c r="T1117" s="41">
        <f>_xll.qlIndexFixing(Index,P1117,,AllTriggers)</f>
        <v>5.5348857790522279E-3</v>
      </c>
      <c r="U1117" s="42">
        <f>_xll.qlYieldTSDiscount(OisCurve,Q1117,,AllTriggers)</f>
        <v>0.75074349619154057</v>
      </c>
      <c r="V1117" s="42">
        <f>_xll.qlYieldTSDiscount(OisCurve,R1117,,AllTriggers)</f>
        <v>0.74973467922766424</v>
      </c>
      <c r="W1117" s="41">
        <f t="shared" si="71"/>
        <v>5.1532287845071408E-3</v>
      </c>
      <c r="X1117" s="43">
        <f t="shared" si="72"/>
        <v>9.9516018062732896E-5</v>
      </c>
      <c r="Y1117" s="41">
        <f t="shared" si="73"/>
        <v>3.8165699454508709E-4</v>
      </c>
      <c r="Z1117" s="62"/>
    </row>
    <row r="1118" spans="15:26" x14ac:dyDescent="0.25">
      <c r="O1118" s="45" t="s">
        <v>21</v>
      </c>
      <c r="P1118" s="39">
        <f>_xll.qlCalendarAdvance(Calendar,P1117,O1117,"f",,Trigger)</f>
        <v>57948</v>
      </c>
      <c r="Q1118" s="39">
        <f>_xll.qlInterestRateIndexValueDate(Index,P1118,Trigger)</f>
        <v>57950</v>
      </c>
      <c r="R1118" s="39">
        <f>_xll.qlInterestRateIndexMaturity(Index,Q1118,Trigger)</f>
        <v>58042</v>
      </c>
      <c r="S1118" s="40">
        <f>_xll.qlDayCounterYearFraction(DayCounter,Q1118,R1118,,,Trigger)</f>
        <v>0.25555555555555554</v>
      </c>
      <c r="T1118" s="41">
        <f>_xll.qlIndexFixing(Index,P1118,,AllTriggers)</f>
        <v>5.5160659567488543E-3</v>
      </c>
      <c r="U1118" s="42">
        <f>_xll.qlYieldTSDiscount(OisCurve,Q1118,,AllTriggers)</f>
        <v>0.75038802601857701</v>
      </c>
      <c r="V1118" s="42">
        <f>_xll.qlYieldTSDiscount(OisCurve,R1118,,AllTriggers)</f>
        <v>0.74940444249163063</v>
      </c>
      <c r="W1118" s="41">
        <f t="shared" si="71"/>
        <v>5.1358183741826973E-3</v>
      </c>
      <c r="X1118" s="43">
        <f t="shared" si="72"/>
        <v>9.7042300524787656E-5</v>
      </c>
      <c r="Y1118" s="41">
        <f t="shared" si="73"/>
        <v>3.80247582566157E-4</v>
      </c>
      <c r="Z1118" s="62"/>
    </row>
    <row r="1119" spans="15:26" x14ac:dyDescent="0.25">
      <c r="O1119" s="45" t="s">
        <v>21</v>
      </c>
      <c r="P1119" s="39">
        <f>_xll.qlCalendarAdvance(Calendar,P1118,O1118,"f",,Trigger)</f>
        <v>57979</v>
      </c>
      <c r="Q1119" s="39">
        <f>_xll.qlInterestRateIndexValueDate(Index,P1119,Trigger)</f>
        <v>57983</v>
      </c>
      <c r="R1119" s="39">
        <f>_xll.qlInterestRateIndexMaturity(Index,Q1119,Trigger)</f>
        <v>58075</v>
      </c>
      <c r="S1119" s="40">
        <f>_xll.qlDayCounterYearFraction(DayCounter,Q1119,R1119,,,Trigger)</f>
        <v>0.25555555555555554</v>
      </c>
      <c r="T1119" s="41">
        <f>_xll.qlIndexFixing(Index,P1119,,AllTriggers)</f>
        <v>5.4973034143630146E-3</v>
      </c>
      <c r="U1119" s="42">
        <f>_xll.qlYieldTSDiscount(OisCurve,Q1119,,AllTriggers)</f>
        <v>0.7500339855455278</v>
      </c>
      <c r="V1119" s="42">
        <f>_xll.qlYieldTSDiscount(OisCurve,R1119,,AllTriggers)</f>
        <v>0.74905417878440306</v>
      </c>
      <c r="W1119" s="41">
        <f t="shared" si="71"/>
        <v>5.1184901775694468E-3</v>
      </c>
      <c r="X1119" s="43">
        <f t="shared" si="72"/>
        <v>9.6676688951434131E-5</v>
      </c>
      <c r="Y1119" s="41">
        <f t="shared" si="73"/>
        <v>3.7881323679356781E-4</v>
      </c>
      <c r="Z1119" s="62"/>
    </row>
    <row r="1120" spans="15:26" x14ac:dyDescent="0.25">
      <c r="O1120" s="45" t="s">
        <v>21</v>
      </c>
      <c r="P1120" s="39">
        <f>_xll.qlCalendarAdvance(Calendar,P1119,O1119,"f",,Trigger)</f>
        <v>58011</v>
      </c>
      <c r="Q1120" s="39">
        <f>_xll.qlInterestRateIndexValueDate(Index,P1120,Trigger)</f>
        <v>58013</v>
      </c>
      <c r="R1120" s="39">
        <f>_xll.qlInterestRateIndexMaturity(Index,Q1120,Trigger)</f>
        <v>58105</v>
      </c>
      <c r="S1120" s="40">
        <f>_xll.qlDayCounterYearFraction(DayCounter,Q1120,R1120,,,Trigger)</f>
        <v>0.25555555555555554</v>
      </c>
      <c r="T1120" s="41">
        <f>_xll.qlIndexFixing(Index,P1120,,AllTriggers)</f>
        <v>5.480730723855267E-3</v>
      </c>
      <c r="U1120" s="42">
        <f>_xll.qlYieldTSDiscount(OisCurve,Q1120,,AllTriggers)</f>
        <v>0.74971333785965244</v>
      </c>
      <c r="V1120" s="42">
        <f>_xll.qlYieldTSDiscount(OisCurve,R1120,,AllTriggers)</f>
        <v>0.74873686897283864</v>
      </c>
      <c r="W1120" s="41">
        <f t="shared" si="71"/>
        <v>5.1032149846093637E-3</v>
      </c>
      <c r="X1120" s="43">
        <f t="shared" si="72"/>
        <v>9.6345946958395202E-5</v>
      </c>
      <c r="Y1120" s="41">
        <f t="shared" si="73"/>
        <v>3.7751573924590335E-4</v>
      </c>
      <c r="Z1120" s="62"/>
    </row>
    <row r="1121" spans="15:26" x14ac:dyDescent="0.25">
      <c r="O1121" s="45" t="s">
        <v>21</v>
      </c>
      <c r="P1121" s="39">
        <f>_xll.qlCalendarAdvance(Calendar,P1120,O1120,"f",,Trigger)</f>
        <v>58042</v>
      </c>
      <c r="Q1121" s="39">
        <f>_xll.qlInterestRateIndexValueDate(Index,P1121,Trigger)</f>
        <v>58046</v>
      </c>
      <c r="R1121" s="39">
        <f>_xll.qlInterestRateIndexMaturity(Index,Q1121,Trigger)</f>
        <v>58137</v>
      </c>
      <c r="S1121" s="40">
        <f>_xll.qlDayCounterYearFraction(DayCounter,Q1121,R1121,,,Trigger)</f>
        <v>0.25277777777777777</v>
      </c>
      <c r="T1121" s="41">
        <f>_xll.qlIndexFixing(Index,P1121,,AllTriggers)</f>
        <v>5.4632519779254686E-3</v>
      </c>
      <c r="U1121" s="42">
        <f>_xll.qlYieldTSDiscount(OisCurve,Q1121,,AllTriggers)</f>
        <v>0.74936191680018283</v>
      </c>
      <c r="V1121" s="42">
        <f>_xll.qlYieldTSDiscount(OisCurve,R1121,,AllTriggers)</f>
        <v>0.74839953780978719</v>
      </c>
      <c r="W1121" s="41">
        <f t="shared" si="71"/>
        <v>5.0871404858427692E-3</v>
      </c>
      <c r="X1121" s="43">
        <f t="shared" si="72"/>
        <v>9.4946021238725455E-5</v>
      </c>
      <c r="Y1121" s="41">
        <f t="shared" si="73"/>
        <v>3.7611149208269939E-4</v>
      </c>
      <c r="Z1121" s="62"/>
    </row>
    <row r="1122" spans="15:26" x14ac:dyDescent="0.25">
      <c r="O1122" s="45" t="s">
        <v>21</v>
      </c>
      <c r="P1122" s="39">
        <f>_xll.qlCalendarAdvance(Calendar,P1121,O1121,"f",,Trigger)</f>
        <v>58074</v>
      </c>
      <c r="Q1122" s="39">
        <f>_xll.qlInterestRateIndexValueDate(Index,P1122,Trigger)</f>
        <v>58077</v>
      </c>
      <c r="R1122" s="39">
        <f>_xll.qlInterestRateIndexMaturity(Index,Q1122,Trigger)</f>
        <v>58167</v>
      </c>
      <c r="S1122" s="40">
        <f>_xll.qlDayCounterYearFraction(DayCounter,Q1122,R1122,,,Trigger)</f>
        <v>0.25</v>
      </c>
      <c r="T1122" s="41">
        <f>_xll.qlIndexFixing(Index,P1122,,AllTriggers)</f>
        <v>5.4473388034814718E-3</v>
      </c>
      <c r="U1122" s="42">
        <f>_xll.qlYieldTSDiscount(OisCurve,Q1122,,AllTriggers)</f>
        <v>0.74903299221452246</v>
      </c>
      <c r="V1122" s="42">
        <f>_xll.qlYieldTSDiscount(OisCurve,R1122,,AllTriggers)</f>
        <v>0.74808432051878482</v>
      </c>
      <c r="W1122" s="41">
        <f t="shared" si="71"/>
        <v>5.0725388554049289E-3</v>
      </c>
      <c r="X1122" s="43">
        <f t="shared" si="72"/>
        <v>9.3576934849226188E-5</v>
      </c>
      <c r="Y1122" s="41">
        <f t="shared" si="73"/>
        <v>3.7479994807654293E-4</v>
      </c>
      <c r="Z1122" s="62"/>
    </row>
    <row r="1123" spans="15:26" x14ac:dyDescent="0.25">
      <c r="O1123" s="45" t="s">
        <v>21</v>
      </c>
      <c r="P1123" s="39">
        <f>_xll.qlCalendarAdvance(Calendar,P1122,O1122,"f",,Trigger)</f>
        <v>58105</v>
      </c>
      <c r="Q1123" s="39">
        <f>_xll.qlInterestRateIndexValueDate(Index,P1123,Trigger)</f>
        <v>58109</v>
      </c>
      <c r="R1123" s="39">
        <f>_xll.qlInterestRateIndexMaturity(Index,Q1123,Trigger)</f>
        <v>58200</v>
      </c>
      <c r="S1123" s="40">
        <f>_xll.qlDayCounterYearFraction(DayCounter,Q1123,R1123,,,Trigger)</f>
        <v>0.25277777777777777</v>
      </c>
      <c r="T1123" s="41">
        <f>_xll.qlIndexFixing(Index,P1123,,AllTriggers)</f>
        <v>5.4309996969959954E-3</v>
      </c>
      <c r="U1123" s="42">
        <f>_xll.qlYieldTSDiscount(OisCurve,Q1123,,AllTriggers)</f>
        <v>0.74869463933260083</v>
      </c>
      <c r="V1123" s="42">
        <f>_xll.qlYieldTSDiscount(OisCurve,R1123,,AllTriggers)</f>
        <v>0.74773869761412193</v>
      </c>
      <c r="W1123" s="41">
        <f t="shared" si="71"/>
        <v>5.0575788972609063E-3</v>
      </c>
      <c r="X1123" s="43">
        <f t="shared" si="72"/>
        <v>9.4267515233436466E-5</v>
      </c>
      <c r="Y1123" s="41">
        <f t="shared" si="73"/>
        <v>3.7342079973508909E-4</v>
      </c>
      <c r="Z1123" s="62"/>
    </row>
    <row r="1124" spans="15:26" x14ac:dyDescent="0.25">
      <c r="O1124" s="45" t="s">
        <v>21</v>
      </c>
      <c r="P1124" s="39">
        <f>_xll.qlCalendarAdvance(Calendar,P1123,O1123,"f",,Trigger)</f>
        <v>58134</v>
      </c>
      <c r="Q1124" s="39">
        <f>_xll.qlInterestRateIndexValueDate(Index,P1124,Trigger)</f>
        <v>58138</v>
      </c>
      <c r="R1124" s="39">
        <f>_xll.qlInterestRateIndexMaturity(Index,Q1124,Trigger)</f>
        <v>58230</v>
      </c>
      <c r="S1124" s="40">
        <f>_xll.qlDayCounterYearFraction(DayCounter,Q1124,R1124,,,Trigger)</f>
        <v>0.25555555555555554</v>
      </c>
      <c r="T1124" s="41">
        <f>_xll.qlIndexFixing(Index,P1124,,AllTriggers)</f>
        <v>5.4166410620767767E-3</v>
      </c>
      <c r="U1124" s="42">
        <f>_xll.qlYieldTSDiscount(OisCurve,Q1124,,AllTriggers)</f>
        <v>0.74838901467126939</v>
      </c>
      <c r="V1124" s="42">
        <f>_xll.qlYieldTSDiscount(OisCurve,R1124,,AllTriggers)</f>
        <v>0.74742547772154777</v>
      </c>
      <c r="W1124" s="41">
        <f t="shared" si="71"/>
        <v>5.0444654210414558E-3</v>
      </c>
      <c r="X1124" s="43">
        <f t="shared" si="72"/>
        <v>9.4984587173641615E-5</v>
      </c>
      <c r="Y1124" s="41">
        <f t="shared" si="73"/>
        <v>3.7217564103532094E-4</v>
      </c>
      <c r="Z1124" s="62"/>
    </row>
    <row r="1125" spans="15:26" x14ac:dyDescent="0.25">
      <c r="O1125" s="45" t="s">
        <v>21</v>
      </c>
      <c r="P1125" s="39">
        <f>_xll.qlCalendarAdvance(Calendar,P1124,O1124,"f",,Trigger)</f>
        <v>58166</v>
      </c>
      <c r="Q1125" s="39">
        <f>_xll.qlInterestRateIndexValueDate(Index,P1125,Trigger)</f>
        <v>58168</v>
      </c>
      <c r="R1125" s="39">
        <f>_xll.qlInterestRateIndexMaturity(Index,Q1125,Trigger)</f>
        <v>58259</v>
      </c>
      <c r="S1125" s="40">
        <f>_xll.qlDayCounterYearFraction(DayCounter,Q1125,R1125,,,Trigger)</f>
        <v>0.25277777777777777</v>
      </c>
      <c r="T1125" s="41">
        <f>_xll.qlIndexFixing(Index,P1125,,AllTriggers)</f>
        <v>5.4026389868016321E-3</v>
      </c>
      <c r="U1125" s="42">
        <f>_xll.qlYieldTSDiscount(OisCurve,Q1125,,AllTriggers)</f>
        <v>0.74807383009837591</v>
      </c>
      <c r="V1125" s="42">
        <f>_xll.qlYieldTSDiscount(OisCurve,R1125,,AllTriggers)</f>
        <v>0.74712355964499244</v>
      </c>
      <c r="W1125" s="41">
        <f t="shared" si="71"/>
        <v>5.0317134765519101E-3</v>
      </c>
      <c r="X1125" s="43">
        <f t="shared" si="72"/>
        <v>9.3638237453859744E-5</v>
      </c>
      <c r="Y1125" s="41">
        <f t="shared" si="73"/>
        <v>3.7092551024972206E-4</v>
      </c>
      <c r="Z1125" s="62"/>
    </row>
    <row r="1126" spans="15:26" x14ac:dyDescent="0.25">
      <c r="O1126" s="45" t="s">
        <v>21</v>
      </c>
      <c r="P1126" s="39">
        <f>_xll.qlCalendarAdvance(Calendar,P1125,O1125,"f",,Trigger)</f>
        <v>58197</v>
      </c>
      <c r="Q1126" s="39">
        <f>_xll.qlInterestRateIndexValueDate(Index,P1126,Trigger)</f>
        <v>58201</v>
      </c>
      <c r="R1126" s="39">
        <f>_xll.qlInterestRateIndexMaturity(Index,Q1126,Trigger)</f>
        <v>58293</v>
      </c>
      <c r="S1126" s="40">
        <f>_xll.qlDayCounterYearFraction(DayCounter,Q1126,R1126,,,Trigger)</f>
        <v>0.25555555555555554</v>
      </c>
      <c r="T1126" s="41">
        <f>_xll.qlIndexFixing(Index,P1126,,AllTriggers)</f>
        <v>5.3873738162638195E-3</v>
      </c>
      <c r="U1126" s="42">
        <f>_xll.qlYieldTSDiscount(OisCurve,Q1126,,AllTriggers)</f>
        <v>0.74772824205062727</v>
      </c>
      <c r="V1126" s="42">
        <f>_xll.qlYieldTSDiscount(OisCurve,R1126,,AllTriggers)</f>
        <v>0.74677062877762102</v>
      </c>
      <c r="W1126" s="41">
        <f t="shared" si="71"/>
        <v>5.0178491604137834E-3</v>
      </c>
      <c r="X1126" s="43">
        <f t="shared" si="72"/>
        <v>9.4308690077162221E-5</v>
      </c>
      <c r="Y1126" s="41">
        <f t="shared" si="73"/>
        <v>3.6952465585003615E-4</v>
      </c>
      <c r="Z1126" s="62"/>
    </row>
    <row r="1127" spans="15:26" x14ac:dyDescent="0.25">
      <c r="O1127" s="45" t="s">
        <v>21</v>
      </c>
      <c r="P1127" s="39">
        <f>_xll.qlCalendarAdvance(Calendar,P1126,O1126,"f",,Trigger)</f>
        <v>58228</v>
      </c>
      <c r="Q1127" s="39">
        <f>_xll.qlInterestRateIndexValueDate(Index,P1127,Trigger)</f>
        <v>58230</v>
      </c>
      <c r="R1127" s="39">
        <f>_xll.qlInterestRateIndexMaturity(Index,Q1127,Trigger)</f>
        <v>58322</v>
      </c>
      <c r="S1127" s="40">
        <f>_xll.qlDayCounterYearFraction(DayCounter,Q1127,R1127,,,Trigger)</f>
        <v>0.25555555555555554</v>
      </c>
      <c r="T1127" s="41">
        <f>_xll.qlIndexFixing(Index,P1127,,AllTriggers)</f>
        <v>5.3745850053839609E-3</v>
      </c>
      <c r="U1127" s="42">
        <f>_xll.qlYieldTSDiscount(OisCurve,Q1127,,AllTriggers)</f>
        <v>0.74742547772154777</v>
      </c>
      <c r="V1127" s="42">
        <f>_xll.qlYieldTSDiscount(OisCurve,R1127,,AllTriggers)</f>
        <v>0.74647045797029821</v>
      </c>
      <c r="W1127" s="41">
        <f t="shared" si="71"/>
        <v>5.0062715400670098E-3</v>
      </c>
      <c r="X1127" s="43">
        <f t="shared" si="72"/>
        <v>9.3999866872253267E-5</v>
      </c>
      <c r="Y1127" s="41">
        <f t="shared" si="73"/>
        <v>3.6831346531695109E-4</v>
      </c>
      <c r="Z1127" s="62"/>
    </row>
    <row r="1128" spans="15:26" x14ac:dyDescent="0.25">
      <c r="O1128" s="45" t="s">
        <v>21</v>
      </c>
      <c r="P1128" s="39">
        <f>_xll.qlCalendarAdvance(Calendar,P1127,O1127,"f",,Trigger)</f>
        <v>58258</v>
      </c>
      <c r="Q1128" s="39">
        <f>_xll.qlInterestRateIndexValueDate(Index,P1128,Trigger)</f>
        <v>58260</v>
      </c>
      <c r="R1128" s="39">
        <f>_xll.qlInterestRateIndexMaturity(Index,Q1128,Trigger)</f>
        <v>58354</v>
      </c>
      <c r="S1128" s="40">
        <f>_xll.qlDayCounterYearFraction(DayCounter,Q1128,R1128,,,Trigger)</f>
        <v>0.26111111111111113</v>
      </c>
      <c r="T1128" s="41">
        <f>_xll.qlIndexFixing(Index,P1128,,AllTriggers)</f>
        <v>5.3614783937816013E-3</v>
      </c>
      <c r="U1128" s="42">
        <f>_xll.qlYieldTSDiscount(OisCurve,Q1128,,AllTriggers)</f>
        <v>0.7471131634502628</v>
      </c>
      <c r="V1128" s="42">
        <f>_xll.qlYieldTSDiscount(OisCurve,R1128,,AllTriggers)</f>
        <v>0.74614011878701647</v>
      </c>
      <c r="W1128" s="41">
        <f t="shared" ref="W1128:W1135" si="74">(U1128/V1128-1)/S1128</f>
        <v>4.9944426463925037E-3</v>
      </c>
      <c r="X1128" s="43">
        <f t="shared" ref="X1128:X1135" si="75">LN((1+T1128*S1128)/(1+W1128*S1128))</f>
        <v>9.570771285994685E-5</v>
      </c>
      <c r="Y1128" s="41">
        <f t="shared" si="73"/>
        <v>3.6703574738909759E-4</v>
      </c>
      <c r="Z1128" s="62"/>
    </row>
    <row r="1129" spans="15:26" x14ac:dyDescent="0.25">
      <c r="O1129" s="45" t="s">
        <v>21</v>
      </c>
      <c r="P1129" s="39">
        <f>_xll.qlCalendarAdvance(Calendar,P1128,O1128,"f",,Trigger)</f>
        <v>58291</v>
      </c>
      <c r="Q1129" s="39">
        <f>_xll.qlInterestRateIndexValueDate(Index,P1129,Trigger)</f>
        <v>58293</v>
      </c>
      <c r="R1129" s="39">
        <f>_xll.qlInterestRateIndexMaturity(Index,Q1129,Trigger)</f>
        <v>58385</v>
      </c>
      <c r="S1129" s="40">
        <f>_xll.qlDayCounterYearFraction(DayCounter,Q1129,R1129,,,Trigger)</f>
        <v>0.25555555555555554</v>
      </c>
      <c r="T1129" s="41">
        <f>_xll.qlIndexFixing(Index,P1129,,AllTriggers)</f>
        <v>5.3482870469938994E-3</v>
      </c>
      <c r="U1129" s="42">
        <f>_xll.qlYieldTSDiscount(OisCurve,Q1129,,AllTriggers)</f>
        <v>0.74677062877762102</v>
      </c>
      <c r="V1129" s="42">
        <f>_xll.qlYieldTSDiscount(OisCurve,R1129,,AllTriggers)</f>
        <v>0.74582095460924458</v>
      </c>
      <c r="W1129" s="41">
        <f t="shared" si="74"/>
        <v>4.9825850132957233E-3</v>
      </c>
      <c r="X1129" s="43">
        <f t="shared" si="75"/>
        <v>9.3333980388210307E-5</v>
      </c>
      <c r="Y1129" s="41">
        <f t="shared" si="73"/>
        <v>3.6570203369817606E-4</v>
      </c>
      <c r="Z1129" s="62"/>
    </row>
    <row r="1130" spans="15:26" x14ac:dyDescent="0.25">
      <c r="O1130" s="45" t="s">
        <v>21</v>
      </c>
      <c r="P1130" s="39">
        <f>_xll.qlCalendarAdvance(Calendar,P1129,O1129,"f",,Trigger)</f>
        <v>58322</v>
      </c>
      <c r="Q1130" s="39">
        <f>_xll.qlInterestRateIndexValueDate(Index,P1130,Trigger)</f>
        <v>58326</v>
      </c>
      <c r="R1130" s="39">
        <f>_xll.qlInterestRateIndexMaturity(Index,Q1130,Trigger)</f>
        <v>58417</v>
      </c>
      <c r="S1130" s="40">
        <f>_xll.qlDayCounterYearFraction(DayCounter,Q1130,R1130,,,Trigger)</f>
        <v>0.25277777777777777</v>
      </c>
      <c r="T1130" s="41">
        <f>_xll.qlIndexFixing(Index,P1130,,AllTriggers)</f>
        <v>5.335472220924134E-3</v>
      </c>
      <c r="U1130" s="42">
        <f>_xll.qlYieldTSDiscount(OisCurve,Q1130,,AllTriggers)</f>
        <v>0.74642911552935454</v>
      </c>
      <c r="V1130" s="42">
        <f>_xll.qlYieldTSDiscount(OisCurve,R1130,,AllTriggers)</f>
        <v>0.7454923398059442</v>
      </c>
      <c r="W1130" s="41">
        <f t="shared" si="74"/>
        <v>4.9711120301124036E-3</v>
      </c>
      <c r="X1130" s="43">
        <f t="shared" si="75"/>
        <v>9.1982339742659923E-5</v>
      </c>
      <c r="Y1130" s="41">
        <f t="shared" si="73"/>
        <v>3.6436019081173034E-4</v>
      </c>
      <c r="Z1130" s="62"/>
    </row>
    <row r="1131" spans="15:26" x14ac:dyDescent="0.25">
      <c r="O1131" s="45" t="s">
        <v>21</v>
      </c>
      <c r="P1131" s="39">
        <f>_xll.qlCalendarAdvance(Calendar,P1130,O1130,"f",,Trigger)</f>
        <v>58354</v>
      </c>
      <c r="Q1131" s="39">
        <f>_xll.qlInterestRateIndexValueDate(Index,P1131,Trigger)</f>
        <v>58356</v>
      </c>
      <c r="R1131" s="39">
        <f>_xll.qlInterestRateIndexMaturity(Index,Q1131,Trigger)</f>
        <v>58448</v>
      </c>
      <c r="S1131" s="40">
        <f>_xll.qlDayCounterYearFraction(DayCounter,Q1131,R1131,,,Trigger)</f>
        <v>0.25555555555555554</v>
      </c>
      <c r="T1131" s="41">
        <f>_xll.qlIndexFixing(Index,P1131,,AllTriggers)</f>
        <v>5.3240223540372503E-3</v>
      </c>
      <c r="U1131" s="42">
        <f>_xll.qlYieldTSDiscount(OisCurve,Q1131,,AllTriggers)</f>
        <v>0.74611950260436211</v>
      </c>
      <c r="V1131" s="42">
        <f>_xll.qlYieldTSDiscount(OisCurve,R1131,,AllTriggers)</f>
        <v>0.74517477989234882</v>
      </c>
      <c r="W1131" s="41">
        <f t="shared" si="74"/>
        <v>4.9609046719787196E-3</v>
      </c>
      <c r="X1131" s="43">
        <f t="shared" si="75"/>
        <v>9.2674948997938366E-5</v>
      </c>
      <c r="Y1131" s="41">
        <f t="shared" si="73"/>
        <v>3.6311768205853079E-4</v>
      </c>
      <c r="Z1131" s="62"/>
    </row>
    <row r="1132" spans="15:26" x14ac:dyDescent="0.25">
      <c r="O1132" s="45" t="s">
        <v>21</v>
      </c>
      <c r="P1132" s="39">
        <f>_xll.qlCalendarAdvance(Calendar,P1131,O1131,"f",,Trigger)</f>
        <v>58385</v>
      </c>
      <c r="Q1132" s="39">
        <f>_xll.qlInterestRateIndexValueDate(Index,P1132,Trigger)</f>
        <v>58389</v>
      </c>
      <c r="R1132" s="39">
        <f>_xll.qlInterestRateIndexMaturity(Index,Q1132,Trigger)</f>
        <v>58481</v>
      </c>
      <c r="S1132" s="40">
        <f>_xll.qlDayCounterYearFraction(DayCounter,Q1132,R1132,,,Trigger)</f>
        <v>0.25555555555555554</v>
      </c>
      <c r="T1132" s="41">
        <f>_xll.qlIndexFixing(Index,P1132,,AllTriggers)</f>
        <v>5.3121237259075131E-3</v>
      </c>
      <c r="U1132" s="42">
        <f>_xll.qlYieldTSDiscount(OisCurve,Q1132,,AllTriggers)</f>
        <v>0.74577983151807337</v>
      </c>
      <c r="V1132" s="42">
        <f>_xll.qlYieldTSDiscount(OisCurve,R1132,,AllTriggers)</f>
        <v>0.74483754560194682</v>
      </c>
      <c r="W1132" s="41">
        <f t="shared" si="74"/>
        <v>4.9503489459254788E-3</v>
      </c>
      <c r="X1132" s="43">
        <f t="shared" si="75"/>
        <v>9.2332477898670652E-5</v>
      </c>
      <c r="Y1132" s="41">
        <f t="shared" si="73"/>
        <v>3.6177477998203429E-4</v>
      </c>
      <c r="Z1132" s="62"/>
    </row>
    <row r="1133" spans="15:26" x14ac:dyDescent="0.25">
      <c r="O1133" s="45" t="s">
        <v>21</v>
      </c>
      <c r="P1133" s="39">
        <f>_xll.qlCalendarAdvance(Calendar,P1132,O1132,"f",,Trigger)</f>
        <v>58417</v>
      </c>
      <c r="Q1133" s="39">
        <f>_xll.qlInterestRateIndexValueDate(Index,P1133,Trigger)</f>
        <v>58419</v>
      </c>
      <c r="R1133" s="39">
        <f>_xll.qlInterestRateIndexMaturity(Index,Q1133,Trigger)</f>
        <v>58510</v>
      </c>
      <c r="S1133" s="40">
        <f>_xll.qlDayCounterYearFraction(DayCounter,Q1133,R1133,,,Trigger)</f>
        <v>0.25277777777777777</v>
      </c>
      <c r="T1133" s="41">
        <f>_xll.qlIndexFixing(Index,P1133,,AllTriggers)</f>
        <v>5.3019163940114166E-3</v>
      </c>
      <c r="U1133" s="42">
        <f>_xll.qlYieldTSDiscount(OisCurve,Q1133,,AllTriggers)</f>
        <v>0.74547182908981324</v>
      </c>
      <c r="V1133" s="42">
        <f>_xll.qlYieldTSDiscount(OisCurve,R1133,,AllTriggers)</f>
        <v>0.74454185075859336</v>
      </c>
      <c r="W1133" s="41">
        <f t="shared" si="74"/>
        <v>4.9413409773078698E-3</v>
      </c>
      <c r="X1133" s="43">
        <f t="shared" si="75"/>
        <v>9.1027605193416575E-5</v>
      </c>
      <c r="Y1133" s="41">
        <f t="shared" si="73"/>
        <v>3.605754167035468E-4</v>
      </c>
      <c r="Z1133" s="62"/>
    </row>
    <row r="1134" spans="15:26" x14ac:dyDescent="0.25">
      <c r="O1134" s="45" t="s">
        <v>21</v>
      </c>
      <c r="P1134" s="39">
        <f>_xll.qlCalendarAdvance(Calendar,P1133,O1133,"f",,Trigger)</f>
        <v>58448</v>
      </c>
      <c r="Q1134" s="39">
        <f>_xll.qlInterestRateIndexValueDate(Index,P1134,Trigger)</f>
        <v>58452</v>
      </c>
      <c r="R1134" s="39">
        <f>_xll.qlInterestRateIndexMaturity(Index,Q1134,Trigger)</f>
        <v>58543</v>
      </c>
      <c r="S1134" s="40">
        <f>_xll.qlDayCounterYearFraction(DayCounter,Q1134,R1134,,,Trigger)</f>
        <v>0.25277777777777777</v>
      </c>
      <c r="T1134" s="41">
        <f>_xll.qlIndexFixing(Index,P1134,,AllTriggers)</f>
        <v>5.2910744829088915E-3</v>
      </c>
      <c r="U1134" s="42">
        <f>_xll.qlYieldTSDiscount(OisCurve,Q1134,,AllTriggers)</f>
        <v>0.74513385906135643</v>
      </c>
      <c r="V1134" s="42">
        <f>_xll.qlYieldTSDiscount(OisCurve,R1134,,AllTriggers)</f>
        <v>0.7442060897099857</v>
      </c>
      <c r="W1134" s="41">
        <f t="shared" si="74"/>
        <v>4.9318278711255083E-3</v>
      </c>
      <c r="X1134" s="43">
        <f t="shared" si="75"/>
        <v>9.0692380151096791E-5</v>
      </c>
      <c r="Y1134" s="41">
        <f t="shared" si="73"/>
        <v>3.592466117833832E-4</v>
      </c>
      <c r="Z1134" s="62"/>
    </row>
    <row r="1135" spans="15:26" x14ac:dyDescent="0.25">
      <c r="O1135" s="45" t="s">
        <v>21</v>
      </c>
      <c r="P1135" s="39">
        <f>_xll.qlCalendarAdvance(Calendar,P1134,O1134,"f",,Trigger)</f>
        <v>58480</v>
      </c>
      <c r="Q1135" s="39">
        <f>_xll.qlInterestRateIndexValueDate(Index,P1135,Trigger)</f>
        <v>58482</v>
      </c>
      <c r="R1135" s="39">
        <f>_xll.qlInterestRateIndexMaturity(Index,Q1135,Trigger)</f>
        <v>58572</v>
      </c>
      <c r="S1135" s="40">
        <f>_xll.qlDayCounterYearFraction(DayCounter,Q1135,R1135,,,Trigger)</f>
        <v>0.25</v>
      </c>
      <c r="T1135" s="41">
        <f>_xll.qlIndexFixing(Index,P1135,,AllTriggers)</f>
        <v>5.2818121150863817E-3</v>
      </c>
      <c r="U1135" s="42">
        <f>_xll.qlYieldTSDiscount(OisCurve,Q1135,,AllTriggers)</f>
        <v>0.74482733907994114</v>
      </c>
      <c r="V1135" s="42">
        <f>_xll.qlYieldTSDiscount(OisCurve,R1135,,AllTriggers)</f>
        <v>0.74391162994672422</v>
      </c>
      <c r="W1135" s="41">
        <f t="shared" si="74"/>
        <v>4.923752211173138E-3</v>
      </c>
      <c r="X1135" s="43">
        <f t="shared" si="75"/>
        <v>8.9400927673153916E-5</v>
      </c>
      <c r="Y1135" s="41">
        <f t="shared" si="73"/>
        <v>3.5805990391324372E-4</v>
      </c>
      <c r="Z1135" s="62"/>
    </row>
    <row r="1136" spans="15:26" x14ac:dyDescent="0.25">
      <c r="O1136" s="45" t="s">
        <v>21</v>
      </c>
      <c r="P1136" s="39">
        <f>_xll.qlCalendarAdvance(Calendar,P1135,O1135,"f",,Trigger)</f>
        <v>58509</v>
      </c>
      <c r="Q1136" s="39">
        <f>_xll.qlInterestRateIndexValueDate(Index,P1136,Trigger)</f>
        <v>58511</v>
      </c>
      <c r="R1136" s="39">
        <f>_xll.qlInterestRateIndexMaturity(Index,Q1136,Trigger)</f>
        <v>58603</v>
      </c>
      <c r="S1136" s="40">
        <f>_xll.qlDayCounterYearFraction(DayCounter,Q1136,R1136,,,Trigger)</f>
        <v>0.25555555555555554</v>
      </c>
      <c r="T1136" s="41">
        <f>_xll.qlIndexFixing(Index,P1136,,AllTriggers)</f>
        <v>5.2729783563077864E-3</v>
      </c>
      <c r="U1136" s="42">
        <f>_xll.qlYieldTSDiscount(OisCurve,Q1136,,AllTriggers)</f>
        <v>0.74453166510250723</v>
      </c>
      <c r="V1136" s="42">
        <f>_xll.qlYieldTSDiscount(OisCurve,R1136,,AllTriggers)</f>
        <v>0.74359745564011026</v>
      </c>
      <c r="W1136" s="41">
        <f t="shared" ref="W1136:W1185" si="76">(U1136/V1136-1)/S1136</f>
        <v>4.9161037553778425E-3</v>
      </c>
      <c r="X1136" s="43">
        <f t="shared" ref="X1136:X1185" si="77">LN((1+T1136*S1136)/(1+W1136*S1136))</f>
        <v>9.1082702910632403E-5</v>
      </c>
      <c r="Y1136" s="41">
        <f t="shared" si="73"/>
        <v>3.5687460092994391E-4</v>
      </c>
      <c r="Z1136" s="62"/>
    </row>
    <row r="1137" spans="15:26" x14ac:dyDescent="0.25">
      <c r="O1137" s="45" t="s">
        <v>21</v>
      </c>
      <c r="P1137" s="39">
        <f>_xll.qlCalendarAdvance(Calendar,P1136,O1136,"f",,Trigger)</f>
        <v>58540</v>
      </c>
      <c r="Q1137" s="39">
        <f>_xll.qlInterestRateIndexValueDate(Index,P1137,Trigger)</f>
        <v>58544</v>
      </c>
      <c r="R1137" s="39">
        <f>_xll.qlInterestRateIndexMaturity(Index,Q1137,Trigger)</f>
        <v>58635</v>
      </c>
      <c r="S1137" s="40">
        <f>_xll.qlDayCounterYearFraction(DayCounter,Q1137,R1137,,,Trigger)</f>
        <v>0.25277777777777777</v>
      </c>
      <c r="T1137" s="41">
        <f>_xll.qlIndexFixing(Index,P1137,,AllTriggers)</f>
        <v>5.2637940091264978E-3</v>
      </c>
      <c r="U1137" s="42">
        <f>_xll.qlYieldTSDiscount(OisCurve,Q1137,,AllTriggers)</f>
        <v>0.74419592670430668</v>
      </c>
      <c r="V1137" s="42">
        <f>_xll.qlYieldTSDiscount(OisCurve,R1137,,AllTriggers)</f>
        <v>0.74327375653690053</v>
      </c>
      <c r="W1137" s="41">
        <f t="shared" si="76"/>
        <v>4.9082127347112392E-3</v>
      </c>
      <c r="X1137" s="43">
        <f t="shared" si="77"/>
        <v>8.9767636582842127E-5</v>
      </c>
      <c r="Y1137" s="41">
        <f t="shared" si="73"/>
        <v>3.5558127441525852E-4</v>
      </c>
      <c r="Z1137" s="62"/>
    </row>
    <row r="1138" spans="15:26" x14ac:dyDescent="0.25">
      <c r="O1138" s="45" t="s">
        <v>21</v>
      </c>
      <c r="P1138" s="39">
        <f>_xll.qlCalendarAdvance(Calendar,P1137,O1137,"f",,Trigger)</f>
        <v>58571</v>
      </c>
      <c r="Q1138" s="39">
        <f>_xll.qlInterestRateIndexValueDate(Index,P1138,Trigger)</f>
        <v>58573</v>
      </c>
      <c r="R1138" s="39">
        <f>_xll.qlInterestRateIndexMaturity(Index,Q1138,Trigger)</f>
        <v>58665</v>
      </c>
      <c r="S1138" s="40">
        <f>_xll.qlDayCounterYearFraction(DayCounter,Q1138,R1138,,,Trigger)</f>
        <v>0.25555555555555554</v>
      </c>
      <c r="T1138" s="41">
        <f>_xll.qlIndexFixing(Index,P1138,,AllTriggers)</f>
        <v>5.256006735645042E-3</v>
      </c>
      <c r="U1138" s="42">
        <f>_xll.qlYieldTSDiscount(OisCurve,Q1138,,AllTriggers)</f>
        <v>0.74390148588653859</v>
      </c>
      <c r="V1138" s="42">
        <f>_xll.qlYieldTSDiscount(OisCurve,R1138,,AllTriggers)</f>
        <v>0.74297082065636344</v>
      </c>
      <c r="W1138" s="41">
        <f t="shared" si="76"/>
        <v>4.9015834917498502E-3</v>
      </c>
      <c r="X1138" s="43">
        <f t="shared" si="77"/>
        <v>9.0457423073615859E-5</v>
      </c>
      <c r="Y1138" s="41">
        <f t="shared" si="73"/>
        <v>3.5442324389519178E-4</v>
      </c>
      <c r="Z1138" s="62"/>
    </row>
    <row r="1139" spans="15:26" x14ac:dyDescent="0.25">
      <c r="O1139" s="45" t="s">
        <v>21</v>
      </c>
      <c r="P1139" s="39">
        <f>_xll.qlCalendarAdvance(Calendar,P1138,O1138,"f",,Trigger)</f>
        <v>58602</v>
      </c>
      <c r="Q1139" s="39">
        <f>_xll.qlInterestRateIndexValueDate(Index,P1139,Trigger)</f>
        <v>58606</v>
      </c>
      <c r="R1139" s="39">
        <f>_xll.qlInterestRateIndexMaturity(Index,Q1139,Trigger)</f>
        <v>58698</v>
      </c>
      <c r="S1139" s="40">
        <f>_xll.qlDayCounterYearFraction(DayCounter,Q1139,R1139,,,Trigger)</f>
        <v>0.25555555555555554</v>
      </c>
      <c r="T1139" s="41">
        <f>_xll.qlIndexFixing(Index,P1139,,AllTriggers)</f>
        <v>5.2477764076650311E-3</v>
      </c>
      <c r="U1139" s="42">
        <f>_xll.qlYieldTSDiscount(OisCurve,Q1139,,AllTriggers)</f>
        <v>0.74356708305523289</v>
      </c>
      <c r="V1139" s="42">
        <f>_xll.qlYieldTSDiscount(OisCurve,R1139,,AllTriggers)</f>
        <v>0.74263815093649477</v>
      </c>
      <c r="W1139" s="41">
        <f t="shared" si="76"/>
        <v>4.8946472308103216E-3</v>
      </c>
      <c r="X1139" s="43">
        <f t="shared" si="77"/>
        <v>9.0127320159354255E-5</v>
      </c>
      <c r="Y1139" s="41">
        <f t="shared" si="73"/>
        <v>3.5312917685470947E-4</v>
      </c>
      <c r="Z1139" s="62"/>
    </row>
    <row r="1140" spans="15:26" x14ac:dyDescent="0.25">
      <c r="O1140" s="45" t="s">
        <v>21</v>
      </c>
      <c r="P1140" s="39">
        <f>_xll.qlCalendarAdvance(Calendar,P1139,O1139,"f",,Trigger)</f>
        <v>58634</v>
      </c>
      <c r="Q1140" s="39">
        <f>_xll.qlInterestRateIndexValueDate(Index,P1140,Trigger)</f>
        <v>58636</v>
      </c>
      <c r="R1140" s="39">
        <f>_xll.qlInterestRateIndexMaturity(Index,Q1140,Trigger)</f>
        <v>58728</v>
      </c>
      <c r="S1140" s="40">
        <f>_xll.qlDayCounterYearFraction(DayCounter,Q1140,R1140,,,Trigger)</f>
        <v>0.25555555555555554</v>
      </c>
      <c r="T1140" s="41">
        <f>_xll.qlIndexFixing(Index,P1140,,AllTriggers)</f>
        <v>5.2407783649275636E-3</v>
      </c>
      <c r="U1140" s="42">
        <f>_xll.qlYieldTSDiscount(OisCurve,Q1140,,AllTriggers)</f>
        <v>0.74326365054850063</v>
      </c>
      <c r="V1140" s="42">
        <f>_xll.qlYieldTSDiscount(OisCurve,R1140,,AllTriggers)</f>
        <v>0.74233620175474901</v>
      </c>
      <c r="W1140" s="41">
        <f t="shared" si="76"/>
        <v>4.8888191701171434E-3</v>
      </c>
      <c r="X1140" s="43">
        <f t="shared" si="77"/>
        <v>8.982885876609786E-5</v>
      </c>
      <c r="Y1140" s="41">
        <f t="shared" si="73"/>
        <v>3.5195919481042018E-4</v>
      </c>
      <c r="Z1140" s="62"/>
    </row>
    <row r="1141" spans="15:26" x14ac:dyDescent="0.25">
      <c r="O1141" s="45" t="s">
        <v>21</v>
      </c>
      <c r="P1141" s="39">
        <f>_xll.qlCalendarAdvance(Calendar,P1140,O1140,"f",,Trigger)</f>
        <v>58665</v>
      </c>
      <c r="Q1141" s="39">
        <f>_xll.qlInterestRateIndexValueDate(Index,P1141,Trigger)</f>
        <v>58669</v>
      </c>
      <c r="R1141" s="39">
        <f>_xll.qlInterestRateIndexMaturity(Index,Q1141,Trigger)</f>
        <v>58761</v>
      </c>
      <c r="S1141" s="40">
        <f>_xll.qlDayCounterYearFraction(DayCounter,Q1141,R1141,,,Trigger)</f>
        <v>0.25555555555555554</v>
      </c>
      <c r="T1141" s="41">
        <f>_xll.qlIndexFixing(Index,P1141,,AllTriggers)</f>
        <v>5.2336129958425355E-3</v>
      </c>
      <c r="U1141" s="42">
        <f>_xll.qlYieldTSDiscount(OisCurve,Q1141,,AllTriggers)</f>
        <v>0.74293046651892058</v>
      </c>
      <c r="V1141" s="42">
        <f>_xll.qlYieldTSDiscount(OisCurve,R1141,,AllTriggers)</f>
        <v>0.74200454810530236</v>
      </c>
      <c r="W1141" s="41">
        <f t="shared" si="76"/>
        <v>4.8829336950324646E-3</v>
      </c>
      <c r="X1141" s="43">
        <f t="shared" si="77"/>
        <v>8.950234661486753E-5</v>
      </c>
      <c r="Y1141" s="41">
        <f t="shared" si="73"/>
        <v>3.5067930081007087E-4</v>
      </c>
      <c r="Z1141" s="62"/>
    </row>
    <row r="1142" spans="15:26" x14ac:dyDescent="0.25">
      <c r="O1142" s="45" t="s">
        <v>21</v>
      </c>
      <c r="P1142" s="39">
        <f>_xll.qlCalendarAdvance(Calendar,P1141,O1141,"f",,Trigger)</f>
        <v>58697</v>
      </c>
      <c r="Q1142" s="39">
        <f>_xll.qlInterestRateIndexValueDate(Index,P1142,Trigger)</f>
        <v>58699</v>
      </c>
      <c r="R1142" s="39">
        <f>_xll.qlInterestRateIndexMaturity(Index,Q1142,Trigger)</f>
        <v>58790</v>
      </c>
      <c r="S1142" s="40">
        <f>_xll.qlDayCounterYearFraction(DayCounter,Q1142,R1142,,,Trigger)</f>
        <v>0.25277777777777777</v>
      </c>
      <c r="T1142" s="41">
        <f>_xll.qlIndexFixing(Index,P1142,,AllTriggers)</f>
        <v>5.2276379678578627E-3</v>
      </c>
      <c r="U1142" s="42">
        <f>_xll.qlYieldTSDiscount(OisCurve,Q1142,,AllTriggers)</f>
        <v>0.74262807880578308</v>
      </c>
      <c r="V1142" s="42">
        <f>_xll.qlYieldTSDiscount(OisCurve,R1142,,AllTriggers)</f>
        <v>0.74171348995958153</v>
      </c>
      <c r="W1142" s="41">
        <f t="shared" si="76"/>
        <v>4.8781014856258895E-3</v>
      </c>
      <c r="X1142" s="43">
        <f t="shared" si="77"/>
        <v>8.8242347469261073E-5</v>
      </c>
      <c r="Y1142" s="41">
        <f t="shared" si="73"/>
        <v>3.4953648223197322E-4</v>
      </c>
      <c r="Z1142" s="62"/>
    </row>
    <row r="1143" spans="15:26" x14ac:dyDescent="0.25">
      <c r="O1143" s="45" t="s">
        <v>21</v>
      </c>
      <c r="P1143" s="39">
        <f>_xll.qlCalendarAdvance(Calendar,P1142,O1142,"f",,Trigger)</f>
        <v>58727</v>
      </c>
      <c r="Q1143" s="39">
        <f>_xll.qlInterestRateIndexValueDate(Index,P1143,Trigger)</f>
        <v>58729</v>
      </c>
      <c r="R1143" s="39">
        <f>_xll.qlInterestRateIndexMaturity(Index,Q1143,Trigger)</f>
        <v>58823</v>
      </c>
      <c r="S1143" s="40">
        <f>_xll.qlDayCounterYearFraction(DayCounter,Q1143,R1143,,,Trigger)</f>
        <v>0.26111111111111113</v>
      </c>
      <c r="T1143" s="41">
        <f>_xll.qlIndexFixing(Index,P1143,,AllTriggers)</f>
        <v>5.2219201641978685E-3</v>
      </c>
      <c r="U1143" s="42">
        <f>_xll.qlYieldTSDiscount(OisCurve,Q1143,,AllTriggers)</f>
        <v>0.74232614426979093</v>
      </c>
      <c r="V1143" s="42">
        <f>_xll.qlYieldTSDiscount(OisCurve,R1143,,AllTriggers)</f>
        <v>0.74138270128036055</v>
      </c>
      <c r="W1143" s="41">
        <f t="shared" si="76"/>
        <v>4.8735773180671477E-3</v>
      </c>
      <c r="X1143" s="43">
        <f t="shared" si="77"/>
        <v>9.0836463090017067E-5</v>
      </c>
      <c r="Y1143" s="41">
        <f t="shared" si="73"/>
        <v>3.4834284613072079E-4</v>
      </c>
      <c r="Z1143" s="62"/>
    </row>
    <row r="1144" spans="15:26" x14ac:dyDescent="0.25">
      <c r="O1144" s="45" t="s">
        <v>21</v>
      </c>
      <c r="P1144" s="39">
        <f>_xll.qlCalendarAdvance(Calendar,P1143,O1143,"f",,Trigger)</f>
        <v>58760</v>
      </c>
      <c r="Q1144" s="39">
        <f>_xll.qlInterestRateIndexValueDate(Index,P1144,Trigger)</f>
        <v>58762</v>
      </c>
      <c r="R1144" s="39">
        <f>_xll.qlInterestRateIndexMaturity(Index,Q1144,Trigger)</f>
        <v>58854</v>
      </c>
      <c r="S1144" s="40">
        <f>_xll.qlDayCounterYearFraction(DayCounter,Q1144,R1144,,,Trigger)</f>
        <v>0.25555555555555554</v>
      </c>
      <c r="T1144" s="41">
        <f>_xll.qlIndexFixing(Index,P1144,,AllTriggers)</f>
        <v>5.2164208972039147E-3</v>
      </c>
      <c r="U1144" s="42">
        <f>_xll.qlYieldTSDiscount(OisCurve,Q1144,,AllTriggers)</f>
        <v>0.7419945056326106</v>
      </c>
      <c r="V1144" s="42">
        <f>_xll.qlYieldTSDiscount(OisCurve,R1144,,AllTriggers)</f>
        <v>0.74107233088048474</v>
      </c>
      <c r="W1144" s="41">
        <f t="shared" si="76"/>
        <v>4.8693086346047361E-3</v>
      </c>
      <c r="X1144" s="43">
        <f t="shared" si="77"/>
        <v>8.8592295431177346E-5</v>
      </c>
      <c r="Y1144" s="41">
        <f t="shared" si="73"/>
        <v>3.4711226259917863E-4</v>
      </c>
      <c r="Z1144" s="62"/>
    </row>
    <row r="1145" spans="15:26" x14ac:dyDescent="0.25">
      <c r="O1145" s="45" t="s">
        <v>21</v>
      </c>
      <c r="P1145" s="39">
        <f>_xll.qlCalendarAdvance(Calendar,P1144,O1144,"f",,Trigger)</f>
        <v>58790</v>
      </c>
      <c r="Q1145" s="39">
        <f>_xll.qlInterestRateIndexValueDate(Index,P1145,Trigger)</f>
        <v>58792</v>
      </c>
      <c r="R1145" s="39">
        <f>_xll.qlInterestRateIndexMaturity(Index,Q1145,Trigger)</f>
        <v>58882</v>
      </c>
      <c r="S1145" s="40">
        <f>_xll.qlDayCounterYearFraction(DayCounter,Q1145,R1145,,,Trigger)</f>
        <v>0.25</v>
      </c>
      <c r="T1145" s="41">
        <f>_xll.qlIndexFixing(Index,P1145,,AllTriggers)</f>
        <v>5.2118828745983947E-3</v>
      </c>
      <c r="U1145" s="42">
        <f>_xll.qlYieldTSDiscount(OisCurve,Q1145,,AllTriggers)</f>
        <v>0.74169342990967446</v>
      </c>
      <c r="V1145" s="42">
        <f>_xll.qlYieldTSDiscount(OisCurve,R1145,,AllTriggers)</f>
        <v>0.74079227820825522</v>
      </c>
      <c r="W1145" s="41">
        <f t="shared" si="76"/>
        <v>4.8658806411907563E-3</v>
      </c>
      <c r="X1145" s="43">
        <f t="shared" si="77"/>
        <v>8.6391728978988685E-5</v>
      </c>
      <c r="Y1145" s="41">
        <f t="shared" si="73"/>
        <v>3.4600223340763847E-4</v>
      </c>
      <c r="Z1145" s="62"/>
    </row>
    <row r="1146" spans="15:26" x14ac:dyDescent="0.25">
      <c r="O1146" s="45" t="s">
        <v>21</v>
      </c>
      <c r="P1146" s="39">
        <f>_xll.qlCalendarAdvance(Calendar,P1145,O1145,"f",,Trigger)</f>
        <v>58823</v>
      </c>
      <c r="Q1146" s="39">
        <f>_xll.qlInterestRateIndexValueDate(Index,P1146,Trigger)</f>
        <v>58825</v>
      </c>
      <c r="R1146" s="39">
        <f>_xll.qlInterestRateIndexMaturity(Index,Q1146,Trigger)</f>
        <v>58915</v>
      </c>
      <c r="S1146" s="40">
        <f>_xll.qlDayCounterYearFraction(DayCounter,Q1146,R1146,,,Trigger)</f>
        <v>0.25</v>
      </c>
      <c r="T1146" s="41">
        <f>_xll.qlIndexFixing(Index,P1146,,AllTriggers)</f>
        <v>5.207337729905781E-3</v>
      </c>
      <c r="U1146" s="42">
        <f>_xll.qlYieldTSDiscount(OisCurve,Q1146,,AllTriggers)</f>
        <v>0.74136266690860431</v>
      </c>
      <c r="V1146" s="42">
        <f>_xll.qlYieldTSDiscount(OisCurve,R1146,,AllTriggers)</f>
        <v>0.74046252724953576</v>
      </c>
      <c r="W1146" s="41">
        <f t="shared" si="76"/>
        <v>4.8625804868862588E-3</v>
      </c>
      <c r="X1146" s="43">
        <f t="shared" si="77"/>
        <v>8.6080957283020285E-5</v>
      </c>
      <c r="Y1146" s="41">
        <f t="shared" si="73"/>
        <v>3.4475724301952226E-4</v>
      </c>
      <c r="Z1146" s="62"/>
    </row>
    <row r="1147" spans="15:26" x14ac:dyDescent="0.25">
      <c r="O1147" s="45" t="s">
        <v>21</v>
      </c>
      <c r="P1147" s="39">
        <f>_xll.qlCalendarAdvance(Calendar,P1146,O1146,"f",,Trigger)</f>
        <v>58854</v>
      </c>
      <c r="Q1147" s="39">
        <f>_xll.qlInterestRateIndexValueDate(Index,P1147,Trigger)</f>
        <v>58858</v>
      </c>
      <c r="R1147" s="39">
        <f>_xll.qlInterestRateIndexMaturity(Index,Q1147,Trigger)</f>
        <v>58949</v>
      </c>
      <c r="S1147" s="40">
        <f>_xll.qlDayCounterYearFraction(DayCounter,Q1147,R1147,,,Trigger)</f>
        <v>0.25277777777777777</v>
      </c>
      <c r="T1147" s="41">
        <f>_xll.qlIndexFixing(Index,P1147,,AllTriggers)</f>
        <v>5.2033357144244874E-3</v>
      </c>
      <c r="U1147" s="42">
        <f>_xll.qlYieldTSDiscount(OisCurve,Q1147,,AllTriggers)</f>
        <v>0.74103230756287475</v>
      </c>
      <c r="V1147" s="42">
        <f>_xll.qlYieldTSDiscount(OisCurve,R1147,,AllTriggers)</f>
        <v>0.74012309816259747</v>
      </c>
      <c r="W1147" s="41">
        <f t="shared" si="76"/>
        <v>4.8598298873185602E-3</v>
      </c>
      <c r="X1147" s="43">
        <f t="shared" si="77"/>
        <v>8.6720342480821029E-5</v>
      </c>
      <c r="Y1147" s="41">
        <f t="shared" si="73"/>
        <v>3.4350582710592718E-4</v>
      </c>
      <c r="Z1147" s="62"/>
    </row>
    <row r="1148" spans="15:26" x14ac:dyDescent="0.25">
      <c r="O1148" s="45" t="s">
        <v>21</v>
      </c>
      <c r="P1148" s="39">
        <f>_xll.qlCalendarAdvance(Calendar,P1147,O1147,"f",,Trigger)</f>
        <v>58882</v>
      </c>
      <c r="Q1148" s="39">
        <f>_xll.qlInterestRateIndexValueDate(Index,P1148,Trigger)</f>
        <v>58886</v>
      </c>
      <c r="R1148" s="39">
        <f>_xll.qlInterestRateIndexMaturity(Index,Q1148,Trigger)</f>
        <v>58978</v>
      </c>
      <c r="S1148" s="40">
        <f>_xll.qlDayCounterYearFraction(DayCounter,Q1148,R1148,,,Trigger)</f>
        <v>0.25555555555555554</v>
      </c>
      <c r="T1148" s="41">
        <f>_xll.qlIndexFixing(Index,P1148,,AllTriggers)</f>
        <v>5.2003896999959325E-3</v>
      </c>
      <c r="U1148" s="42">
        <f>_xll.qlYieldTSDiscount(OisCurve,Q1148,,AllTriggers)</f>
        <v>0.7407522911147767</v>
      </c>
      <c r="V1148" s="42">
        <f>_xll.qlYieldTSDiscount(OisCurve,R1148,,AllTriggers)</f>
        <v>0.73983380666768073</v>
      </c>
      <c r="W1148" s="41">
        <f t="shared" si="76"/>
        <v>4.857941801525603E-3</v>
      </c>
      <c r="X1148" s="43">
        <f t="shared" si="77"/>
        <v>8.7402131048112006E-5</v>
      </c>
      <c r="Y1148" s="41">
        <f t="shared" si="73"/>
        <v>3.4244789847032945E-4</v>
      </c>
      <c r="Z1148" s="62"/>
    </row>
    <row r="1149" spans="15:26" x14ac:dyDescent="0.25">
      <c r="O1149" s="45" t="s">
        <v>21</v>
      </c>
      <c r="P1149" s="39">
        <f>_xll.qlCalendarAdvance(Calendar,P1148,O1148,"f",,Trigger)</f>
        <v>58914</v>
      </c>
      <c r="Q1149" s="39">
        <f>_xll.qlInterestRateIndexValueDate(Index,P1149,Trigger)</f>
        <v>58916</v>
      </c>
      <c r="R1149" s="39">
        <f>_xll.qlInterestRateIndexMaturity(Index,Q1149,Trigger)</f>
        <v>59007</v>
      </c>
      <c r="S1149" s="40">
        <f>_xll.qlDayCounterYearFraction(DayCounter,Q1149,R1149,,,Trigger)</f>
        <v>0.25277777777777777</v>
      </c>
      <c r="T1149" s="41">
        <f>_xll.qlIndexFixing(Index,P1149,,AllTriggers)</f>
        <v>5.1976941673075516E-3</v>
      </c>
      <c r="U1149" s="42">
        <f>_xll.qlYieldTSDiscount(OisCurve,Q1149,,AllTriggers)</f>
        <v>0.74045253968322233</v>
      </c>
      <c r="V1149" s="42">
        <f>_xll.qlYieldTSDiscount(OisCurve,R1149,,AllTriggers)</f>
        <v>0.73954469223548169</v>
      </c>
      <c r="W1149" s="41">
        <f t="shared" si="76"/>
        <v>4.8563453248347283E-3</v>
      </c>
      <c r="X1149" s="43">
        <f t="shared" si="77"/>
        <v>8.6175896561816996E-5</v>
      </c>
      <c r="Y1149" s="41">
        <f t="shared" si="73"/>
        <v>3.4134884247282327E-4</v>
      </c>
      <c r="Z1149" s="62"/>
    </row>
    <row r="1150" spans="15:26" x14ac:dyDescent="0.25">
      <c r="O1150" s="45" t="s">
        <v>21</v>
      </c>
      <c r="P1150" s="39">
        <f>_xll.qlCalendarAdvance(Calendar,P1149,O1149,"f",,Trigger)</f>
        <v>58944</v>
      </c>
      <c r="Q1150" s="39">
        <f>_xll.qlInterestRateIndexValueDate(Index,P1150,Trigger)</f>
        <v>58946</v>
      </c>
      <c r="R1150" s="39">
        <f>_xll.qlInterestRateIndexMaturity(Index,Q1150,Trigger)</f>
        <v>59040</v>
      </c>
      <c r="S1150" s="40">
        <f>_xll.qlDayCounterYearFraction(DayCounter,Q1150,R1150,,,Trigger)</f>
        <v>0.26111111111111113</v>
      </c>
      <c r="T1150" s="41">
        <f>_xll.qlIndexFixing(Index,P1150,,AllTriggers)</f>
        <v>5.1954765256032927E-3</v>
      </c>
      <c r="U1150" s="42">
        <f>_xll.qlYieldTSDiscount(OisCurve,Q1150,,AllTriggers)</f>
        <v>0.74015303599250648</v>
      </c>
      <c r="V1150" s="42">
        <f>_xll.qlYieldTSDiscount(OisCurve,R1150,,AllTriggers)</f>
        <v>0.73921588301533114</v>
      </c>
      <c r="W1150" s="41">
        <f t="shared" si="76"/>
        <v>4.8552751514091908E-3</v>
      </c>
      <c r="X1150" s="43">
        <f t="shared" si="77"/>
        <v>8.8713950074255951E-5</v>
      </c>
      <c r="Y1150" s="41">
        <f t="shared" si="73"/>
        <v>3.4020137419410196E-4</v>
      </c>
      <c r="Z1150" s="62"/>
    </row>
    <row r="1151" spans="15:26" x14ac:dyDescent="0.25">
      <c r="O1151" s="45" t="s">
        <v>21</v>
      </c>
      <c r="P1151" s="39">
        <f>_xll.qlCalendarAdvance(Calendar,P1150,O1150,"f",,Trigger)</f>
        <v>58977</v>
      </c>
      <c r="Q1151" s="39">
        <f>_xll.qlInterestRateIndexValueDate(Index,P1151,Trigger)</f>
        <v>58979</v>
      </c>
      <c r="R1151" s="39">
        <f>_xll.qlInterestRateIndexMaturity(Index,Q1151,Trigger)</f>
        <v>59071</v>
      </c>
      <c r="S1151" s="40">
        <f>_xll.qlDayCounterYearFraction(DayCounter,Q1151,R1151,,,Trigger)</f>
        <v>0.25555555555555554</v>
      </c>
      <c r="T1151" s="41">
        <f>_xll.qlIndexFixing(Index,P1151,,AllTriggers)</f>
        <v>5.1935349499553033E-3</v>
      </c>
      <c r="U1151" s="42">
        <f>_xll.qlYieldTSDiscount(OisCurve,Q1151,,AllTriggers)</f>
        <v>0.73982383440288191</v>
      </c>
      <c r="V1151" s="42">
        <f>_xll.qlYieldTSDiscount(OisCurve,R1151,,AllTriggers)</f>
        <v>0.73890714717118855</v>
      </c>
      <c r="W1151" s="41">
        <f t="shared" si="76"/>
        <v>4.8545165753437871E-3</v>
      </c>
      <c r="X1151" s="43">
        <f t="shared" si="77"/>
        <v>8.6526935657772443E-5</v>
      </c>
      <c r="Y1151" s="41">
        <f t="shared" si="73"/>
        <v>3.3901837461151624E-4</v>
      </c>
      <c r="Z1151" s="62"/>
    </row>
    <row r="1152" spans="15:26" x14ac:dyDescent="0.25">
      <c r="O1152" s="45" t="s">
        <v>21</v>
      </c>
      <c r="P1152" s="39">
        <f>_xll.qlCalendarAdvance(Calendar,P1151,O1151,"f",,Trigger)</f>
        <v>59007</v>
      </c>
      <c r="Q1152" s="39">
        <f>_xll.qlInterestRateIndexValueDate(Index,P1152,Trigger)</f>
        <v>59009</v>
      </c>
      <c r="R1152" s="39">
        <f>_xll.qlInterestRateIndexMaturity(Index,Q1152,Trigger)</f>
        <v>59103</v>
      </c>
      <c r="S1152" s="40">
        <f>_xll.qlDayCounterYearFraction(DayCounter,Q1152,R1152,,,Trigger)</f>
        <v>0.26111111111111113</v>
      </c>
      <c r="T1152" s="41">
        <f>_xll.qlIndexFixing(Index,P1152,,AllTriggers)</f>
        <v>5.1923173265732547E-3</v>
      </c>
      <c r="U1152" s="42">
        <f>_xll.qlYieldTSDiscount(OisCurve,Q1152,,AllTriggers)</f>
        <v>0.73952475918986882</v>
      </c>
      <c r="V1152" s="42">
        <f>_xll.qlYieldTSDiscount(OisCurve,R1152,,AllTriggers)</f>
        <v>0.73858856651802685</v>
      </c>
      <c r="W1152" s="41">
        <f t="shared" si="76"/>
        <v>4.8544195046608422E-3</v>
      </c>
      <c r="X1152" s="43">
        <f t="shared" si="77"/>
        <v>8.8113301322993902E-5</v>
      </c>
      <c r="Y1152" s="41">
        <f t="shared" si="73"/>
        <v>3.3789782191241246E-4</v>
      </c>
      <c r="Z1152" s="62"/>
    </row>
    <row r="1153" spans="15:26" x14ac:dyDescent="0.25">
      <c r="O1153" s="45" t="s">
        <v>21</v>
      </c>
      <c r="P1153" s="39">
        <f>_xll.qlCalendarAdvance(Calendar,P1152,O1152,"f",,Trigger)</f>
        <v>59040</v>
      </c>
      <c r="Q1153" s="39">
        <f>_xll.qlInterestRateIndexValueDate(Index,P1153,Trigger)</f>
        <v>59042</v>
      </c>
      <c r="R1153" s="39">
        <f>_xll.qlInterestRateIndexMaturity(Index,Q1153,Trigger)</f>
        <v>59134</v>
      </c>
      <c r="S1153" s="40">
        <f>_xll.qlDayCounterYearFraction(DayCounter,Q1153,R1153,,,Trigger)</f>
        <v>0.25555555555555554</v>
      </c>
      <c r="T1153" s="41">
        <f>_xll.qlIndexFixing(Index,P1153,,AllTriggers)</f>
        <v>5.1914084888037915E-3</v>
      </c>
      <c r="U1153" s="42">
        <f>_xll.qlYieldTSDiscount(OisCurve,Q1153,,AllTriggers)</f>
        <v>0.73919596067040738</v>
      </c>
      <c r="V1153" s="42">
        <f>_xll.qlYieldTSDiscount(OisCurve,R1153,,AllTriggers)</f>
        <v>0.73828002064267717</v>
      </c>
      <c r="W1153" s="41">
        <f t="shared" si="76"/>
        <v>4.8546798664114111E-3</v>
      </c>
      <c r="X1153" s="43">
        <f t="shared" si="77"/>
        <v>8.5942548619741187E-5</v>
      </c>
      <c r="Y1153" s="41">
        <f t="shared" si="73"/>
        <v>3.3672862239238037E-4</v>
      </c>
      <c r="Z1153" s="62"/>
    </row>
    <row r="1154" spans="15:26" x14ac:dyDescent="0.25">
      <c r="O1154" s="45" t="s">
        <v>21</v>
      </c>
      <c r="P1154" s="39">
        <f>_xll.qlCalendarAdvance(Calendar,P1153,O1153,"f",,Trigger)</f>
        <v>59071</v>
      </c>
      <c r="Q1154" s="39">
        <f>_xll.qlInterestRateIndexValueDate(Index,P1154,Trigger)</f>
        <v>59075</v>
      </c>
      <c r="R1154" s="39">
        <f>_xll.qlInterestRateIndexMaturity(Index,Q1154,Trigger)</f>
        <v>59167</v>
      </c>
      <c r="S1154" s="40">
        <f>_xll.qlDayCounterYearFraction(DayCounter,Q1154,R1154,,,Trigger)</f>
        <v>0.25555555555555554</v>
      </c>
      <c r="T1154" s="41">
        <f>_xll.qlIndexFixing(Index,P1154,,AllTriggers)</f>
        <v>5.1911059927677453E-3</v>
      </c>
      <c r="U1154" s="42">
        <f>_xll.qlYieldTSDiscount(OisCurve,Q1154,,AllTriggers)</f>
        <v>0.73886731891084334</v>
      </c>
      <c r="V1154" s="42">
        <f>_xll.qlYieldTSDiscount(OisCurve,R1154,,AllTriggers)</f>
        <v>0.73795161920193786</v>
      </c>
      <c r="W1154" s="41">
        <f t="shared" si="76"/>
        <v>4.8555659757929335E-3</v>
      </c>
      <c r="X1154" s="43">
        <f t="shared" si="77"/>
        <v>8.5639176943082309E-5</v>
      </c>
      <c r="Y1154" s="41">
        <f t="shared" si="73"/>
        <v>3.355400169748118E-4</v>
      </c>
      <c r="Z1154" s="62"/>
    </row>
    <row r="1155" spans="15:26" x14ac:dyDescent="0.25">
      <c r="O1155" s="45" t="s">
        <v>21</v>
      </c>
      <c r="P1155" s="39">
        <f>_xll.qlCalendarAdvance(Calendar,P1154,O1154,"f",,Trigger)</f>
        <v>59103</v>
      </c>
      <c r="Q1155" s="39">
        <f>_xll.qlInterestRateIndexValueDate(Index,P1155,Trigger)</f>
        <v>59105</v>
      </c>
      <c r="R1155" s="39">
        <f>_xll.qlInterestRateIndexMaturity(Index,Q1155,Trigger)</f>
        <v>59197</v>
      </c>
      <c r="S1155" s="40">
        <f>_xll.qlDayCounterYearFraction(DayCounter,Q1155,R1155,,,Trigger)</f>
        <v>0.25555555555555554</v>
      </c>
      <c r="T1155" s="41">
        <f>_xll.qlIndexFixing(Index,P1155,,AllTriggers)</f>
        <v>5.1913150488871176E-3</v>
      </c>
      <c r="U1155" s="42">
        <f>_xll.qlYieldTSDiscount(OisCurve,Q1155,,AllTriggers)</f>
        <v>0.7385686583227139</v>
      </c>
      <c r="V1155" s="42">
        <f>_xll.qlYieldTSDiscount(OisCurve,R1155,,AllTriggers)</f>
        <v>0.73765308716009703</v>
      </c>
      <c r="W1155" s="41">
        <f t="shared" si="76"/>
        <v>4.8568491464661282E-3</v>
      </c>
      <c r="X1155" s="43">
        <f t="shared" si="77"/>
        <v>8.5365016675181737E-5</v>
      </c>
      <c r="Y1155" s="41">
        <f t="shared" si="73"/>
        <v>3.3446590242098943E-4</v>
      </c>
      <c r="Z1155" s="62"/>
    </row>
    <row r="1156" spans="15:26" x14ac:dyDescent="0.25">
      <c r="O1156" s="45" t="s">
        <v>21</v>
      </c>
      <c r="P1156" s="39">
        <f>_xll.qlCalendarAdvance(Calendar,P1155,O1155,"f",,Trigger)</f>
        <v>59134</v>
      </c>
      <c r="Q1156" s="39">
        <f>_xll.qlInterestRateIndexValueDate(Index,P1156,Trigger)</f>
        <v>59138</v>
      </c>
      <c r="R1156" s="39">
        <f>_xll.qlInterestRateIndexMaturity(Index,Q1156,Trigger)</f>
        <v>59230</v>
      </c>
      <c r="S1156" s="40">
        <f>_xll.qlDayCounterYearFraction(DayCounter,Q1156,R1156,,,Trigger)</f>
        <v>0.25555555555555554</v>
      </c>
      <c r="T1156" s="41">
        <f>_xll.qlIndexFixing(Index,P1156,,AllTriggers)</f>
        <v>5.1920774684771874E-3</v>
      </c>
      <c r="U1156" s="42">
        <f>_xll.qlYieldTSDiscount(OisCurve,Q1156,,AllTriggers)</f>
        <v>0.7382402123264814</v>
      </c>
      <c r="V1156" s="42">
        <f>_xll.qlYieldTSDiscount(OisCurve,R1156,,AllTriggers)</f>
        <v>0.73732468381759519</v>
      </c>
      <c r="W1156" s="41">
        <f t="shared" si="76"/>
        <v>4.8587860131175404E-3</v>
      </c>
      <c r="X1156" s="43">
        <f t="shared" si="77"/>
        <v>8.5065235761814232E-5</v>
      </c>
      <c r="Y1156" s="41">
        <f t="shared" ref="Y1156:Y1219" si="78">T1156-W1156</f>
        <v>3.3329145535964701E-4</v>
      </c>
      <c r="Z1156" s="62"/>
    </row>
    <row r="1157" spans="15:26" x14ac:dyDescent="0.25">
      <c r="O1157" s="45" t="s">
        <v>21</v>
      </c>
      <c r="P1157" s="39">
        <f>_xll.qlCalendarAdvance(Calendar,P1156,O1156,"f",,Trigger)</f>
        <v>59167</v>
      </c>
      <c r="Q1157" s="39">
        <f>_xll.qlInterestRateIndexValueDate(Index,P1157,Trigger)</f>
        <v>59169</v>
      </c>
      <c r="R1157" s="39">
        <f>_xll.qlInterestRateIndexMaturity(Index,Q1157,Trigger)</f>
        <v>59259</v>
      </c>
      <c r="S1157" s="40">
        <f>_xll.qlDayCounterYearFraction(DayCounter,Q1157,R1157,,,Trigger)</f>
        <v>0.25</v>
      </c>
      <c r="T1157" s="41">
        <f>_xll.qlIndexFixing(Index,P1157,,AllTriggers)</f>
        <v>5.193171979004596E-3</v>
      </c>
      <c r="U1157" s="42">
        <f>_xll.qlYieldTSDiscount(OisCurve,Q1157,,AllTriggers)</f>
        <v>0.73793171696662585</v>
      </c>
      <c r="V1157" s="42">
        <f>_xll.qlYieldTSDiscount(OisCurve,R1157,,AllTriggers)</f>
        <v>0.73703604291768765</v>
      </c>
      <c r="W1157" s="41">
        <f t="shared" si="76"/>
        <v>4.8609511436783492E-3</v>
      </c>
      <c r="X1157" s="43">
        <f t="shared" si="77"/>
        <v>8.2950958984741508E-5</v>
      </c>
      <c r="Y1157" s="41">
        <f t="shared" si="78"/>
        <v>3.322208353262468E-4</v>
      </c>
      <c r="Z1157" s="62"/>
    </row>
    <row r="1158" spans="15:26" x14ac:dyDescent="0.25">
      <c r="O1158" s="45" t="s">
        <v>21</v>
      </c>
      <c r="P1158" s="39">
        <f>_xll.qlCalendarAdvance(Calendar,P1157,O1157,"f",,Trigger)</f>
        <v>59198</v>
      </c>
      <c r="Q1158" s="39">
        <f>_xll.qlInterestRateIndexValueDate(Index,P1158,Trigger)</f>
        <v>59202</v>
      </c>
      <c r="R1158" s="39">
        <f>_xll.qlInterestRateIndexMaturity(Index,Q1158,Trigger)</f>
        <v>59289</v>
      </c>
      <c r="S1158" s="40">
        <f>_xll.qlDayCounterYearFraction(DayCounter,Q1158,R1158,,,Trigger)</f>
        <v>0.24166666666666667</v>
      </c>
      <c r="T1158" s="41">
        <f>_xll.qlIndexFixing(Index,P1158,,AllTriggers)</f>
        <v>5.1947803755111209E-3</v>
      </c>
      <c r="U1158" s="42">
        <f>_xll.qlYieldTSDiscount(OisCurve,Q1158,,AllTriggers)</f>
        <v>0.73760333113762888</v>
      </c>
      <c r="V1158" s="42">
        <f>_xll.qlYieldTSDiscount(OisCurve,R1158,,AllTriggers)</f>
        <v>0.73673737766109448</v>
      </c>
      <c r="W1158" s="41">
        <f t="shared" si="76"/>
        <v>4.8636812433022376E-3</v>
      </c>
      <c r="X1158" s="43">
        <f t="shared" si="77"/>
        <v>7.991849093010385E-5</v>
      </c>
      <c r="Y1158" s="41">
        <f t="shared" si="78"/>
        <v>3.3109913220888323E-4</v>
      </c>
      <c r="Z1158" s="62"/>
    </row>
    <row r="1159" spans="15:26" x14ac:dyDescent="0.25">
      <c r="O1159" s="45" t="s">
        <v>21</v>
      </c>
      <c r="P1159" s="39">
        <f>_xll.qlCalendarAdvance(Calendar,P1158,O1158,"f",,Trigger)</f>
        <v>59229</v>
      </c>
      <c r="Q1159" s="39">
        <f>_xll.qlInterestRateIndexValueDate(Index,P1159,Trigger)</f>
        <v>59231</v>
      </c>
      <c r="R1159" s="39">
        <f>_xll.qlInterestRateIndexMaturity(Index,Q1159,Trigger)</f>
        <v>59323</v>
      </c>
      <c r="S1159" s="40">
        <f>_xll.qlDayCounterYearFraction(DayCounter,Q1159,R1159,,,Trigger)</f>
        <v>0.25555555555555554</v>
      </c>
      <c r="T1159" s="41">
        <f>_xll.qlIndexFixing(Index,P1159,,AllTriggers)</f>
        <v>5.197227235339697E-3</v>
      </c>
      <c r="U1159" s="42">
        <f>_xll.qlYieldTSDiscount(OisCurve,Q1159,,AllTriggers)</f>
        <v>0.73731473153183036</v>
      </c>
      <c r="V1159" s="42">
        <f>_xll.qlYieldTSDiscount(OisCurve,R1159,,AllTriggers)</f>
        <v>0.73639876821717609</v>
      </c>
      <c r="W1159" s="41">
        <f t="shared" si="76"/>
        <v>4.8672056899437188E-3</v>
      </c>
      <c r="X1159" s="43">
        <f t="shared" si="77"/>
        <v>8.4230518066777017E-5</v>
      </c>
      <c r="Y1159" s="41">
        <f t="shared" si="78"/>
        <v>3.3002154539597817E-4</v>
      </c>
      <c r="Z1159" s="62"/>
    </row>
    <row r="1160" spans="15:26" x14ac:dyDescent="0.25">
      <c r="O1160" s="45" t="s">
        <v>21</v>
      </c>
      <c r="P1160" s="39">
        <f>_xll.qlCalendarAdvance(Calendar,P1159,O1159,"f",,Trigger)</f>
        <v>59258</v>
      </c>
      <c r="Q1160" s="39">
        <f>_xll.qlInterestRateIndexValueDate(Index,P1160,Trigger)</f>
        <v>59260</v>
      </c>
      <c r="R1160" s="39">
        <f>_xll.qlInterestRateIndexMaturity(Index,Q1160,Trigger)</f>
        <v>59352</v>
      </c>
      <c r="S1160" s="40">
        <f>_xll.qlDayCounterYearFraction(DayCounter,Q1160,R1160,,,Trigger)</f>
        <v>0.25555555555555554</v>
      </c>
      <c r="T1160" s="41">
        <f>_xll.qlIndexFixing(Index,P1160,,AllTriggers)</f>
        <v>5.1997392056862103E-3</v>
      </c>
      <c r="U1160" s="42">
        <f>_xll.qlYieldTSDiscount(OisCurve,Q1160,,AllTriggers)</f>
        <v>0.73702608872490294</v>
      </c>
      <c r="V1160" s="42">
        <f>_xll.qlYieldTSDiscount(OisCurve,R1160,,AllTriggers)</f>
        <v>0.73610982272083902</v>
      </c>
      <c r="W1160" s="41">
        <f t="shared" si="76"/>
        <v>4.8707252652896681E-3</v>
      </c>
      <c r="X1160" s="43">
        <f t="shared" si="77"/>
        <v>8.3973285097183048E-5</v>
      </c>
      <c r="Y1160" s="41">
        <f t="shared" si="78"/>
        <v>3.2901394039654228E-4</v>
      </c>
      <c r="Z1160" s="62"/>
    </row>
    <row r="1161" spans="15:26" x14ac:dyDescent="0.25">
      <c r="O1161" s="45" t="s">
        <v>21</v>
      </c>
      <c r="P1161" s="39">
        <f>_xll.qlCalendarAdvance(Calendar,P1160,O1160,"f",,Trigger)</f>
        <v>59289</v>
      </c>
      <c r="Q1161" s="39">
        <f>_xll.qlInterestRateIndexValueDate(Index,P1161,Trigger)</f>
        <v>59294</v>
      </c>
      <c r="R1161" s="39">
        <f>_xll.qlInterestRateIndexMaturity(Index,Q1161,Trigger)</f>
        <v>59386</v>
      </c>
      <c r="S1161" s="40">
        <f>_xll.qlDayCounterYearFraction(DayCounter,Q1161,R1161,,,Trigger)</f>
        <v>0.25555555555555554</v>
      </c>
      <c r="T1161" s="41">
        <f>_xll.qlIndexFixing(Index,P1161,,AllTriggers)</f>
        <v>5.2032328709120234E-3</v>
      </c>
      <c r="U1161" s="42">
        <f>_xll.qlYieldTSDiscount(OisCurve,Q1161,,AllTriggers)</f>
        <v>0.73668759116123117</v>
      </c>
      <c r="V1161" s="42">
        <f>_xll.qlYieldTSDiscount(OisCurve,R1161,,AllTriggers)</f>
        <v>0.7357708693962981</v>
      </c>
      <c r="W1161" s="41">
        <f t="shared" si="76"/>
        <v>4.875392969273867E-3</v>
      </c>
      <c r="X1161" s="43">
        <f t="shared" si="77"/>
        <v>8.3673551403172711E-5</v>
      </c>
      <c r="Y1161" s="41">
        <f t="shared" si="78"/>
        <v>3.2783990163815641E-4</v>
      </c>
      <c r="Z1161" s="62"/>
    </row>
    <row r="1162" spans="15:26" x14ac:dyDescent="0.25">
      <c r="O1162" s="45" t="s">
        <v>21</v>
      </c>
      <c r="P1162" s="39">
        <f>_xll.qlCalendarAdvance(Calendar,P1161,O1161,"f",,Trigger)</f>
        <v>59320</v>
      </c>
      <c r="Q1162" s="39">
        <f>_xll.qlInterestRateIndexValueDate(Index,P1162,Trigger)</f>
        <v>59322</v>
      </c>
      <c r="R1162" s="39">
        <f>_xll.qlInterestRateIndexMaturity(Index,Q1162,Trigger)</f>
        <v>59414</v>
      </c>
      <c r="S1162" s="40">
        <f>_xll.qlDayCounterYearFraction(DayCounter,Q1162,R1162,,,Trigger)</f>
        <v>0.25555555555555554</v>
      </c>
      <c r="T1162" s="41">
        <f>_xll.qlIndexFixing(Index,P1162,,AllTriggers)</f>
        <v>5.206554622232986E-3</v>
      </c>
      <c r="U1162" s="42">
        <f>_xll.qlYieldTSDiscount(OisCurve,Q1162,,AllTriggers)</f>
        <v>0.73640872952592595</v>
      </c>
      <c r="V1162" s="42">
        <f>_xll.qlYieldTSDiscount(OisCurve,R1162,,AllTriggers)</f>
        <v>0.73549155080205675</v>
      </c>
      <c r="W1162" s="41">
        <f t="shared" si="76"/>
        <v>4.8796756671406439E-3</v>
      </c>
      <c r="X1162" s="43">
        <f t="shared" si="77"/>
        <v>8.3428211064117086E-5</v>
      </c>
      <c r="Y1162" s="41">
        <f t="shared" si="78"/>
        <v>3.2687895509234208E-4</v>
      </c>
      <c r="Z1162" s="62"/>
    </row>
    <row r="1163" spans="15:26" x14ac:dyDescent="0.25">
      <c r="O1163" s="45" t="s">
        <v>21</v>
      </c>
      <c r="P1163" s="39">
        <f>_xll.qlCalendarAdvance(Calendar,P1162,O1162,"f",,Trigger)</f>
        <v>59351</v>
      </c>
      <c r="Q1163" s="39">
        <f>_xll.qlInterestRateIndexValueDate(Index,P1163,Trigger)</f>
        <v>59355</v>
      </c>
      <c r="R1163" s="39">
        <f>_xll.qlInterestRateIndexMaturity(Index,Q1163,Trigger)</f>
        <v>59447</v>
      </c>
      <c r="S1163" s="40">
        <f>_xll.qlDayCounterYearFraction(DayCounter,Q1163,R1163,,,Trigger)</f>
        <v>0.25555555555555554</v>
      </c>
      <c r="T1163" s="41">
        <f>_xll.qlIndexFixing(Index,P1163,,AllTriggers)</f>
        <v>5.2109851039579573E-3</v>
      </c>
      <c r="U1163" s="42">
        <f>_xll.qlYieldTSDiscount(OisCurve,Q1163,,AllTriggers)</f>
        <v>0.73607992381474285</v>
      </c>
      <c r="V1163" s="42">
        <f>_xll.qlYieldTSDiscount(OisCurve,R1163,,AllTriggers)</f>
        <v>0.73516211204533433</v>
      </c>
      <c r="W1163" s="41">
        <f t="shared" si="76"/>
        <v>4.88523184167241E-3</v>
      </c>
      <c r="X1163" s="43">
        <f t="shared" si="77"/>
        <v>8.3140798335672181E-5</v>
      </c>
      <c r="Y1163" s="41">
        <f t="shared" si="78"/>
        <v>3.2575326228554725E-4</v>
      </c>
      <c r="Z1163" s="62"/>
    </row>
    <row r="1164" spans="15:26" x14ac:dyDescent="0.25">
      <c r="O1164" s="45" t="s">
        <v>21</v>
      </c>
      <c r="P1164" s="39">
        <f>_xll.qlCalendarAdvance(Calendar,P1163,O1163,"f",,Trigger)</f>
        <v>59383</v>
      </c>
      <c r="Q1164" s="39">
        <f>_xll.qlInterestRateIndexValueDate(Index,P1164,Trigger)</f>
        <v>59385</v>
      </c>
      <c r="R1164" s="39">
        <f>_xll.qlInterestRateIndexMaturity(Index,Q1164,Trigger)</f>
        <v>59477</v>
      </c>
      <c r="S1164" s="40">
        <f>_xll.qlDayCounterYearFraction(DayCounter,Q1164,R1164,,,Trigger)</f>
        <v>0.25555555555555554</v>
      </c>
      <c r="T1164" s="41">
        <f>_xll.qlIndexFixing(Index,P1164,,AllTriggers)</f>
        <v>5.2154968744473444E-3</v>
      </c>
      <c r="U1164" s="42">
        <f>_xll.qlYieldTSDiscount(OisCurve,Q1164,,AllTriggers)</f>
        <v>0.73578084188144977</v>
      </c>
      <c r="V1164" s="42">
        <f>_xll.qlYieldTSDiscount(OisCurve,R1164,,AllTriggers)</f>
        <v>0.73486236605057453</v>
      </c>
      <c r="W1164" s="41">
        <f t="shared" si="76"/>
        <v>4.8907605369183735E-3</v>
      </c>
      <c r="X1164" s="43">
        <f t="shared" si="77"/>
        <v>8.2881146201769015E-5</v>
      </c>
      <c r="Y1164" s="41">
        <f t="shared" si="78"/>
        <v>3.2473633752897087E-4</v>
      </c>
      <c r="Z1164" s="62"/>
    </row>
    <row r="1165" spans="15:26" x14ac:dyDescent="0.25">
      <c r="O1165" s="45" t="s">
        <v>21</v>
      </c>
      <c r="P1165" s="39">
        <f>_xll.qlCalendarAdvance(Calendar,P1164,O1164,"f",,Trigger)</f>
        <v>59414</v>
      </c>
      <c r="Q1165" s="39">
        <f>_xll.qlInterestRateIndexValueDate(Index,P1165,Trigger)</f>
        <v>59418</v>
      </c>
      <c r="R1165" s="39">
        <f>_xll.qlInterestRateIndexMaturity(Index,Q1165,Trigger)</f>
        <v>59509</v>
      </c>
      <c r="S1165" s="40">
        <f>_xll.qlDayCounterYearFraction(DayCounter,Q1165,R1165,,,Trigger)</f>
        <v>0.25277777777777777</v>
      </c>
      <c r="T1165" s="41">
        <f>_xll.qlIndexFixing(Index,P1165,,AllTriggers)</f>
        <v>5.2208631171765272E-3</v>
      </c>
      <c r="U1165" s="42">
        <f>_xll.qlYieldTSDiscount(OisCurve,Q1165,,AllTriggers)</f>
        <v>0.73545163339747033</v>
      </c>
      <c r="V1165" s="42">
        <f>_xll.qlYieldTSDiscount(OisCurve,R1165,,AllTriggers)</f>
        <v>0.73454233613890296</v>
      </c>
      <c r="W1165" s="41">
        <f t="shared" si="76"/>
        <v>4.8972261325487014E-3</v>
      </c>
      <c r="X1165" s="43">
        <f t="shared" si="77"/>
        <v>8.1703753917424204E-5</v>
      </c>
      <c r="Y1165" s="41">
        <f t="shared" si="78"/>
        <v>3.2363698462782586E-4</v>
      </c>
      <c r="Z1165" s="62"/>
    </row>
    <row r="1166" spans="15:26" x14ac:dyDescent="0.25">
      <c r="O1166" s="45" t="s">
        <v>21</v>
      </c>
      <c r="P1166" s="39">
        <f>_xll.qlCalendarAdvance(Calendar,P1165,O1165,"f",,Trigger)</f>
        <v>59446</v>
      </c>
      <c r="Q1166" s="39">
        <f>_xll.qlInterestRateIndexValueDate(Index,P1166,Trigger)</f>
        <v>59448</v>
      </c>
      <c r="R1166" s="39">
        <f>_xll.qlInterestRateIndexMaturity(Index,Q1166,Trigger)</f>
        <v>59540</v>
      </c>
      <c r="S1166" s="40">
        <f>_xll.qlDayCounterYearFraction(DayCounter,Q1166,R1166,,,Trigger)</f>
        <v>0.25555555555555554</v>
      </c>
      <c r="T1166" s="41">
        <f>_xll.qlIndexFixing(Index,P1166,,AllTriggers)</f>
        <v>5.2264721853917638E-3</v>
      </c>
      <c r="U1166" s="42">
        <f>_xll.qlYieldTSDiscount(OisCurve,Q1166,,AllTriggers)</f>
        <v>0.73515212461050783</v>
      </c>
      <c r="V1166" s="42">
        <f>_xll.qlYieldTSDiscount(OisCurve,R1166,,AllTriggers)</f>
        <v>0.73423198033350012</v>
      </c>
      <c r="W1166" s="41">
        <f t="shared" si="76"/>
        <v>4.9038514511023446E-3</v>
      </c>
      <c r="X1166" s="43">
        <f t="shared" si="77"/>
        <v>8.234093643324101E-5</v>
      </c>
      <c r="Y1166" s="41">
        <f t="shared" si="78"/>
        <v>3.2262073428941922E-4</v>
      </c>
      <c r="Z1166" s="62"/>
    </row>
    <row r="1167" spans="15:26" x14ac:dyDescent="0.25">
      <c r="O1167" s="45" t="s">
        <v>21</v>
      </c>
      <c r="P1167" s="39">
        <f>_xll.qlCalendarAdvance(Calendar,P1166,O1166,"f",,Trigger)</f>
        <v>59477</v>
      </c>
      <c r="Q1167" s="39">
        <f>_xll.qlInterestRateIndexValueDate(Index,P1167,Trigger)</f>
        <v>59481</v>
      </c>
      <c r="R1167" s="39">
        <f>_xll.qlInterestRateIndexMaturity(Index,Q1167,Trigger)</f>
        <v>59573</v>
      </c>
      <c r="S1167" s="40">
        <f>_xll.qlDayCounterYearFraction(DayCounter,Q1167,R1167,,,Trigger)</f>
        <v>0.25555555555555554</v>
      </c>
      <c r="T1167" s="41">
        <f>_xll.qlIndexFixing(Index,P1167,,AllTriggers)</f>
        <v>5.2330325428490386E-3</v>
      </c>
      <c r="U1167" s="42">
        <f>_xll.qlYieldTSDiscount(OisCurve,Q1167,,AllTriggers)</f>
        <v>0.73482237993884858</v>
      </c>
      <c r="V1167" s="42">
        <f>_xll.qlYieldTSDiscount(OisCurve,R1167,,AllTriggers)</f>
        <v>0.73390121394994123</v>
      </c>
      <c r="W1167" s="41">
        <f t="shared" si="76"/>
        <v>4.9115092014761575E-3</v>
      </c>
      <c r="X1167" s="43">
        <f t="shared" si="77"/>
        <v>8.2060705231605952E-5</v>
      </c>
      <c r="Y1167" s="41">
        <f t="shared" si="78"/>
        <v>3.2152334137288113E-4</v>
      </c>
      <c r="Z1167" s="62"/>
    </row>
    <row r="1168" spans="15:26" x14ac:dyDescent="0.25">
      <c r="O1168" s="45" t="s">
        <v>21</v>
      </c>
      <c r="P1168" s="39">
        <f>_xll.qlCalendarAdvance(Calendar,P1167,O1167,"f",,Trigger)</f>
        <v>59509</v>
      </c>
      <c r="Q1168" s="39">
        <f>_xll.qlInterestRateIndexValueDate(Index,P1168,Trigger)</f>
        <v>59511</v>
      </c>
      <c r="R1168" s="39">
        <f>_xll.qlInterestRateIndexMaturity(Index,Q1168,Trigger)</f>
        <v>59601</v>
      </c>
      <c r="S1168" s="40">
        <f>_xll.qlDayCounterYearFraction(DayCounter,Q1168,R1168,,,Trigger)</f>
        <v>0.25</v>
      </c>
      <c r="T1168" s="41">
        <f>_xll.qlIndexFixing(Index,P1168,,AllTriggers)</f>
        <v>5.2391742269337627E-3</v>
      </c>
      <c r="U1168" s="42">
        <f>_xll.qlYieldTSDiscount(OisCurve,Q1168,,AllTriggers)</f>
        <v>0.73452232322262556</v>
      </c>
      <c r="V1168" s="42">
        <f>_xll.qlYieldTSDiscount(OisCurve,R1168,,AllTriggers)</f>
        <v>0.73362022376077374</v>
      </c>
      <c r="W1168" s="41">
        <f t="shared" si="76"/>
        <v>4.9186182857789973E-3</v>
      </c>
      <c r="X1168" s="43">
        <f t="shared" si="77"/>
        <v>8.0037359969386729E-5</v>
      </c>
      <c r="Y1168" s="41">
        <f t="shared" si="78"/>
        <v>3.2055594115476538E-4</v>
      </c>
      <c r="Z1168" s="62"/>
    </row>
    <row r="1169" spans="15:26" x14ac:dyDescent="0.25">
      <c r="O1169" s="45" t="s">
        <v>21</v>
      </c>
      <c r="P1169" s="39">
        <f>_xll.qlCalendarAdvance(Calendar,P1168,O1168,"f",,Trigger)</f>
        <v>59540</v>
      </c>
      <c r="Q1169" s="39">
        <f>_xll.qlInterestRateIndexValueDate(Index,P1169,Trigger)</f>
        <v>59544</v>
      </c>
      <c r="R1169" s="39">
        <f>_xll.qlInterestRateIndexMaturity(Index,Q1169,Trigger)</f>
        <v>59635</v>
      </c>
      <c r="S1169" s="40">
        <f>_xll.qlDayCounterYearFraction(DayCounter,Q1169,R1169,,,Trigger)</f>
        <v>0.25277777777777777</v>
      </c>
      <c r="T1169" s="41">
        <f>_xll.qlIndexFixing(Index,P1169,,AllTriggers)</f>
        <v>5.2469440592093864E-3</v>
      </c>
      <c r="U1169" s="42">
        <f>_xll.qlYieldTSDiscount(OisCurve,Q1169,,AllTriggers)</f>
        <v>0.73419190941234269</v>
      </c>
      <c r="V1169" s="42">
        <f>_xll.qlYieldTSDiscount(OisCurve,R1169,,AllTriggers)</f>
        <v>0.73327856820856818</v>
      </c>
      <c r="W1169" s="41">
        <f t="shared" si="76"/>
        <v>4.9274833680534869E-3</v>
      </c>
      <c r="X1169" s="43">
        <f t="shared" si="77"/>
        <v>8.0648854490871836E-5</v>
      </c>
      <c r="Y1169" s="41">
        <f t="shared" si="78"/>
        <v>3.1946069115589958E-4</v>
      </c>
      <c r="Z1169" s="62"/>
    </row>
    <row r="1170" spans="15:26" x14ac:dyDescent="0.25">
      <c r="O1170" s="45" t="s">
        <v>21</v>
      </c>
      <c r="P1170" s="39">
        <f>_xll.qlCalendarAdvance(Calendar,P1169,O1169,"f",,Trigger)</f>
        <v>59572</v>
      </c>
      <c r="Q1170" s="39">
        <f>_xll.qlInterestRateIndexValueDate(Index,P1170,Trigger)</f>
        <v>59574</v>
      </c>
      <c r="R1170" s="39">
        <f>_xll.qlInterestRateIndexMaturity(Index,Q1170,Trigger)</f>
        <v>59663</v>
      </c>
      <c r="S1170" s="40">
        <f>_xll.qlDayCounterYearFraction(DayCounter,Q1170,R1170,,,Trigger)</f>
        <v>0.24722222222222223</v>
      </c>
      <c r="T1170" s="41">
        <f>_xll.qlIndexFixing(Index,P1170,,AllTriggers)</f>
        <v>5.2540137364057498E-3</v>
      </c>
      <c r="U1170" s="42">
        <f>_xll.qlYieldTSDiscount(OisCurve,Q1170,,AllTriggers)</f>
        <v>0.73389118411392895</v>
      </c>
      <c r="V1170" s="42">
        <f>_xll.qlYieldTSDiscount(OisCurve,R1170,,AllTriggers)</f>
        <v>0.73299680540004009</v>
      </c>
      <c r="W1170" s="41">
        <f t="shared" si="76"/>
        <v>4.9355080745689525E-3</v>
      </c>
      <c r="X1170" s="43">
        <f t="shared" si="77"/>
        <v>7.864262416777325E-5</v>
      </c>
      <c r="Y1170" s="41">
        <f t="shared" si="78"/>
        <v>3.1850566183679735E-4</v>
      </c>
      <c r="Z1170" s="62"/>
    </row>
    <row r="1171" spans="15:26" x14ac:dyDescent="0.25">
      <c r="O1171" s="45" t="s">
        <v>21</v>
      </c>
      <c r="P1171" s="39">
        <f>_xll.qlCalendarAdvance(Calendar,P1170,O1170,"f",,Trigger)</f>
        <v>59600</v>
      </c>
      <c r="Q1171" s="39">
        <f>_xll.qlInterestRateIndexValueDate(Index,P1171,Trigger)</f>
        <v>59602</v>
      </c>
      <c r="R1171" s="39">
        <f>_xll.qlInterestRateIndexMaturity(Index,Q1171,Trigger)</f>
        <v>59694</v>
      </c>
      <c r="S1171" s="40">
        <f>_xll.qlDayCounterYearFraction(DayCounter,Q1171,R1171,,,Trigger)</f>
        <v>0.25555555555555554</v>
      </c>
      <c r="T1171" s="41">
        <f>_xll.qlIndexFixing(Index,P1171,,AllTriggers)</f>
        <v>5.2618597631954971E-3</v>
      </c>
      <c r="U1171" s="42">
        <f>_xll.qlYieldTSDiscount(OisCurve,Q1171,,AllTriggers)</f>
        <v>0.73361018232308473</v>
      </c>
      <c r="V1171" s="42">
        <f>_xll.qlYieldTSDiscount(OisCurve,R1171,,AllTriggers)</f>
        <v>0.73268440442850413</v>
      </c>
      <c r="W1171" s="41">
        <f t="shared" si="76"/>
        <v>4.9442967951970783E-3</v>
      </c>
      <c r="X1171" s="43">
        <f t="shared" si="77"/>
        <v>8.104928276417403E-5</v>
      </c>
      <c r="Y1171" s="41">
        <f t="shared" si="78"/>
        <v>3.175629679984188E-4</v>
      </c>
      <c r="Z1171" s="62"/>
    </row>
    <row r="1172" spans="15:26" x14ac:dyDescent="0.25">
      <c r="O1172" s="45" t="s">
        <v>21</v>
      </c>
      <c r="P1172" s="39">
        <f>_xll.qlCalendarAdvance(Calendar,P1171,O1171,"f",,Trigger)</f>
        <v>59631</v>
      </c>
      <c r="Q1172" s="39">
        <f>_xll.qlInterestRateIndexValueDate(Index,P1172,Trigger)</f>
        <v>59635</v>
      </c>
      <c r="R1172" s="39">
        <f>_xll.qlInterestRateIndexMaturity(Index,Q1172,Trigger)</f>
        <v>59726</v>
      </c>
      <c r="S1172" s="40">
        <f>_xll.qlDayCounterYearFraction(DayCounter,Q1172,R1172,,,Trigger)</f>
        <v>0.25277777777777777</v>
      </c>
      <c r="T1172" s="41">
        <f>_xll.qlIndexFixing(Index,P1172,,AllTriggers)</f>
        <v>5.2708378798808648E-3</v>
      </c>
      <c r="U1172" s="42">
        <f>_xll.qlYieldTSDiscount(OisCurve,Q1172,,AllTriggers)</f>
        <v>0.73327856820856818</v>
      </c>
      <c r="V1172" s="42">
        <f>_xll.qlYieldTSDiscount(OisCurve,R1172,,AllTriggers)</f>
        <v>0.73236140011645279</v>
      </c>
      <c r="W1172" s="41">
        <f t="shared" si="76"/>
        <v>4.9543262205138435E-3</v>
      </c>
      <c r="X1172" s="43">
        <f t="shared" si="77"/>
        <v>7.9903850426439106E-5</v>
      </c>
      <c r="Y1172" s="41">
        <f t="shared" si="78"/>
        <v>3.1651165936702128E-4</v>
      </c>
      <c r="Z1172" s="62"/>
    </row>
    <row r="1173" spans="15:26" x14ac:dyDescent="0.25">
      <c r="O1173" s="45" t="s">
        <v>21</v>
      </c>
      <c r="P1173" s="39">
        <f>_xll.qlCalendarAdvance(Calendar,P1172,O1172,"f",,Trigger)</f>
        <v>59663</v>
      </c>
      <c r="Q1173" s="39">
        <f>_xll.qlInterestRateIndexValueDate(Index,P1173,Trigger)</f>
        <v>59665</v>
      </c>
      <c r="R1173" s="39">
        <f>_xll.qlInterestRateIndexMaturity(Index,Q1173,Trigger)</f>
        <v>59757</v>
      </c>
      <c r="S1173" s="40">
        <f>_xll.qlDayCounterYearFraction(DayCounter,Q1173,R1173,,,Trigger)</f>
        <v>0.25555555555555554</v>
      </c>
      <c r="T1173" s="41">
        <f>_xll.qlIndexFixing(Index,P1173,,AllTriggers)</f>
        <v>5.2798379824939897E-3</v>
      </c>
      <c r="U1173" s="42">
        <f>_xll.qlYieldTSDiscount(OisCurve,Q1173,,AllTriggers)</f>
        <v>0.7329766650373285</v>
      </c>
      <c r="V1173" s="42">
        <f>_xll.qlYieldTSDiscount(OisCurve,R1173,,AllTriggers)</f>
        <v>0.73204794960318587</v>
      </c>
      <c r="W1173" s="41">
        <f t="shared" si="76"/>
        <v>4.9642975910279144E-3</v>
      </c>
      <c r="X1173" s="43">
        <f t="shared" si="77"/>
        <v>8.0532684984469395E-5</v>
      </c>
      <c r="Y1173" s="41">
        <f t="shared" si="78"/>
        <v>3.1554039146607527E-4</v>
      </c>
      <c r="Z1173" s="62"/>
    </row>
    <row r="1174" spans="15:26" x14ac:dyDescent="0.25">
      <c r="O1174" s="45" t="s">
        <v>21</v>
      </c>
      <c r="P1174" s="39">
        <f>_xll.qlCalendarAdvance(Calendar,P1173,O1173,"f",,Trigger)</f>
        <v>59694</v>
      </c>
      <c r="Q1174" s="39">
        <f>_xll.qlInterestRateIndexValueDate(Index,P1174,Trigger)</f>
        <v>59698</v>
      </c>
      <c r="R1174" s="39">
        <f>_xll.qlInterestRateIndexMaturity(Index,Q1174,Trigger)</f>
        <v>59790</v>
      </c>
      <c r="S1174" s="40">
        <f>_xll.qlDayCounterYearFraction(DayCounter,Q1174,R1174,,,Trigger)</f>
        <v>0.25555555555555554</v>
      </c>
      <c r="T1174" s="41">
        <f>_xll.qlIndexFixing(Index,P1174,,AllTriggers)</f>
        <v>5.2900665625030627E-3</v>
      </c>
      <c r="U1174" s="42">
        <f>_xll.qlYieldTSDiscount(OisCurve,Q1174,,AllTriggers)</f>
        <v>0.73264405876019745</v>
      </c>
      <c r="V1174" s="42">
        <f>_xll.qlYieldTSDiscount(OisCurve,R1174,,AllTriggers)</f>
        <v>0.73171365865347393</v>
      </c>
      <c r="W1174" s="41">
        <f t="shared" si="76"/>
        <v>4.9755748395994091E-3</v>
      </c>
      <c r="X1174" s="43">
        <f t="shared" si="77"/>
        <v>8.0264821967315002E-5</v>
      </c>
      <c r="Y1174" s="41">
        <f t="shared" si="78"/>
        <v>3.1449172290365368E-4</v>
      </c>
      <c r="Z1174" s="62"/>
    </row>
    <row r="1175" spans="15:26" x14ac:dyDescent="0.25">
      <c r="O1175" s="45" t="s">
        <v>21</v>
      </c>
      <c r="P1175" s="39">
        <f>_xll.qlCalendarAdvance(Calendar,P1174,O1174,"f",,Trigger)</f>
        <v>59726</v>
      </c>
      <c r="Q1175" s="39">
        <f>_xll.qlInterestRateIndexValueDate(Index,P1175,Trigger)</f>
        <v>59728</v>
      </c>
      <c r="R1175" s="39">
        <f>_xll.qlInterestRateIndexMaturity(Index,Q1175,Trigger)</f>
        <v>59820</v>
      </c>
      <c r="S1175" s="40">
        <f>_xll.qlDayCounterYearFraction(DayCounter,Q1175,R1175,,,Trigger)</f>
        <v>0.25555555555555554</v>
      </c>
      <c r="T1175" s="41">
        <f>_xll.qlIndexFixing(Index,P1175,,AllTriggers)</f>
        <v>5.2998493606754744E-3</v>
      </c>
      <c r="U1175" s="42">
        <f>_xll.qlYieldTSDiscount(OisCurve,Q1175,,AllTriggers)</f>
        <v>0.73234119387082797</v>
      </c>
      <c r="V1175" s="42">
        <f>_xll.qlYieldTSDiscount(OisCurve,R1175,,AllTriggers)</f>
        <v>0.73140917537547501</v>
      </c>
      <c r="W1175" s="41">
        <f t="shared" si="76"/>
        <v>4.9863045442207236E-3</v>
      </c>
      <c r="X1175" s="43">
        <f t="shared" si="77"/>
        <v>8.0022942298258465E-5</v>
      </c>
      <c r="Y1175" s="41">
        <f t="shared" si="78"/>
        <v>3.1354481645475083E-4</v>
      </c>
      <c r="Z1175" s="62"/>
    </row>
    <row r="1176" spans="15:26" x14ac:dyDescent="0.25">
      <c r="O1176" s="45" t="s">
        <v>21</v>
      </c>
      <c r="P1176" s="39">
        <f>_xll.qlCalendarAdvance(Calendar,P1175,O1175,"f",,Trigger)</f>
        <v>59757</v>
      </c>
      <c r="Q1176" s="39">
        <f>_xll.qlInterestRateIndexValueDate(Index,P1176,Trigger)</f>
        <v>59761</v>
      </c>
      <c r="R1176" s="39">
        <f>_xll.qlInterestRateIndexMaturity(Index,Q1176,Trigger)</f>
        <v>59853</v>
      </c>
      <c r="S1176" s="40">
        <f>_xll.qlDayCounterYearFraction(DayCounter,Q1176,R1176,,,Trigger)</f>
        <v>0.25555555555555554</v>
      </c>
      <c r="T1176" s="41">
        <f>_xll.qlIndexFixing(Index,P1176,,AllTriggers)</f>
        <v>5.3111429409029966E-3</v>
      </c>
      <c r="U1176" s="42">
        <f>_xll.qlYieldTSDiscount(OisCurve,Q1176,,AllTriggers)</f>
        <v>0.73200746409701245</v>
      </c>
      <c r="V1176" s="42">
        <f>_xll.qlYieldTSDiscount(OisCurve,R1176,,AllTriggers)</f>
        <v>0.73107356999715145</v>
      </c>
      <c r="W1176" s="41">
        <f t="shared" si="76"/>
        <v>4.9986326504209595E-3</v>
      </c>
      <c r="X1176" s="43">
        <f t="shared" si="77"/>
        <v>7.9758670044611732E-5</v>
      </c>
      <c r="Y1176" s="41">
        <f t="shared" si="78"/>
        <v>3.1251029048203708E-4</v>
      </c>
      <c r="Z1176" s="62"/>
    </row>
    <row r="1177" spans="15:26" x14ac:dyDescent="0.25">
      <c r="O1177" s="45" t="s">
        <v>21</v>
      </c>
      <c r="P1177" s="39">
        <f>_xll.qlCalendarAdvance(Calendar,P1176,O1176,"f",,Trigger)</f>
        <v>59789</v>
      </c>
      <c r="Q1177" s="39">
        <f>_xll.qlInterestRateIndexValueDate(Index,P1177,Trigger)</f>
        <v>59791</v>
      </c>
      <c r="R1177" s="39">
        <f>_xll.qlInterestRateIndexMaturity(Index,Q1177,Trigger)</f>
        <v>59882</v>
      </c>
      <c r="S1177" s="40">
        <f>_xll.qlDayCounterYearFraction(DayCounter,Q1177,R1177,,,Trigger)</f>
        <v>0.25277777777777777</v>
      </c>
      <c r="T1177" s="41">
        <f>_xll.qlIndexFixing(Index,P1177,,AllTriggers)</f>
        <v>5.3216677457813668E-3</v>
      </c>
      <c r="U1177" s="42">
        <f>_xll.qlYieldTSDiscount(OisCurve,Q1177,,AllTriggers)</f>
        <v>0.73170351831114799</v>
      </c>
      <c r="V1177" s="42">
        <f>_xll.qlYieldTSDiscount(OisCurve,R1177,,AllTriggers)</f>
        <v>0.730778033957455</v>
      </c>
      <c r="W1177" s="41">
        <f t="shared" si="76"/>
        <v>5.0100805083228344E-3</v>
      </c>
      <c r="X1177" s="43">
        <f t="shared" si="77"/>
        <v>7.8659614354722958E-5</v>
      </c>
      <c r="Y1177" s="41">
        <f t="shared" si="78"/>
        <v>3.1158723745853233E-4</v>
      </c>
      <c r="Z1177" s="62"/>
    </row>
    <row r="1178" spans="15:26" x14ac:dyDescent="0.25">
      <c r="O1178" s="45" t="s">
        <v>21</v>
      </c>
      <c r="P1178" s="39">
        <f>_xll.qlCalendarAdvance(Calendar,P1177,O1177,"f",,Trigger)</f>
        <v>59819</v>
      </c>
      <c r="Q1178" s="39">
        <f>_xll.qlInterestRateIndexValueDate(Index,P1178,Trigger)</f>
        <v>59821</v>
      </c>
      <c r="R1178" s="39">
        <f>_xll.qlInterestRateIndexMaturity(Index,Q1178,Trigger)</f>
        <v>59915</v>
      </c>
      <c r="S1178" s="40">
        <f>_xll.qlDayCounterYearFraction(DayCounter,Q1178,R1178,,,Trigger)</f>
        <v>0.26111111111111113</v>
      </c>
      <c r="T1178" s="41">
        <f>_xll.qlIndexFixing(Index,P1178,,AllTriggers)</f>
        <v>5.3335745621490536E-3</v>
      </c>
      <c r="U1178" s="42">
        <f>_xll.qlYieldTSDiscount(OisCurve,Q1178,,AllTriggers)</f>
        <v>0.7313990160506878</v>
      </c>
      <c r="V1178" s="42">
        <f>_xll.qlYieldTSDiscount(OisCurve,R1178,,AllTriggers)</f>
        <v>0.73044100794076594</v>
      </c>
      <c r="W1178" s="41">
        <f t="shared" si="76"/>
        <v>5.0229480404325993E-3</v>
      </c>
      <c r="X1178" s="43">
        <f t="shared" si="77"/>
        <v>8.099851804746716E-5</v>
      </c>
      <c r="Y1178" s="41">
        <f t="shared" si="78"/>
        <v>3.1062652171645437E-4</v>
      </c>
      <c r="Z1178" s="62"/>
    </row>
    <row r="1179" spans="15:26" x14ac:dyDescent="0.25">
      <c r="O1179" s="45" t="s">
        <v>21</v>
      </c>
      <c r="P1179" s="39">
        <f>_xll.qlCalendarAdvance(Calendar,P1178,O1178,"f",,Trigger)</f>
        <v>59852</v>
      </c>
      <c r="Q1179" s="39">
        <f>_xll.qlInterestRateIndexValueDate(Index,P1179,Trigger)</f>
        <v>59854</v>
      </c>
      <c r="R1179" s="39">
        <f>_xll.qlInterestRateIndexMaturity(Index,Q1179,Trigger)</f>
        <v>59946</v>
      </c>
      <c r="S1179" s="40">
        <f>_xll.qlDayCounterYearFraction(DayCounter,Q1179,R1179,,,Trigger)</f>
        <v>0.25555555555555554</v>
      </c>
      <c r="T1179" s="41">
        <f>_xll.qlIndexFixing(Index,P1179,,AllTriggers)</f>
        <v>5.3459717214565184E-3</v>
      </c>
      <c r="U1179" s="42">
        <f>_xll.qlYieldTSDiscount(OisCurve,Q1179,,AllTriggers)</f>
        <v>0.73106338875777299</v>
      </c>
      <c r="V1179" s="42">
        <f>_xll.qlYieldTSDiscount(OisCurve,R1179,,AllTriggers)</f>
        <v>0.73012367292443614</v>
      </c>
      <c r="W1179" s="41">
        <f t="shared" si="76"/>
        <v>5.0363370609920665E-3</v>
      </c>
      <c r="X1179" s="43">
        <f t="shared" si="77"/>
        <v>7.9024022207700381E-5</v>
      </c>
      <c r="Y1179" s="41">
        <f t="shared" si="78"/>
        <v>3.0963466046445183E-4</v>
      </c>
      <c r="Z1179" s="62"/>
    </row>
    <row r="1180" spans="15:26" x14ac:dyDescent="0.25">
      <c r="O1180" s="45" t="s">
        <v>21</v>
      </c>
      <c r="P1180" s="39">
        <f>_xll.qlCalendarAdvance(Calendar,P1179,O1179,"f",,Trigger)</f>
        <v>59882</v>
      </c>
      <c r="Q1180" s="39">
        <f>_xll.qlInterestRateIndexValueDate(Index,P1180,Trigger)</f>
        <v>59884</v>
      </c>
      <c r="R1180" s="39">
        <f>_xll.qlInterestRateIndexMaturity(Index,Q1180,Trigger)</f>
        <v>59975</v>
      </c>
      <c r="S1180" s="40">
        <f>_xll.qlDayCounterYearFraction(DayCounter,Q1180,R1180,,,Trigger)</f>
        <v>0.25277777777777777</v>
      </c>
      <c r="T1180" s="41">
        <f>_xll.qlIndexFixing(Index,P1180,,AllTriggers)</f>
        <v>5.3579014316581068E-3</v>
      </c>
      <c r="U1180" s="42">
        <f>_xll.qlYieldTSDiscount(OisCurve,Q1180,,AllTriggers)</f>
        <v>0.73075763046737008</v>
      </c>
      <c r="V1180" s="42">
        <f>_xll.qlYieldTSDiscount(OisCurve,R1180,,AllTriggers)</f>
        <v>0.72982614003504598</v>
      </c>
      <c r="W1180" s="41">
        <f t="shared" si="76"/>
        <v>5.049171155655556E-3</v>
      </c>
      <c r="X1180" s="43">
        <f t="shared" si="77"/>
        <v>7.7937638775643297E-5</v>
      </c>
      <c r="Y1180" s="41">
        <f t="shared" si="78"/>
        <v>3.0873027600255079E-4</v>
      </c>
      <c r="Z1180" s="62"/>
    </row>
    <row r="1181" spans="15:26" x14ac:dyDescent="0.25">
      <c r="O1181" s="45" t="s">
        <v>21</v>
      </c>
      <c r="P1181" s="39">
        <f>_xll.qlCalendarAdvance(Calendar,P1180,O1180,"f",,Trigger)</f>
        <v>59915</v>
      </c>
      <c r="Q1181" s="39">
        <f>_xll.qlInterestRateIndexValueDate(Index,P1181,Trigger)</f>
        <v>59917</v>
      </c>
      <c r="R1181" s="39">
        <f>_xll.qlInterestRateIndexMaturity(Index,Q1181,Trigger)</f>
        <v>60008</v>
      </c>
      <c r="S1181" s="40">
        <f>_xll.qlDayCounterYearFraction(DayCounter,Q1181,R1181,,,Trigger)</f>
        <v>0.25277777777777777</v>
      </c>
      <c r="T1181" s="41">
        <f>_xll.qlIndexFixing(Index,P1181,,AllTriggers)</f>
        <v>5.3718235742696097E-3</v>
      </c>
      <c r="U1181" s="42">
        <f>_xll.qlYieldTSDiscount(OisCurve,Q1181,,AllTriggers)</f>
        <v>0.73042055653014115</v>
      </c>
      <c r="V1181" s="42">
        <f>_xll.qlYieldTSDiscount(OisCurve,R1181,,AllTriggers)</f>
        <v>0.72948674772627564</v>
      </c>
      <c r="W1181" s="41">
        <f t="shared" si="76"/>
        <v>5.064092920326912E-3</v>
      </c>
      <c r="X1181" s="43">
        <f t="shared" si="77"/>
        <v>7.7685005625897249E-5</v>
      </c>
      <c r="Y1181" s="41">
        <f t="shared" si="78"/>
        <v>3.0773065394269772E-4</v>
      </c>
      <c r="Z1181" s="62"/>
    </row>
    <row r="1182" spans="15:26" x14ac:dyDescent="0.25">
      <c r="O1182" s="45" t="s">
        <v>21</v>
      </c>
      <c r="P1182" s="39">
        <f>_xll.qlCalendarAdvance(Calendar,P1181,O1181,"f",,Trigger)</f>
        <v>59946</v>
      </c>
      <c r="Q1182" s="39">
        <f>_xll.qlInterestRateIndexValueDate(Index,P1182,Trigger)</f>
        <v>59950</v>
      </c>
      <c r="R1182" s="39">
        <f>_xll.qlInterestRateIndexMaturity(Index,Q1182,Trigger)</f>
        <v>60041</v>
      </c>
      <c r="S1182" s="40">
        <f>_xll.qlDayCounterYearFraction(DayCounter,Q1182,R1182,,,Trigger)</f>
        <v>0.25277777777777777</v>
      </c>
      <c r="T1182" s="41">
        <f>_xll.qlIndexFixing(Index,P1182,,AllTriggers)</f>
        <v>5.3863035981054058E-3</v>
      </c>
      <c r="U1182" s="42">
        <f>_xll.qlYieldTSDiscount(OisCurve,Q1182,,AllTriggers)</f>
        <v>0.7300826730500326</v>
      </c>
      <c r="V1182" s="42">
        <f>_xll.qlYieldTSDiscount(OisCurve,R1182,,AllTriggers)</f>
        <v>0.7291464481404184</v>
      </c>
      <c r="W1182" s="41">
        <f t="shared" si="76"/>
        <v>5.0795651609127886E-3</v>
      </c>
      <c r="X1182" s="43">
        <f t="shared" si="77"/>
        <v>7.7434232907900137E-5</v>
      </c>
      <c r="Y1182" s="41">
        <f t="shared" si="78"/>
        <v>3.0673843719261715E-4</v>
      </c>
      <c r="Z1182" s="62"/>
    </row>
    <row r="1183" spans="15:26" x14ac:dyDescent="0.25">
      <c r="O1183" s="45" t="s">
        <v>21</v>
      </c>
      <c r="P1183" s="39">
        <f>_xll.qlCalendarAdvance(Calendar,P1182,O1182,"f",,Trigger)</f>
        <v>59975</v>
      </c>
      <c r="Q1183" s="39">
        <f>_xll.qlInterestRateIndexValueDate(Index,P1183,Trigger)</f>
        <v>59979</v>
      </c>
      <c r="R1183" s="39">
        <f>_xll.qlInterestRateIndexMaturity(Index,Q1183,Trigger)</f>
        <v>60071</v>
      </c>
      <c r="S1183" s="40">
        <f>_xll.qlDayCounterYearFraction(DayCounter,Q1183,R1183,,,Trigger)</f>
        <v>0.25555555555555554</v>
      </c>
      <c r="T1183" s="41">
        <f>_xll.qlIndexFixing(Index,P1183,,AllTriggers)</f>
        <v>5.3997645154974204E-3</v>
      </c>
      <c r="U1183" s="42">
        <f>_xll.qlYieldTSDiscount(OisCurve,Q1183,,AllTriggers)</f>
        <v>0.72978504871543748</v>
      </c>
      <c r="V1183" s="42">
        <f>_xll.qlYieldTSDiscount(OisCurve,R1183,,AllTriggers)</f>
        <v>0.72883626786220757</v>
      </c>
      <c r="W1183" s="41">
        <f t="shared" si="76"/>
        <v>5.0939022846929272E-3</v>
      </c>
      <c r="X1183" s="43">
        <f t="shared" si="77"/>
        <v>7.8060124858460398E-5</v>
      </c>
      <c r="Y1183" s="41">
        <f t="shared" si="78"/>
        <v>3.058622308044932E-4</v>
      </c>
      <c r="Z1183" s="62"/>
    </row>
    <row r="1184" spans="15:26" x14ac:dyDescent="0.25">
      <c r="O1184" s="45" t="s">
        <v>21</v>
      </c>
      <c r="P1184" s="39">
        <f>_xll.qlCalendarAdvance(Calendar,P1183,O1183,"f",,Trigger)</f>
        <v>60006</v>
      </c>
      <c r="Q1184" s="39">
        <f>_xll.qlInterestRateIndexValueDate(Index,P1184,Trigger)</f>
        <v>60008</v>
      </c>
      <c r="R1184" s="39">
        <f>_xll.qlInterestRateIndexMaturity(Index,Q1184,Trigger)</f>
        <v>60099</v>
      </c>
      <c r="S1184" s="40">
        <f>_xll.qlDayCounterYearFraction(DayCounter,Q1184,R1184,,,Trigger)</f>
        <v>0.25277777777777777</v>
      </c>
      <c r="T1184" s="41">
        <f>_xll.qlIndexFixing(Index,P1184,,AllTriggers)</f>
        <v>5.4131052827150958E-3</v>
      </c>
      <c r="U1184" s="42">
        <f>_xll.qlYieldTSDiscount(OisCurve,Q1184,,AllTriggers)</f>
        <v>0.72948674772627564</v>
      </c>
      <c r="V1184" s="42">
        <f>_xll.qlYieldTSDiscount(OisCurve,R1184,,AllTriggers)</f>
        <v>0.72854604008472434</v>
      </c>
      <c r="W1184" s="41">
        <f t="shared" si="76"/>
        <v>5.108092797169575E-3</v>
      </c>
      <c r="X1184" s="43">
        <f t="shared" si="77"/>
        <v>7.6997989287288829E-5</v>
      </c>
      <c r="Y1184" s="41">
        <f t="shared" si="78"/>
        <v>3.050124855455208E-4</v>
      </c>
      <c r="Z1184" s="62"/>
    </row>
    <row r="1185" spans="15:26" x14ac:dyDescent="0.25">
      <c r="O1185" s="45" t="s">
        <v>21</v>
      </c>
      <c r="P1185" s="39">
        <f>_xll.qlCalendarAdvance(Calendar,P1184,O1184,"f",,Trigger)</f>
        <v>60036</v>
      </c>
      <c r="Q1185" s="39">
        <f>_xll.qlInterestRateIndexValueDate(Index,P1185,Trigger)</f>
        <v>60038</v>
      </c>
      <c r="R1185" s="39">
        <f>_xll.qlInterestRateIndexMaturity(Index,Q1185,Trigger)</f>
        <v>60132</v>
      </c>
      <c r="S1185" s="40">
        <f>_xll.qlDayCounterYearFraction(DayCounter,Q1185,R1185,,,Trigger)</f>
        <v>0.26111111111111113</v>
      </c>
      <c r="T1185" s="41">
        <f>_xll.qlIndexFixing(Index,P1185,,AllTriggers)</f>
        <v>5.4285180964142267E-3</v>
      </c>
      <c r="U1185" s="42">
        <f>_xll.qlYieldTSDiscount(OisCurve,Q1185,,AllTriggers)</f>
        <v>0.72917742288616094</v>
      </c>
      <c r="V1185" s="42">
        <f>_xll.qlYieldTSDiscount(OisCurve,R1185,,AllTriggers)</f>
        <v>0.72820305590794554</v>
      </c>
      <c r="W1185" s="41">
        <f t="shared" si="76"/>
        <v>5.1244198773502791E-3</v>
      </c>
      <c r="X1185" s="43">
        <f t="shared" si="77"/>
        <v>7.9294176778157451E-5</v>
      </c>
      <c r="Y1185" s="41">
        <f t="shared" si="78"/>
        <v>3.0409821906394758E-4</v>
      </c>
      <c r="Z1185" s="62"/>
    </row>
    <row r="1186" spans="15:26" x14ac:dyDescent="0.25">
      <c r="O1186" s="45" t="s">
        <v>21</v>
      </c>
      <c r="P1186" s="39">
        <f>_xll.qlCalendarAdvance(Calendar,P1185,O1185,"f",,Trigger)</f>
        <v>60069</v>
      </c>
      <c r="Q1186" s="39">
        <f>_xll.qlInterestRateIndexValueDate(Index,P1186,Trigger)</f>
        <v>60071</v>
      </c>
      <c r="R1186" s="39">
        <f>_xll.qlInterestRateIndexMaturity(Index,Q1186,Trigger)</f>
        <v>60163</v>
      </c>
      <c r="S1186" s="40">
        <f>_xll.qlDayCounterYearFraction(DayCounter,Q1186,R1186,,,Trigger)</f>
        <v>0.25555555555555554</v>
      </c>
      <c r="T1186" s="41">
        <f>_xll.qlIndexFixing(Index,P1186,,AllTriggers)</f>
        <v>5.4444698396035078E-3</v>
      </c>
      <c r="U1186" s="42">
        <f>_xll.qlYieldTSDiscount(OisCurve,Q1186,,AllTriggers)</f>
        <v>0.72883626786220757</v>
      </c>
      <c r="V1186" s="42">
        <f>_xll.qlYieldTSDiscount(OisCurve,R1186,,AllTriggers)</f>
        <v>0.72787991232111793</v>
      </c>
      <c r="W1186" s="41">
        <f t="shared" ref="W1186:W1196" si="79">(U1186/V1186-1)/S1186</f>
        <v>5.14131623858904E-3</v>
      </c>
      <c r="X1186" s="43">
        <f t="shared" ref="X1186:X1196" si="80">LN((1+T1186*S1186)/(1+W1186*S1186))</f>
        <v>7.7367936909783391E-5</v>
      </c>
      <c r="Y1186" s="41">
        <f t="shared" si="78"/>
        <v>3.0315360101446781E-4</v>
      </c>
      <c r="Z1186" s="62"/>
    </row>
    <row r="1187" spans="15:26" x14ac:dyDescent="0.25">
      <c r="O1187" s="45" t="s">
        <v>21</v>
      </c>
      <c r="P1187" s="39">
        <f>_xll.qlCalendarAdvance(Calendar,P1186,O1186,"f",,Trigger)</f>
        <v>60099</v>
      </c>
      <c r="Q1187" s="39">
        <f>_xll.qlInterestRateIndexValueDate(Index,P1187,Trigger)</f>
        <v>60101</v>
      </c>
      <c r="R1187" s="39">
        <f>_xll.qlInterestRateIndexMaturity(Index,Q1187,Trigger)</f>
        <v>60195</v>
      </c>
      <c r="S1187" s="40">
        <f>_xll.qlDayCounterYearFraction(DayCounter,Q1187,R1187,,,Trigger)</f>
        <v>0.26111111111111113</v>
      </c>
      <c r="T1187" s="41">
        <f>_xll.qlIndexFixing(Index,P1187,,AllTriggers)</f>
        <v>5.4606010568259812E-3</v>
      </c>
      <c r="U1187" s="42">
        <f>_xll.qlYieldTSDiscount(OisCurve,Q1187,,AllTriggers)</f>
        <v>0.72852528211218137</v>
      </c>
      <c r="V1187" s="42">
        <f>_xll.qlYieldTSDiscount(OisCurve,R1187,,AllTriggers)</f>
        <v>0.72754535170677814</v>
      </c>
      <c r="W1187" s="41">
        <f t="shared" si="79"/>
        <v>5.1583381682793845E-3</v>
      </c>
      <c r="X1187" s="43">
        <f t="shared" si="80"/>
        <v>7.8814932727720846E-5</v>
      </c>
      <c r="Y1187" s="41">
        <f t="shared" si="78"/>
        <v>3.0226288854659673E-4</v>
      </c>
      <c r="Z1187" s="62"/>
    </row>
    <row r="1188" spans="15:26" x14ac:dyDescent="0.25">
      <c r="O1188" s="45" t="s">
        <v>21</v>
      </c>
      <c r="P1188" s="39">
        <f>_xll.qlCalendarAdvance(Calendar,P1187,O1187,"f",,Trigger)</f>
        <v>60132</v>
      </c>
      <c r="Q1188" s="39">
        <f>_xll.qlInterestRateIndexValueDate(Index,P1188,Trigger)</f>
        <v>60134</v>
      </c>
      <c r="R1188" s="39">
        <f>_xll.qlInterestRateIndexMaturity(Index,Q1188,Trigger)</f>
        <v>60226</v>
      </c>
      <c r="S1188" s="40">
        <f>_xll.qlDayCounterYearFraction(DayCounter,Q1188,R1188,,,Trigger)</f>
        <v>0.25555555555555554</v>
      </c>
      <c r="T1188" s="41">
        <f>_xll.qlIndexFixing(Index,P1188,,AllTriggers)</f>
        <v>5.4775846822584665E-3</v>
      </c>
      <c r="U1188" s="42">
        <f>_xll.qlYieldTSDiscount(OisCurve,Q1188,,AllTriggers)</f>
        <v>0.7281822359296618</v>
      </c>
      <c r="V1188" s="42">
        <f>_xll.qlYieldTSDiscount(OisCurve,R1188,,AllTriggers)</f>
        <v>0.72722025433384663</v>
      </c>
      <c r="W1188" s="41">
        <f t="shared" si="79"/>
        <v>5.1762527064920343E-3</v>
      </c>
      <c r="X1188" s="43">
        <f t="shared" si="80"/>
        <v>7.690237149335942E-5</v>
      </c>
      <c r="Y1188" s="41">
        <f t="shared" si="78"/>
        <v>3.0133197576643223E-4</v>
      </c>
      <c r="Z1188" s="62"/>
    </row>
    <row r="1189" spans="15:26" x14ac:dyDescent="0.25">
      <c r="O1189" s="45" t="s">
        <v>21</v>
      </c>
      <c r="P1189" s="39">
        <f>_xll.qlCalendarAdvance(Calendar,P1188,O1188,"f",,Trigger)</f>
        <v>60163</v>
      </c>
      <c r="Q1189" s="39">
        <f>_xll.qlInterestRateIndexValueDate(Index,P1189,Trigger)</f>
        <v>60167</v>
      </c>
      <c r="R1189" s="39">
        <f>_xll.qlInterestRateIndexMaturity(Index,Q1189,Trigger)</f>
        <v>60258</v>
      </c>
      <c r="S1189" s="40">
        <f>_xll.qlDayCounterYearFraction(DayCounter,Q1189,R1189,,,Trigger)</f>
        <v>0.25277777777777777</v>
      </c>
      <c r="T1189" s="41">
        <f>_xll.qlIndexFixing(Index,P1189,,AllTriggers)</f>
        <v>5.4954169853399333E-3</v>
      </c>
      <c r="U1189" s="42">
        <f>_xll.qlYieldTSDiscount(OisCurve,Q1189,,AllTriggers)</f>
        <v>0.7278381480495284</v>
      </c>
      <c r="V1189" s="42">
        <f>_xll.qlYieldTSDiscount(OisCurve,R1189,,AllTriggers)</f>
        <v>0.72688361518483813</v>
      </c>
      <c r="W1189" s="41">
        <f t="shared" si="79"/>
        <v>5.1950186953150269E-3</v>
      </c>
      <c r="X1189" s="43">
        <f t="shared" si="80"/>
        <v>7.5831552261823728E-5</v>
      </c>
      <c r="Y1189" s="41">
        <f t="shared" si="78"/>
        <v>3.0039829002490633E-4</v>
      </c>
      <c r="Z1189" s="62"/>
    </row>
    <row r="1190" spans="15:26" x14ac:dyDescent="0.25">
      <c r="O1190" s="45" t="s">
        <v>21</v>
      </c>
      <c r="P1190" s="39">
        <f>_xll.qlCalendarAdvance(Calendar,P1189,O1189,"f",,Trigger)</f>
        <v>60195</v>
      </c>
      <c r="Q1190" s="39">
        <f>_xll.qlInterestRateIndexValueDate(Index,P1190,Trigger)</f>
        <v>60197</v>
      </c>
      <c r="R1190" s="39">
        <f>_xll.qlInterestRateIndexMaturity(Index,Q1190,Trigger)</f>
        <v>60289</v>
      </c>
      <c r="S1190" s="40">
        <f>_xll.qlDayCounterYearFraction(DayCounter,Q1190,R1190,,,Trigger)</f>
        <v>0.25555555555555554</v>
      </c>
      <c r="T1190" s="41">
        <f>_xll.qlIndexFixing(Index,P1190,,AllTriggers)</f>
        <v>5.5127329916171419E-3</v>
      </c>
      <c r="U1190" s="42">
        <f>_xll.qlYieldTSDiscount(OisCurve,Q1190,,AllTriggers)</f>
        <v>0.72752440745587865</v>
      </c>
      <c r="V1190" s="42">
        <f>_xll.qlYieldTSDiscount(OisCurve,R1190,,AllTriggers)</f>
        <v>0.7265564445588073</v>
      </c>
      <c r="W1190" s="41">
        <f t="shared" si="79"/>
        <v>5.2131956573356949E-3</v>
      </c>
      <c r="X1190" s="43">
        <f t="shared" si="80"/>
        <v>7.6443661170931386E-5</v>
      </c>
      <c r="Y1190" s="41">
        <f t="shared" si="78"/>
        <v>2.9953733428144703E-4</v>
      </c>
      <c r="Z1190" s="62"/>
    </row>
    <row r="1191" spans="15:26" x14ac:dyDescent="0.25">
      <c r="O1191" s="45" t="s">
        <v>21</v>
      </c>
      <c r="P1191" s="39">
        <f>_xll.qlCalendarAdvance(Calendar,P1190,O1190,"f",,Trigger)</f>
        <v>60226</v>
      </c>
      <c r="Q1191" s="39">
        <f>_xll.qlInterestRateIndexValueDate(Index,P1191,Trigger)</f>
        <v>60230</v>
      </c>
      <c r="R1191" s="39">
        <f>_xll.qlInterestRateIndexMaturity(Index,Q1191,Trigger)</f>
        <v>60322</v>
      </c>
      <c r="S1191" s="40">
        <f>_xll.qlDayCounterYearFraction(DayCounter,Q1191,R1191,,,Trigger)</f>
        <v>0.25555555555555554</v>
      </c>
      <c r="T1191" s="41">
        <f>_xll.qlIndexFixing(Index,P1191,,AllTriggers)</f>
        <v>5.5319555713155737E-3</v>
      </c>
      <c r="U1191" s="42">
        <f>_xll.qlYieldTSDiscount(OisCurve,Q1191,,AllTriggers)</f>
        <v>0.72717823367190004</v>
      </c>
      <c r="V1191" s="42">
        <f>_xll.qlYieldTSDiscount(OisCurve,R1191,,AllTriggers)</f>
        <v>0.72620699642290953</v>
      </c>
      <c r="W1191" s="41">
        <f t="shared" si="79"/>
        <v>5.2333475189942046E-3</v>
      </c>
      <c r="X1191" s="43">
        <f t="shared" si="80"/>
        <v>7.6206120154894872E-5</v>
      </c>
      <c r="Y1191" s="41">
        <f t="shared" si="78"/>
        <v>2.9860805232136915E-4</v>
      </c>
      <c r="Z1191" s="62"/>
    </row>
    <row r="1192" spans="15:26" x14ac:dyDescent="0.25">
      <c r="O1192" s="45" t="s">
        <v>21</v>
      </c>
      <c r="P1192" s="39">
        <f>_xll.qlCalendarAdvance(Calendar,P1191,O1191,"f",,Trigger)</f>
        <v>60258</v>
      </c>
      <c r="Q1192" s="39">
        <f>_xll.qlInterestRateIndexValueDate(Index,P1192,Trigger)</f>
        <v>60260</v>
      </c>
      <c r="R1192" s="39">
        <f>_xll.qlInterestRateIndexMaturity(Index,Q1192,Trigger)</f>
        <v>60350</v>
      </c>
      <c r="S1192" s="40">
        <f>_xll.qlDayCounterYearFraction(DayCounter,Q1192,R1192,,,Trigger)</f>
        <v>0.25</v>
      </c>
      <c r="T1192" s="41">
        <f>_xll.qlIndexFixing(Index,P1192,,AllTriggers)</f>
        <v>5.549215482307801E-3</v>
      </c>
      <c r="U1192" s="42">
        <f>_xll.qlYieldTSDiscount(OisCurve,Q1192,,AllTriggers)</f>
        <v>0.7268625389465142</v>
      </c>
      <c r="V1192" s="42">
        <f>_xll.qlYieldTSDiscount(OisCurve,R1192,,AllTriggers)</f>
        <v>0.72590952372985673</v>
      </c>
      <c r="W1192" s="41">
        <f t="shared" si="79"/>
        <v>5.2514269919514689E-3</v>
      </c>
      <c r="X1192" s="43">
        <f t="shared" si="80"/>
        <v>7.4346748542094502E-5</v>
      </c>
      <c r="Y1192" s="41">
        <f t="shared" si="78"/>
        <v>2.9778849035633215E-4</v>
      </c>
      <c r="Z1192" s="62"/>
    </row>
    <row r="1193" spans="15:26" x14ac:dyDescent="0.25">
      <c r="O1193" s="45" t="s">
        <v>21</v>
      </c>
      <c r="P1193" s="39">
        <f>_xll.qlCalendarAdvance(Calendar,P1192,O1192,"f",,Trigger)</f>
        <v>60289</v>
      </c>
      <c r="Q1193" s="39">
        <f>_xll.qlInterestRateIndexValueDate(Index,P1193,Trigger)</f>
        <v>60293</v>
      </c>
      <c r="R1193" s="39">
        <f>_xll.qlInterestRateIndexMaturity(Index,Q1193,Trigger)</f>
        <v>60384</v>
      </c>
      <c r="S1193" s="40">
        <f>_xll.qlDayCounterYearFraction(DayCounter,Q1193,R1193,,,Trigger)</f>
        <v>0.25277777777777777</v>
      </c>
      <c r="T1193" s="41">
        <f>_xll.qlIndexFixing(Index,P1193,,AllTriggers)</f>
        <v>5.5698440413526765E-3</v>
      </c>
      <c r="U1193" s="42">
        <f>_xll.qlYieldTSDiscount(OisCurve,Q1193,,AllTriggers)</f>
        <v>0.72651415210897641</v>
      </c>
      <c r="V1193" s="42">
        <f>_xll.qlYieldTSDiscount(OisCurve,R1193,,AllTriggers)</f>
        <v>0.72554707605347846</v>
      </c>
      <c r="W1193" s="41">
        <f t="shared" si="79"/>
        <v>5.272980225070026E-3</v>
      </c>
      <c r="X1193" s="43">
        <f t="shared" si="80"/>
        <v>7.4937880009284143E-5</v>
      </c>
      <c r="Y1193" s="41">
        <f t="shared" si="78"/>
        <v>2.9686381628265049E-4</v>
      </c>
      <c r="Z1193" s="62"/>
    </row>
    <row r="1194" spans="15:26" x14ac:dyDescent="0.25">
      <c r="O1194" s="45" t="s">
        <v>21</v>
      </c>
      <c r="P1194" s="39">
        <f>_xll.qlCalendarAdvance(Calendar,P1193,O1193,"f",,Trigger)</f>
        <v>60321</v>
      </c>
      <c r="Q1194" s="39">
        <f>_xll.qlInterestRateIndexValueDate(Index,P1194,Trigger)</f>
        <v>60323</v>
      </c>
      <c r="R1194" s="39">
        <f>_xll.qlInterestRateIndexMaturity(Index,Q1194,Trigger)</f>
        <v>60412</v>
      </c>
      <c r="S1194" s="40">
        <f>_xll.qlDayCounterYearFraction(DayCounter,Q1194,R1194,,,Trigger)</f>
        <v>0.24722222222222223</v>
      </c>
      <c r="T1194" s="41">
        <f>_xll.qlIndexFixing(Index,P1194,,AllTriggers)</f>
        <v>5.5879928311245103E-3</v>
      </c>
      <c r="U1194" s="42">
        <f>_xll.qlYieldTSDiscount(OisCurve,Q1194,,AllTriggers)</f>
        <v>0.72619638789903085</v>
      </c>
      <c r="V1194" s="42">
        <f>_xll.qlYieldTSDiscount(OisCurve,R1194,,AllTriggers)</f>
        <v>0.72524755795204743</v>
      </c>
      <c r="W1194" s="41">
        <f t="shared" si="79"/>
        <v>5.2919362339290867E-3</v>
      </c>
      <c r="X1194" s="43">
        <f t="shared" si="80"/>
        <v>7.3093467942756619E-5</v>
      </c>
      <c r="Y1194" s="41">
        <f t="shared" si="78"/>
        <v>2.9605659719542359E-4</v>
      </c>
      <c r="Z1194" s="62"/>
    </row>
    <row r="1195" spans="15:26" x14ac:dyDescent="0.25">
      <c r="O1195" s="45" t="s">
        <v>21</v>
      </c>
      <c r="P1195" s="39">
        <f>_xll.qlCalendarAdvance(Calendar,P1194,O1194,"f",,Trigger)</f>
        <v>60349</v>
      </c>
      <c r="Q1195" s="39">
        <f>_xll.qlInterestRateIndexValueDate(Index,P1195,Trigger)</f>
        <v>60351</v>
      </c>
      <c r="R1195" s="39">
        <f>_xll.qlInterestRateIndexMaturity(Index,Q1195,Trigger)</f>
        <v>60443</v>
      </c>
      <c r="S1195" s="40">
        <f>_xll.qlDayCounterYearFraction(DayCounter,Q1195,R1195,,,Trigger)</f>
        <v>0.25555555555555554</v>
      </c>
      <c r="T1195" s="41">
        <f>_xll.qlIndexFixing(Index,P1195,,AllTriggers)</f>
        <v>5.6069146692182695E-3</v>
      </c>
      <c r="U1195" s="42">
        <f>_xll.qlYieldTSDiscount(OisCurve,Q1195,,AllTriggers)</f>
        <v>0.72589888292570626</v>
      </c>
      <c r="V1195" s="42">
        <f>_xll.qlYieldTSDiscount(OisCurve,R1195,,AllTriggers)</f>
        <v>0.72491486771154012</v>
      </c>
      <c r="W1195" s="41">
        <f t="shared" si="79"/>
        <v>5.3116503575899258E-3</v>
      </c>
      <c r="X1195" s="43">
        <f t="shared" si="80"/>
        <v>7.5351308852815289E-5</v>
      </c>
      <c r="Y1195" s="41">
        <f t="shared" si="78"/>
        <v>2.9526431162834373E-4</v>
      </c>
      <c r="Z1195" s="62"/>
    </row>
    <row r="1196" spans="15:26" x14ac:dyDescent="0.25">
      <c r="O1196" s="45" t="s">
        <v>21</v>
      </c>
      <c r="P1196" s="39">
        <f>_xll.qlCalendarAdvance(Calendar,P1195,O1195,"f",,Trigger)</f>
        <v>60380</v>
      </c>
      <c r="Q1196" s="39">
        <f>_xll.qlInterestRateIndexValueDate(Index,P1196,Trigger)</f>
        <v>60384</v>
      </c>
      <c r="R1196" s="39">
        <f>_xll.qlInterestRateIndexMaturity(Index,Q1196,Trigger)</f>
        <v>60475</v>
      </c>
      <c r="S1196" s="40">
        <f>_xll.qlDayCounterYearFraction(DayCounter,Q1196,R1196,,,Trigger)</f>
        <v>0.25277777777777777</v>
      </c>
      <c r="T1196" s="41">
        <f>_xll.qlIndexFixing(Index,P1196,,AllTriggers)</f>
        <v>5.6276079663796236E-3</v>
      </c>
      <c r="U1196" s="42">
        <f>_xll.qlYieldTSDiscount(OisCurve,Q1196,,AllTriggers)</f>
        <v>0.72554707605347846</v>
      </c>
      <c r="V1196" s="42">
        <f>_xll.qlYieldTSDiscount(OisCurve,R1196,,AllTriggers)</f>
        <v>0.72457026715709327</v>
      </c>
      <c r="W1196" s="41">
        <f t="shared" si="79"/>
        <v>5.3332286817622107E-3</v>
      </c>
      <c r="X1196" s="43">
        <f t="shared" si="80"/>
        <v>7.430959825909104E-5</v>
      </c>
      <c r="Y1196" s="41">
        <f t="shared" si="78"/>
        <v>2.9437928461741297E-4</v>
      </c>
      <c r="Z1196" s="62"/>
    </row>
    <row r="1197" spans="15:26" x14ac:dyDescent="0.25">
      <c r="O1197" s="45" t="s">
        <v>21</v>
      </c>
      <c r="P1197" s="39">
        <f>_xll.qlCalendarAdvance(Calendar,P1196,O1196,"f",,Trigger)</f>
        <v>60412</v>
      </c>
      <c r="Q1197" s="39">
        <f>_xll.qlInterestRateIndexValueDate(Index,P1197,Trigger)</f>
        <v>60414</v>
      </c>
      <c r="R1197" s="39">
        <f>_xll.qlInterestRateIndexMaturity(Index,Q1197,Trigger)</f>
        <v>60506</v>
      </c>
      <c r="S1197" s="40">
        <f>_xll.qlDayCounterYearFraction(DayCounter,Q1197,R1197,,,Trigger)</f>
        <v>0.25555555555555554</v>
      </c>
      <c r="T1197" s="41">
        <f>_xll.qlIndexFixing(Index,P1197,,AllTriggers)</f>
        <v>5.6469725439129599E-3</v>
      </c>
      <c r="U1197" s="42">
        <f>_xll.qlYieldTSDiscount(OisCurve,Q1197,,AllTriggers)</f>
        <v>0.72522612821884969</v>
      </c>
      <c r="V1197" s="42">
        <f>_xll.qlYieldTSDiscount(OisCurve,R1197,,AllTriggers)</f>
        <v>0.72423530687471138</v>
      </c>
      <c r="W1197" s="41">
        <f t="shared" ref="W1197:W1198" si="81">(U1197/V1197-1)/S1197</f>
        <v>5.353407880006311E-3</v>
      </c>
      <c r="X1197" s="43">
        <f t="shared" ref="X1197:X1198" si="82">LN((1+T1197*S1197)/(1+W1197*S1197))</f>
        <v>7.491677747670991E-5</v>
      </c>
      <c r="Y1197" s="41">
        <f t="shared" si="78"/>
        <v>2.9356466390664891E-4</v>
      </c>
      <c r="Z1197" s="62"/>
    </row>
    <row r="1198" spans="15:26" x14ac:dyDescent="0.25">
      <c r="O1198" s="45" t="s">
        <v>21</v>
      </c>
      <c r="P1198" s="39">
        <f>_xll.qlCalendarAdvance(Calendar,P1197,O1197,"f",,Trigger)</f>
        <v>60443</v>
      </c>
      <c r="Q1198" s="39">
        <f>_xll.qlInterestRateIndexValueDate(Index,P1198,Trigger)</f>
        <v>60447</v>
      </c>
      <c r="R1198" s="39">
        <f>_xll.qlInterestRateIndexMaturity(Index,Q1198,Trigger)</f>
        <v>60539</v>
      </c>
      <c r="S1198" s="40">
        <f>_xll.qlDayCounterYearFraction(DayCounter,Q1198,R1198,,,Trigger)</f>
        <v>0.25555555555555554</v>
      </c>
      <c r="T1198" s="41">
        <f>_xll.qlIndexFixing(Index,P1198,,AllTriggers)</f>
        <v>5.6676933944805018E-3</v>
      </c>
      <c r="U1198" s="42">
        <f>_xll.qlYieldTSDiscount(OisCurve,Q1198,,AllTriggers)</f>
        <v>0.72487185782843089</v>
      </c>
      <c r="V1198" s="42">
        <f>_xll.qlYieldTSDiscount(OisCurve,R1198,,AllTriggers)</f>
        <v>0.72387753027826807</v>
      </c>
      <c r="W1198" s="41">
        <f t="shared" si="81"/>
        <v>5.375007197590374E-3</v>
      </c>
      <c r="X1198" s="43">
        <f t="shared" si="82"/>
        <v>7.4692192124231599E-5</v>
      </c>
      <c r="Y1198" s="41">
        <f t="shared" si="78"/>
        <v>2.926861968901278E-4</v>
      </c>
      <c r="Z1198" s="62"/>
    </row>
    <row r="1199" spans="15:26" x14ac:dyDescent="0.25">
      <c r="O1199" s="45" t="s">
        <v>21</v>
      </c>
      <c r="P1199" s="39">
        <f>_xll.qlCalendarAdvance(Calendar,P1198,O1198,"f",,Trigger)</f>
        <v>60475</v>
      </c>
      <c r="Q1199" s="39">
        <f>_xll.qlInterestRateIndexValueDate(Index,P1199,Trigger)</f>
        <v>60477</v>
      </c>
      <c r="R1199" s="39">
        <f>_xll.qlInterestRateIndexMaturity(Index,Q1199,Trigger)</f>
        <v>60569</v>
      </c>
      <c r="S1199" s="40">
        <f>_xll.qlDayCounterYearFraction(DayCounter,Q1199,R1199,,,Trigger)</f>
        <v>0.25555555555555554</v>
      </c>
      <c r="T1199" s="41">
        <f>_xll.qlIndexFixing(Index,P1199,,AllTriggers)</f>
        <v>5.6863637842564513E-3</v>
      </c>
      <c r="U1199" s="42">
        <f>_xll.qlYieldTSDiscount(OisCurve,Q1199,,AllTriggers)</f>
        <v>0.7245486901901278</v>
      </c>
      <c r="V1199" s="42">
        <f>_xll.qlYieldTSDiscount(OisCurve,R1199,,AllTriggers)</f>
        <v>0.72355121221704843</v>
      </c>
      <c r="W1199" s="41">
        <f t="shared" ref="W1199:W1262" si="83">(U1199/V1199-1)/S1199</f>
        <v>5.3944691286014878E-3</v>
      </c>
      <c r="X1199" s="43">
        <f t="shared" ref="X1199:X1262" si="84">LN((1+T1199*S1199)/(1+W1199*S1199))</f>
        <v>7.4489831947615194E-5</v>
      </c>
      <c r="Y1199" s="41">
        <f t="shared" si="78"/>
        <v>2.9189465565496349E-4</v>
      </c>
      <c r="Z1199" s="62"/>
    </row>
    <row r="1200" spans="15:26" x14ac:dyDescent="0.25">
      <c r="O1200" s="45" t="s">
        <v>21</v>
      </c>
      <c r="P1200" s="39">
        <f>_xll.qlCalendarAdvance(Calendar,P1199,O1199,"f",,Trigger)</f>
        <v>60506</v>
      </c>
      <c r="Q1200" s="39">
        <f>_xll.qlInterestRateIndexValueDate(Index,P1200,Trigger)</f>
        <v>60510</v>
      </c>
      <c r="R1200" s="39">
        <f>_xll.qlInterestRateIndexMaturity(Index,Q1200,Trigger)</f>
        <v>60601</v>
      </c>
      <c r="S1200" s="40">
        <f>_xll.qlDayCounterYearFraction(DayCounter,Q1200,R1200,,,Trigger)</f>
        <v>0.25277777777777777</v>
      </c>
      <c r="T1200" s="41">
        <f>_xll.qlIndexFixing(Index,P1200,,AllTriggers)</f>
        <v>5.7063669699464435E-3</v>
      </c>
      <c r="U1200" s="42">
        <f>_xll.qlYieldTSDiscount(OisCurve,Q1200,,AllTriggers)</f>
        <v>0.72419200596361288</v>
      </c>
      <c r="V1200" s="42">
        <f>_xll.qlYieldTSDiscount(OisCurve,R1200,,AllTriggers)</f>
        <v>0.72320203330983457</v>
      </c>
      <c r="W1200" s="41">
        <f t="shared" si="83"/>
        <v>5.4153267734945582E-3</v>
      </c>
      <c r="X1200" s="43">
        <f t="shared" si="84"/>
        <v>7.346522711425457E-5</v>
      </c>
      <c r="Y1200" s="41">
        <f t="shared" si="78"/>
        <v>2.9104019645188536E-4</v>
      </c>
      <c r="Z1200" s="62"/>
    </row>
    <row r="1201" spans="15:26" x14ac:dyDescent="0.25">
      <c r="O1201" s="45" t="s">
        <v>21</v>
      </c>
      <c r="P1201" s="39">
        <f>_xll.qlCalendarAdvance(Calendar,P1200,O1200,"f",,Trigger)</f>
        <v>60538</v>
      </c>
      <c r="Q1201" s="39">
        <f>_xll.qlInterestRateIndexValueDate(Index,P1201,Trigger)</f>
        <v>60540</v>
      </c>
      <c r="R1201" s="39">
        <f>_xll.qlInterestRateIndexMaturity(Index,Q1201,Trigger)</f>
        <v>60632</v>
      </c>
      <c r="S1201" s="40">
        <f>_xll.qlDayCounterYearFraction(DayCounter,Q1201,R1201,,,Trigger)</f>
        <v>0.25555555555555554</v>
      </c>
      <c r="T1201" s="41">
        <f>_xll.qlIndexFixing(Index,P1201,,AllTriggers)</f>
        <v>5.725054676434394E-3</v>
      </c>
      <c r="U1201" s="42">
        <f>_xll.qlYieldTSDiscount(OisCurve,Q1201,,AllTriggers)</f>
        <v>0.7238666693056538</v>
      </c>
      <c r="V1201" s="42">
        <f>_xll.qlYieldTSDiscount(OisCurve,R1201,,AllTriggers)</f>
        <v>0.7228626900690065</v>
      </c>
      <c r="W1201" s="41">
        <f t="shared" si="83"/>
        <v>5.4348003545421648E-3</v>
      </c>
      <c r="X1201" s="43">
        <f t="shared" si="84"/>
        <v>7.4070481383064514E-5</v>
      </c>
      <c r="Y1201" s="41">
        <f t="shared" si="78"/>
        <v>2.9025432189222922E-4</v>
      </c>
      <c r="Z1201" s="62"/>
    </row>
    <row r="1202" spans="15:26" x14ac:dyDescent="0.25">
      <c r="O1202" s="45" t="s">
        <v>21</v>
      </c>
      <c r="P1202" s="39">
        <f>_xll.qlCalendarAdvance(Calendar,P1201,O1201,"f",,Trigger)</f>
        <v>60568</v>
      </c>
      <c r="Q1202" s="39">
        <f>_xll.qlInterestRateIndexValueDate(Index,P1202,Trigger)</f>
        <v>60570</v>
      </c>
      <c r="R1202" s="39">
        <f>_xll.qlInterestRateIndexMaturity(Index,Q1202,Trigger)</f>
        <v>60661</v>
      </c>
      <c r="S1202" s="40">
        <f>_xll.qlDayCounterYearFraction(DayCounter,Q1202,R1202,,,Trigger)</f>
        <v>0.25277777777777777</v>
      </c>
      <c r="T1202" s="41">
        <f>_xll.qlIndexFixing(Index,P1202,,AllTriggers)</f>
        <v>5.7428866456984825E-3</v>
      </c>
      <c r="U1202" s="42">
        <f>_xll.qlYieldTSDiscount(OisCurve,Q1202,,AllTriggers)</f>
        <v>0.72354031759424764</v>
      </c>
      <c r="V1202" s="42">
        <f>_xll.qlYieldTSDiscount(OisCurve,R1202,,AllTriggers)</f>
        <v>0.72254429244641194</v>
      </c>
      <c r="W1202" s="41">
        <f t="shared" si="83"/>
        <v>5.4533947708889224E-3</v>
      </c>
      <c r="X1202" s="43">
        <f t="shared" si="84"/>
        <v>7.3073707283036036E-5</v>
      </c>
      <c r="Y1202" s="41">
        <f t="shared" si="78"/>
        <v>2.8949187480956009E-4</v>
      </c>
      <c r="Z1202" s="62"/>
    </row>
    <row r="1203" spans="15:26" x14ac:dyDescent="0.25">
      <c r="O1203" s="45" t="s">
        <v>21</v>
      </c>
      <c r="P1203" s="39">
        <f>_xll.qlCalendarAdvance(Calendar,P1202,O1202,"f",,Trigger)</f>
        <v>60601</v>
      </c>
      <c r="Q1203" s="39">
        <f>_xll.qlInterestRateIndexValueDate(Index,P1203,Trigger)</f>
        <v>60603</v>
      </c>
      <c r="R1203" s="39">
        <f>_xll.qlInterestRateIndexMaturity(Index,Q1203,Trigger)</f>
        <v>60693</v>
      </c>
      <c r="S1203" s="40">
        <f>_xll.qlDayCounterYearFraction(DayCounter,Q1203,R1203,,,Trigger)</f>
        <v>0.25</v>
      </c>
      <c r="T1203" s="41">
        <f>_xll.qlIndexFixing(Index,P1203,,AllTriggers)</f>
        <v>5.7623581314434347E-3</v>
      </c>
      <c r="U1203" s="42">
        <f>_xll.qlYieldTSDiscount(OisCurve,Q1203,,AllTriggers)</f>
        <v>0.72318017201824136</v>
      </c>
      <c r="V1203" s="42">
        <f>_xll.qlYieldTSDiscount(OisCurve,R1203,,AllTriggers)</f>
        <v>0.72219190687410539</v>
      </c>
      <c r="W1203" s="41">
        <f t="shared" si="83"/>
        <v>5.473698249616632E-3</v>
      </c>
      <c r="X1203" s="43">
        <f t="shared" si="84"/>
        <v>7.2063756434225022E-5</v>
      </c>
      <c r="Y1203" s="41">
        <f t="shared" si="78"/>
        <v>2.8865988182680269E-4</v>
      </c>
      <c r="Z1203" s="62"/>
    </row>
    <row r="1204" spans="15:26" x14ac:dyDescent="0.25">
      <c r="O1204" s="45" t="s">
        <v>21</v>
      </c>
      <c r="P1204" s="39">
        <f>_xll.qlCalendarAdvance(Calendar,P1203,O1203,"f",,Trigger)</f>
        <v>60631</v>
      </c>
      <c r="Q1204" s="39">
        <f>_xll.qlInterestRateIndexValueDate(Index,P1204,Trigger)</f>
        <v>60636</v>
      </c>
      <c r="R1204" s="39">
        <f>_xll.qlInterestRateIndexMaturity(Index,Q1204,Trigger)</f>
        <v>60727</v>
      </c>
      <c r="S1204" s="40">
        <f>_xll.qlDayCounterYearFraction(DayCounter,Q1204,R1204,,,Trigger)</f>
        <v>0.25277777777777777</v>
      </c>
      <c r="T1204" s="41">
        <f>_xll.qlIndexFixing(Index,P1204,,AllTriggers)</f>
        <v>5.782324565991483E-3</v>
      </c>
      <c r="U1204" s="42">
        <f>_xll.qlYieldTSDiscount(OisCurve,Q1204,,AllTriggers)</f>
        <v>0.72281882736212488</v>
      </c>
      <c r="V1204" s="42">
        <f>_xll.qlYieldTSDiscount(OisCurve,R1204,,AllTriggers)</f>
        <v>0.72181630485158543</v>
      </c>
      <c r="W1204" s="41">
        <f t="shared" si="83"/>
        <v>5.4945047541324378E-3</v>
      </c>
      <c r="X1204" s="43">
        <f t="shared" si="84"/>
        <v>7.2650905613653544E-5</v>
      </c>
      <c r="Y1204" s="41">
        <f t="shared" si="78"/>
        <v>2.8781981185904519E-4</v>
      </c>
      <c r="Z1204" s="62"/>
    </row>
    <row r="1205" spans="15:26" x14ac:dyDescent="0.25">
      <c r="O1205" s="45" t="s">
        <v>21</v>
      </c>
      <c r="P1205" s="39">
        <f>_xll.qlCalendarAdvance(Calendar,P1204,O1204,"f",,Trigger)</f>
        <v>60664</v>
      </c>
      <c r="Q1205" s="39">
        <f>_xll.qlInterestRateIndexValueDate(Index,P1205,Trigger)</f>
        <v>60666</v>
      </c>
      <c r="R1205" s="39">
        <f>_xll.qlInterestRateIndexMaturity(Index,Q1205,Trigger)</f>
        <v>60755</v>
      </c>
      <c r="S1205" s="40">
        <f>_xll.qlDayCounterYearFraction(DayCounter,Q1205,R1205,,,Trigger)</f>
        <v>0.24722222222222223</v>
      </c>
      <c r="T1205" s="41">
        <f>_xll.qlIndexFixing(Index,P1205,,AllTriggers)</f>
        <v>5.7993195384381212E-3</v>
      </c>
      <c r="U1205" s="42">
        <f>_xll.qlYieldTSDiscount(OisCurve,Q1205,,AllTriggers)</f>
        <v>0.72248930451322135</v>
      </c>
      <c r="V1205" s="42">
        <f>_xll.qlYieldTSDiscount(OisCurve,R1205,,AllTriggers)</f>
        <v>0.72150607459728866</v>
      </c>
      <c r="W1205" s="41">
        <f t="shared" si="83"/>
        <v>5.5122332470065039E-3</v>
      </c>
      <c r="X1205" s="43">
        <f t="shared" si="84"/>
        <v>7.0875011144357438E-5</v>
      </c>
      <c r="Y1205" s="41">
        <f t="shared" si="78"/>
        <v>2.8708629143161732E-4</v>
      </c>
      <c r="Z1205" s="62"/>
    </row>
    <row r="1206" spans="15:26" x14ac:dyDescent="0.25">
      <c r="O1206" s="45" t="s">
        <v>21</v>
      </c>
      <c r="P1206" s="39">
        <f>_xll.qlCalendarAdvance(Calendar,P1205,O1205,"f",,Trigger)</f>
        <v>60692</v>
      </c>
      <c r="Q1206" s="39">
        <f>_xll.qlInterestRateIndexValueDate(Index,P1206,Trigger)</f>
        <v>60694</v>
      </c>
      <c r="R1206" s="39">
        <f>_xll.qlInterestRateIndexMaturity(Index,Q1206,Trigger)</f>
        <v>60786</v>
      </c>
      <c r="S1206" s="40">
        <f>_xll.qlDayCounterYearFraction(DayCounter,Q1206,R1206,,,Trigger)</f>
        <v>0.25555555555555554</v>
      </c>
      <c r="T1206" s="41">
        <f>_xll.qlIndexFixing(Index,P1206,,AllTriggers)</f>
        <v>5.8166839049799282E-3</v>
      </c>
      <c r="U1206" s="42">
        <f>_xll.qlYieldTSDiscount(OisCurve,Q1206,,AllTriggers)</f>
        <v>0.72218087721369617</v>
      </c>
      <c r="V1206" s="42">
        <f>_xll.qlYieldTSDiscount(OisCurve,R1206,,AllTriggers)</f>
        <v>0.7211616575995019</v>
      </c>
      <c r="W1206" s="41">
        <f t="shared" si="83"/>
        <v>5.5303143507569865E-3</v>
      </c>
      <c r="X1206" s="43">
        <f t="shared" si="84"/>
        <v>7.3077376090858087E-5</v>
      </c>
      <c r="Y1206" s="41">
        <f t="shared" si="78"/>
        <v>2.8636955422294171E-4</v>
      </c>
      <c r="Z1206" s="62"/>
    </row>
    <row r="1207" spans="15:26" x14ac:dyDescent="0.25">
      <c r="O1207" s="45" t="s">
        <v>21</v>
      </c>
      <c r="P1207" s="39">
        <f>_xll.qlCalendarAdvance(Calendar,P1206,O1206,"f",,Trigger)</f>
        <v>60723</v>
      </c>
      <c r="Q1207" s="39">
        <f>_xll.qlInterestRateIndexValueDate(Index,P1207,Trigger)</f>
        <v>60727</v>
      </c>
      <c r="R1207" s="39">
        <f>_xll.qlInterestRateIndexMaturity(Index,Q1207,Trigger)</f>
        <v>60818</v>
      </c>
      <c r="S1207" s="40">
        <f>_xll.qlDayCounterYearFraction(DayCounter,Q1207,R1207,,,Trigger)</f>
        <v>0.25277777777777777</v>
      </c>
      <c r="T1207" s="41">
        <f>_xll.qlIndexFixing(Index,P1207,,AllTriggers)</f>
        <v>5.835440505220865E-3</v>
      </c>
      <c r="U1207" s="42">
        <f>_xll.qlYieldTSDiscount(OisCurve,Q1207,,AllTriggers)</f>
        <v>0.72181630485158543</v>
      </c>
      <c r="V1207" s="42">
        <f>_xll.qlYieldTSDiscount(OisCurve,R1207,,AllTriggers)</f>
        <v>0.72080509856073871</v>
      </c>
      <c r="W1207" s="41">
        <f t="shared" si="83"/>
        <v>5.54987269541479E-3</v>
      </c>
      <c r="X1207" s="43">
        <f t="shared" si="84"/>
        <v>7.2081472811323991E-5</v>
      </c>
      <c r="Y1207" s="41">
        <f t="shared" si="78"/>
        <v>2.8556780980607509E-4</v>
      </c>
      <c r="Z1207" s="62"/>
    </row>
    <row r="1208" spans="15:26" x14ac:dyDescent="0.25">
      <c r="O1208" s="45" t="s">
        <v>21</v>
      </c>
      <c r="P1208" s="39">
        <f>_xll.qlCalendarAdvance(Calendar,P1207,O1207,"f",,Trigger)</f>
        <v>60755</v>
      </c>
      <c r="Q1208" s="39">
        <f>_xll.qlInterestRateIndexValueDate(Index,P1208,Trigger)</f>
        <v>60757</v>
      </c>
      <c r="R1208" s="39">
        <f>_xll.qlInterestRateIndexMaturity(Index,Q1208,Trigger)</f>
        <v>60849</v>
      </c>
      <c r="S1208" s="40">
        <f>_xll.qlDayCounterYearFraction(DayCounter,Q1208,R1208,,,Trigger)</f>
        <v>0.25555555555555554</v>
      </c>
      <c r="T1208" s="41">
        <f>_xll.qlIndexFixing(Index,P1208,,AllTriggers)</f>
        <v>5.8529623303150563E-3</v>
      </c>
      <c r="U1208" s="42">
        <f>_xll.qlYieldTSDiscount(OisCurve,Q1208,,AllTriggers)</f>
        <v>0.72148388407921182</v>
      </c>
      <c r="V1208" s="42">
        <f>_xll.qlYieldTSDiscount(OisCurve,R1208,,AllTriggers)</f>
        <v>0.72045869528836814</v>
      </c>
      <c r="W1208" s="41">
        <f t="shared" si="83"/>
        <v>5.5681308841599823E-3</v>
      </c>
      <c r="X1208" s="43">
        <f t="shared" si="84"/>
        <v>7.2684185961485222E-5</v>
      </c>
      <c r="Y1208" s="41">
        <f t="shared" si="78"/>
        <v>2.8483144615507397E-4</v>
      </c>
      <c r="Z1208" s="62"/>
    </row>
    <row r="1209" spans="15:26" x14ac:dyDescent="0.25">
      <c r="O1209" s="45" t="s">
        <v>21</v>
      </c>
      <c r="P1209" s="39">
        <f>_xll.qlCalendarAdvance(Calendar,P1208,O1208,"f",,Trigger)</f>
        <v>60786</v>
      </c>
      <c r="Q1209" s="39">
        <f>_xll.qlInterestRateIndexValueDate(Index,P1209,Trigger)</f>
        <v>60790</v>
      </c>
      <c r="R1209" s="39">
        <f>_xll.qlInterestRateIndexMaturity(Index,Q1209,Trigger)</f>
        <v>60882</v>
      </c>
      <c r="S1209" s="40">
        <f>_xll.qlDayCounterYearFraction(DayCounter,Q1209,R1209,,,Trigger)</f>
        <v>0.25555555555555554</v>
      </c>
      <c r="T1209" s="41">
        <f>_xll.qlIndexFixing(Index,P1209,,AllTriggers)</f>
        <v>5.8716857765406735E-3</v>
      </c>
      <c r="U1209" s="42">
        <f>_xll.qlYieldTSDiscount(OisCurve,Q1209,,AllTriggers)</f>
        <v>0.72111714476779021</v>
      </c>
      <c r="V1209" s="42">
        <f>_xll.qlYieldTSDiscount(OisCurve,R1209,,AllTriggers)</f>
        <v>0.72008889057461933</v>
      </c>
      <c r="W1209" s="41">
        <f t="shared" si="83"/>
        <v>5.5876481601753285E-3</v>
      </c>
      <c r="X1209" s="43">
        <f t="shared" si="84"/>
        <v>7.2481260323959464E-5</v>
      </c>
      <c r="Y1209" s="41">
        <f t="shared" si="78"/>
        <v>2.8403761636534505E-4</v>
      </c>
      <c r="Z1209" s="62"/>
    </row>
    <row r="1210" spans="15:26" x14ac:dyDescent="0.25">
      <c r="O1210" s="45" t="s">
        <v>21</v>
      </c>
      <c r="P1210" s="39">
        <f>_xll.qlCalendarAdvance(Calendar,P1209,O1209,"f",,Trigger)</f>
        <v>60818</v>
      </c>
      <c r="Q1210" s="39">
        <f>_xll.qlInterestRateIndexValueDate(Index,P1210,Trigger)</f>
        <v>60820</v>
      </c>
      <c r="R1210" s="39">
        <f>_xll.qlInterestRateIndexMaturity(Index,Q1210,Trigger)</f>
        <v>60912</v>
      </c>
      <c r="S1210" s="40">
        <f>_xll.qlDayCounterYearFraction(DayCounter,Q1210,R1210,,,Trigger)</f>
        <v>0.25555555555555554</v>
      </c>
      <c r="T1210" s="41">
        <f>_xll.qlIndexFixing(Index,P1210,,AllTriggers)</f>
        <v>5.8885403181274188E-3</v>
      </c>
      <c r="U1210" s="42">
        <f>_xll.qlYieldTSDiscount(OisCurve,Q1210,,AllTriggers)</f>
        <v>0.72078277912742539</v>
      </c>
      <c r="V1210" s="42">
        <f>_xll.qlYieldTSDiscount(OisCurve,R1210,,AllTriggers)</f>
        <v>0.71975177471355556</v>
      </c>
      <c r="W1210" s="41">
        <f t="shared" si="83"/>
        <v>5.6052172978070195E-3</v>
      </c>
      <c r="X1210" s="43">
        <f t="shared" si="84"/>
        <v>7.2298590796722936E-5</v>
      </c>
      <c r="Y1210" s="41">
        <f t="shared" si="78"/>
        <v>2.8332302032039926E-4</v>
      </c>
      <c r="Z1210" s="62"/>
    </row>
    <row r="1211" spans="15:26" x14ac:dyDescent="0.25">
      <c r="O1211" s="45" t="s">
        <v>21</v>
      </c>
      <c r="P1211" s="39">
        <f>_xll.qlCalendarAdvance(Calendar,P1210,O1210,"f",,Trigger)</f>
        <v>60849</v>
      </c>
      <c r="Q1211" s="39">
        <f>_xll.qlInterestRateIndexValueDate(Index,P1211,Trigger)</f>
        <v>60853</v>
      </c>
      <c r="R1211" s="39">
        <f>_xll.qlInterestRateIndexMaturity(Index,Q1211,Trigger)</f>
        <v>60945</v>
      </c>
      <c r="S1211" s="40">
        <f>_xll.qlDayCounterYearFraction(DayCounter,Q1211,R1211,,,Trigger)</f>
        <v>0.25555555555555554</v>
      </c>
      <c r="T1211" s="41">
        <f>_xll.qlIndexFixing(Index,P1211,,AllTriggers)</f>
        <v>5.9068968608689196E-3</v>
      </c>
      <c r="U1211" s="42">
        <f>_xll.qlYieldTSDiscount(OisCurve,Q1211,,AllTriggers)</f>
        <v>0.72041392801723647</v>
      </c>
      <c r="V1211" s="42">
        <f>_xll.qlYieldTSDiscount(OisCurve,R1211,,AllTriggers)</f>
        <v>0.71937993846261505</v>
      </c>
      <c r="W1211" s="41">
        <f t="shared" si="83"/>
        <v>5.6243521218401074E-3</v>
      </c>
      <c r="X1211" s="43">
        <f t="shared" si="84"/>
        <v>7.209964347393691E-5</v>
      </c>
      <c r="Y1211" s="41">
        <f t="shared" si="78"/>
        <v>2.8254473902881213E-4</v>
      </c>
      <c r="Z1211" s="62"/>
    </row>
    <row r="1212" spans="15:26" x14ac:dyDescent="0.25">
      <c r="O1212" s="45" t="s">
        <v>21</v>
      </c>
      <c r="P1212" s="39">
        <f>_xll.qlCalendarAdvance(Calendar,P1211,O1211,"f",,Trigger)</f>
        <v>60881</v>
      </c>
      <c r="Q1212" s="39">
        <f>_xll.qlInterestRateIndexValueDate(Index,P1212,Trigger)</f>
        <v>60883</v>
      </c>
      <c r="R1212" s="39">
        <f>_xll.qlInterestRateIndexMaturity(Index,Q1212,Trigger)</f>
        <v>60974</v>
      </c>
      <c r="S1212" s="40">
        <f>_xll.qlDayCounterYearFraction(DayCounter,Q1212,R1212,,,Trigger)</f>
        <v>0.25277777777777777</v>
      </c>
      <c r="T1212" s="41">
        <f>_xll.qlIndexFixing(Index,P1212,,AllTriggers)</f>
        <v>5.923096444952182E-3</v>
      </c>
      <c r="U1212" s="42">
        <f>_xll.qlYieldTSDiscount(OisCurve,Q1212,,AllTriggers)</f>
        <v>0.7200776675765086</v>
      </c>
      <c r="V1212" s="42">
        <f>_xll.qlYieldTSDiscount(OisCurve,R1212,,AllTriggers)</f>
        <v>0.7190523123481507</v>
      </c>
      <c r="W1212" s="41">
        <f t="shared" si="83"/>
        <v>5.6412451281838217E-3</v>
      </c>
      <c r="X1212" s="43">
        <f t="shared" si="84"/>
        <v>7.1141768433007359E-5</v>
      </c>
      <c r="Y1212" s="41">
        <f t="shared" si="78"/>
        <v>2.818513167683603E-4</v>
      </c>
      <c r="Z1212" s="62"/>
    </row>
    <row r="1213" spans="15:26" x14ac:dyDescent="0.25">
      <c r="O1213" s="45" t="s">
        <v>21</v>
      </c>
      <c r="P1213" s="39">
        <f>_xll.qlCalendarAdvance(Calendar,P1212,O1212,"f",,Trigger)</f>
        <v>60911</v>
      </c>
      <c r="Q1213" s="39">
        <f>_xll.qlInterestRateIndexValueDate(Index,P1213,Trigger)</f>
        <v>60913</v>
      </c>
      <c r="R1213" s="39">
        <f>_xll.qlInterestRateIndexMaturity(Index,Q1213,Trigger)</f>
        <v>61007</v>
      </c>
      <c r="S1213" s="40">
        <f>_xll.qlDayCounterYearFraction(DayCounter,Q1213,R1213,,,Trigger)</f>
        <v>0.26111111111111113</v>
      </c>
      <c r="T1213" s="41">
        <f>_xll.qlIndexFixing(Index,P1213,,AllTriggers)</f>
        <v>5.9404179046405612E-3</v>
      </c>
      <c r="U1213" s="42">
        <f>_xll.qlYieldTSDiscount(OisCurve,Q1213,,AllTriggers)</f>
        <v>0.71974052240671393</v>
      </c>
      <c r="V1213" s="42">
        <f>_xll.qlYieldTSDiscount(OisCurve,R1213,,AllTriggers)</f>
        <v>0.71867853027921436</v>
      </c>
      <c r="W1213" s="41">
        <f t="shared" si="83"/>
        <v>5.6592811962413603E-3</v>
      </c>
      <c r="X1213" s="43">
        <f t="shared" si="84"/>
        <v>7.3296917107646767E-5</v>
      </c>
      <c r="Y1213" s="41">
        <f t="shared" si="78"/>
        <v>2.8113670839920082E-4</v>
      </c>
      <c r="Z1213" s="62"/>
    </row>
    <row r="1214" spans="15:26" x14ac:dyDescent="0.25">
      <c r="O1214" s="45" t="s">
        <v>21</v>
      </c>
      <c r="P1214" s="39">
        <f>_xll.qlCalendarAdvance(Calendar,P1213,O1213,"f",,Trigger)</f>
        <v>60944</v>
      </c>
      <c r="Q1214" s="39">
        <f>_xll.qlInterestRateIndexValueDate(Index,P1214,Trigger)</f>
        <v>60946</v>
      </c>
      <c r="R1214" s="39">
        <f>_xll.qlInterestRateIndexMaturity(Index,Q1214,Trigger)</f>
        <v>61038</v>
      </c>
      <c r="S1214" s="40">
        <f>_xll.qlDayCounterYearFraction(DayCounter,Q1214,R1214,,,Trigger)</f>
        <v>0.25555555555555554</v>
      </c>
      <c r="T1214" s="41">
        <f>_xll.qlIndexFixing(Index,P1214,,AllTriggers)</f>
        <v>5.9575949052350355E-3</v>
      </c>
      <c r="U1214" s="42">
        <f>_xll.qlYieldTSDiscount(OisCurve,Q1214,,AllTriggers)</f>
        <v>0.71936865435114428</v>
      </c>
      <c r="V1214" s="42">
        <f>_xll.qlYieldTSDiscount(OisCurve,R1214,,AllTriggers)</f>
        <v>0.71832647762248814</v>
      </c>
      <c r="W1214" s="41">
        <f t="shared" si="83"/>
        <v>5.6771996832983701E-3</v>
      </c>
      <c r="X1214" s="43">
        <f t="shared" si="84"/>
        <v>7.1550185362695995E-5</v>
      </c>
      <c r="Y1214" s="41">
        <f t="shared" si="78"/>
        <v>2.8039522193666535E-4</v>
      </c>
      <c r="Z1214" s="62"/>
    </row>
    <row r="1215" spans="15:26" x14ac:dyDescent="0.25">
      <c r="O1215" s="45" t="s">
        <v>21</v>
      </c>
      <c r="P1215" s="39">
        <f>_xll.qlCalendarAdvance(Calendar,P1214,O1214,"f",,Trigger)</f>
        <v>60974</v>
      </c>
      <c r="Q1215" s="39">
        <f>_xll.qlInterestRateIndexValueDate(Index,P1215,Trigger)</f>
        <v>60976</v>
      </c>
      <c r="R1215" s="39">
        <f>_xll.qlInterestRateIndexMaturity(Index,Q1215,Trigger)</f>
        <v>61066</v>
      </c>
      <c r="S1215" s="40">
        <f>_xll.qlDayCounterYearFraction(DayCounter,Q1215,R1215,,,Trigger)</f>
        <v>0.25</v>
      </c>
      <c r="T1215" s="41">
        <f>_xll.qlIndexFixing(Index,P1215,,AllTriggers)</f>
        <v>5.9729953868510322E-3</v>
      </c>
      <c r="U1215" s="42">
        <f>_xll.qlYieldTSDiscount(OisCurve,Q1215,,AllTriggers)</f>
        <v>0.71902968803290734</v>
      </c>
      <c r="V1215" s="42">
        <f>_xll.qlYieldTSDiscount(OisCurve,R1215,,AllTriggers)</f>
        <v>0.71800773570642762</v>
      </c>
      <c r="W1215" s="41">
        <f t="shared" si="83"/>
        <v>5.693266385072171E-3</v>
      </c>
      <c r="X1215" s="43">
        <f t="shared" si="84"/>
        <v>6.983041798106007E-5</v>
      </c>
      <c r="Y1215" s="41">
        <f t="shared" si="78"/>
        <v>2.7972900177886117E-4</v>
      </c>
      <c r="Z1215" s="62"/>
    </row>
    <row r="1216" spans="15:26" x14ac:dyDescent="0.25">
      <c r="O1216" s="45" t="s">
        <v>21</v>
      </c>
      <c r="P1216" s="39">
        <f>_xll.qlCalendarAdvance(Calendar,P1215,O1215,"f",,Trigger)</f>
        <v>61007</v>
      </c>
      <c r="Q1216" s="39">
        <f>_xll.qlInterestRateIndexValueDate(Index,P1216,Trigger)</f>
        <v>61009</v>
      </c>
      <c r="R1216" s="39">
        <f>_xll.qlInterestRateIndexMaturity(Index,Q1216,Trigger)</f>
        <v>61099</v>
      </c>
      <c r="S1216" s="40">
        <f>_xll.qlDayCounterYearFraction(DayCounter,Q1216,R1216,,,Trigger)</f>
        <v>0.25</v>
      </c>
      <c r="T1216" s="41">
        <f>_xll.qlIndexFixing(Index,P1216,,AllTriggers)</f>
        <v>5.9904486094737308E-3</v>
      </c>
      <c r="U1216" s="42">
        <f>_xll.qlYieldTSDiscount(OisCurve,Q1216,,AllTriggers)</f>
        <v>0.71865584407708238</v>
      </c>
      <c r="V1216" s="42">
        <f>_xll.qlYieldTSDiscount(OisCurve,R1216,,AllTriggers)</f>
        <v>0.71763116372102143</v>
      </c>
      <c r="W1216" s="41">
        <f t="shared" si="83"/>
        <v>5.7114596347673796E-3</v>
      </c>
      <c r="X1216" s="43">
        <f t="shared" si="84"/>
        <v>6.9645370737554441E-5</v>
      </c>
      <c r="Y1216" s="41">
        <f t="shared" si="78"/>
        <v>2.789889747063512E-4</v>
      </c>
      <c r="Z1216" s="62"/>
    </row>
    <row r="1217" spans="15:26" x14ac:dyDescent="0.25">
      <c r="O1217" s="45" t="s">
        <v>21</v>
      </c>
      <c r="P1217" s="39">
        <f>_xll.qlCalendarAdvance(Calendar,P1216,O1216,"f",,Trigger)</f>
        <v>61038</v>
      </c>
      <c r="Q1217" s="39">
        <f>_xll.qlInterestRateIndexValueDate(Index,P1217,Trigger)</f>
        <v>61042</v>
      </c>
      <c r="R1217" s="39">
        <f>_xll.qlInterestRateIndexMaturity(Index,Q1217,Trigger)</f>
        <v>61133</v>
      </c>
      <c r="S1217" s="40">
        <f>_xll.qlDayCounterYearFraction(DayCounter,Q1217,R1217,,,Trigger)</f>
        <v>0.25277777777777777</v>
      </c>
      <c r="T1217" s="41">
        <f>_xll.qlIndexFixing(Index,P1217,,AllTriggers)</f>
        <v>6.0080184620848612E-3</v>
      </c>
      <c r="U1217" s="42">
        <f>_xll.qlYieldTSDiscount(OisCurve,Q1217,,AllTriggers)</f>
        <v>0.71828098692913833</v>
      </c>
      <c r="V1217" s="42">
        <f>_xll.qlYieldTSDiscount(OisCurve,R1217,,AllTriggers)</f>
        <v>0.71724216352296422</v>
      </c>
      <c r="W1217" s="41">
        <f t="shared" si="83"/>
        <v>5.7297678056270705E-3</v>
      </c>
      <c r="X1217" s="43">
        <f t="shared" si="84"/>
        <v>7.0231392553213824E-5</v>
      </c>
      <c r="Y1217" s="41">
        <f t="shared" si="78"/>
        <v>2.7825065645779076E-4</v>
      </c>
      <c r="Z1217" s="62"/>
    </row>
    <row r="1218" spans="15:26" x14ac:dyDescent="0.25">
      <c r="O1218" s="45" t="s">
        <v>21</v>
      </c>
      <c r="P1218" s="39">
        <f>_xll.qlCalendarAdvance(Calendar,P1217,O1217,"f",,Trigger)</f>
        <v>61066</v>
      </c>
      <c r="Q1218" s="39">
        <f>_xll.qlInterestRateIndexValueDate(Index,P1218,Trigger)</f>
        <v>61070</v>
      </c>
      <c r="R1218" s="39">
        <f>_xll.qlInterestRateIndexMaturity(Index,Q1218,Trigger)</f>
        <v>61162</v>
      </c>
      <c r="S1218" s="40">
        <f>_xll.qlDayCounterYearFraction(DayCounter,Q1218,R1218,,,Trigger)</f>
        <v>0.25555555555555554</v>
      </c>
      <c r="T1218" s="41">
        <f>_xll.qlIndexFixing(Index,P1218,,AllTriggers)</f>
        <v>6.0228177750192196E-3</v>
      </c>
      <c r="U1218" s="42">
        <f>_xll.qlYieldTSDiscount(OisCurve,Q1218,,AllTriggers)</f>
        <v>0.71796214290718818</v>
      </c>
      <c r="V1218" s="42">
        <f>_xll.qlYieldTSDiscount(OisCurve,R1218,,AllTriggers)</f>
        <v>0.71690956574674525</v>
      </c>
      <c r="W1218" s="41">
        <f t="shared" si="83"/>
        <v>5.7451879425651784E-3</v>
      </c>
      <c r="X1218" s="43">
        <f t="shared" si="84"/>
        <v>7.0843319736806299E-5</v>
      </c>
      <c r="Y1218" s="41">
        <f t="shared" si="78"/>
        <v>2.7762983245404119E-4</v>
      </c>
      <c r="Z1218" s="62"/>
    </row>
    <row r="1219" spans="15:26" x14ac:dyDescent="0.25">
      <c r="O1219" s="45" t="s">
        <v>21</v>
      </c>
      <c r="P1219" s="39">
        <f>_xll.qlCalendarAdvance(Calendar,P1218,O1218,"f",,Trigger)</f>
        <v>61098</v>
      </c>
      <c r="Q1219" s="39">
        <f>_xll.qlInterestRateIndexValueDate(Index,P1219,Trigger)</f>
        <v>61100</v>
      </c>
      <c r="R1219" s="39">
        <f>_xll.qlInterestRateIndexMaturity(Index,Q1219,Trigger)</f>
        <v>61191</v>
      </c>
      <c r="S1219" s="40">
        <f>_xll.qlDayCounterYearFraction(DayCounter,Q1219,R1219,,,Trigger)</f>
        <v>0.25277777777777777</v>
      </c>
      <c r="T1219" s="41">
        <f>_xll.qlIndexFixing(Index,P1219,,AllTriggers)</f>
        <v>6.0378856313755931E-3</v>
      </c>
      <c r="U1219" s="42">
        <f>_xll.qlYieldTSDiscount(OisCurve,Q1219,,AllTriggers)</f>
        <v>0.71761973719295524</v>
      </c>
      <c r="V1219" s="42">
        <f>_xll.qlYieldTSDiscount(OisCurve,R1219,,AllTriggers)</f>
        <v>0.71657623892338973</v>
      </c>
      <c r="W1219" s="41">
        <f t="shared" si="83"/>
        <v>5.7609013503706558E-3</v>
      </c>
      <c r="X1219" s="43">
        <f t="shared" si="84"/>
        <v>6.9911216966358049E-5</v>
      </c>
      <c r="Y1219" s="41">
        <f t="shared" si="78"/>
        <v>2.7698428100493729E-4</v>
      </c>
      <c r="Z1219" s="62"/>
    </row>
    <row r="1220" spans="15:26" x14ac:dyDescent="0.25">
      <c r="O1220" s="45" t="s">
        <v>21</v>
      </c>
      <c r="P1220" s="39">
        <f>_xll.qlCalendarAdvance(Calendar,P1219,O1219,"f",,Trigger)</f>
        <v>61128</v>
      </c>
      <c r="Q1220" s="39">
        <f>_xll.qlInterestRateIndexValueDate(Index,P1220,Trigger)</f>
        <v>61130</v>
      </c>
      <c r="R1220" s="39">
        <f>_xll.qlInterestRateIndexMaturity(Index,Q1220,Trigger)</f>
        <v>61224</v>
      </c>
      <c r="S1220" s="40">
        <f>_xll.qlDayCounterYearFraction(DayCounter,Q1220,R1220,,,Trigger)</f>
        <v>0.26111111111111113</v>
      </c>
      <c r="T1220" s="41">
        <f>_xll.qlIndexFixing(Index,P1220,,AllTriggers)</f>
        <v>6.0540063426755752E-3</v>
      </c>
      <c r="U1220" s="42">
        <f>_xll.qlYieldTSDiscount(OisCurve,Q1220,,AllTriggers)</f>
        <v>0.71727652817540455</v>
      </c>
      <c r="V1220" s="42">
        <f>_xll.qlYieldTSDiscount(OisCurve,R1220,,AllTriggers)</f>
        <v>0.71619606198936725</v>
      </c>
      <c r="W1220" s="41">
        <f t="shared" si="83"/>
        <v>5.7776855050083618E-3</v>
      </c>
      <c r="X1220" s="43">
        <f t="shared" si="84"/>
        <v>7.2039162580109564E-5</v>
      </c>
      <c r="Y1220" s="41">
        <f t="shared" ref="Y1220:Y1283" si="85">T1220-W1220</f>
        <v>2.7632083766721341E-4</v>
      </c>
      <c r="Z1220" s="62"/>
    </row>
    <row r="1221" spans="15:26" x14ac:dyDescent="0.25">
      <c r="O1221" s="45" t="s">
        <v>21</v>
      </c>
      <c r="P1221" s="39">
        <f>_xll.qlCalendarAdvance(Calendar,P1220,O1220,"f",,Trigger)</f>
        <v>61161</v>
      </c>
      <c r="Q1221" s="39">
        <f>_xll.qlInterestRateIndexValueDate(Index,P1221,Trigger)</f>
        <v>61163</v>
      </c>
      <c r="R1221" s="39">
        <f>_xll.qlInterestRateIndexMaturity(Index,Q1221,Trigger)</f>
        <v>61255</v>
      </c>
      <c r="S1221" s="40">
        <f>_xll.qlDayCounterYearFraction(DayCounter,Q1221,R1221,,,Trigger)</f>
        <v>0.25555555555555554</v>
      </c>
      <c r="T1221" s="41">
        <f>_xll.qlIndexFixing(Index,P1221,,AllTriggers)</f>
        <v>6.069953961210843E-3</v>
      </c>
      <c r="U1221" s="42">
        <f>_xll.qlYieldTSDiscount(OisCurve,Q1221,,AllTriggers)</f>
        <v>0.71689808379679765</v>
      </c>
      <c r="V1221" s="42">
        <f>_xll.qlYieldTSDiscount(OisCurve,R1221,,AllTriggers)</f>
        <v>0.71583809125718034</v>
      </c>
      <c r="W1221" s="41">
        <f t="shared" si="83"/>
        <v>5.794322689465033E-3</v>
      </c>
      <c r="X1221" s="43">
        <f t="shared" si="84"/>
        <v>7.0332479409364451E-5</v>
      </c>
      <c r="Y1221" s="41">
        <f t="shared" si="85"/>
        <v>2.7563127174581002E-4</v>
      </c>
      <c r="Z1221" s="62"/>
    </row>
    <row r="1222" spans="15:26" x14ac:dyDescent="0.25">
      <c r="O1222" s="45" t="s">
        <v>21</v>
      </c>
      <c r="P1222" s="39">
        <f>_xll.qlCalendarAdvance(Calendar,P1221,O1221,"f",,Trigger)</f>
        <v>61191</v>
      </c>
      <c r="Q1222" s="39">
        <f>_xll.qlInterestRateIndexValueDate(Index,P1222,Trigger)</f>
        <v>61193</v>
      </c>
      <c r="R1222" s="39">
        <f>_xll.qlInterestRateIndexMaturity(Index,Q1222,Trigger)</f>
        <v>61287</v>
      </c>
      <c r="S1222" s="40">
        <f>_xll.qlDayCounterYearFraction(DayCounter,Q1222,R1222,,,Trigger)</f>
        <v>0.26111111111111113</v>
      </c>
      <c r="T1222" s="41">
        <f>_xll.qlIndexFixing(Index,P1222,,AllTriggers)</f>
        <v>6.0854268560479778E-3</v>
      </c>
      <c r="U1222" s="42">
        <f>_xll.qlYieldTSDiscount(OisCurve,Q1222,,AllTriggers)</f>
        <v>0.71655322424957835</v>
      </c>
      <c r="V1222" s="42">
        <f>_xll.qlYieldTSDiscount(OisCurve,R1222,,AllTriggers)</f>
        <v>0.71546773808019215</v>
      </c>
      <c r="W1222" s="41">
        <f t="shared" si="83"/>
        <v>5.8104381972552124E-3</v>
      </c>
      <c r="X1222" s="43">
        <f t="shared" si="84"/>
        <v>7.1691252646321726E-5</v>
      </c>
      <c r="Y1222" s="41">
        <f t="shared" si="85"/>
        <v>2.7498865879276545E-4</v>
      </c>
      <c r="Z1222" s="62"/>
    </row>
    <row r="1223" spans="15:26" x14ac:dyDescent="0.25">
      <c r="O1223" s="45" t="s">
        <v>21</v>
      </c>
      <c r="P1223" s="39">
        <f>_xll.qlCalendarAdvance(Calendar,P1222,O1222,"f",,Trigger)</f>
        <v>61224</v>
      </c>
      <c r="Q1223" s="39">
        <f>_xll.qlInterestRateIndexValueDate(Index,P1223,Trigger)</f>
        <v>61226</v>
      </c>
      <c r="R1223" s="39">
        <f>_xll.qlInterestRateIndexMaturity(Index,Q1223,Trigger)</f>
        <v>61318</v>
      </c>
      <c r="S1223" s="40">
        <f>_xll.qlDayCounterYearFraction(DayCounter,Q1223,R1223,,,Trigger)</f>
        <v>0.25555555555555554</v>
      </c>
      <c r="T1223" s="41">
        <f>_xll.qlIndexFixing(Index,P1223,,AllTriggers)</f>
        <v>6.1010175769279319E-3</v>
      </c>
      <c r="U1223" s="42">
        <f>_xll.qlYieldTSDiscount(OisCurve,Q1223,,AllTriggers)</f>
        <v>0.71617299136909029</v>
      </c>
      <c r="V1223" s="42">
        <f>_xll.qlYieldTSDiscount(OisCurve,R1223,,AllTriggers)</f>
        <v>0.71510816211587458</v>
      </c>
      <c r="W1223" s="41">
        <f t="shared" si="83"/>
        <v>5.8267034072556146E-3</v>
      </c>
      <c r="X1223" s="43">
        <f t="shared" si="84"/>
        <v>6.9995829574497214E-5</v>
      </c>
      <c r="Y1223" s="41">
        <f t="shared" si="85"/>
        <v>2.7431416967231732E-4</v>
      </c>
      <c r="Z1223" s="62"/>
    </row>
    <row r="1224" spans="15:26" x14ac:dyDescent="0.25">
      <c r="O1224" s="45" t="s">
        <v>21</v>
      </c>
      <c r="P1224" s="39">
        <f>_xll.qlCalendarAdvance(Calendar,P1223,O1223,"f",,Trigger)</f>
        <v>61255</v>
      </c>
      <c r="Q1224" s="39">
        <f>_xll.qlInterestRateIndexValueDate(Index,P1224,Trigger)</f>
        <v>61259</v>
      </c>
      <c r="R1224" s="39">
        <f>_xll.qlInterestRateIndexMaturity(Index,Q1224,Trigger)</f>
        <v>61350</v>
      </c>
      <c r="S1224" s="40">
        <f>_xll.qlDayCounterYearFraction(DayCounter,Q1224,R1224,,,Trigger)</f>
        <v>0.25277777777777777</v>
      </c>
      <c r="T1224" s="41">
        <f>_xll.qlIndexFixing(Index,P1224,,AllTriggers)</f>
        <v>6.1167179453094208E-3</v>
      </c>
      <c r="U1224" s="42">
        <f>_xll.qlYieldTSDiscount(OisCurve,Q1224,,AllTriggers)</f>
        <v>0.71579184323014344</v>
      </c>
      <c r="V1224" s="42">
        <f>_xll.qlYieldTSDiscount(OisCurve,R1224,,AllTriggers)</f>
        <v>0.71473617802186473</v>
      </c>
      <c r="W1224" s="41">
        <f t="shared" si="83"/>
        <v>5.8430762220199328E-3</v>
      </c>
      <c r="X1224" s="43">
        <f t="shared" si="84"/>
        <v>6.9066147388940414E-5</v>
      </c>
      <c r="Y1224" s="41">
        <f t="shared" si="85"/>
        <v>2.7364172328948801E-4</v>
      </c>
      <c r="Z1224" s="62"/>
    </row>
    <row r="1225" spans="15:26" x14ac:dyDescent="0.25">
      <c r="O1225" s="45" t="s">
        <v>21</v>
      </c>
      <c r="P1225" s="39">
        <f>_xll.qlCalendarAdvance(Calendar,P1224,O1224,"f",,Trigger)</f>
        <v>61287</v>
      </c>
      <c r="Q1225" s="39">
        <f>_xll.qlInterestRateIndexValueDate(Index,P1225,Trigger)</f>
        <v>61289</v>
      </c>
      <c r="R1225" s="39">
        <f>_xll.qlInterestRateIndexMaturity(Index,Q1225,Trigger)</f>
        <v>61381</v>
      </c>
      <c r="S1225" s="40">
        <f>_xll.qlDayCounterYearFraction(DayCounter,Q1225,R1225,,,Trigger)</f>
        <v>0.25555555555555554</v>
      </c>
      <c r="T1225" s="41">
        <f>_xll.qlIndexFixing(Index,P1225,,AllTriggers)</f>
        <v>6.1313806220739007E-3</v>
      </c>
      <c r="U1225" s="42">
        <f>_xll.qlYieldTSDiscount(OisCurve,Q1225,,AllTriggers)</f>
        <v>0.7154445631449734</v>
      </c>
      <c r="V1225" s="42">
        <f>_xll.qlYieldTSDiscount(OisCurve,R1225,,AllTriggers)</f>
        <v>0.71437504734739232</v>
      </c>
      <c r="W1225" s="41">
        <f t="shared" si="83"/>
        <v>5.8583538607084994E-3</v>
      </c>
      <c r="X1225" s="43">
        <f t="shared" si="84"/>
        <v>6.9666774704880968E-5</v>
      </c>
      <c r="Y1225" s="41">
        <f t="shared" si="85"/>
        <v>2.7302676136540128E-4</v>
      </c>
      <c r="Z1225" s="62"/>
    </row>
    <row r="1226" spans="15:26" x14ac:dyDescent="0.25">
      <c r="O1226" s="45" t="s">
        <v>21</v>
      </c>
      <c r="P1226" s="39">
        <f>_xll.qlCalendarAdvance(Calendar,P1225,O1225,"f",,Trigger)</f>
        <v>61318</v>
      </c>
      <c r="Q1226" s="39">
        <f>_xll.qlInterestRateIndexValueDate(Index,P1226,Trigger)</f>
        <v>61322</v>
      </c>
      <c r="R1226" s="39">
        <f>_xll.qlInterestRateIndexMaturity(Index,Q1226,Trigger)</f>
        <v>61414</v>
      </c>
      <c r="S1226" s="40">
        <f>_xll.qlDayCounterYearFraction(DayCounter,Q1226,R1226,,,Trigger)</f>
        <v>0.25555555555555554</v>
      </c>
      <c r="T1226" s="41">
        <f>_xll.qlIndexFixing(Index,P1226,,AllTriggers)</f>
        <v>6.1470054760176295E-3</v>
      </c>
      <c r="U1226" s="42">
        <f>_xll.qlYieldTSDiscount(OisCurve,Q1226,,AllTriggers)</f>
        <v>0.71506170877525166</v>
      </c>
      <c r="V1226" s="42">
        <f>_xll.qlYieldTSDiscount(OisCurve,R1226,,AllTriggers)</f>
        <v>0.71398979789031247</v>
      </c>
      <c r="W1226" s="41">
        <f t="shared" si="83"/>
        <v>5.8746412203390611E-3</v>
      </c>
      <c r="X1226" s="43">
        <f t="shared" si="84"/>
        <v>6.949744372677245E-5</v>
      </c>
      <c r="Y1226" s="41">
        <f t="shared" si="85"/>
        <v>2.7236425567856836E-4</v>
      </c>
      <c r="Z1226" s="62"/>
    </row>
    <row r="1227" spans="15:26" x14ac:dyDescent="0.25">
      <c r="O1227" s="45" t="s">
        <v>21</v>
      </c>
      <c r="P1227" s="39">
        <f>_xll.qlCalendarAdvance(Calendar,P1226,O1226,"f",,Trigger)</f>
        <v>61350</v>
      </c>
      <c r="Q1227" s="39">
        <f>_xll.qlInterestRateIndexValueDate(Index,P1227,Trigger)</f>
        <v>61352</v>
      </c>
      <c r="R1227" s="39">
        <f>_xll.qlInterestRateIndexMaturity(Index,Q1227,Trigger)</f>
        <v>61443</v>
      </c>
      <c r="S1227" s="40">
        <f>_xll.qlDayCounterYearFraction(DayCounter,Q1227,R1227,,,Trigger)</f>
        <v>0.25277777777777777</v>
      </c>
      <c r="T1227" s="41">
        <f>_xll.qlIndexFixing(Index,P1227,,AllTriggers)</f>
        <v>6.1607590803146855E-3</v>
      </c>
      <c r="U1227" s="42">
        <f>_xll.qlYieldTSDiscount(OisCurve,Q1227,,AllTriggers)</f>
        <v>0.71471290203360627</v>
      </c>
      <c r="V1227" s="42">
        <f>_xll.qlYieldTSDiscount(OisCurve,R1227,,AllTriggers)</f>
        <v>0.71365055861253635</v>
      </c>
      <c r="W1227" s="41">
        <f t="shared" si="83"/>
        <v>5.8889847691525462E-3</v>
      </c>
      <c r="X1227" s="43">
        <f t="shared" si="84"/>
        <v>6.8594040908610661E-5</v>
      </c>
      <c r="Y1227" s="41">
        <f t="shared" si="85"/>
        <v>2.7177431116213926E-4</v>
      </c>
      <c r="Z1227" s="62"/>
    </row>
    <row r="1228" spans="15:26" x14ac:dyDescent="0.25">
      <c r="O1228" s="45" t="s">
        <v>21</v>
      </c>
      <c r="P1228" s="39">
        <f>_xll.qlCalendarAdvance(Calendar,P1227,O1227,"f",,Trigger)</f>
        <v>61381</v>
      </c>
      <c r="Q1228" s="39">
        <f>_xll.qlInterestRateIndexValueDate(Index,P1228,Trigger)</f>
        <v>61385</v>
      </c>
      <c r="R1228" s="39">
        <f>_xll.qlInterestRateIndexMaturity(Index,Q1228,Trigger)</f>
        <v>61477</v>
      </c>
      <c r="S1228" s="40">
        <f>_xll.qlDayCounterYearFraction(DayCounter,Q1228,R1228,,,Trigger)</f>
        <v>0.25555555555555554</v>
      </c>
      <c r="T1228" s="41">
        <f>_xll.qlIndexFixing(Index,P1228,,AllTriggers)</f>
        <v>6.1763009538612123E-3</v>
      </c>
      <c r="U1228" s="42">
        <f>_xll.qlYieldTSDiscount(OisCurve,Q1228,,AllTriggers)</f>
        <v>0.71432839520629454</v>
      </c>
      <c r="V1228" s="42">
        <f>_xll.qlYieldTSDiscount(OisCurve,R1228,,AllTriggers)</f>
        <v>0.71325202567334434</v>
      </c>
      <c r="W1228" s="41">
        <f t="shared" si="83"/>
        <v>5.9051788561460877E-3</v>
      </c>
      <c r="X1228" s="43">
        <f t="shared" si="84"/>
        <v>6.9179962136778461E-5</v>
      </c>
      <c r="Y1228" s="41">
        <f t="shared" si="85"/>
        <v>2.7112209771512456E-4</v>
      </c>
      <c r="Z1228" s="62"/>
    </row>
    <row r="1229" spans="15:26" x14ac:dyDescent="0.25">
      <c r="O1229" s="45" t="s">
        <v>21</v>
      </c>
      <c r="P1229" s="39">
        <f>_xll.qlCalendarAdvance(Calendar,P1228,O1228,"f",,Trigger)</f>
        <v>61413</v>
      </c>
      <c r="Q1229" s="39">
        <f>_xll.qlInterestRateIndexValueDate(Index,P1229,Trigger)</f>
        <v>61415</v>
      </c>
      <c r="R1229" s="39">
        <f>_xll.qlInterestRateIndexMaturity(Index,Q1229,Trigger)</f>
        <v>61505</v>
      </c>
      <c r="S1229" s="40">
        <f>_xll.qlDayCounterYearFraction(DayCounter,Q1229,R1229,,,Trigger)</f>
        <v>0.25</v>
      </c>
      <c r="T1229" s="41">
        <f>_xll.qlIndexFixing(Index,P1229,,AllTriggers)</f>
        <v>6.1894470131322876E-3</v>
      </c>
      <c r="U1229" s="42">
        <f>_xll.qlYieldTSDiscount(OisCurve,Q1229,,AllTriggers)</f>
        <v>0.71397811061366967</v>
      </c>
      <c r="V1229" s="42">
        <f>_xll.qlYieldTSDiscount(OisCurve,R1229,,AllTriggers)</f>
        <v>0.71292318108534369</v>
      </c>
      <c r="W1229" s="41">
        <f t="shared" si="83"/>
        <v>5.9188959277207687E-3</v>
      </c>
      <c r="X1229" s="43">
        <f t="shared" si="84"/>
        <v>6.753555342343632E-5</v>
      </c>
      <c r="Y1229" s="41">
        <f t="shared" si="85"/>
        <v>2.7055108541151895E-4</v>
      </c>
      <c r="Z1229" s="62"/>
    </row>
    <row r="1230" spans="15:26" x14ac:dyDescent="0.25">
      <c r="O1230" s="45" t="s">
        <v>21</v>
      </c>
      <c r="P1230" s="39">
        <f>_xll.qlCalendarAdvance(Calendar,P1229,O1229,"f",,Trigger)</f>
        <v>61442</v>
      </c>
      <c r="Q1230" s="39">
        <f>_xll.qlInterestRateIndexValueDate(Index,P1230,Trigger)</f>
        <v>61444</v>
      </c>
      <c r="R1230" s="39">
        <f>_xll.qlInterestRateIndexMaturity(Index,Q1230,Trigger)</f>
        <v>61536</v>
      </c>
      <c r="S1230" s="40">
        <f>_xll.qlDayCounterYearFraction(DayCounter,Q1230,R1230,,,Trigger)</f>
        <v>0.25555555555555554</v>
      </c>
      <c r="T1230" s="41">
        <f>_xll.qlIndexFixing(Index,P1230,,AllTriggers)</f>
        <v>6.2031011033929885E-3</v>
      </c>
      <c r="U1230" s="42">
        <f>_xll.qlYieldTSDiscount(OisCurve,Q1230,,AllTriggers)</f>
        <v>0.71363884937681854</v>
      </c>
      <c r="V1230" s="42">
        <f>_xll.qlYieldTSDiscount(OisCurve,R1230,,AllTriggers)</f>
        <v>0.71255843934551177</v>
      </c>
      <c r="W1230" s="41">
        <f t="shared" si="83"/>
        <v>5.9331153676823595E-3</v>
      </c>
      <c r="X1230" s="43">
        <f t="shared" si="84"/>
        <v>6.888952505137759E-5</v>
      </c>
      <c r="Y1230" s="41">
        <f t="shared" si="85"/>
        <v>2.6998573571062907E-4</v>
      </c>
      <c r="Z1230" s="62"/>
    </row>
    <row r="1231" spans="15:26" x14ac:dyDescent="0.25">
      <c r="O1231" s="45" t="s">
        <v>21</v>
      </c>
      <c r="P1231" s="39">
        <f>_xll.qlCalendarAdvance(Calendar,P1230,O1230,"f",,Trigger)</f>
        <v>61477</v>
      </c>
      <c r="Q1231" s="39">
        <f>_xll.qlInterestRateIndexValueDate(Index,P1231,Trigger)</f>
        <v>61479</v>
      </c>
      <c r="R1231" s="39">
        <f>_xll.qlInterestRateIndexMaturity(Index,Q1231,Trigger)</f>
        <v>61570</v>
      </c>
      <c r="S1231" s="40">
        <f>_xll.qlDayCounterYearFraction(DayCounter,Q1231,R1231,,,Trigger)</f>
        <v>0.25277777777777777</v>
      </c>
      <c r="T1231" s="41">
        <f>_xll.qlIndexFixing(Index,P1231,,AllTriggers)</f>
        <v>6.2184353336282262E-3</v>
      </c>
      <c r="U1231" s="42">
        <f>_xll.qlYieldTSDiscount(OisCurve,Q1231,,AllTriggers)</f>
        <v>0.71322855584743927</v>
      </c>
      <c r="V1231" s="42">
        <f>_xll.qlYieldTSDiscount(OisCurve,R1231,,AllTriggers)</f>
        <v>0.71215761184167437</v>
      </c>
      <c r="W1231" s="41">
        <f t="shared" si="83"/>
        <v>5.9491066174400921E-3</v>
      </c>
      <c r="X1231" s="43">
        <f t="shared" si="84"/>
        <v>6.7975778381761362E-5</v>
      </c>
      <c r="Y1231" s="41">
        <f t="shared" si="85"/>
        <v>2.6932871618813407E-4</v>
      </c>
      <c r="Z1231" s="62"/>
    </row>
    <row r="1232" spans="15:26" x14ac:dyDescent="0.25">
      <c r="O1232" s="45" t="s">
        <v>21</v>
      </c>
      <c r="P1232" s="39">
        <f>_xll.qlCalendarAdvance(Calendar,P1231,O1231,"f",,Trigger)</f>
        <v>61507</v>
      </c>
      <c r="Q1232" s="39">
        <f>_xll.qlInterestRateIndexValueDate(Index,P1232,Trigger)</f>
        <v>61511</v>
      </c>
      <c r="R1232" s="39">
        <f>_xll.qlInterestRateIndexMaturity(Index,Q1232,Trigger)</f>
        <v>61603</v>
      </c>
      <c r="S1232" s="40">
        <f>_xll.qlDayCounterYearFraction(DayCounter,Q1232,R1232,,,Trigger)</f>
        <v>0.25555555555555554</v>
      </c>
      <c r="T1232" s="41">
        <f>_xll.qlIndexFixing(Index,P1232,,AllTriggers)</f>
        <v>6.2327900613459363E-3</v>
      </c>
      <c r="U1232" s="42">
        <f>_xll.qlYieldTSDiscount(OisCurve,Q1232,,AllTriggers)</f>
        <v>0.71285264000444404</v>
      </c>
      <c r="V1232" s="42">
        <f>_xll.qlYieldTSDiscount(OisCurve,R1232,,AllTriggers)</f>
        <v>0.71176779948228674</v>
      </c>
      <c r="W1232" s="41">
        <f t="shared" si="83"/>
        <v>5.9640631864326501E-3</v>
      </c>
      <c r="X1232" s="43">
        <f t="shared" si="84"/>
        <v>6.8567783851872485E-5</v>
      </c>
      <c r="Y1232" s="41">
        <f t="shared" si="85"/>
        <v>2.687268749132863E-4</v>
      </c>
      <c r="Z1232" s="62"/>
    </row>
    <row r="1233" spans="15:26" x14ac:dyDescent="0.25">
      <c r="O1233" s="45" t="s">
        <v>21</v>
      </c>
      <c r="P1233" s="39">
        <f>_xll.qlCalendarAdvance(Calendar,P1232,O1232,"f",,Trigger)</f>
        <v>61539</v>
      </c>
      <c r="Q1233" s="39">
        <f>_xll.qlInterestRateIndexValueDate(Index,P1233,Trigger)</f>
        <v>61541</v>
      </c>
      <c r="R1233" s="39">
        <f>_xll.qlInterestRateIndexMaturity(Index,Q1233,Trigger)</f>
        <v>61633</v>
      </c>
      <c r="S1233" s="40">
        <f>_xll.qlDayCounterYearFraction(DayCounter,Q1233,R1233,,,Trigger)</f>
        <v>0.25555555555555554</v>
      </c>
      <c r="T1233" s="41">
        <f>_xll.qlIndexFixing(Index,P1233,,AllTriggers)</f>
        <v>6.2458267768304657E-3</v>
      </c>
      <c r="U1233" s="42">
        <f>_xll.qlYieldTSDiscount(OisCurve,Q1233,,AllTriggers)</f>
        <v>0.71249954548445726</v>
      </c>
      <c r="V1233" s="42">
        <f>_xll.qlYieldTSDiscount(OisCurve,R1233,,AllTriggers)</f>
        <v>0.71141277542693127</v>
      </c>
      <c r="W1233" s="41">
        <f t="shared" si="83"/>
        <v>5.9776526833091436E-3</v>
      </c>
      <c r="X1233" s="43">
        <f t="shared" si="84"/>
        <v>6.8426504873968531E-5</v>
      </c>
      <c r="Y1233" s="41">
        <f t="shared" si="85"/>
        <v>2.6817409352132213E-4</v>
      </c>
      <c r="Z1233" s="62"/>
    </row>
    <row r="1234" spans="15:26" x14ac:dyDescent="0.25">
      <c r="O1234" s="45" t="s">
        <v>21</v>
      </c>
      <c r="P1234" s="39">
        <f>_xll.qlCalendarAdvance(Calendar,P1233,O1233,"f",,Trigger)</f>
        <v>61569</v>
      </c>
      <c r="Q1234" s="39">
        <f>_xll.qlInterestRateIndexValueDate(Index,P1234,Trigger)</f>
        <v>61571</v>
      </c>
      <c r="R1234" s="39">
        <f>_xll.qlInterestRateIndexMaturity(Index,Q1234,Trigger)</f>
        <v>61665</v>
      </c>
      <c r="S1234" s="40">
        <f>_xll.qlDayCounterYearFraction(DayCounter,Q1234,R1234,,,Trigger)</f>
        <v>0.26111111111111113</v>
      </c>
      <c r="T1234" s="41">
        <f>_xll.qlIndexFixing(Index,P1234,,AllTriggers)</f>
        <v>6.2592371706510566E-3</v>
      </c>
      <c r="U1234" s="42">
        <f>_xll.qlYieldTSDiscount(OisCurve,Q1234,,AllTriggers)</f>
        <v>0.71214581047108572</v>
      </c>
      <c r="V1234" s="42">
        <f>_xll.qlYieldTSDiscount(OisCurve,R1234,,AllTriggers)</f>
        <v>0.71103341431462519</v>
      </c>
      <c r="W1234" s="41">
        <f t="shared" si="83"/>
        <v>5.9916179935325551E-3</v>
      </c>
      <c r="X1234" s="43">
        <f t="shared" si="84"/>
        <v>6.9766754572951536E-5</v>
      </c>
      <c r="Y1234" s="41">
        <f t="shared" si="85"/>
        <v>2.6761917711850148E-4</v>
      </c>
      <c r="Z1234" s="62"/>
    </row>
    <row r="1235" spans="15:26" x14ac:dyDescent="0.25">
      <c r="O1235" s="45" t="s">
        <v>21</v>
      </c>
      <c r="P1235" s="39">
        <f>_xll.qlCalendarAdvance(Calendar,P1234,O1234,"f",,Trigger)</f>
        <v>61602</v>
      </c>
      <c r="Q1235" s="39">
        <f>_xll.qlInterestRateIndexValueDate(Index,P1235,Trigger)</f>
        <v>61604</v>
      </c>
      <c r="R1235" s="39">
        <f>_xll.qlInterestRateIndexMaturity(Index,Q1235,Trigger)</f>
        <v>61696</v>
      </c>
      <c r="S1235" s="40">
        <f>_xll.qlDayCounterYearFraction(DayCounter,Q1235,R1235,,,Trigger)</f>
        <v>0.25555555555555554</v>
      </c>
      <c r="T1235" s="41">
        <f>_xll.qlIndexFixing(Index,P1235,,AllTriggers)</f>
        <v>6.2726867323285081E-3</v>
      </c>
      <c r="U1235" s="42">
        <f>_xll.qlYieldTSDiscount(OisCurve,Q1235,,AllTriggers)</f>
        <v>0.71175597524171008</v>
      </c>
      <c r="V1235" s="42">
        <f>_xll.qlYieldTSDiscount(OisCurve,R1235,,AllTriggers)</f>
        <v>0.71066526210189807</v>
      </c>
      <c r="W1235" s="41">
        <f t="shared" si="83"/>
        <v>6.005651557769805E-3</v>
      </c>
      <c r="X1235" s="43">
        <f t="shared" si="84"/>
        <v>6.8135424828594379E-5</v>
      </c>
      <c r="Y1235" s="41">
        <f t="shared" si="85"/>
        <v>2.670351745587031E-4</v>
      </c>
      <c r="Z1235" s="62"/>
    </row>
    <row r="1236" spans="15:26" x14ac:dyDescent="0.25">
      <c r="O1236" s="45" t="s">
        <v>21</v>
      </c>
      <c r="P1236" s="39">
        <f>_xll.qlCalendarAdvance(Calendar,P1235,O1235,"f",,Trigger)</f>
        <v>61633</v>
      </c>
      <c r="Q1236" s="39">
        <f>_xll.qlInterestRateIndexValueDate(Index,P1236,Trigger)</f>
        <v>61637</v>
      </c>
      <c r="R1236" s="39">
        <f>_xll.qlInterestRateIndexMaturity(Index,Q1236,Trigger)</f>
        <v>61730</v>
      </c>
      <c r="S1236" s="40">
        <f>_xll.qlDayCounterYearFraction(DayCounter,Q1236,R1236,,,Trigger)</f>
        <v>0.25833333333333336</v>
      </c>
      <c r="T1236" s="41">
        <f>_xll.qlIndexFixing(Index,P1236,,AllTriggers)</f>
        <v>6.2867375651606376E-3</v>
      </c>
      <c r="U1236" s="42">
        <f>_xll.qlYieldTSDiscount(OisCurve,Q1236,,AllTriggers)</f>
        <v>0.71136539278594813</v>
      </c>
      <c r="V1236" s="42">
        <f>_xll.qlYieldTSDiscount(OisCurve,R1236,,AllTriggers)</f>
        <v>0.71026076546961414</v>
      </c>
      <c r="W1236" s="41">
        <f t="shared" si="83"/>
        <v>6.0202913018325335E-3</v>
      </c>
      <c r="X1236" s="43">
        <f t="shared" si="84"/>
        <v>6.8722705794953051E-5</v>
      </c>
      <c r="Y1236" s="41">
        <f t="shared" si="85"/>
        <v>2.6644626332810416E-4</v>
      </c>
      <c r="Z1236" s="62"/>
    </row>
    <row r="1237" spans="15:26" x14ac:dyDescent="0.25">
      <c r="O1237" s="45" t="s">
        <v>21</v>
      </c>
      <c r="P1237" s="39">
        <f>_xll.qlCalendarAdvance(Calendar,P1236,O1236,"f",,Trigger)</f>
        <v>61665</v>
      </c>
      <c r="Q1237" s="39">
        <f>_xll.qlInterestRateIndexValueDate(Index,P1237,Trigger)</f>
        <v>61667</v>
      </c>
      <c r="R1237" s="39">
        <f>_xll.qlInterestRateIndexMaturity(Index,Q1237,Trigger)</f>
        <v>61759</v>
      </c>
      <c r="S1237" s="40">
        <f>_xll.qlDayCounterYearFraction(DayCounter,Q1237,R1237,,,Trigger)</f>
        <v>0.25555555555555554</v>
      </c>
      <c r="T1237" s="41">
        <f>_xll.qlIndexFixing(Index,P1237,,AllTriggers)</f>
        <v>6.298846025169961E-3</v>
      </c>
      <c r="U1237" s="42">
        <f>_xll.qlYieldTSDiscount(OisCurve,Q1237,,AllTriggers)</f>
        <v>0.71100968161546518</v>
      </c>
      <c r="V1237" s="42">
        <f>_xll.qlYieldTSDiscount(OisCurve,R1237,,AllTriggers)</f>
        <v>0.70991517256775527</v>
      </c>
      <c r="W1237" s="41">
        <f t="shared" si="83"/>
        <v>6.0329200678267275E-3</v>
      </c>
      <c r="X1237" s="43">
        <f t="shared" si="84"/>
        <v>6.7851939748452935E-5</v>
      </c>
      <c r="Y1237" s="41">
        <f t="shared" si="85"/>
        <v>2.6592595734323352E-4</v>
      </c>
      <c r="Z1237" s="62"/>
    </row>
    <row r="1238" spans="15:26" x14ac:dyDescent="0.25">
      <c r="O1238" s="45" t="s">
        <v>21</v>
      </c>
      <c r="P1238" s="39">
        <f>_xll.qlCalendarAdvance(Calendar,P1237,O1237,"f",,Trigger)</f>
        <v>61696</v>
      </c>
      <c r="Q1238" s="39">
        <f>_xll.qlInterestRateIndexValueDate(Index,P1238,Trigger)</f>
        <v>61700</v>
      </c>
      <c r="R1238" s="39">
        <f>_xll.qlInterestRateIndexMaturity(Index,Q1238,Trigger)</f>
        <v>61791</v>
      </c>
      <c r="S1238" s="40">
        <f>_xll.qlDayCounterYearFraction(DayCounter,Q1238,R1238,,,Trigger)</f>
        <v>0.25277777777777777</v>
      </c>
      <c r="T1238" s="41">
        <f>_xll.qlIndexFixing(Index,P1238,,AllTriggers)</f>
        <v>6.3120129755369478E-3</v>
      </c>
      <c r="U1238" s="42">
        <f>_xll.qlYieldTSDiscount(OisCurve,Q1238,,AllTriggers)</f>
        <v>0.71061771290192977</v>
      </c>
      <c r="V1238" s="42">
        <f>_xll.qlYieldTSDiscount(OisCurve,R1238,,AllTriggers)</f>
        <v>0.70953322024341092</v>
      </c>
      <c r="W1238" s="41">
        <f t="shared" si="83"/>
        <v>6.0466522281164394E-3</v>
      </c>
      <c r="X1238" s="43">
        <f t="shared" si="84"/>
        <v>6.6972688863880091E-5</v>
      </c>
      <c r="Y1238" s="41">
        <f t="shared" si="85"/>
        <v>2.6536074742050837E-4</v>
      </c>
      <c r="Z1238" s="62"/>
    </row>
    <row r="1239" spans="15:26" x14ac:dyDescent="0.25">
      <c r="O1239" s="45" t="s">
        <v>21</v>
      </c>
      <c r="P1239" s="39">
        <f>_xll.qlCalendarAdvance(Calendar,P1238,O1238,"f",,Trigger)</f>
        <v>61728</v>
      </c>
      <c r="Q1239" s="39">
        <f>_xll.qlInterestRateIndexValueDate(Index,P1239,Trigger)</f>
        <v>61731</v>
      </c>
      <c r="R1239" s="39">
        <f>_xll.qlInterestRateIndexMaturity(Index,Q1239,Trigger)</f>
        <v>61821</v>
      </c>
      <c r="S1239" s="40">
        <f>_xll.qlDayCounterYearFraction(DayCounter,Q1239,R1239,,,Trigger)</f>
        <v>0.25</v>
      </c>
      <c r="T1239" s="41">
        <f>_xll.qlIndexFixing(Index,P1239,,AllTriggers)</f>
        <v>6.3241962781823702E-3</v>
      </c>
      <c r="U1239" s="42">
        <f>_xll.qlYieldTSDiscount(OisCurve,Q1239,,AllTriggers)</f>
        <v>0.71024885731272058</v>
      </c>
      <c r="V1239" s="42">
        <f>_xll.qlYieldTSDiscount(OisCurve,R1239,,AllTriggers)</f>
        <v>0.70917457147297314</v>
      </c>
      <c r="W1239" s="41">
        <f t="shared" si="83"/>
        <v>6.0593590518402962E-3</v>
      </c>
      <c r="X1239" s="43">
        <f t="shared" si="84"/>
        <v>6.6106976684277596E-5</v>
      </c>
      <c r="Y1239" s="41">
        <f t="shared" si="85"/>
        <v>2.6483722634207396E-4</v>
      </c>
      <c r="Z1239" s="62"/>
    </row>
    <row r="1240" spans="15:26" x14ac:dyDescent="0.25">
      <c r="O1240" s="45" t="s">
        <v>21</v>
      </c>
      <c r="P1240" s="39">
        <f>_xll.qlCalendarAdvance(Calendar,P1239,O1239,"f",,Trigger)</f>
        <v>61759</v>
      </c>
      <c r="Q1240" s="39">
        <f>_xll.qlInterestRateIndexValueDate(Index,P1240,Trigger)</f>
        <v>61763</v>
      </c>
      <c r="R1240" s="39">
        <f>_xll.qlInterestRateIndexMaturity(Index,Q1240,Trigger)</f>
        <v>61854</v>
      </c>
      <c r="S1240" s="40">
        <f>_xll.qlDayCounterYearFraction(DayCounter,Q1240,R1240,,,Trigger)</f>
        <v>0.25277777777777777</v>
      </c>
      <c r="T1240" s="41">
        <f>_xll.qlIndexFixing(Index,P1240,,AllTriggers)</f>
        <v>6.3371096855833467E-3</v>
      </c>
      <c r="U1240" s="42">
        <f>_xll.qlYieldTSDiscount(OisCurve,Q1240,,AllTriggers)</f>
        <v>0.70986746319054328</v>
      </c>
      <c r="V1240" s="42">
        <f>_xll.qlYieldTSDiscount(OisCurve,R1240,,AllTriggers)</f>
        <v>0.70877943557756884</v>
      </c>
      <c r="W1240" s="41">
        <f t="shared" si="83"/>
        <v>6.0728131295299543E-3</v>
      </c>
      <c r="X1240" s="43">
        <f t="shared" si="84"/>
        <v>6.670367300425099E-5</v>
      </c>
      <c r="Y1240" s="41">
        <f t="shared" si="85"/>
        <v>2.6429655605339237E-4</v>
      </c>
      <c r="Z1240" s="62"/>
    </row>
    <row r="1241" spans="15:26" x14ac:dyDescent="0.25">
      <c r="O1241" s="45" t="s">
        <v>21</v>
      </c>
      <c r="P1241" s="39">
        <f>_xll.qlCalendarAdvance(Calendar,P1240,O1240,"f",,Trigger)</f>
        <v>61787</v>
      </c>
      <c r="Q1241" s="39">
        <f>_xll.qlInterestRateIndexValueDate(Index,P1241,Trigger)</f>
        <v>61791</v>
      </c>
      <c r="R1241" s="39">
        <f>_xll.qlInterestRateIndexMaturity(Index,Q1241,Trigger)</f>
        <v>61883</v>
      </c>
      <c r="S1241" s="40">
        <f>_xll.qlDayCounterYearFraction(DayCounter,Q1241,R1241,,,Trigger)</f>
        <v>0.25555555555555554</v>
      </c>
      <c r="T1241" s="41">
        <f>_xll.qlIndexFixing(Index,P1241,,AllTriggers)</f>
        <v>6.3482873703565755E-3</v>
      </c>
      <c r="U1241" s="42">
        <f>_xll.qlYieldTSDiscount(OisCurve,Q1241,,AllTriggers)</f>
        <v>0.70953322024341092</v>
      </c>
      <c r="V1241" s="42">
        <f>_xll.qlYieldTSDiscount(OisCurve,R1241,,AllTriggers)</f>
        <v>0.70843166779248579</v>
      </c>
      <c r="W1241" s="41">
        <f t="shared" si="83"/>
        <v>6.0844578666092823E-3</v>
      </c>
      <c r="X1241" s="43">
        <f t="shared" si="84"/>
        <v>6.7316155061190671E-5</v>
      </c>
      <c r="Y1241" s="41">
        <f t="shared" si="85"/>
        <v>2.6382950374729316E-4</v>
      </c>
      <c r="Z1241" s="62"/>
    </row>
    <row r="1242" spans="15:26" x14ac:dyDescent="0.25">
      <c r="O1242" s="45" t="s">
        <v>21</v>
      </c>
      <c r="P1242" s="39">
        <f>_xll.qlCalendarAdvance(Calendar,P1241,O1241,"f",,Trigger)</f>
        <v>61815</v>
      </c>
      <c r="Q1242" s="39">
        <f>_xll.qlInterestRateIndexValueDate(Index,P1242,Trigger)</f>
        <v>61819</v>
      </c>
      <c r="R1242" s="39">
        <f>_xll.qlInterestRateIndexMaturity(Index,Q1242,Trigger)</f>
        <v>61910</v>
      </c>
      <c r="S1242" s="40">
        <f>_xll.qlDayCounterYearFraction(DayCounter,Q1242,R1242,,,Trigger)</f>
        <v>0.25277777777777777</v>
      </c>
      <c r="T1242" s="41">
        <f>_xll.qlIndexFixing(Index,P1242,,AllTriggers)</f>
        <v>6.3588296419574619E-3</v>
      </c>
      <c r="U1242" s="42">
        <f>_xll.qlYieldTSDiscount(OisCurve,Q1242,,AllTriggers)</f>
        <v>0.70919849828228221</v>
      </c>
      <c r="V1242" s="42">
        <f>_xll.qlYieldTSDiscount(OisCurve,R1242,,AllTriggers)</f>
        <v>0.70810744962295646</v>
      </c>
      <c r="W1242" s="41">
        <f t="shared" si="83"/>
        <v>6.0954540963719609E-3</v>
      </c>
      <c r="X1242" s="43">
        <f t="shared" si="84"/>
        <v>6.6470854510986159E-5</v>
      </c>
      <c r="Y1242" s="41">
        <f t="shared" si="85"/>
        <v>2.6337554558550098E-4</v>
      </c>
      <c r="Z1242" s="62"/>
    </row>
    <row r="1243" spans="15:26" x14ac:dyDescent="0.25">
      <c r="O1243" s="45" t="s">
        <v>21</v>
      </c>
      <c r="P1243" s="39">
        <f>_xll.qlCalendarAdvance(Calendar,P1242,O1242,"f",,Trigger)</f>
        <v>61847</v>
      </c>
      <c r="Q1243" s="39">
        <f>_xll.qlInterestRateIndexValueDate(Index,P1243,Trigger)</f>
        <v>61850</v>
      </c>
      <c r="R1243" s="39">
        <f>_xll.qlInterestRateIndexMaturity(Index,Q1243,Trigger)</f>
        <v>61942</v>
      </c>
      <c r="S1243" s="40">
        <f>_xll.qlDayCounterYearFraction(DayCounter,Q1243,R1243,,,Trigger)</f>
        <v>0.25555555555555554</v>
      </c>
      <c r="T1243" s="41">
        <f>_xll.qlIndexFixing(Index,P1243,,AllTriggers)</f>
        <v>6.370858814701467E-3</v>
      </c>
      <c r="U1243" s="42">
        <f>_xll.qlYieldTSDiscount(OisCurve,Q1243,,AllTriggers)</f>
        <v>0.70882736510149036</v>
      </c>
      <c r="V1243" s="42">
        <f>_xll.qlYieldTSDiscount(OisCurve,R1243,,AllTriggers)</f>
        <v>0.70772265966853809</v>
      </c>
      <c r="W1243" s="41">
        <f t="shared" si="83"/>
        <v>6.1079864135443994E-3</v>
      </c>
      <c r="X1243" s="43">
        <f t="shared" si="84"/>
        <v>6.7071555665728744E-5</v>
      </c>
      <c r="Y1243" s="41">
        <f t="shared" si="85"/>
        <v>2.6287240115706757E-4</v>
      </c>
      <c r="Z1243" s="62"/>
    </row>
    <row r="1244" spans="15:26" x14ac:dyDescent="0.25">
      <c r="O1244" s="45" t="s">
        <v>21</v>
      </c>
      <c r="P1244" s="39">
        <f>_xll.qlCalendarAdvance(Calendar,P1243,O1243,"f",,Trigger)</f>
        <v>61877</v>
      </c>
      <c r="Q1244" s="39">
        <f>_xll.qlInterestRateIndexValueDate(Index,P1244,Trigger)</f>
        <v>61879</v>
      </c>
      <c r="R1244" s="39">
        <f>_xll.qlInterestRateIndexMaturity(Index,Q1244,Trigger)</f>
        <v>61970</v>
      </c>
      <c r="S1244" s="40">
        <f>_xll.qlDayCounterYearFraction(DayCounter,Q1244,R1244,,,Trigger)</f>
        <v>0.25277777777777777</v>
      </c>
      <c r="T1244" s="41">
        <f>_xll.qlIndexFixing(Index,P1244,,AllTriggers)</f>
        <v>6.3814866548044325E-3</v>
      </c>
      <c r="U1244" s="42">
        <f>_xll.qlYieldTSDiscount(OisCurve,Q1244,,AllTriggers)</f>
        <v>0.70847966469650581</v>
      </c>
      <c r="V1244" s="42">
        <f>_xll.qlYieldTSDiscount(OisCurve,R1244,,AllTriggers)</f>
        <v>0.70738550528176414</v>
      </c>
      <c r="W1244" s="41">
        <f t="shared" si="83"/>
        <v>6.1190718601351179E-3</v>
      </c>
      <c r="X1244" s="43">
        <f t="shared" si="84"/>
        <v>6.6227992971255271E-5</v>
      </c>
      <c r="Y1244" s="41">
        <f t="shared" si="85"/>
        <v>2.624147946693146E-4</v>
      </c>
      <c r="Z1244" s="62"/>
    </row>
    <row r="1245" spans="15:26" x14ac:dyDescent="0.25">
      <c r="O1245" s="45" t="s">
        <v>21</v>
      </c>
      <c r="P1245" s="39">
        <f>_xll.qlCalendarAdvance(Calendar,P1244,O1244,"f",,Trigger)</f>
        <v>61910</v>
      </c>
      <c r="Q1245" s="39">
        <f>_xll.qlInterestRateIndexValueDate(Index,P1245,Trigger)</f>
        <v>61912</v>
      </c>
      <c r="R1245" s="39">
        <f>_xll.qlInterestRateIndexMaturity(Index,Q1245,Trigger)</f>
        <v>62004</v>
      </c>
      <c r="S1245" s="40">
        <f>_xll.qlDayCounterYearFraction(DayCounter,Q1245,R1245,,,Trigger)</f>
        <v>0.25555555555555554</v>
      </c>
      <c r="T1245" s="41">
        <f>_xll.qlIndexFixing(Index,P1245,,AllTriggers)</f>
        <v>6.3939157313565378E-3</v>
      </c>
      <c r="U1245" s="42">
        <f>_xll.qlYieldTSDiscount(OisCurve,Q1245,,AllTriggers)</f>
        <v>0.70808341702283195</v>
      </c>
      <c r="V1245" s="42">
        <f>_xll.qlYieldTSDiscount(OisCurve,R1245,,AllTriggers)</f>
        <v>0.70697553542861413</v>
      </c>
      <c r="W1245" s="41">
        <f t="shared" si="83"/>
        <v>6.1320210243355558E-3</v>
      </c>
      <c r="X1245" s="43">
        <f t="shared" si="84"/>
        <v>6.6821696819041503E-5</v>
      </c>
      <c r="Y1245" s="41">
        <f t="shared" si="85"/>
        <v>2.6189470702098205E-4</v>
      </c>
      <c r="Z1245" s="62"/>
    </row>
    <row r="1246" spans="15:26" x14ac:dyDescent="0.25">
      <c r="O1246" s="45" t="s">
        <v>21</v>
      </c>
      <c r="P1246" s="39">
        <f>_xll.qlCalendarAdvance(Calendar,P1245,O1245,"f",,Trigger)</f>
        <v>61941</v>
      </c>
      <c r="Q1246" s="39">
        <f>_xll.qlInterestRateIndexValueDate(Index,P1246,Trigger)</f>
        <v>61945</v>
      </c>
      <c r="R1246" s="39">
        <f>_xll.qlInterestRateIndexMaturity(Index,Q1246,Trigger)</f>
        <v>62037</v>
      </c>
      <c r="S1246" s="40">
        <f>_xll.qlDayCounterYearFraction(DayCounter,Q1246,R1246,,,Trigger)</f>
        <v>0.25555555555555554</v>
      </c>
      <c r="T1246" s="41">
        <f>_xll.qlIndexFixing(Index,P1246,,AllTriggers)</f>
        <v>6.40591121952105E-3</v>
      </c>
      <c r="U1246" s="42">
        <f>_xll.qlYieldTSDiscount(OisCurve,Q1246,,AllTriggers)</f>
        <v>0.70768655648836087</v>
      </c>
      <c r="V1246" s="42">
        <f>_xll.qlYieldTSDiscount(OisCurve,R1246,,AllTriggers)</f>
        <v>0.70657704149394596</v>
      </c>
      <c r="W1246" s="41">
        <f t="shared" si="83"/>
        <v>6.1445251656466271E-3</v>
      </c>
      <c r="X1246" s="43">
        <f t="shared" si="84"/>
        <v>6.6691706955982676E-5</v>
      </c>
      <c r="Y1246" s="41">
        <f t="shared" si="85"/>
        <v>2.6138605387442289E-4</v>
      </c>
      <c r="Z1246" s="62"/>
    </row>
    <row r="1247" spans="15:26" x14ac:dyDescent="0.25">
      <c r="O1247" s="45" t="s">
        <v>21</v>
      </c>
      <c r="P1247" s="39">
        <f>_xll.qlCalendarAdvance(Calendar,P1246,O1246,"f",,Trigger)</f>
        <v>61973</v>
      </c>
      <c r="Q1247" s="39">
        <f>_xll.qlInterestRateIndexValueDate(Index,P1247,Trigger)</f>
        <v>61975</v>
      </c>
      <c r="R1247" s="39">
        <f>_xll.qlInterestRateIndexMaturity(Index,Q1247,Trigger)</f>
        <v>62066</v>
      </c>
      <c r="S1247" s="40">
        <f>_xll.qlDayCounterYearFraction(DayCounter,Q1247,R1247,,,Trigger)</f>
        <v>0.25277777777777777</v>
      </c>
      <c r="T1247" s="41">
        <f>_xll.qlIndexFixing(Index,P1247,,AllTriggers)</f>
        <v>6.4164158962052202E-3</v>
      </c>
      <c r="U1247" s="42">
        <f>_xll.qlYieldTSDiscount(OisCurve,Q1247,,AllTriggers)</f>
        <v>0.70732525435889115</v>
      </c>
      <c r="V1247" s="42">
        <f>_xll.qlYieldTSDiscount(OisCurve,R1247,,AllTriggers)</f>
        <v>0.7062263879033186</v>
      </c>
      <c r="W1247" s="41">
        <f t="shared" si="83"/>
        <v>6.1554822568626452E-3</v>
      </c>
      <c r="X1247" s="43">
        <f t="shared" si="84"/>
        <v>6.5853587582298011E-5</v>
      </c>
      <c r="Y1247" s="41">
        <f t="shared" si="85"/>
        <v>2.6093363934257506E-4</v>
      </c>
      <c r="Z1247" s="62"/>
    </row>
    <row r="1248" spans="15:26" x14ac:dyDescent="0.25">
      <c r="O1248" s="45" t="s">
        <v>21</v>
      </c>
      <c r="P1248" s="39">
        <f>_xll.qlCalendarAdvance(Calendar,P1247,O1247,"f",,Trigger)</f>
        <v>62003</v>
      </c>
      <c r="Q1248" s="39">
        <f>_xll.qlInterestRateIndexValueDate(Index,P1248,Trigger)</f>
        <v>62005</v>
      </c>
      <c r="R1248" s="39">
        <f>_xll.qlInterestRateIndexMaturity(Index,Q1248,Trigger)</f>
        <v>62099</v>
      </c>
      <c r="S1248" s="40">
        <f>_xll.qlDayCounterYearFraction(DayCounter,Q1248,R1248,,,Trigger)</f>
        <v>0.26111111111111113</v>
      </c>
      <c r="T1248" s="41">
        <f>_xll.qlIndexFixing(Index,P1248,,AllTriggers)</f>
        <v>6.427690484164604E-3</v>
      </c>
      <c r="U1248" s="42">
        <f>_xll.qlYieldTSDiscount(OisCurve,Q1248,,AllTriggers)</f>
        <v>0.70696346820472511</v>
      </c>
      <c r="V1248" s="42">
        <f>_xll.qlYieldTSDiscount(OisCurve,R1248,,AllTriggers)</f>
        <v>0.70582685538816869</v>
      </c>
      <c r="W1248" s="41">
        <f t="shared" si="83"/>
        <v>6.1672139869242987E-3</v>
      </c>
      <c r="X1248" s="43">
        <f t="shared" si="84"/>
        <v>6.7901654588732705E-5</v>
      </c>
      <c r="Y1248" s="41">
        <f t="shared" si="85"/>
        <v>2.6047649724030529E-4</v>
      </c>
      <c r="Z1248" s="62"/>
    </row>
    <row r="1249" spans="15:26" x14ac:dyDescent="0.25">
      <c r="O1249" s="45" t="s">
        <v>21</v>
      </c>
      <c r="P1249" s="39">
        <f>_xll.qlCalendarAdvance(Calendar,P1248,O1248,"f",,Trigger)</f>
        <v>62036</v>
      </c>
      <c r="Q1249" s="39">
        <f>_xll.qlInterestRateIndexValueDate(Index,P1249,Trigger)</f>
        <v>62038</v>
      </c>
      <c r="R1249" s="39">
        <f>_xll.qlInterestRateIndexMaturity(Index,Q1249,Trigger)</f>
        <v>62130</v>
      </c>
      <c r="S1249" s="40">
        <f>_xll.qlDayCounterYearFraction(DayCounter,Q1249,R1249,,,Trigger)</f>
        <v>0.25555555555555554</v>
      </c>
      <c r="T1249" s="41">
        <f>_xll.qlIndexFixing(Index,P1249,,AllTriggers)</f>
        <v>6.4386822634543437E-3</v>
      </c>
      <c r="U1249" s="42">
        <f>_xll.qlYieldTSDiscount(OisCurve,Q1249,,AllTriggers)</f>
        <v>0.70656495712218281</v>
      </c>
      <c r="V1249" s="42">
        <f>_xll.qlYieldTSDiscount(OisCurve,R1249,,AllTriggers)</f>
        <v>0.70545105168205646</v>
      </c>
      <c r="W1249" s="41">
        <f t="shared" si="83"/>
        <v>6.1786858315582768E-3</v>
      </c>
      <c r="X1249" s="43">
        <f t="shared" si="84"/>
        <v>6.6336583502641478E-5</v>
      </c>
      <c r="Y1249" s="41">
        <f t="shared" si="85"/>
        <v>2.5999643189606684E-4</v>
      </c>
      <c r="Z1249" s="62"/>
    </row>
    <row r="1250" spans="15:26" x14ac:dyDescent="0.25">
      <c r="O1250" s="45" t="s">
        <v>21</v>
      </c>
      <c r="P1250" s="39">
        <f>_xll.qlCalendarAdvance(Calendar,P1249,O1249,"f",,Trigger)</f>
        <v>62066</v>
      </c>
      <c r="Q1250" s="39">
        <f>_xll.qlInterestRateIndexValueDate(Index,P1250,Trigger)</f>
        <v>62068</v>
      </c>
      <c r="R1250" s="39">
        <f>_xll.qlInterestRateIndexMaturity(Index,Q1250,Trigger)</f>
        <v>62158</v>
      </c>
      <c r="S1250" s="40">
        <f>_xll.qlDayCounterYearFraction(DayCounter,Q1250,R1250,,,Trigger)</f>
        <v>0.25</v>
      </c>
      <c r="T1250" s="41">
        <f>_xll.qlIndexFixing(Index,P1250,,AllTriggers)</f>
        <v>6.4484760958949394E-3</v>
      </c>
      <c r="U1250" s="42">
        <f>_xll.qlYieldTSDiscount(OisCurve,Q1250,,AllTriggers)</f>
        <v>0.70620218922826128</v>
      </c>
      <c r="V1250" s="42">
        <f>_xll.qlYieldTSDiscount(OisCurve,R1250,,AllTriggers)</f>
        <v>0.70511122193777154</v>
      </c>
      <c r="W1250" s="41">
        <f t="shared" si="83"/>
        <v>6.1889089638462735E-3</v>
      </c>
      <c r="X1250" s="43">
        <f t="shared" si="84"/>
        <v>6.4789436902086781E-5</v>
      </c>
      <c r="Y1250" s="41">
        <f t="shared" si="85"/>
        <v>2.5956713204866588E-4</v>
      </c>
      <c r="Z1250" s="62"/>
    </row>
    <row r="1251" spans="15:26" x14ac:dyDescent="0.25">
      <c r="O1251" s="45" t="s">
        <v>21</v>
      </c>
      <c r="P1251" s="39">
        <f>_xll.qlCalendarAdvance(Calendar,P1250,O1250,"f",,Trigger)</f>
        <v>62099</v>
      </c>
      <c r="Q1251" s="39">
        <f>_xll.qlInterestRateIndexValueDate(Index,P1251,Trigger)</f>
        <v>62101</v>
      </c>
      <c r="R1251" s="39">
        <f>_xll.qlInterestRateIndexMaturity(Index,Q1251,Trigger)</f>
        <v>62191</v>
      </c>
      <c r="S1251" s="40">
        <f>_xll.qlDayCounterYearFraction(DayCounter,Q1251,R1251,,,Trigger)</f>
        <v>0.25</v>
      </c>
      <c r="T1251" s="41">
        <f>_xll.qlIndexFixing(Index,P1251,,AllTriggers)</f>
        <v>6.4595681092889379E-3</v>
      </c>
      <c r="U1251" s="42">
        <f>_xll.qlYieldTSDiscount(OisCurve,Q1251,,AllTriggers)</f>
        <v>0.70580262404162275</v>
      </c>
      <c r="V1251" s="42">
        <f>_xll.qlYieldTSDiscount(OisCurve,R1251,,AllTriggers)</f>
        <v>0.70471024012933936</v>
      </c>
      <c r="W1251" s="41">
        <f t="shared" si="83"/>
        <v>6.2004713431322855E-3</v>
      </c>
      <c r="X1251" s="43">
        <f t="shared" si="84"/>
        <v>6.4671848043374204E-5</v>
      </c>
      <c r="Y1251" s="41">
        <f t="shared" si="85"/>
        <v>2.5909676615665234E-4</v>
      </c>
      <c r="Z1251" s="62"/>
    </row>
    <row r="1252" spans="15:26" x14ac:dyDescent="0.25">
      <c r="O1252" s="45" t="s">
        <v>21</v>
      </c>
      <c r="P1252" s="39">
        <f>_xll.qlCalendarAdvance(Calendar,P1251,O1251,"f",,Trigger)</f>
        <v>62130</v>
      </c>
      <c r="Q1252" s="39">
        <f>_xll.qlInterestRateIndexValueDate(Index,P1252,Trigger)</f>
        <v>62134</v>
      </c>
      <c r="R1252" s="39">
        <f>_xll.qlInterestRateIndexMaturity(Index,Q1252,Trigger)</f>
        <v>62225</v>
      </c>
      <c r="S1252" s="40">
        <f>_xll.qlDayCounterYearFraction(DayCounter,Q1252,R1252,,,Trigger)</f>
        <v>0.25277777777777777</v>
      </c>
      <c r="T1252" s="41">
        <f>_xll.qlIndexFixing(Index,P1252,,AllTriggers)</f>
        <v>6.4706883138667412E-3</v>
      </c>
      <c r="U1252" s="42">
        <f>_xll.qlYieldTSDiscount(OisCurve,Q1252,,AllTriggers)</f>
        <v>0.70540252726021258</v>
      </c>
      <c r="V1252" s="42">
        <f>_xll.qlYieldTSDiscount(OisCurve,R1252,,AllTriggers)</f>
        <v>0.70429659163804592</v>
      </c>
      <c r="W1252" s="41">
        <f t="shared" si="83"/>
        <v>6.2120560936840263E-3</v>
      </c>
      <c r="X1252" s="43">
        <f t="shared" si="84"/>
        <v>6.5271849870584286E-5</v>
      </c>
      <c r="Y1252" s="41">
        <f t="shared" si="85"/>
        <v>2.586322201827149E-4</v>
      </c>
      <c r="Z1252" s="62"/>
    </row>
    <row r="1253" spans="15:26" x14ac:dyDescent="0.25">
      <c r="O1253" s="45" t="s">
        <v>21</v>
      </c>
      <c r="P1253" s="39">
        <f>_xll.qlCalendarAdvance(Calendar,P1252,O1252,"f",,Trigger)</f>
        <v>62158</v>
      </c>
      <c r="Q1253" s="39">
        <f>_xll.qlInterestRateIndexValueDate(Index,P1253,Trigger)</f>
        <v>62162</v>
      </c>
      <c r="R1253" s="39">
        <f>_xll.qlInterestRateIndexMaturity(Index,Q1253,Trigger)</f>
        <v>62254</v>
      </c>
      <c r="S1253" s="40">
        <f>_xll.qlDayCounterYearFraction(DayCounter,Q1253,R1253,,,Trigger)</f>
        <v>0.25555555555555554</v>
      </c>
      <c r="T1253" s="41">
        <f>_xll.qlIndexFixing(Index,P1253,,AllTriggers)</f>
        <v>6.4800015948681148E-3</v>
      </c>
      <c r="U1253" s="42">
        <f>_xll.qlYieldTSDiscount(OisCurve,Q1253,,AllTriggers)</f>
        <v>0.70506264481933956</v>
      </c>
      <c r="V1253" s="42">
        <f>_xll.qlYieldTSDiscount(OisCurve,R1253,,AllTriggers)</f>
        <v>0.70394337159283749</v>
      </c>
      <c r="W1253" s="41">
        <f t="shared" si="83"/>
        <v>6.2217572834668269E-3</v>
      </c>
      <c r="X1253" s="43">
        <f t="shared" si="84"/>
        <v>6.5888830754567978E-5</v>
      </c>
      <c r="Y1253" s="41">
        <f t="shared" si="85"/>
        <v>2.5824431140128792E-4</v>
      </c>
      <c r="Z1253" s="62"/>
    </row>
    <row r="1254" spans="15:26" x14ac:dyDescent="0.25">
      <c r="O1254" s="45" t="s">
        <v>21</v>
      </c>
      <c r="P1254" s="39">
        <f>_xll.qlCalendarAdvance(Calendar,P1253,O1253,"f",,Trigger)</f>
        <v>62190</v>
      </c>
      <c r="Q1254" s="39">
        <f>_xll.qlInterestRateIndexValueDate(Index,P1254,Trigger)</f>
        <v>62192</v>
      </c>
      <c r="R1254" s="39">
        <f>_xll.qlInterestRateIndexMaturity(Index,Q1254,Trigger)</f>
        <v>62283</v>
      </c>
      <c r="S1254" s="40">
        <f>_xll.qlDayCounterYearFraction(DayCounter,Q1254,R1254,,,Trigger)</f>
        <v>0.25277777777777777</v>
      </c>
      <c r="T1254" s="41">
        <f>_xll.qlIndexFixing(Index,P1254,,AllTriggers)</f>
        <v>6.489374731441358E-3</v>
      </c>
      <c r="U1254" s="42">
        <f>_xll.qlYieldTSDiscount(OisCurve,Q1254,,AllTriggers)</f>
        <v>0.70469808139513868</v>
      </c>
      <c r="V1254" s="42">
        <f>_xll.qlYieldTSDiscount(OisCurve,R1254,,AllTriggers)</f>
        <v>0.70358979129539589</v>
      </c>
      <c r="W1254" s="41">
        <f t="shared" si="83"/>
        <v>6.2315349154773679E-3</v>
      </c>
      <c r="X1254" s="43">
        <f t="shared" si="84"/>
        <v>6.5071554873984773E-5</v>
      </c>
      <c r="Y1254" s="41">
        <f t="shared" si="85"/>
        <v>2.5783981596399011E-4</v>
      </c>
      <c r="Z1254" s="62"/>
    </row>
    <row r="1255" spans="15:26" x14ac:dyDescent="0.25">
      <c r="O1255" s="45" t="s">
        <v>21</v>
      </c>
      <c r="P1255" s="39">
        <f>_xll.qlCalendarAdvance(Calendar,P1254,O1254,"f",,Trigger)</f>
        <v>62220</v>
      </c>
      <c r="Q1255" s="39">
        <f>_xll.qlInterestRateIndexValueDate(Index,P1255,Trigger)</f>
        <v>62222</v>
      </c>
      <c r="R1255" s="39">
        <f>_xll.qlInterestRateIndexMaturity(Index,Q1255,Trigger)</f>
        <v>62316</v>
      </c>
      <c r="S1255" s="40">
        <f>_xll.qlDayCounterYearFraction(DayCounter,Q1255,R1255,,,Trigger)</f>
        <v>0.26111111111111113</v>
      </c>
      <c r="T1255" s="41">
        <f>_xll.qlIndexFixing(Index,P1255,,AllTriggers)</f>
        <v>6.4994463315910704E-3</v>
      </c>
      <c r="U1255" s="42">
        <f>_xll.qlYieldTSDiscount(OisCurve,Q1255,,AllTriggers)</f>
        <v>0.70433311070158156</v>
      </c>
      <c r="V1255" s="42">
        <f>_xll.qlYieldTSDiscount(OisCurve,R1255,,AllTriggers)</f>
        <v>0.70318701514465465</v>
      </c>
      <c r="W1255" s="41">
        <f t="shared" si="83"/>
        <v>6.2420124922364087E-3</v>
      </c>
      <c r="X1255" s="43">
        <f t="shared" si="84"/>
        <v>6.7107205152507009E-5</v>
      </c>
      <c r="Y1255" s="41">
        <f t="shared" si="85"/>
        <v>2.5743383935466178E-4</v>
      </c>
      <c r="Z1255" s="62"/>
    </row>
    <row r="1256" spans="15:26" x14ac:dyDescent="0.25">
      <c r="O1256" s="45" t="s">
        <v>21</v>
      </c>
      <c r="P1256" s="39">
        <f>_xll.qlCalendarAdvance(Calendar,P1255,O1255,"f",,Trigger)</f>
        <v>62253</v>
      </c>
      <c r="Q1256" s="39">
        <f>_xll.qlInterestRateIndexValueDate(Index,P1256,Trigger)</f>
        <v>62255</v>
      </c>
      <c r="R1256" s="39">
        <f>_xll.qlInterestRateIndexMaturity(Index,Q1256,Trigger)</f>
        <v>62347</v>
      </c>
      <c r="S1256" s="40">
        <f>_xll.qlDayCounterYearFraction(DayCounter,Q1256,R1256,,,Trigger)</f>
        <v>0.25555555555555554</v>
      </c>
      <c r="T1256" s="41">
        <f>_xll.qlIndexFixing(Index,P1256,,AllTriggers)</f>
        <v>6.5092095010991276E-3</v>
      </c>
      <c r="U1256" s="42">
        <f>_xll.qlYieldTSDiscount(OisCurve,Q1256,,AllTriggers)</f>
        <v>0.70393118511140407</v>
      </c>
      <c r="V1256" s="42">
        <f>_xll.qlYieldTSDiscount(OisCurve,R1256,,AllTriggers)</f>
        <v>0.70280824835224265</v>
      </c>
      <c r="W1256" s="41">
        <f t="shared" si="83"/>
        <v>6.2522037443896901E-3</v>
      </c>
      <c r="X1256" s="43">
        <f t="shared" si="84"/>
        <v>6.5572325086098152E-5</v>
      </c>
      <c r="Y1256" s="41">
        <f t="shared" si="85"/>
        <v>2.5700575670943755E-4</v>
      </c>
      <c r="Z1256" s="62"/>
    </row>
    <row r="1257" spans="15:26" x14ac:dyDescent="0.25">
      <c r="O1257" s="45" t="s">
        <v>21</v>
      </c>
      <c r="P1257" s="39">
        <f>_xll.qlCalendarAdvance(Calendar,P1256,O1256,"f",,Trigger)</f>
        <v>62283</v>
      </c>
      <c r="Q1257" s="39">
        <f>_xll.qlInterestRateIndexValueDate(Index,P1257,Trigger)</f>
        <v>62285</v>
      </c>
      <c r="R1257" s="39">
        <f>_xll.qlInterestRateIndexMaturity(Index,Q1257,Trigger)</f>
        <v>62379</v>
      </c>
      <c r="S1257" s="40">
        <f>_xll.qlDayCounterYearFraction(DayCounter,Q1257,R1257,,,Trigger)</f>
        <v>0.26111111111111113</v>
      </c>
      <c r="T1257" s="41">
        <f>_xll.qlIndexFixing(Index,P1257,,AllTriggers)</f>
        <v>6.5187213447392032E-3</v>
      </c>
      <c r="U1257" s="42">
        <f>_xll.qlYieldTSDiscount(OisCurve,Q1257,,AllTriggers)</f>
        <v>0.70356539340909729</v>
      </c>
      <c r="V1257" s="42">
        <f>_xll.qlYieldTSDiscount(OisCurve,R1257,,AllTriggers)</f>
        <v>0.70241686797034086</v>
      </c>
      <c r="W1257" s="41">
        <f t="shared" si="83"/>
        <v>6.26210483246545E-3</v>
      </c>
      <c r="X1257" s="43">
        <f t="shared" si="84"/>
        <v>6.6893803148397707E-5</v>
      </c>
      <c r="Y1257" s="41">
        <f t="shared" si="85"/>
        <v>2.5661651227375324E-4</v>
      </c>
      <c r="Z1257" s="62"/>
    </row>
    <row r="1258" spans="15:26" x14ac:dyDescent="0.25">
      <c r="O1258" s="45" t="s">
        <v>21</v>
      </c>
      <c r="P1258" s="39">
        <f>_xll.qlCalendarAdvance(Calendar,P1257,O1257,"f",,Trigger)</f>
        <v>62316</v>
      </c>
      <c r="Q1258" s="39">
        <f>_xll.qlInterestRateIndexValueDate(Index,P1258,Trigger)</f>
        <v>62318</v>
      </c>
      <c r="R1258" s="39">
        <f>_xll.qlInterestRateIndexMaturity(Index,Q1258,Trigger)</f>
        <v>62410</v>
      </c>
      <c r="S1258" s="40">
        <f>_xll.qlDayCounterYearFraction(DayCounter,Q1258,R1258,,,Trigger)</f>
        <v>0.25555555555555554</v>
      </c>
      <c r="T1258" s="41">
        <f>_xll.qlIndexFixing(Index,P1258,,AllTriggers)</f>
        <v>6.5281278599716372E-3</v>
      </c>
      <c r="U1258" s="42">
        <f>_xll.qlYieldTSDiscount(OisCurve,Q1258,,AllTriggers)</f>
        <v>0.70316259017839</v>
      </c>
      <c r="V1258" s="42">
        <f>_xll.qlYieldTSDiscount(OisCurve,R1258,,AllTriggers)</f>
        <v>0.70203734709144816</v>
      </c>
      <c r="W1258" s="41">
        <f t="shared" si="83"/>
        <v>6.2719243371571658E-3</v>
      </c>
      <c r="X1258" s="43">
        <f t="shared" si="84"/>
        <v>6.5367321309991322E-5</v>
      </c>
      <c r="Y1258" s="41">
        <f t="shared" si="85"/>
        <v>2.5620352281447139E-4</v>
      </c>
      <c r="Z1258" s="62"/>
    </row>
    <row r="1259" spans="15:26" x14ac:dyDescent="0.25">
      <c r="O1259" s="45" t="s">
        <v>21</v>
      </c>
      <c r="P1259" s="39">
        <f>_xll.qlCalendarAdvance(Calendar,P1258,O1258,"f",,Trigger)</f>
        <v>62347</v>
      </c>
      <c r="Q1259" s="39">
        <f>_xll.qlInterestRateIndexValueDate(Index,P1259,Trigger)</f>
        <v>62351</v>
      </c>
      <c r="R1259" s="39">
        <f>_xll.qlInterestRateIndexMaturity(Index,Q1259,Trigger)</f>
        <v>62442</v>
      </c>
      <c r="S1259" s="40">
        <f>_xll.qlDayCounterYearFraction(DayCounter,Q1259,R1259,,,Trigger)</f>
        <v>0.25277777777777777</v>
      </c>
      <c r="T1259" s="41">
        <f>_xll.qlIndexFixing(Index,P1259,,AllTriggers)</f>
        <v>6.5375553376967937E-3</v>
      </c>
      <c r="U1259" s="42">
        <f>_xll.qlYieldTSDiscount(OisCurve,Q1259,,AllTriggers)</f>
        <v>0.70275934751334457</v>
      </c>
      <c r="V1259" s="42">
        <f>_xll.qlYieldTSDiscount(OisCurve,R1259,,AllTriggers)</f>
        <v>0.70164521280259962</v>
      </c>
      <c r="W1259" s="41">
        <f t="shared" si="83"/>
        <v>6.2817586555689855E-3</v>
      </c>
      <c r="X1259" s="43">
        <f t="shared" si="84"/>
        <v>6.4555123465629506E-5</v>
      </c>
      <c r="Y1259" s="41">
        <f t="shared" si="85"/>
        <v>2.5579668212780821E-4</v>
      </c>
      <c r="Z1259" s="62"/>
    </row>
    <row r="1260" spans="15:26" x14ac:dyDescent="0.25">
      <c r="O1260" s="45" t="s">
        <v>21</v>
      </c>
      <c r="P1260" s="39">
        <f>_xll.qlCalendarAdvance(Calendar,P1259,O1259,"f",,Trigger)</f>
        <v>62379</v>
      </c>
      <c r="Q1260" s="39">
        <f>_xll.qlInterestRateIndexValueDate(Index,P1260,Trigger)</f>
        <v>62381</v>
      </c>
      <c r="R1260" s="39">
        <f>_xll.qlInterestRateIndexMaturity(Index,Q1260,Trigger)</f>
        <v>62473</v>
      </c>
      <c r="S1260" s="40">
        <f>_xll.qlDayCounterYearFraction(DayCounter,Q1260,R1260,,,Trigger)</f>
        <v>0.25555555555555554</v>
      </c>
      <c r="T1260" s="41">
        <f>_xll.qlIndexFixing(Index,P1260,,AllTriggers)</f>
        <v>6.5463454191649903E-3</v>
      </c>
      <c r="U1260" s="42">
        <f>_xll.qlYieldTSDiscount(OisCurve,Q1260,,AllTriggers)</f>
        <v>0.70239239364742367</v>
      </c>
      <c r="V1260" s="42">
        <f>_xll.qlYieldTSDiscount(OisCurve,R1260,,AllTriggers)</f>
        <v>0.70126498526819048</v>
      </c>
      <c r="W1260" s="41">
        <f t="shared" si="83"/>
        <v>6.2909144166208809E-3</v>
      </c>
      <c r="X1260" s="43">
        <f t="shared" si="84"/>
        <v>6.5169912499353895E-5</v>
      </c>
      <c r="Y1260" s="41">
        <f t="shared" si="85"/>
        <v>2.5543100254410943E-4</v>
      </c>
      <c r="Z1260" s="62"/>
    </row>
    <row r="1261" spans="15:26" x14ac:dyDescent="0.25">
      <c r="O1261" s="45" t="s">
        <v>21</v>
      </c>
      <c r="P1261" s="39">
        <f>_xll.qlCalendarAdvance(Calendar,P1260,O1260,"f",,Trigger)</f>
        <v>62410</v>
      </c>
      <c r="Q1261" s="39">
        <f>_xll.qlInterestRateIndexValueDate(Index,P1261,Trigger)</f>
        <v>62414</v>
      </c>
      <c r="R1261" s="39">
        <f>_xll.qlInterestRateIndexMaturity(Index,Q1261,Trigger)</f>
        <v>62506</v>
      </c>
      <c r="S1261" s="40">
        <f>_xll.qlDayCounterYearFraction(DayCounter,Q1261,R1261,,,Trigger)</f>
        <v>0.25555555555555554</v>
      </c>
      <c r="T1261" s="41">
        <f>_xll.qlIndexFixing(Index,P1261,,AllTriggers)</f>
        <v>6.5556082626485315E-3</v>
      </c>
      <c r="U1261" s="42">
        <f>_xll.qlYieldTSDiscount(OisCurve,Q1261,,AllTriggers)</f>
        <v>0.70198835065380671</v>
      </c>
      <c r="V1261" s="42">
        <f>_xll.qlYieldTSDiscount(OisCurve,R1261,,AllTriggers)</f>
        <v>0.70085986417075696</v>
      </c>
      <c r="W1261" s="41">
        <f t="shared" si="83"/>
        <v>6.3005700547968469E-3</v>
      </c>
      <c r="X1261" s="43">
        <f t="shared" si="84"/>
        <v>6.5069538981149896E-5</v>
      </c>
      <c r="Y1261" s="41">
        <f t="shared" si="85"/>
        <v>2.5503820785168461E-4</v>
      </c>
      <c r="Z1261" s="62"/>
    </row>
    <row r="1262" spans="15:26" x14ac:dyDescent="0.25">
      <c r="O1262" s="45" t="s">
        <v>21</v>
      </c>
      <c r="P1262" s="39">
        <f>_xll.qlCalendarAdvance(Calendar,P1261,O1261,"f",,Trigger)</f>
        <v>62442</v>
      </c>
      <c r="Q1262" s="39">
        <f>_xll.qlInterestRateIndexValueDate(Index,P1262,Trigger)</f>
        <v>62444</v>
      </c>
      <c r="R1262" s="39">
        <f>_xll.qlInterestRateIndexMaturity(Index,Q1262,Trigger)</f>
        <v>62534</v>
      </c>
      <c r="S1262" s="40">
        <f>_xll.qlDayCounterYearFraction(DayCounter,Q1262,R1262,,,Trigger)</f>
        <v>0.25</v>
      </c>
      <c r="T1262" s="41">
        <f>_xll.qlIndexFixing(Index,P1262,,AllTriggers)</f>
        <v>6.5634726768895035E-3</v>
      </c>
      <c r="U1262" s="42">
        <f>_xll.qlYieldTSDiscount(OisCurve,Q1262,,AllTriggers)</f>
        <v>0.70162069218591461</v>
      </c>
      <c r="V1262" s="42">
        <f>_xll.qlYieldTSDiscount(OisCurve,R1262,,AllTriggers)</f>
        <v>0.70051584172904102</v>
      </c>
      <c r="W1262" s="41">
        <f t="shared" si="83"/>
        <v>6.3087821348712936E-3</v>
      </c>
      <c r="X1262" s="43">
        <f t="shared" si="84"/>
        <v>6.3570348809876588E-5</v>
      </c>
      <c r="Y1262" s="41">
        <f t="shared" si="85"/>
        <v>2.5469054201820995E-4</v>
      </c>
      <c r="Z1262" s="62"/>
    </row>
    <row r="1263" spans="15:26" x14ac:dyDescent="0.25">
      <c r="O1263" s="45" t="s">
        <v>21</v>
      </c>
      <c r="P1263" s="39">
        <f>_xll.qlCalendarAdvance(Calendar,P1262,O1262,"f",,Trigger)</f>
        <v>62473</v>
      </c>
      <c r="Q1263" s="39">
        <f>_xll.qlInterestRateIndexValueDate(Index,P1263,Trigger)</f>
        <v>62477</v>
      </c>
      <c r="R1263" s="39">
        <f>_xll.qlInterestRateIndexMaturity(Index,Q1263,Trigger)</f>
        <v>62569</v>
      </c>
      <c r="S1263" s="40">
        <f>_xll.qlDayCounterYearFraction(DayCounter,Q1263,R1263,,,Trigger)</f>
        <v>0.25555555555555554</v>
      </c>
      <c r="T1263" s="41">
        <f>_xll.qlIndexFixing(Index,P1263,,AllTriggers)</f>
        <v>6.5727579179504806E-3</v>
      </c>
      <c r="U1263" s="42">
        <f>_xll.qlYieldTSDiscount(OisCurve,Q1263,,AllTriggers)</f>
        <v>0.70121589934511064</v>
      </c>
      <c r="V1263" s="42">
        <f>_xll.qlYieldTSDiscount(OisCurve,R1263,,AllTriggers)</f>
        <v>0.70008546139483951</v>
      </c>
      <c r="W1263" s="41">
        <f t="shared" ref="W1263:W1310" si="86">(U1263/V1263-1)/S1263</f>
        <v>6.3184469508533693E-3</v>
      </c>
      <c r="X1263" s="43">
        <f t="shared" ref="X1263:X1310" si="87">LN((1+T1263*S1263)/(1+W1263*S1263))</f>
        <v>6.4883703449647676E-5</v>
      </c>
      <c r="Y1263" s="41">
        <f t="shared" si="85"/>
        <v>2.5431096709711137E-4</v>
      </c>
      <c r="Z1263" s="62"/>
    </row>
    <row r="1264" spans="15:26" x14ac:dyDescent="0.25">
      <c r="O1264" s="45" t="s">
        <v>21</v>
      </c>
      <c r="P1264" s="39">
        <f>_xll.qlCalendarAdvance(Calendar,P1263,O1263,"f",,Trigger)</f>
        <v>62505</v>
      </c>
      <c r="Q1264" s="39">
        <f>_xll.qlInterestRateIndexValueDate(Index,P1264,Trigger)</f>
        <v>62507</v>
      </c>
      <c r="R1264" s="39">
        <f>_xll.qlInterestRateIndexMaturity(Index,Q1264,Trigger)</f>
        <v>62596</v>
      </c>
      <c r="S1264" s="40">
        <f>_xll.qlDayCounterYearFraction(DayCounter,Q1264,R1264,,,Trigger)</f>
        <v>0.24722222222222223</v>
      </c>
      <c r="T1264" s="41">
        <f>_xll.qlIndexFixing(Index,P1264,,AllTriggers)</f>
        <v>6.5801095471908193E-3</v>
      </c>
      <c r="U1264" s="42">
        <f>_xll.qlYieldTSDiscount(OisCurve,Q1264,,AllTriggers)</f>
        <v>0.70084758207526709</v>
      </c>
      <c r="V1264" s="42">
        <f>_xll.qlYieldTSDiscount(OisCurve,R1264,,AllTriggers)</f>
        <v>0.69975319584432771</v>
      </c>
      <c r="W1264" s="41">
        <f t="shared" si="86"/>
        <v>6.3261316247880412E-3</v>
      </c>
      <c r="X1264" s="43">
        <f t="shared" si="87"/>
        <v>6.2688975234168737E-5</v>
      </c>
      <c r="Y1264" s="41">
        <f t="shared" si="85"/>
        <v>2.5397792240277814E-4</v>
      </c>
      <c r="Z1264" s="62"/>
    </row>
    <row r="1265" spans="15:26" x14ac:dyDescent="0.25">
      <c r="O1265" s="45" t="s">
        <v>21</v>
      </c>
      <c r="P1265" s="39">
        <f>_xll.qlCalendarAdvance(Calendar,P1264,O1264,"f",,Trigger)</f>
        <v>62533</v>
      </c>
      <c r="Q1265" s="39">
        <f>_xll.qlInterestRateIndexValueDate(Index,P1265,Trigger)</f>
        <v>62535</v>
      </c>
      <c r="R1265" s="39">
        <f>_xll.qlInterestRateIndexMaturity(Index,Q1265,Trigger)</f>
        <v>62627</v>
      </c>
      <c r="S1265" s="40">
        <f>_xll.qlDayCounterYearFraction(DayCounter,Q1265,R1265,,,Trigger)</f>
        <v>0.25555555555555554</v>
      </c>
      <c r="T1265" s="41">
        <f>_xll.qlIndexFixing(Index,P1265,,AllTriggers)</f>
        <v>6.5879268902913077E-3</v>
      </c>
      <c r="U1265" s="42">
        <f>_xll.qlYieldTSDiscount(OisCurve,Q1265,,AllTriggers)</f>
        <v>0.70050355051730129</v>
      </c>
      <c r="V1265" s="42">
        <f>_xll.qlYieldTSDiscount(OisCurve,R1265,,AllTriggers)</f>
        <v>0.6993714394172601</v>
      </c>
      <c r="W1265" s="41">
        <f t="shared" si="86"/>
        <v>6.334259174744482E-3</v>
      </c>
      <c r="X1265" s="43">
        <f t="shared" si="87"/>
        <v>6.47193314924648E-5</v>
      </c>
      <c r="Y1265" s="41">
        <f t="shared" si="85"/>
        <v>2.5366771554682574E-4</v>
      </c>
      <c r="Z1265" s="62"/>
    </row>
    <row r="1266" spans="15:26" x14ac:dyDescent="0.25">
      <c r="O1266" s="45" t="s">
        <v>21</v>
      </c>
      <c r="P1266" s="39">
        <f>_xll.qlCalendarAdvance(Calendar,P1265,O1265,"f",,Trigger)</f>
        <v>62564</v>
      </c>
      <c r="Q1266" s="39">
        <f>_xll.qlInterestRateIndexValueDate(Index,P1266,Trigger)</f>
        <v>62570</v>
      </c>
      <c r="R1266" s="39">
        <f>_xll.qlInterestRateIndexMaturity(Index,Q1266,Trigger)</f>
        <v>62661</v>
      </c>
      <c r="S1266" s="40">
        <f>_xll.qlDayCounterYearFraction(DayCounter,Q1266,R1266,,,Trigger)</f>
        <v>0.25277777777777777</v>
      </c>
      <c r="T1266" s="41">
        <f>_xll.qlIndexFixing(Index,P1266,,AllTriggers)</f>
        <v>6.5966090060688301E-3</v>
      </c>
      <c r="U1266" s="42">
        <f>_xll.qlYieldTSDiscount(OisCurve,Q1266,,AllTriggers)</f>
        <v>0.70007315920892554</v>
      </c>
      <c r="V1266" s="42">
        <f>_xll.qlYieldTSDiscount(OisCurve,R1266,,AllTriggers)</f>
        <v>0.69895242431659821</v>
      </c>
      <c r="W1266" s="41">
        <f t="shared" si="86"/>
        <v>6.3433165733045036E-3</v>
      </c>
      <c r="X1266" s="43">
        <f t="shared" si="87"/>
        <v>6.3922155994660903E-5</v>
      </c>
      <c r="Y1266" s="41">
        <f t="shared" si="85"/>
        <v>2.5329243276432656E-4</v>
      </c>
      <c r="Z1266" s="62"/>
    </row>
    <row r="1267" spans="15:26" x14ac:dyDescent="0.25">
      <c r="O1267" s="45" t="s">
        <v>21</v>
      </c>
      <c r="P1267" s="39">
        <f>_xll.qlCalendarAdvance(Calendar,P1266,O1266,"f",,Trigger)</f>
        <v>62596</v>
      </c>
      <c r="Q1267" s="39">
        <f>_xll.qlInterestRateIndexValueDate(Index,P1267,Trigger)</f>
        <v>62598</v>
      </c>
      <c r="R1267" s="39">
        <f>_xll.qlInterestRateIndexMaturity(Index,Q1267,Trigger)</f>
        <v>62690</v>
      </c>
      <c r="S1267" s="40">
        <f>_xll.qlDayCounterYearFraction(DayCounter,Q1267,R1267,,,Trigger)</f>
        <v>0.25555555555555554</v>
      </c>
      <c r="T1267" s="41">
        <f>_xll.qlIndexFixing(Index,P1267,,AllTriggers)</f>
        <v>6.6037305114664893E-3</v>
      </c>
      <c r="U1267" s="42">
        <f>_xll.qlYieldTSDiscount(OisCurve,Q1267,,AllTriggers)</f>
        <v>0.69972857488271289</v>
      </c>
      <c r="V1267" s="42">
        <f>_xll.qlYieldTSDiscount(OisCurve,R1267,,AllTriggers)</f>
        <v>0.69859477994243169</v>
      </c>
      <c r="W1267" s="41">
        <f t="shared" si="86"/>
        <v>6.3507329629893276E-3</v>
      </c>
      <c r="X1267" s="43">
        <f t="shared" si="87"/>
        <v>6.4548083116392166E-5</v>
      </c>
      <c r="Y1267" s="41">
        <f t="shared" si="85"/>
        <v>2.5299754847716172E-4</v>
      </c>
      <c r="Z1267" s="62"/>
    </row>
    <row r="1268" spans="15:26" x14ac:dyDescent="0.25">
      <c r="O1268" s="45" t="s">
        <v>21</v>
      </c>
      <c r="P1268" s="39">
        <f>_xll.qlCalendarAdvance(Calendar,P1267,O1267,"f",,Trigger)</f>
        <v>62627</v>
      </c>
      <c r="Q1268" s="39">
        <f>_xll.qlInterestRateIndexValueDate(Index,P1268,Trigger)</f>
        <v>62631</v>
      </c>
      <c r="R1268" s="39">
        <f>_xll.qlInterestRateIndexMaturity(Index,Q1268,Trigger)</f>
        <v>62723</v>
      </c>
      <c r="S1268" s="40">
        <f>_xll.qlDayCounterYearFraction(DayCounter,Q1268,R1268,,,Trigger)</f>
        <v>0.25555555555555554</v>
      </c>
      <c r="T1268" s="41">
        <f>_xll.qlIndexFixing(Index,P1268,,AllTriggers)</f>
        <v>6.6117288988588943E-3</v>
      </c>
      <c r="U1268" s="42">
        <f>_xll.qlYieldTSDiscount(OisCurve,Q1268,,AllTriggers)</f>
        <v>0.699322160334374</v>
      </c>
      <c r="V1268" s="42">
        <f>_xll.qlYieldTSDiscount(OisCurve,R1268,,AllTriggers)</f>
        <v>0.69818753869607797</v>
      </c>
      <c r="W1268" s="41">
        <f t="shared" si="86"/>
        <v>6.3590705304188326E-3</v>
      </c>
      <c r="X1268" s="43">
        <f t="shared" si="87"/>
        <v>6.4461412683313159E-5</v>
      </c>
      <c r="Y1268" s="41">
        <f t="shared" si="85"/>
        <v>2.5265836844006167E-4</v>
      </c>
      <c r="Z1268" s="62"/>
    </row>
    <row r="1269" spans="15:26" x14ac:dyDescent="0.25">
      <c r="O1269" s="45" t="s">
        <v>21</v>
      </c>
      <c r="P1269" s="39">
        <f>_xll.qlCalendarAdvance(Calendar,P1268,O1268,"f",,Trigger)</f>
        <v>62659</v>
      </c>
      <c r="Q1269" s="39">
        <f>_xll.qlInterestRateIndexValueDate(Index,P1269,Trigger)</f>
        <v>62661</v>
      </c>
      <c r="R1269" s="39">
        <f>_xll.qlInterestRateIndexMaturity(Index,Q1269,Trigger)</f>
        <v>62753</v>
      </c>
      <c r="S1269" s="40">
        <f>_xll.qlDayCounterYearFraction(DayCounter,Q1269,R1269,,,Trigger)</f>
        <v>0.25555555555555554</v>
      </c>
      <c r="T1269" s="41">
        <f>_xll.qlIndexFixing(Index,P1269,,AllTriggers)</f>
        <v>6.6188332924062591E-3</v>
      </c>
      <c r="U1269" s="42">
        <f>_xll.qlYieldTSDiscount(OisCurve,Q1269,,AllTriggers)</f>
        <v>0.69895242431659821</v>
      </c>
      <c r="V1269" s="42">
        <f>_xll.qlYieldTSDiscount(OisCurve,R1269,,AllTriggers)</f>
        <v>0.69781708404299536</v>
      </c>
      <c r="W1269" s="41">
        <f t="shared" si="86"/>
        <v>6.3664761938595788E-3</v>
      </c>
      <c r="X1269" s="43">
        <f t="shared" si="87"/>
        <v>6.4384429705582666E-5</v>
      </c>
      <c r="Y1269" s="41">
        <f t="shared" si="85"/>
        <v>2.5235709854668029E-4</v>
      </c>
      <c r="Z1269" s="62"/>
    </row>
    <row r="1270" spans="15:26" x14ac:dyDescent="0.25">
      <c r="O1270" s="45" t="s">
        <v>21</v>
      </c>
      <c r="P1270" s="39">
        <f>_xll.qlCalendarAdvance(Calendar,P1269,O1269,"f",,Trigger)</f>
        <v>62690</v>
      </c>
      <c r="Q1270" s="39">
        <f>_xll.qlInterestRateIndexValueDate(Index,P1270,Trigger)</f>
        <v>62694</v>
      </c>
      <c r="R1270" s="39">
        <f>_xll.qlInterestRateIndexMaturity(Index,Q1270,Trigger)</f>
        <v>62786</v>
      </c>
      <c r="S1270" s="40">
        <f>_xll.qlDayCounterYearFraction(DayCounter,Q1270,R1270,,,Trigger)</f>
        <v>0.25555555555555554</v>
      </c>
      <c r="T1270" s="41">
        <f>_xll.qlIndexFixing(Index,P1270,,AllTriggers)</f>
        <v>6.6264645697519551E-3</v>
      </c>
      <c r="U1270" s="42">
        <f>_xll.qlYieldTSDiscount(OisCurve,Q1270,,AllTriggers)</f>
        <v>0.69854543224180399</v>
      </c>
      <c r="V1270" s="42">
        <f>_xll.qlYieldTSDiscount(OisCurve,R1270,,AllTriggers)</f>
        <v>0.69740933759192281</v>
      </c>
      <c r="W1270" s="41">
        <f t="shared" si="86"/>
        <v>6.3744310848411626E-3</v>
      </c>
      <c r="X1270" s="43">
        <f t="shared" si="87"/>
        <v>6.4301737587300908E-5</v>
      </c>
      <c r="Y1270" s="41">
        <f t="shared" si="85"/>
        <v>2.5203348491079254E-4</v>
      </c>
      <c r="Z1270" s="62"/>
    </row>
    <row r="1271" spans="15:26" x14ac:dyDescent="0.25">
      <c r="O1271" s="45" t="s">
        <v>21</v>
      </c>
      <c r="P1271" s="39">
        <f>_xll.qlCalendarAdvance(Calendar,P1270,O1270,"f",,Trigger)</f>
        <v>62722</v>
      </c>
      <c r="Q1271" s="39">
        <f>_xll.qlInterestRateIndexValueDate(Index,P1271,Trigger)</f>
        <v>62724</v>
      </c>
      <c r="R1271" s="39">
        <f>_xll.qlInterestRateIndexMaturity(Index,Q1271,Trigger)</f>
        <v>62815</v>
      </c>
      <c r="S1271" s="40">
        <f>_xll.qlDayCounterYearFraction(DayCounter,Q1271,R1271,,,Trigger)</f>
        <v>0.25277777777777777</v>
      </c>
      <c r="T1271" s="41">
        <f>_xll.qlIndexFixing(Index,P1271,,AllTriggers)</f>
        <v>6.6330639556448009E-3</v>
      </c>
      <c r="U1271" s="42">
        <f>_xll.qlYieldTSDiscount(OisCurve,Q1271,,AllTriggers)</f>
        <v>0.69817519375663972</v>
      </c>
      <c r="V1271" s="42">
        <f>_xll.qlYieldTSDiscount(OisCurve,R1271,,AllTriggers)</f>
        <v>0.69705081228605048</v>
      </c>
      <c r="W1271" s="41">
        <f t="shared" si="86"/>
        <v>6.3813174629614791E-3</v>
      </c>
      <c r="X1271" s="43">
        <f t="shared" si="87"/>
        <v>6.3531417878217691E-5</v>
      </c>
      <c r="Y1271" s="41">
        <f t="shared" si="85"/>
        <v>2.5174649268332183E-4</v>
      </c>
      <c r="Z1271" s="62"/>
    </row>
    <row r="1272" spans="15:26" x14ac:dyDescent="0.25">
      <c r="O1272" s="45" t="s">
        <v>21</v>
      </c>
      <c r="P1272" s="39">
        <f>_xll.qlCalendarAdvance(Calendar,P1271,O1271,"f",,Trigger)</f>
        <v>62752</v>
      </c>
      <c r="Q1272" s="39">
        <f>_xll.qlInterestRateIndexValueDate(Index,P1272,Trigger)</f>
        <v>62754</v>
      </c>
      <c r="R1272" s="39">
        <f>_xll.qlInterestRateIndexMaturity(Index,Q1272,Trigger)</f>
        <v>62848</v>
      </c>
      <c r="S1272" s="40">
        <f>_xll.qlDayCounterYearFraction(DayCounter,Q1272,R1272,,,Trigger)</f>
        <v>0.26111111111111113</v>
      </c>
      <c r="T1272" s="41">
        <f>_xll.qlIndexFixing(Index,P1272,,AllTriggers)</f>
        <v>6.6401842784272009E-3</v>
      </c>
      <c r="U1272" s="42">
        <f>_xll.qlYieldTSDiscount(OisCurve,Q1272,,AllTriggers)</f>
        <v>0.69780473181923053</v>
      </c>
      <c r="V1272" s="42">
        <f>_xll.qlYieldTSDiscount(OisCurve,R1272,,AllTriggers)</f>
        <v>0.6966426167536004</v>
      </c>
      <c r="W1272" s="41">
        <f t="shared" si="86"/>
        <v>6.3887183123812622E-3</v>
      </c>
      <c r="X1272" s="43">
        <f t="shared" si="87"/>
        <v>6.5549059162177644E-5</v>
      </c>
      <c r="Y1272" s="41">
        <f t="shared" si="85"/>
        <v>2.5146596604593875E-4</v>
      </c>
      <c r="Z1272" s="62"/>
    </row>
    <row r="1273" spans="15:26" x14ac:dyDescent="0.25">
      <c r="O1273" s="45" t="s">
        <v>21</v>
      </c>
      <c r="P1273" s="39">
        <f>_xll.qlCalendarAdvance(Calendar,P1272,O1272,"f",,Trigger)</f>
        <v>62785</v>
      </c>
      <c r="Q1273" s="39">
        <f>_xll.qlInterestRateIndexValueDate(Index,P1273,Trigger)</f>
        <v>62787</v>
      </c>
      <c r="R1273" s="39">
        <f>_xll.qlInterestRateIndexMaturity(Index,Q1273,Trigger)</f>
        <v>62879</v>
      </c>
      <c r="S1273" s="40">
        <f>_xll.qlDayCounterYearFraction(DayCounter,Q1273,R1273,,,Trigger)</f>
        <v>0.25555555555555554</v>
      </c>
      <c r="T1273" s="41">
        <f>_xll.qlIndexFixing(Index,P1273,,AllTriggers)</f>
        <v>6.646936301548668E-3</v>
      </c>
      <c r="U1273" s="42">
        <f>_xll.qlYieldTSDiscount(OisCurve,Q1273,,AllTriggers)</f>
        <v>0.69739697774682285</v>
      </c>
      <c r="V1273" s="42">
        <f>_xll.qlYieldTSDiscount(OisCurve,R1273,,AllTriggers)</f>
        <v>0.69625896002378518</v>
      </c>
      <c r="W1273" s="41">
        <f t="shared" si="86"/>
        <v>6.3957709486797808E-3</v>
      </c>
      <c r="X1273" s="43">
        <f t="shared" si="87"/>
        <v>6.4079907777398967E-5</v>
      </c>
      <c r="Y1273" s="41">
        <f t="shared" si="85"/>
        <v>2.5116535286888713E-4</v>
      </c>
      <c r="Z1273" s="62"/>
    </row>
    <row r="1274" spans="15:26" x14ac:dyDescent="0.25">
      <c r="O1274" s="45" t="s">
        <v>21</v>
      </c>
      <c r="P1274" s="39">
        <f>_xll.qlCalendarAdvance(Calendar,P1273,O1273,"f",,Trigger)</f>
        <v>62815</v>
      </c>
      <c r="Q1274" s="39">
        <f>_xll.qlInterestRateIndexValueDate(Index,P1274,Trigger)</f>
        <v>62820</v>
      </c>
      <c r="R1274" s="39">
        <f>_xll.qlInterestRateIndexMaturity(Index,Q1274,Trigger)</f>
        <v>62911</v>
      </c>
      <c r="S1274" s="40">
        <f>_xll.qlDayCounterYearFraction(DayCounter,Q1274,R1274,,,Trigger)</f>
        <v>0.25277777777777777</v>
      </c>
      <c r="T1274" s="41">
        <f>_xll.qlIndexFixing(Index,P1274,,AllTriggers)</f>
        <v>6.6536701734423876E-3</v>
      </c>
      <c r="U1274" s="42">
        <f>_xll.qlYieldTSDiscount(OisCurve,Q1274,,AllTriggers)</f>
        <v>0.69698897912903002</v>
      </c>
      <c r="V1274" s="42">
        <f>_xll.qlYieldTSDiscount(OisCurve,R1274,,AllTriggers)</f>
        <v>0.69586273577657409</v>
      </c>
      <c r="W1274" s="41">
        <f t="shared" si="86"/>
        <v>6.4027975323980267E-3</v>
      </c>
      <c r="X1274" s="43">
        <f t="shared" si="87"/>
        <v>6.3310554131527531E-5</v>
      </c>
      <c r="Y1274" s="41">
        <f t="shared" si="85"/>
        <v>2.508726410443609E-4</v>
      </c>
      <c r="Z1274" s="62"/>
    </row>
    <row r="1275" spans="15:26" x14ac:dyDescent="0.25">
      <c r="O1275" s="45" t="s">
        <v>21</v>
      </c>
      <c r="P1275" s="39">
        <f>_xll.qlCalendarAdvance(Calendar,P1274,O1274,"f",,Trigger)</f>
        <v>62848</v>
      </c>
      <c r="Q1275" s="39">
        <f>_xll.qlInterestRateIndexValueDate(Index,P1275,Trigger)</f>
        <v>62850</v>
      </c>
      <c r="R1275" s="39">
        <f>_xll.qlInterestRateIndexMaturity(Index,Q1275,Trigger)</f>
        <v>62941</v>
      </c>
      <c r="S1275" s="40">
        <f>_xll.qlDayCounterYearFraction(DayCounter,Q1275,R1275,,,Trigger)</f>
        <v>0.25277777777777777</v>
      </c>
      <c r="T1275" s="41">
        <f>_xll.qlIndexFixing(Index,P1275,,AllTriggers)</f>
        <v>6.659775877384826E-3</v>
      </c>
      <c r="U1275" s="42">
        <f>_xll.qlYieldTSDiscount(OisCurve,Q1275,,AllTriggers)</f>
        <v>0.69661787043605738</v>
      </c>
      <c r="V1275" s="42">
        <f>_xll.qlYieldTSDiscount(OisCurve,R1275,,AllTriggers)</f>
        <v>0.69549110962298388</v>
      </c>
      <c r="W1275" s="41">
        <f t="shared" si="86"/>
        <v>6.4091621629542416E-3</v>
      </c>
      <c r="X1275" s="43">
        <f t="shared" si="87"/>
        <v>6.3245111548905213E-5</v>
      </c>
      <c r="Y1275" s="41">
        <f t="shared" si="85"/>
        <v>2.5061371443058436E-4</v>
      </c>
      <c r="Z1275" s="62"/>
    </row>
    <row r="1276" spans="15:26" x14ac:dyDescent="0.25">
      <c r="O1276" s="45" t="s">
        <v>21</v>
      </c>
      <c r="P1276" s="39">
        <f>_xll.qlCalendarAdvance(Calendar,P1275,O1275,"f",,Trigger)</f>
        <v>62879</v>
      </c>
      <c r="Q1276" s="39">
        <f>_xll.qlInterestRateIndexValueDate(Index,P1276,Trigger)</f>
        <v>62883</v>
      </c>
      <c r="R1276" s="39">
        <f>_xll.qlInterestRateIndexMaturity(Index,Q1276,Trigger)</f>
        <v>62975</v>
      </c>
      <c r="S1276" s="40">
        <f>_xll.qlDayCounterYearFraction(DayCounter,Q1276,R1276,,,Trigger)</f>
        <v>0.25555555555555554</v>
      </c>
      <c r="T1276" s="41">
        <f>_xll.qlIndexFixing(Index,P1276,,AllTriggers)</f>
        <v>6.6664664381079477E-3</v>
      </c>
      <c r="U1276" s="42">
        <f>_xll.qlYieldTSDiscount(OisCurve,Q1276,,AllTriggers)</f>
        <v>0.69620944238748816</v>
      </c>
      <c r="V1276" s="42">
        <f>_xll.qlYieldTSDiscount(OisCurve,R1276,,AllTriggers)</f>
        <v>0.69506975216384292</v>
      </c>
      <c r="W1276" s="41">
        <f t="shared" si="86"/>
        <v>6.4161292920448063E-3</v>
      </c>
      <c r="X1276" s="43">
        <f t="shared" si="87"/>
        <v>6.3868282087585271E-5</v>
      </c>
      <c r="Y1276" s="41">
        <f t="shared" si="85"/>
        <v>2.503371460631414E-4</v>
      </c>
      <c r="Z1276" s="62"/>
    </row>
    <row r="1277" spans="15:26" x14ac:dyDescent="0.25">
      <c r="O1277" s="45" t="s">
        <v>21</v>
      </c>
      <c r="P1277" s="39">
        <f>_xll.qlCalendarAdvance(Calendar,P1276,O1276,"f",,Trigger)</f>
        <v>62908</v>
      </c>
      <c r="Q1277" s="39">
        <f>_xll.qlInterestRateIndexValueDate(Index,P1277,Trigger)</f>
        <v>62912</v>
      </c>
      <c r="R1277" s="39">
        <f>_xll.qlInterestRateIndexMaturity(Index,Q1277,Trigger)</f>
        <v>63004</v>
      </c>
      <c r="S1277" s="40">
        <f>_xll.qlDayCounterYearFraction(DayCounter,Q1277,R1277,,,Trigger)</f>
        <v>0.25555555555555554</v>
      </c>
      <c r="T1277" s="41">
        <f>_xll.qlIndexFixing(Index,P1277,,AllTriggers)</f>
        <v>6.6720461039616458E-3</v>
      </c>
      <c r="U1277" s="42">
        <f>_xll.qlYieldTSDiscount(OisCurve,Q1277,,AllTriggers)</f>
        <v>0.69585035076564294</v>
      </c>
      <c r="V1277" s="42">
        <f>_xll.qlYieldTSDiscount(OisCurve,R1277,,AllTriggers)</f>
        <v>0.69471021745749817</v>
      </c>
      <c r="W1277" s="41">
        <f t="shared" si="86"/>
        <v>6.4219455733813633E-3</v>
      </c>
      <c r="X1277" s="43">
        <f t="shared" si="87"/>
        <v>6.3807821842094603E-5</v>
      </c>
      <c r="Y1277" s="41">
        <f t="shared" si="85"/>
        <v>2.5010053058028246E-4</v>
      </c>
      <c r="Z1277" s="62"/>
    </row>
    <row r="1278" spans="15:26" x14ac:dyDescent="0.25">
      <c r="O1278" s="45" t="s">
        <v>21</v>
      </c>
      <c r="P1278" s="39">
        <f>_xll.qlCalendarAdvance(Calendar,P1277,O1277,"f",,Trigger)</f>
        <v>62939</v>
      </c>
      <c r="Q1278" s="39">
        <f>_xll.qlInterestRateIndexValueDate(Index,P1278,Trigger)</f>
        <v>62941</v>
      </c>
      <c r="R1278" s="39">
        <f>_xll.qlInterestRateIndexMaturity(Index,Q1278,Trigger)</f>
        <v>63032</v>
      </c>
      <c r="S1278" s="40">
        <f>_xll.qlDayCounterYearFraction(DayCounter,Q1278,R1278,,,Trigger)</f>
        <v>0.25277777777777777</v>
      </c>
      <c r="T1278" s="41">
        <f>_xll.qlIndexFixing(Index,P1278,,AllTriggers)</f>
        <v>6.6773243321356906E-3</v>
      </c>
      <c r="U1278" s="42">
        <f>_xll.qlYieldTSDiscount(OisCurve,Q1278,,AllTriggers)</f>
        <v>0.69549110962298388</v>
      </c>
      <c r="V1278" s="42">
        <f>_xll.qlYieldTSDiscount(OisCurve,R1278,,AllTriggers)</f>
        <v>0.6943629657931335</v>
      </c>
      <c r="W1278" s="41">
        <f t="shared" si="86"/>
        <v>6.4274548031664925E-3</v>
      </c>
      <c r="X1278" s="43">
        <f t="shared" si="87"/>
        <v>6.305702303711783E-5</v>
      </c>
      <c r="Y1278" s="41">
        <f t="shared" si="85"/>
        <v>2.4986952896919809E-4</v>
      </c>
      <c r="Z1278" s="62"/>
    </row>
    <row r="1279" spans="15:26" x14ac:dyDescent="0.25">
      <c r="O1279" s="45" t="s">
        <v>21</v>
      </c>
      <c r="P1279" s="39">
        <f>_xll.qlCalendarAdvance(Calendar,P1278,O1278,"f",,Trigger)</f>
        <v>62969</v>
      </c>
      <c r="Q1279" s="39">
        <f>_xll.qlInterestRateIndexValueDate(Index,P1279,Trigger)</f>
        <v>62971</v>
      </c>
      <c r="R1279" s="39">
        <f>_xll.qlInterestRateIndexMaturity(Index,Q1279,Trigger)</f>
        <v>63065</v>
      </c>
      <c r="S1279" s="40">
        <f>_xll.qlDayCounterYearFraction(DayCounter,Q1279,R1279,,,Trigger)</f>
        <v>0.26111111111111113</v>
      </c>
      <c r="T1279" s="41">
        <f>_xll.qlIndexFixing(Index,P1279,,AllTriggers)</f>
        <v>6.6832400106135578E-3</v>
      </c>
      <c r="U1279" s="42">
        <f>_xll.qlYieldTSDiscount(OisCurve,Q1279,,AllTriggers)</f>
        <v>0.69511933317365315</v>
      </c>
      <c r="V1279" s="42">
        <f>_xll.qlYieldTSDiscount(OisCurve,R1279,,AllTriggers)</f>
        <v>0.693953571394334</v>
      </c>
      <c r="W1279" s="41">
        <f t="shared" si="86"/>
        <v>6.4335998320471204E-3</v>
      </c>
      <c r="X1279" s="43">
        <f t="shared" si="87"/>
        <v>6.5072389500885229E-5</v>
      </c>
      <c r="Y1279" s="41">
        <f t="shared" si="85"/>
        <v>2.4964017856643744E-4</v>
      </c>
      <c r="Z1279" s="62"/>
    </row>
    <row r="1280" spans="15:26" x14ac:dyDescent="0.25">
      <c r="O1280" s="45" t="s">
        <v>21</v>
      </c>
      <c r="P1280" s="39">
        <f>_xll.qlCalendarAdvance(Calendar,P1279,O1279,"f",,Trigger)</f>
        <v>63002</v>
      </c>
      <c r="Q1280" s="39">
        <f>_xll.qlInterestRateIndexValueDate(Index,P1280,Trigger)</f>
        <v>63004</v>
      </c>
      <c r="R1280" s="39">
        <f>_xll.qlInterestRateIndexMaturity(Index,Q1280,Trigger)</f>
        <v>63096</v>
      </c>
      <c r="S1280" s="40">
        <f>_xll.qlDayCounterYearFraction(DayCounter,Q1280,R1280,,,Trigger)</f>
        <v>0.25555555555555554</v>
      </c>
      <c r="T1280" s="41">
        <f>_xll.qlIndexFixing(Index,P1280,,AllTriggers)</f>
        <v>6.6887642223478283E-3</v>
      </c>
      <c r="U1280" s="42">
        <f>_xll.qlYieldTSDiscount(OisCurve,Q1280,,AllTriggers)</f>
        <v>0.69471021745749817</v>
      </c>
      <c r="V1280" s="42">
        <f>_xll.qlYieldTSDiscount(OisCurve,R1280,,AllTriggers)</f>
        <v>0.6935688684205118</v>
      </c>
      <c r="W1280" s="41">
        <f t="shared" si="86"/>
        <v>6.4393726549027011E-3</v>
      </c>
      <c r="X1280" s="43">
        <f t="shared" si="87"/>
        <v>6.3626667863621344E-5</v>
      </c>
      <c r="Y1280" s="41">
        <f t="shared" si="85"/>
        <v>2.4939156744512719E-4</v>
      </c>
      <c r="Z1280" s="62"/>
    </row>
    <row r="1281" spans="15:26" x14ac:dyDescent="0.25">
      <c r="O1281" s="45" t="s">
        <v>21</v>
      </c>
      <c r="P1281" s="39">
        <f>_xll.qlCalendarAdvance(Calendar,P1280,O1280,"f",,Trigger)</f>
        <v>63032</v>
      </c>
      <c r="Q1281" s="39">
        <f>_xll.qlInterestRateIndexValueDate(Index,P1281,Trigger)</f>
        <v>63034</v>
      </c>
      <c r="R1281" s="39">
        <f>_xll.qlInterestRateIndexMaturity(Index,Q1281,Trigger)</f>
        <v>63128</v>
      </c>
      <c r="S1281" s="40">
        <f>_xll.qlDayCounterYearFraction(DayCounter,Q1281,R1281,,,Trigger)</f>
        <v>0.26111111111111113</v>
      </c>
      <c r="T1281" s="41">
        <f>_xll.qlIndexFixing(Index,P1281,,AllTriggers)</f>
        <v>6.694182500111898E-3</v>
      </c>
      <c r="U1281" s="42">
        <f>_xll.qlYieldTSDiscount(OisCurve,Q1281,,AllTriggers)</f>
        <v>0.69433815800888499</v>
      </c>
      <c r="V1281" s="42">
        <f>_xll.qlYieldTSDiscount(OisCurve,R1281,,AllTriggers)</f>
        <v>0.69317164525560959</v>
      </c>
      <c r="W1281" s="41">
        <f t="shared" si="86"/>
        <v>6.4450063435509616E-3</v>
      </c>
      <c r="X1281" s="43">
        <f t="shared" si="87"/>
        <v>6.4951246140514961E-5</v>
      </c>
      <c r="Y1281" s="41">
        <f t="shared" si="85"/>
        <v>2.4917615656093635E-4</v>
      </c>
      <c r="Z1281" s="62"/>
    </row>
    <row r="1282" spans="15:26" x14ac:dyDescent="0.25">
      <c r="O1282" s="45" t="s">
        <v>21</v>
      </c>
      <c r="P1282" s="39">
        <f>_xll.qlCalendarAdvance(Calendar,P1281,O1281,"f",,Trigger)</f>
        <v>63065</v>
      </c>
      <c r="Q1282" s="39">
        <f>_xll.qlInterestRateIndexValueDate(Index,P1282,Trigger)</f>
        <v>63067</v>
      </c>
      <c r="R1282" s="39">
        <f>_xll.qlInterestRateIndexMaturity(Index,Q1282,Trigger)</f>
        <v>63158</v>
      </c>
      <c r="S1282" s="40">
        <f>_xll.qlDayCounterYearFraction(DayCounter,Q1282,R1282,,,Trigger)</f>
        <v>0.25277777777777777</v>
      </c>
      <c r="T1282" s="41">
        <f>_xll.qlIndexFixing(Index,P1282,,AllTriggers)</f>
        <v>6.6992080909495499E-3</v>
      </c>
      <c r="U1282" s="42">
        <f>_xll.qlYieldTSDiscount(OisCurve,Q1282,,AllTriggers)</f>
        <v>0.69392875524138653</v>
      </c>
      <c r="V1282" s="42">
        <f>_xll.qlYieldTSDiscount(OisCurve,R1282,,AllTriggers)</f>
        <v>0.69279915726035146</v>
      </c>
      <c r="W1282" s="41">
        <f t="shared" si="86"/>
        <v>6.4502666015139234E-3</v>
      </c>
      <c r="X1282" s="43">
        <f t="shared" si="87"/>
        <v>6.2822468872080758E-5</v>
      </c>
      <c r="Y1282" s="41">
        <f t="shared" si="85"/>
        <v>2.489414894356265E-4</v>
      </c>
      <c r="Z1282" s="62"/>
    </row>
    <row r="1283" spans="15:26" x14ac:dyDescent="0.25">
      <c r="O1283" s="45" t="s">
        <v>21</v>
      </c>
      <c r="P1283" s="39">
        <f>_xll.qlCalendarAdvance(Calendar,P1282,O1282,"f",,Trigger)</f>
        <v>63096</v>
      </c>
      <c r="Q1283" s="39">
        <f>_xll.qlInterestRateIndexValueDate(Index,P1283,Trigger)</f>
        <v>63100</v>
      </c>
      <c r="R1283" s="39">
        <f>_xll.qlInterestRateIndexMaturity(Index,Q1283,Trigger)</f>
        <v>63192</v>
      </c>
      <c r="S1283" s="40">
        <f>_xll.qlDayCounterYearFraction(DayCounter,Q1283,R1283,,,Trigger)</f>
        <v>0.25555555555555554</v>
      </c>
      <c r="T1283" s="41">
        <f>_xll.qlIndexFixing(Index,P1283,,AllTriggers)</f>
        <v>6.7046156667718492E-3</v>
      </c>
      <c r="U1283" s="42">
        <f>_xll.qlYieldTSDiscount(OisCurve,Q1283,,AllTriggers)</f>
        <v>0.69351922141886935</v>
      </c>
      <c r="V1283" s="42">
        <f>_xll.qlYieldTSDiscount(OisCurve,R1283,,AllTriggers)</f>
        <v>0.69237691018054826</v>
      </c>
      <c r="W1283" s="41">
        <f t="shared" si="86"/>
        <v>6.4558963124449345E-3</v>
      </c>
      <c r="X1283" s="43">
        <f t="shared" si="87"/>
        <v>6.3454905693448454E-5</v>
      </c>
      <c r="Y1283" s="41">
        <f t="shared" si="85"/>
        <v>2.4871935432691471E-4</v>
      </c>
      <c r="Z1283" s="62"/>
    </row>
    <row r="1284" spans="15:26" x14ac:dyDescent="0.25">
      <c r="O1284" s="45" t="s">
        <v>21</v>
      </c>
      <c r="P1284" s="39">
        <f>_xll.qlCalendarAdvance(Calendar,P1283,O1283,"f",,Trigger)</f>
        <v>63128</v>
      </c>
      <c r="Q1284" s="39">
        <f>_xll.qlInterestRateIndexValueDate(Index,P1284,Trigger)</f>
        <v>63130</v>
      </c>
      <c r="R1284" s="39">
        <f>_xll.qlInterestRateIndexMaturity(Index,Q1284,Trigger)</f>
        <v>63222</v>
      </c>
      <c r="S1284" s="40">
        <f>_xll.qlDayCounterYearFraction(DayCounter,Q1284,R1284,,,Trigger)</f>
        <v>0.25555555555555554</v>
      </c>
      <c r="T1284" s="41">
        <f>_xll.qlIndexFixing(Index,P1284,,AllTriggers)</f>
        <v>6.7092354848312568E-3</v>
      </c>
      <c r="U1284" s="42">
        <f>_xll.qlYieldTSDiscount(OisCurve,Q1284,,AllTriggers)</f>
        <v>0.69314681535425993</v>
      </c>
      <c r="V1284" s="42">
        <f>_xll.qlYieldTSDiscount(OisCurve,R1284,,AllTriggers)</f>
        <v>0.69200426727655984</v>
      </c>
      <c r="W1284" s="41">
        <f t="shared" si="86"/>
        <v>6.4607120439289564E-3</v>
      </c>
      <c r="X1284" s="43">
        <f t="shared" si="87"/>
        <v>6.3404846665293327E-5</v>
      </c>
      <c r="Y1284" s="41">
        <f t="shared" ref="Y1284:Y1310" si="88">T1284-W1284</f>
        <v>2.4852344090230041E-4</v>
      </c>
      <c r="Z1284" s="62"/>
    </row>
    <row r="1285" spans="15:26" x14ac:dyDescent="0.25">
      <c r="O1285" s="45" t="s">
        <v>21</v>
      </c>
      <c r="P1285" s="39">
        <f>_xll.qlCalendarAdvance(Calendar,P1284,O1284,"f",,Trigger)</f>
        <v>63158</v>
      </c>
      <c r="Q1285" s="39">
        <f>_xll.qlInterestRateIndexValueDate(Index,P1285,Trigger)</f>
        <v>63160</v>
      </c>
      <c r="R1285" s="39">
        <f>_xll.qlInterestRateIndexMaturity(Index,Q1285,Trigger)</f>
        <v>63250</v>
      </c>
      <c r="S1285" s="40">
        <f>_xll.qlDayCounterYearFraction(DayCounter,Q1285,R1285,,,Trigger)</f>
        <v>0.25</v>
      </c>
      <c r="T1285" s="41">
        <f>_xll.qlIndexFixing(Index,P1285,,AllTriggers)</f>
        <v>6.7134277858986735E-3</v>
      </c>
      <c r="U1285" s="42">
        <f>_xll.qlYieldTSDiscount(OisCurve,Q1285,,AllTriggers)</f>
        <v>0.69277432183705523</v>
      </c>
      <c r="V1285" s="42">
        <f>_xll.qlYieldTSDiscount(OisCurve,R1285,,AllTriggers)</f>
        <v>0.69165641546615531</v>
      </c>
      <c r="W1285" s="41">
        <f t="shared" si="86"/>
        <v>6.4650965184585019E-3</v>
      </c>
      <c r="X1285" s="43">
        <f t="shared" si="87"/>
        <v>6.1980715084952528E-5</v>
      </c>
      <c r="Y1285" s="41">
        <f t="shared" si="88"/>
        <v>2.4833126744017164E-4</v>
      </c>
      <c r="Z1285" s="62"/>
    </row>
    <row r="1286" spans="15:26" x14ac:dyDescent="0.25">
      <c r="O1286" s="45" t="s">
        <v>21</v>
      </c>
      <c r="P1286" s="39">
        <f>_xll.qlCalendarAdvance(Calendar,P1285,O1285,"f",,Trigger)</f>
        <v>63188</v>
      </c>
      <c r="Q1286" s="39">
        <f>_xll.qlInterestRateIndexValueDate(Index,P1286,Trigger)</f>
        <v>63192</v>
      </c>
      <c r="R1286" s="39">
        <f>_xll.qlInterestRateIndexMaturity(Index,Q1286,Trigger)</f>
        <v>63282</v>
      </c>
      <c r="S1286" s="40">
        <f>_xll.qlDayCounterYearFraction(DayCounter,Q1286,R1286,,,Trigger)</f>
        <v>0.25</v>
      </c>
      <c r="T1286" s="41">
        <f>_xll.qlIndexFixing(Index,P1286,,AllTriggers)</f>
        <v>6.7180163619999789E-3</v>
      </c>
      <c r="U1286" s="42">
        <f>_xll.qlYieldTSDiscount(OisCurve,Q1286,,AllTriggers)</f>
        <v>0.69237691018054826</v>
      </c>
      <c r="V1286" s="42">
        <f>_xll.qlYieldTSDiscount(OisCurve,R1286,,AllTriggers)</f>
        <v>0.6912588198307833</v>
      </c>
      <c r="W1286" s="41">
        <f t="shared" si="86"/>
        <v>6.4698796901492273E-3</v>
      </c>
      <c r="X1286" s="43">
        <f t="shared" si="87"/>
        <v>6.1932073763682272E-5</v>
      </c>
      <c r="Y1286" s="41">
        <f t="shared" si="88"/>
        <v>2.4813667185075161E-4</v>
      </c>
      <c r="Z1286" s="62"/>
    </row>
    <row r="1287" spans="15:26" x14ac:dyDescent="0.25">
      <c r="O1287" s="45" t="s">
        <v>21</v>
      </c>
      <c r="P1287" s="39">
        <f>_xll.qlCalendarAdvance(Calendar,P1286,O1286,"f",,Trigger)</f>
        <v>63219</v>
      </c>
      <c r="Q1287" s="39">
        <f>_xll.qlInterestRateIndexValueDate(Index,P1287,Trigger)</f>
        <v>63221</v>
      </c>
      <c r="R1287" s="39">
        <f>_xll.qlInterestRateIndexMaturity(Index,Q1287,Trigger)</f>
        <v>63311</v>
      </c>
      <c r="S1287" s="40">
        <f>_xll.qlDayCounterYearFraction(DayCounter,Q1287,R1287,,,Trigger)</f>
        <v>0.25</v>
      </c>
      <c r="T1287" s="41">
        <f>_xll.qlIndexFixing(Index,P1287,,AllTriggers)</f>
        <v>6.7220185674328192E-3</v>
      </c>
      <c r="U1287" s="42">
        <f>_xll.qlYieldTSDiscount(OisCurve,Q1287,,AllTriggers)</f>
        <v>0.69201668968221974</v>
      </c>
      <c r="V1287" s="42">
        <f>_xll.qlYieldTSDiscount(OisCurve,R1287,,AllTriggers)</f>
        <v>0.69089846160535207</v>
      </c>
      <c r="W1287" s="41">
        <f t="shared" si="86"/>
        <v>6.4740516241386104E-3</v>
      </c>
      <c r="X1287" s="43">
        <f t="shared" si="87"/>
        <v>6.1889648325519751E-5</v>
      </c>
      <c r="Y1287" s="41">
        <f t="shared" si="88"/>
        <v>2.4796694329420887E-4</v>
      </c>
      <c r="Z1287" s="62"/>
    </row>
    <row r="1288" spans="15:26" x14ac:dyDescent="0.25">
      <c r="O1288" s="45" t="s">
        <v>21</v>
      </c>
      <c r="P1288" s="39">
        <f>_xll.qlCalendarAdvance(Calendar,P1287,O1287,"f",,Trigger)</f>
        <v>63248</v>
      </c>
      <c r="Q1288" s="39">
        <f>_xll.qlInterestRateIndexValueDate(Index,P1288,Trigger)</f>
        <v>63250</v>
      </c>
      <c r="R1288" s="39">
        <f>_xll.qlInterestRateIndexMaturity(Index,Q1288,Trigger)</f>
        <v>63342</v>
      </c>
      <c r="S1288" s="40">
        <f>_xll.qlDayCounterYearFraction(DayCounter,Q1288,R1288,,,Trigger)</f>
        <v>0.25555555555555554</v>
      </c>
      <c r="T1288" s="41">
        <f>_xll.qlIndexFixing(Index,P1288,,AllTriggers)</f>
        <v>6.7261254164619408E-3</v>
      </c>
      <c r="U1288" s="42">
        <f>_xll.qlYieldTSDiscount(OisCurve,Q1288,,AllTriggers)</f>
        <v>0.69165641546615531</v>
      </c>
      <c r="V1288" s="42">
        <f>_xll.qlYieldTSDiscount(OisCurve,R1288,,AllTriggers)</f>
        <v>0.69051322234231227</v>
      </c>
      <c r="W1288" s="41">
        <f t="shared" si="86"/>
        <v>6.478318231868686E-3</v>
      </c>
      <c r="X1288" s="43">
        <f t="shared" si="87"/>
        <v>6.3221832695287272E-5</v>
      </c>
      <c r="Y1288" s="41">
        <f t="shared" si="88"/>
        <v>2.4780718459325481E-4</v>
      </c>
      <c r="Z1288" s="62"/>
    </row>
    <row r="1289" spans="15:26" x14ac:dyDescent="0.25">
      <c r="O1289" s="45" t="s">
        <v>21</v>
      </c>
      <c r="P1289" s="39">
        <f>_xll.qlCalendarAdvance(Calendar,P1288,O1288,"f",,Trigger)</f>
        <v>63276</v>
      </c>
      <c r="Q1289" s="39">
        <f>_xll.qlInterestRateIndexValueDate(Index,P1289,Trigger)</f>
        <v>63278</v>
      </c>
      <c r="R1289" s="39">
        <f>_xll.qlInterestRateIndexMaturity(Index,Q1289,Trigger)</f>
        <v>63370</v>
      </c>
      <c r="S1289" s="40">
        <f>_xll.qlDayCounterYearFraction(DayCounter,Q1289,R1289,,,Trigger)</f>
        <v>0.25555555555555554</v>
      </c>
      <c r="T1289" s="41">
        <f>_xll.qlIndexFixing(Index,P1289,,AllTriggers)</f>
        <v>6.7297004966434008E-3</v>
      </c>
      <c r="U1289" s="42">
        <f>_xll.qlYieldTSDiscount(OisCurve,Q1289,,AllTriggers)</f>
        <v>0.69130852186296488</v>
      </c>
      <c r="V1289" s="42">
        <f>_xll.qlYieldTSDiscount(OisCurve,R1289,,AllTriggers)</f>
        <v>0.69016524753878117</v>
      </c>
      <c r="W1289" s="41">
        <f t="shared" si="86"/>
        <v>6.4820449219426127E-3</v>
      </c>
      <c r="X1289" s="43">
        <f t="shared" si="87"/>
        <v>6.3183094355590095E-5</v>
      </c>
      <c r="Y1289" s="41">
        <f t="shared" si="88"/>
        <v>2.476555747007881E-4</v>
      </c>
      <c r="Z1289" s="62"/>
    </row>
    <row r="1290" spans="15:26" x14ac:dyDescent="0.25">
      <c r="O1290" s="45" t="s">
        <v>21</v>
      </c>
      <c r="P1290" s="39">
        <f>_xll.qlCalendarAdvance(Calendar,P1289,O1289,"f",,Trigger)</f>
        <v>63307</v>
      </c>
      <c r="Q1290" s="39">
        <f>_xll.qlInterestRateIndexValueDate(Index,P1290,Trigger)</f>
        <v>63312</v>
      </c>
      <c r="R1290" s="39">
        <f>_xll.qlInterestRateIndexMaturity(Index,Q1290,Trigger)</f>
        <v>63404</v>
      </c>
      <c r="S1290" s="40">
        <f>_xll.qlDayCounterYearFraction(DayCounter,Q1290,R1290,,,Trigger)</f>
        <v>0.25555555555555554</v>
      </c>
      <c r="T1290" s="41">
        <f>_xll.qlIndexFixing(Index,P1290,,AllTriggers)</f>
        <v>6.7338555336630673E-3</v>
      </c>
      <c r="U1290" s="42">
        <f>_xll.qlYieldTSDiscount(OisCurve,Q1290,,AllTriggers)</f>
        <v>0.69088603494163714</v>
      </c>
      <c r="V1290" s="42">
        <f>_xll.qlYieldTSDiscount(OisCurve,R1290,,AllTriggers)</f>
        <v>0.68974269712430047</v>
      </c>
      <c r="W1290" s="41">
        <f t="shared" si="86"/>
        <v>6.4863761635045401E-3</v>
      </c>
      <c r="X1290" s="43">
        <f t="shared" si="87"/>
        <v>6.3138071847214421E-5</v>
      </c>
      <c r="Y1290" s="41">
        <f t="shared" si="88"/>
        <v>2.474793701585272E-4</v>
      </c>
      <c r="Z1290" s="62"/>
    </row>
    <row r="1291" spans="15:26" x14ac:dyDescent="0.25">
      <c r="O1291" s="45" t="s">
        <v>21</v>
      </c>
      <c r="P1291" s="39">
        <f>_xll.qlCalendarAdvance(Calendar,P1290,O1290,"f",,Trigger)</f>
        <v>63338</v>
      </c>
      <c r="Q1291" s="39">
        <f>_xll.qlInterestRateIndexValueDate(Index,P1291,Trigger)</f>
        <v>63340</v>
      </c>
      <c r="R1291" s="39">
        <f>_xll.qlInterestRateIndexMaturity(Index,Q1291,Trigger)</f>
        <v>63432</v>
      </c>
      <c r="S1291" s="40">
        <f>_xll.qlDayCounterYearFraction(DayCounter,Q1291,R1291,,,Trigger)</f>
        <v>0.25555555555555554</v>
      </c>
      <c r="T1291" s="41">
        <f>_xll.qlIndexFixing(Index,P1291,,AllTriggers)</f>
        <v>6.737124043438944E-3</v>
      </c>
      <c r="U1291" s="42">
        <f>_xll.qlYieldTSDiscount(OisCurve,Q1291,,AllTriggers)</f>
        <v>0.69053807718160853</v>
      </c>
      <c r="V1291" s="42">
        <f>_xll.qlYieldTSDiscount(OisCurve,R1291,,AllTriggers)</f>
        <v>0.6893947159265178</v>
      </c>
      <c r="W1291" s="41">
        <f t="shared" si="86"/>
        <v>6.4897832825948779E-3</v>
      </c>
      <c r="X1291" s="43">
        <f t="shared" si="87"/>
        <v>6.310265546762784E-5</v>
      </c>
      <c r="Y1291" s="41">
        <f t="shared" si="88"/>
        <v>2.4734076084406611E-4</v>
      </c>
      <c r="Z1291" s="62"/>
    </row>
    <row r="1292" spans="15:26" x14ac:dyDescent="0.25">
      <c r="O1292" s="45" t="s">
        <v>21</v>
      </c>
      <c r="P1292" s="39">
        <f>_xll.qlCalendarAdvance(Calendar,P1291,O1291,"f",,Trigger)</f>
        <v>63369</v>
      </c>
      <c r="Q1292" s="39">
        <f>_xll.qlInterestRateIndexValueDate(Index,P1292,Trigger)</f>
        <v>63373</v>
      </c>
      <c r="R1292" s="39">
        <f>_xll.qlInterestRateIndexMaturity(Index,Q1292,Trigger)</f>
        <v>63465</v>
      </c>
      <c r="S1292" s="40">
        <f>_xll.qlDayCounterYearFraction(DayCounter,Q1292,R1292,,,Trigger)</f>
        <v>0.25555555555555554</v>
      </c>
      <c r="T1292" s="41">
        <f>_xll.qlIndexFixing(Index,P1292,,AllTriggers)</f>
        <v>6.7407984711923127E-3</v>
      </c>
      <c r="U1292" s="42">
        <f>_xll.qlYieldTSDiscount(OisCurve,Q1292,,AllTriggers)</f>
        <v>0.69012796392800058</v>
      </c>
      <c r="V1292" s="42">
        <f>_xll.qlYieldTSDiscount(OisCurve,R1292,,AllTriggers)</f>
        <v>0.68898460842921494</v>
      </c>
      <c r="W1292" s="41">
        <f t="shared" si="86"/>
        <v>6.493613533772845E-3</v>
      </c>
      <c r="X1292" s="43">
        <f t="shared" si="87"/>
        <v>6.3062840743820537E-5</v>
      </c>
      <c r="Y1292" s="41">
        <f t="shared" si="88"/>
        <v>2.4718493741946769E-4</v>
      </c>
      <c r="Z1292" s="62"/>
    </row>
    <row r="1293" spans="15:26" x14ac:dyDescent="0.25">
      <c r="O1293" s="45" t="s">
        <v>21</v>
      </c>
      <c r="P1293" s="39">
        <f>_xll.qlCalendarAdvance(Calendar,P1292,O1292,"f",,Trigger)</f>
        <v>63401</v>
      </c>
      <c r="Q1293" s="39">
        <f>_xll.qlInterestRateIndexValueDate(Index,P1293,Trigger)</f>
        <v>63403</v>
      </c>
      <c r="R1293" s="39">
        <f>_xll.qlInterestRateIndexMaturity(Index,Q1293,Trigger)</f>
        <v>63495</v>
      </c>
      <c r="S1293" s="40">
        <f>_xll.qlDayCounterYearFraction(DayCounter,Q1293,R1293,,,Trigger)</f>
        <v>0.25555555555555554</v>
      </c>
      <c r="T1293" s="41">
        <f>_xll.qlIndexFixing(Index,P1293,,AllTriggers)</f>
        <v>6.7439719758383386E-3</v>
      </c>
      <c r="U1293" s="42">
        <f>_xll.qlYieldTSDiscount(OisCurve,Q1293,,AllTriggers)</f>
        <v>0.68975512510665693</v>
      </c>
      <c r="V1293" s="42">
        <f>_xll.qlYieldTSDiscount(OisCurve,R1293,,AllTriggers)</f>
        <v>0.68861180611336525</v>
      </c>
      <c r="W1293" s="41">
        <f t="shared" si="86"/>
        <v>6.4969216190507275E-3</v>
      </c>
      <c r="X1293" s="43">
        <f t="shared" si="87"/>
        <v>6.3028453865554603E-5</v>
      </c>
      <c r="Y1293" s="41">
        <f t="shared" si="88"/>
        <v>2.4705035678761113E-4</v>
      </c>
      <c r="Z1293" s="62"/>
    </row>
    <row r="1294" spans="15:26" x14ac:dyDescent="0.25">
      <c r="O1294" s="45" t="s">
        <v>21</v>
      </c>
      <c r="P1294" s="39">
        <f>_xll.qlCalendarAdvance(Calendar,P1293,O1293,"f",,Trigger)</f>
        <v>63432</v>
      </c>
      <c r="Q1294" s="39">
        <f>_xll.qlInterestRateIndexValueDate(Index,P1294,Trigger)</f>
        <v>63436</v>
      </c>
      <c r="R1294" s="39">
        <f>_xll.qlInterestRateIndexMaturity(Index,Q1294,Trigger)</f>
        <v>63527</v>
      </c>
      <c r="S1294" s="40">
        <f>_xll.qlDayCounterYearFraction(DayCounter,Q1294,R1294,,,Trigger)</f>
        <v>0.25277777777777777</v>
      </c>
      <c r="T1294" s="41">
        <f>_xll.qlIndexFixing(Index,P1294,,AllTriggers)</f>
        <v>6.7471687362781491E-3</v>
      </c>
      <c r="U1294" s="42">
        <f>_xll.qlYieldTSDiscount(OisCurve,Q1294,,AllTriggers)</f>
        <v>0.68934500494390516</v>
      </c>
      <c r="V1294" s="42">
        <f>_xll.qlYieldTSDiscount(OisCurve,R1294,,AllTriggers)</f>
        <v>0.68821418536950718</v>
      </c>
      <c r="W1294" s="41">
        <f t="shared" si="86"/>
        <v>6.500261165455835E-3</v>
      </c>
      <c r="X1294" s="43">
        <f t="shared" si="87"/>
        <v>6.2308422356343096E-5</v>
      </c>
      <c r="Y1294" s="41">
        <f t="shared" si="88"/>
        <v>2.469075708223141E-4</v>
      </c>
      <c r="Z1294" s="62"/>
    </row>
    <row r="1295" spans="15:26" x14ac:dyDescent="0.25">
      <c r="O1295" s="45" t="s">
        <v>21</v>
      </c>
      <c r="P1295" s="39">
        <f>_xll.qlCalendarAdvance(Calendar,P1294,O1294,"f",,Trigger)</f>
        <v>63464</v>
      </c>
      <c r="Q1295" s="39">
        <f>_xll.qlInterestRateIndexValueDate(Index,P1295,Trigger)</f>
        <v>63466</v>
      </c>
      <c r="R1295" s="39">
        <f>_xll.qlInterestRateIndexMaturity(Index,Q1295,Trigger)</f>
        <v>63558</v>
      </c>
      <c r="S1295" s="40">
        <f>_xll.qlDayCounterYearFraction(DayCounter,Q1295,R1295,,,Trigger)</f>
        <v>0.25555555555555554</v>
      </c>
      <c r="T1295" s="41">
        <f>_xll.qlIndexFixing(Index,P1295,,AllTriggers)</f>
        <v>6.7501189927720662E-3</v>
      </c>
      <c r="U1295" s="42">
        <f>_xll.qlYieldTSDiscount(OisCurve,Q1295,,AllTriggers)</f>
        <v>0.6889721812784112</v>
      </c>
      <c r="V1295" s="42">
        <f>_xll.qlYieldTSDiscount(OisCurve,R1295,,AllTriggers)</f>
        <v>0.6878290356024831</v>
      </c>
      <c r="W1295" s="41">
        <f t="shared" si="86"/>
        <v>6.5033293163825915E-3</v>
      </c>
      <c r="X1295" s="43">
        <f t="shared" si="87"/>
        <v>6.2961847228510312E-5</v>
      </c>
      <c r="Y1295" s="41">
        <f t="shared" si="88"/>
        <v>2.4678967638947467E-4</v>
      </c>
      <c r="Z1295" s="62"/>
    </row>
    <row r="1296" spans="15:26" x14ac:dyDescent="0.25">
      <c r="O1296" s="45" t="s">
        <v>21</v>
      </c>
      <c r="P1296" s="39">
        <f>_xll.qlCalendarAdvance(Calendar,P1295,O1295,"f",,Trigger)</f>
        <v>63495</v>
      </c>
      <c r="Q1296" s="39">
        <f>_xll.qlInterestRateIndexValueDate(Index,P1296,Trigger)</f>
        <v>63499</v>
      </c>
      <c r="R1296" s="39">
        <f>_xll.qlInterestRateIndexMaturity(Index,Q1296,Trigger)</f>
        <v>63591</v>
      </c>
      <c r="S1296" s="40">
        <f>_xll.qlDayCounterYearFraction(DayCounter,Q1296,R1296,,,Trigger)</f>
        <v>0.25555555555555554</v>
      </c>
      <c r="T1296" s="41">
        <f>_xll.qlIndexFixing(Index,P1296,,AllTriggers)</f>
        <v>6.7530591272270948E-3</v>
      </c>
      <c r="U1296" s="42">
        <f>_xll.qlYieldTSDiscount(OisCurve,Q1296,,AllTriggers)</f>
        <v>0.68856210131418616</v>
      </c>
      <c r="V1296" s="42">
        <f>_xll.qlYieldTSDiscount(OisCurve,R1296,,AllTriggers)</f>
        <v>0.68741909852980976</v>
      </c>
      <c r="W1296" s="41">
        <f t="shared" si="86"/>
        <v>6.5063941351118301E-3</v>
      </c>
      <c r="X1296" s="43">
        <f t="shared" si="87"/>
        <v>6.2929989134906909E-5</v>
      </c>
      <c r="Y1296" s="41">
        <f t="shared" si="88"/>
        <v>2.4666499211526468E-4</v>
      </c>
      <c r="Z1296" s="62"/>
    </row>
    <row r="1297" spans="15:26" x14ac:dyDescent="0.25">
      <c r="O1297" s="45" t="s">
        <v>21</v>
      </c>
      <c r="P1297" s="39">
        <f>_xll.qlCalendarAdvance(Calendar,P1296,O1296,"f",,Trigger)</f>
        <v>63527</v>
      </c>
      <c r="Q1297" s="39">
        <f>_xll.qlInterestRateIndexValueDate(Index,P1297,Trigger)</f>
        <v>63529</v>
      </c>
      <c r="R1297" s="39">
        <f>_xll.qlInterestRateIndexMaturity(Index,Q1297,Trigger)</f>
        <v>63619</v>
      </c>
      <c r="S1297" s="40">
        <f>_xll.qlDayCounterYearFraction(DayCounter,Q1297,R1297,,,Trigger)</f>
        <v>0.25</v>
      </c>
      <c r="T1297" s="41">
        <f>_xll.qlIndexFixing(Index,P1297,,AllTriggers)</f>
        <v>6.7553601040808431E-3</v>
      </c>
      <c r="U1297" s="42">
        <f>_xll.qlYieldTSDiscount(OisCurve,Q1297,,AllTriggers)</f>
        <v>0.68818933553397144</v>
      </c>
      <c r="V1297" s="42">
        <f>_xll.qlYieldTSDiscount(OisCurve,R1297,,AllTriggers)</f>
        <v>0.6870713318362508</v>
      </c>
      <c r="W1297" s="41">
        <f t="shared" si="86"/>
        <v>6.508807140781947E-3</v>
      </c>
      <c r="X1297" s="43">
        <f t="shared" si="87"/>
        <v>6.153621251746874E-5</v>
      </c>
      <c r="Y1297" s="41">
        <f t="shared" si="88"/>
        <v>2.4655296329889609E-4</v>
      </c>
      <c r="Z1297" s="62"/>
    </row>
    <row r="1298" spans="15:26" x14ac:dyDescent="0.25">
      <c r="O1298" s="45" t="s">
        <v>21</v>
      </c>
      <c r="P1298" s="39">
        <f>_xll.qlCalendarAdvance(Calendar,P1297,O1297,"f",,Trigger)</f>
        <v>63558</v>
      </c>
      <c r="Q1298" s="39">
        <f>_xll.qlInterestRateIndexValueDate(Index,P1298,Trigger)</f>
        <v>63562</v>
      </c>
      <c r="R1298" s="39">
        <f>_xll.qlInterestRateIndexMaturity(Index,Q1298,Trigger)</f>
        <v>63653</v>
      </c>
      <c r="S1298" s="40">
        <f>_xll.qlDayCounterYearFraction(DayCounter,Q1298,R1298,,,Trigger)</f>
        <v>0.25277777777777777</v>
      </c>
      <c r="T1298" s="41">
        <f>_xll.qlIndexFixing(Index,P1298,,AllTriggers)</f>
        <v>6.7580384767379547E-3</v>
      </c>
      <c r="U1298" s="42">
        <f>_xll.qlYieldTSDiscount(OisCurve,Q1298,,AllTriggers)</f>
        <v>0.68777934266535901</v>
      </c>
      <c r="V1298" s="42">
        <f>_xll.qlYieldTSDiscount(OisCurve,R1298,,AllTriggers)</f>
        <v>0.68664912800342692</v>
      </c>
      <c r="W1298" s="41">
        <f t="shared" si="86"/>
        <v>6.5115918742507922E-3</v>
      </c>
      <c r="X1298" s="43">
        <f t="shared" si="87"/>
        <v>6.2191920363697324E-5</v>
      </c>
      <c r="Y1298" s="41">
        <f t="shared" si="88"/>
        <v>2.4644660248716258E-4</v>
      </c>
      <c r="Z1298" s="62"/>
    </row>
    <row r="1299" spans="15:26" x14ac:dyDescent="0.25">
      <c r="O1299" s="45" t="s">
        <v>21</v>
      </c>
      <c r="P1299" s="39">
        <f>_xll.qlCalendarAdvance(Calendar,P1298,O1298,"f",,Trigger)</f>
        <v>63590</v>
      </c>
      <c r="Q1299" s="39">
        <f>_xll.qlInterestRateIndexValueDate(Index,P1299,Trigger)</f>
        <v>63592</v>
      </c>
      <c r="R1299" s="39">
        <f>_xll.qlInterestRateIndexMaturity(Index,Q1299,Trigger)</f>
        <v>63681</v>
      </c>
      <c r="S1299" s="40">
        <f>_xll.qlDayCounterYearFraction(DayCounter,Q1299,R1299,,,Trigger)</f>
        <v>0.24722222222222223</v>
      </c>
      <c r="T1299" s="41">
        <f>_xll.qlIndexFixing(Index,P1299,,AllTriggers)</f>
        <v>6.7600191229492531E-3</v>
      </c>
      <c r="U1299" s="42">
        <f>_xll.qlYieldTSDiscount(OisCurve,Q1299,,AllTriggers)</f>
        <v>0.68740667730844085</v>
      </c>
      <c r="V1299" s="42">
        <f>_xll.qlYieldTSDiscount(OisCurve,R1299,,AllTriggers)</f>
        <v>0.68630150937065793</v>
      </c>
      <c r="W1299" s="41">
        <f t="shared" si="86"/>
        <v>6.513670972901061E-3</v>
      </c>
      <c r="X1299" s="43">
        <f t="shared" si="87"/>
        <v>6.0802973080620847E-5</v>
      </c>
      <c r="Y1299" s="41">
        <f t="shared" si="88"/>
        <v>2.4634815004819215E-4</v>
      </c>
      <c r="Z1299" s="62"/>
    </row>
    <row r="1300" spans="15:26" x14ac:dyDescent="0.25">
      <c r="O1300" s="45" t="s">
        <v>21</v>
      </c>
      <c r="P1300" s="39">
        <f>_xll.qlCalendarAdvance(Calendar,P1299,O1299,"f",,Trigger)</f>
        <v>63618</v>
      </c>
      <c r="Q1300" s="39">
        <f>_xll.qlInterestRateIndexValueDate(Index,P1300,Trigger)</f>
        <v>63620</v>
      </c>
      <c r="R1300" s="39">
        <f>_xll.qlInterestRateIndexMaturity(Index,Q1300,Trigger)</f>
        <v>63712</v>
      </c>
      <c r="S1300" s="40">
        <f>_xll.qlDayCounterYearFraction(DayCounter,Q1300,R1300,,,Trigger)</f>
        <v>0.25555555555555554</v>
      </c>
      <c r="T1300" s="41">
        <f>_xll.qlIndexFixing(Index,P1300,,AllTriggers)</f>
        <v>6.7621942468634863E-3</v>
      </c>
      <c r="U1300" s="42">
        <f>_xll.qlYieldTSDiscount(OisCurve,Q1300,,AllTriggers)</f>
        <v>0.68705891270030461</v>
      </c>
      <c r="V1300" s="42">
        <f>_xll.qlYieldTSDiscount(OisCurve,R1300,,AllTriggers)</f>
        <v>0.68591673875653181</v>
      </c>
      <c r="W1300" s="41">
        <f t="shared" si="86"/>
        <v>6.5159166545813033E-3</v>
      </c>
      <c r="X1300" s="43">
        <f t="shared" si="87"/>
        <v>6.283100486969923E-5</v>
      </c>
      <c r="Y1300" s="41">
        <f t="shared" si="88"/>
        <v>2.4627759228218297E-4</v>
      </c>
      <c r="Z1300" s="62"/>
    </row>
    <row r="1301" spans="15:26" x14ac:dyDescent="0.25">
      <c r="O1301" s="45" t="s">
        <v>21</v>
      </c>
      <c r="P1301" s="39">
        <f>_xll.qlCalendarAdvance(Calendar,P1300,O1300,"f",,Trigger)</f>
        <v>63649</v>
      </c>
      <c r="Q1301" s="39">
        <f>_xll.qlInterestRateIndexValueDate(Index,P1301,Trigger)</f>
        <v>63653</v>
      </c>
      <c r="R1301" s="39">
        <f>_xll.qlInterestRateIndexMaturity(Index,Q1301,Trigger)</f>
        <v>63744</v>
      </c>
      <c r="S1301" s="40">
        <f>_xll.qlDayCounterYearFraction(DayCounter,Q1301,R1301,,,Trigger)</f>
        <v>0.25277777777777777</v>
      </c>
      <c r="T1301" s="41">
        <f>_xll.qlIndexFixing(Index,P1301,,AllTriggers)</f>
        <v>6.7641452244792868E-3</v>
      </c>
      <c r="U1301" s="42">
        <f>_xll.qlYieldTSDiscount(OisCurve,Q1301,,AllTriggers)</f>
        <v>0.68664912800342692</v>
      </c>
      <c r="V1301" s="42">
        <f>_xll.qlYieldTSDiscount(OisCurve,R1301,,AllTriggers)</f>
        <v>0.68551966933503683</v>
      </c>
      <c r="W1301" s="41">
        <f t="shared" si="86"/>
        <v>6.5179575999916089E-3</v>
      </c>
      <c r="X1301" s="43">
        <f t="shared" si="87"/>
        <v>6.2126468317297588E-5</v>
      </c>
      <c r="Y1301" s="41">
        <f t="shared" si="88"/>
        <v>2.4618762448767786E-4</v>
      </c>
      <c r="Z1301" s="62"/>
    </row>
    <row r="1302" spans="15:26" x14ac:dyDescent="0.25">
      <c r="O1302" s="45" t="s">
        <v>21</v>
      </c>
      <c r="P1302" s="39">
        <f>_xll.qlCalendarAdvance(Calendar,P1301,O1301,"f",,Trigger)</f>
        <v>63681</v>
      </c>
      <c r="Q1302" s="39">
        <f>_xll.qlInterestRateIndexValueDate(Index,P1302,Trigger)</f>
        <v>63683</v>
      </c>
      <c r="R1302" s="39">
        <f>_xll.qlInterestRateIndexMaturity(Index,Q1302,Trigger)</f>
        <v>63775</v>
      </c>
      <c r="S1302" s="40">
        <f>_xll.qlDayCounterYearFraction(DayCounter,Q1302,R1302,,,Trigger)</f>
        <v>0.25555555555555554</v>
      </c>
      <c r="T1302" s="41">
        <f>_xll.qlIndexFixing(Index,P1302,,AllTriggers)</f>
        <v>6.7659269765166837E-3</v>
      </c>
      <c r="U1302" s="42">
        <f>_xll.qlYieldTSDiscount(OisCurve,Q1302,,AllTriggers)</f>
        <v>0.68627668241261108</v>
      </c>
      <c r="V1302" s="42">
        <f>_xll.qlYieldTSDiscount(OisCurve,R1302,,AllTriggers)</f>
        <v>0.68513512870905424</v>
      </c>
      <c r="W1302" s="41">
        <f t="shared" si="86"/>
        <v>6.5198076811570282E-3</v>
      </c>
      <c r="X1302" s="43">
        <f t="shared" si="87"/>
        <v>6.2790558667436965E-5</v>
      </c>
      <c r="Y1302" s="41">
        <f t="shared" si="88"/>
        <v>2.4611929535965551E-4</v>
      </c>
      <c r="Z1302" s="62"/>
    </row>
    <row r="1303" spans="15:26" x14ac:dyDescent="0.25">
      <c r="O1303" s="45" t="s">
        <v>21</v>
      </c>
      <c r="P1303" s="39">
        <f>_xll.qlCalendarAdvance(Calendar,P1302,O1302,"f",,Trigger)</f>
        <v>63712</v>
      </c>
      <c r="Q1303" s="39">
        <f>_xll.qlInterestRateIndexValueDate(Index,P1303,Trigger)</f>
        <v>63716</v>
      </c>
      <c r="R1303" s="39">
        <f>_xll.qlInterestRateIndexMaturity(Index,Q1303,Trigger)</f>
        <v>63808</v>
      </c>
      <c r="S1303" s="40">
        <f>_xll.qlDayCounterYearFraction(DayCounter,Q1303,R1303,,,Trigger)</f>
        <v>0.25555555555555554</v>
      </c>
      <c r="T1303" s="41">
        <f>_xll.qlIndexFixing(Index,P1303,,AllTriggers)</f>
        <v>6.7676024808345807E-3</v>
      </c>
      <c r="U1303" s="42">
        <f>_xll.qlYieldTSDiscount(OisCurve,Q1303,,AllTriggers)</f>
        <v>0.68586709856276118</v>
      </c>
      <c r="V1303" s="42">
        <f>_xll.qlYieldTSDiscount(OisCurve,R1303,,AllTriggers)</f>
        <v>0.68472592104749475</v>
      </c>
      <c r="W1303" s="41">
        <f t="shared" si="86"/>
        <v>6.5215542400084868E-3</v>
      </c>
      <c r="X1303" s="43">
        <f t="shared" si="87"/>
        <v>6.2772403658908533E-5</v>
      </c>
      <c r="Y1303" s="41">
        <f t="shared" si="88"/>
        <v>2.4604824082609389E-4</v>
      </c>
      <c r="Z1303" s="62"/>
    </row>
    <row r="1304" spans="15:26" x14ac:dyDescent="0.25">
      <c r="O1304" s="45" t="s">
        <v>21</v>
      </c>
      <c r="P1304" s="39">
        <f>_xll.qlCalendarAdvance(Calendar,P1303,O1303,"f",,Trigger)</f>
        <v>63744</v>
      </c>
      <c r="Q1304" s="39">
        <f>_xll.qlInterestRateIndexValueDate(Index,P1304,Trigger)</f>
        <v>63746</v>
      </c>
      <c r="R1304" s="39">
        <f>_xll.qlInterestRateIndexMaturity(Index,Q1304,Trigger)</f>
        <v>63838</v>
      </c>
      <c r="S1304" s="40">
        <f>_xll.qlDayCounterYearFraction(DayCounter,Q1304,R1304,,,Trigger)</f>
        <v>0.25555555555555554</v>
      </c>
      <c r="T1304" s="41">
        <f>_xll.qlIndexFixing(Index,P1304,,AllTriggers)</f>
        <v>6.7689587789258095E-3</v>
      </c>
      <c r="U1304" s="42">
        <f>_xll.qlYieldTSDiscount(OisCurve,Q1304,,AllTriggers)</f>
        <v>0.68549485657198639</v>
      </c>
      <c r="V1304" s="42">
        <f>_xll.qlYieldTSDiscount(OisCurve,R1304,,AllTriggers)</f>
        <v>0.6843540515587071</v>
      </c>
      <c r="W1304" s="41">
        <f t="shared" si="86"/>
        <v>6.5229680558077027E-3</v>
      </c>
      <c r="X1304" s="43">
        <f t="shared" si="87"/>
        <v>6.2757707430295356E-5</v>
      </c>
      <c r="Y1304" s="41">
        <f t="shared" si="88"/>
        <v>2.4599072311810681E-4</v>
      </c>
      <c r="Z1304" s="62"/>
    </row>
    <row r="1305" spans="15:26" x14ac:dyDescent="0.25">
      <c r="O1305" s="45" t="s">
        <v>21</v>
      </c>
      <c r="P1305" s="39">
        <f>_xll.qlCalendarAdvance(Calendar,P1304,O1304,"f",,Trigger)</f>
        <v>63775</v>
      </c>
      <c r="Q1305" s="39">
        <f>_xll.qlInterestRateIndexValueDate(Index,P1305,Trigger)</f>
        <v>63779</v>
      </c>
      <c r="R1305" s="39">
        <f>_xll.qlInterestRateIndexMaturity(Index,Q1305,Trigger)</f>
        <v>63871</v>
      </c>
      <c r="S1305" s="40">
        <f>_xll.qlDayCounterYearFraction(DayCounter,Q1305,R1305,,,Trigger)</f>
        <v>0.25555555555555554</v>
      </c>
      <c r="T1305" s="41">
        <f>_xll.qlIndexFixing(Index,P1305,,AllTriggers)</f>
        <v>6.7702671302035623E-3</v>
      </c>
      <c r="U1305" s="42">
        <f>_xll.qlYieldTSDiscount(OisCurve,Q1305,,AllTriggers)</f>
        <v>0.68508551974188436</v>
      </c>
      <c r="V1305" s="42">
        <f>_xll.qlYieldTSDiscount(OisCurve,R1305,,AllTriggers)</f>
        <v>0.68394515796697797</v>
      </c>
      <c r="W1305" s="41">
        <f t="shared" si="86"/>
        <v>6.5243318914920898E-3</v>
      </c>
      <c r="X1305" s="43">
        <f t="shared" si="87"/>
        <v>6.2743530736367986E-5</v>
      </c>
      <c r="Y1305" s="41">
        <f t="shared" si="88"/>
        <v>2.4593523871147254E-4</v>
      </c>
      <c r="Z1305" s="62"/>
    </row>
    <row r="1306" spans="15:26" x14ac:dyDescent="0.25">
      <c r="O1306" s="45" t="s">
        <v>21</v>
      </c>
      <c r="P1306" s="39">
        <f>_xll.qlCalendarAdvance(Calendar,P1305,O1305,"f",,Trigger)</f>
        <v>63807</v>
      </c>
      <c r="Q1306" s="39">
        <f>_xll.qlInterestRateIndexValueDate(Index,P1306,Trigger)</f>
        <v>63809</v>
      </c>
      <c r="R1306" s="39">
        <f>_xll.qlInterestRateIndexMaturity(Index,Q1306,Trigger)</f>
        <v>63900</v>
      </c>
      <c r="S1306" s="40">
        <f>_xll.qlDayCounterYearFraction(DayCounter,Q1306,R1306,,,Trigger)</f>
        <v>0.25277777777777777</v>
      </c>
      <c r="T1306" s="41">
        <f>_xll.qlIndexFixing(Index,P1306,,AllTriggers)</f>
        <v>6.7712116157553652E-3</v>
      </c>
      <c r="U1306" s="42">
        <f>_xll.qlYieldTSDiscount(OisCurve,Q1306,,AllTriggers)</f>
        <v>0.68471352323096346</v>
      </c>
      <c r="V1306" s="42">
        <f>_xll.qlYieldTSDiscount(OisCurve,R1306,,AllTriggers)</f>
        <v>0.68358597768090557</v>
      </c>
      <c r="W1306" s="41">
        <f t="shared" si="86"/>
        <v>6.5253236668250236E-3</v>
      </c>
      <c r="X1306" s="43">
        <f t="shared" si="87"/>
        <v>6.2050730949921335E-5</v>
      </c>
      <c r="Y1306" s="41">
        <f t="shared" si="88"/>
        <v>2.4588794893034161E-4</v>
      </c>
      <c r="Z1306" s="62"/>
    </row>
    <row r="1307" spans="15:26" x14ac:dyDescent="0.25">
      <c r="O1307" s="45" t="s">
        <v>21</v>
      </c>
      <c r="P1307" s="39">
        <f>_xll.qlCalendarAdvance(Calendar,P1306,O1306,"f",,Trigger)</f>
        <v>63837</v>
      </c>
      <c r="Q1307" s="39">
        <f>_xll.qlInterestRateIndexValueDate(Index,P1307,Trigger)</f>
        <v>63839</v>
      </c>
      <c r="R1307" s="39">
        <f>_xll.qlInterestRateIndexMaturity(Index,Q1307,Trigger)</f>
        <v>63933</v>
      </c>
      <c r="S1307" s="40">
        <f>_xll.qlDayCounterYearFraction(DayCounter,Q1307,R1307,,,Trigger)</f>
        <v>0.26111111111111113</v>
      </c>
      <c r="T1307" s="41">
        <f>_xll.qlIndexFixing(Index,P1307,,AllTriggers)</f>
        <v>6.7723038686953547E-3</v>
      </c>
      <c r="U1307" s="42">
        <f>_xll.qlYieldTSDiscount(OisCurve,Q1307,,AllTriggers)</f>
        <v>0.6843416582795806</v>
      </c>
      <c r="V1307" s="42">
        <f>_xll.qlYieldTSDiscount(OisCurve,R1307,,AllTriggers)</f>
        <v>0.68317743775077455</v>
      </c>
      <c r="W1307" s="41">
        <f t="shared" si="86"/>
        <v>6.5264405298736984E-3</v>
      </c>
      <c r="X1307" s="43">
        <f t="shared" si="87"/>
        <v>6.4086381228212351E-5</v>
      </c>
      <c r="Y1307" s="41">
        <f t="shared" si="88"/>
        <v>2.4586333882165631E-4</v>
      </c>
      <c r="Z1307" s="62"/>
    </row>
    <row r="1308" spans="15:26" x14ac:dyDescent="0.25">
      <c r="O1308" s="45" t="s">
        <v>21</v>
      </c>
      <c r="P1308" s="39">
        <f>_xll.qlCalendarAdvance(Calendar,P1307,O1307,"f",,Trigger)</f>
        <v>63870</v>
      </c>
      <c r="Q1308" s="39">
        <f>_xll.qlInterestRateIndexValueDate(Index,P1308,Trigger)</f>
        <v>63872</v>
      </c>
      <c r="R1308" s="39">
        <f>_xll.qlInterestRateIndexMaturity(Index,Q1308,Trigger)</f>
        <v>63964</v>
      </c>
      <c r="S1308" s="40">
        <f>_xll.qlDayCounterYearFraction(DayCounter,Q1308,R1308,,,Trigger)</f>
        <v>0.25555555555555554</v>
      </c>
      <c r="T1308" s="41">
        <f>_xll.qlIndexFixing(Index,P1308,,AllTriggers)</f>
        <v>6.7729195958810967E-3</v>
      </c>
      <c r="U1308" s="42">
        <f>_xll.qlYieldTSDiscount(OisCurve,Q1308,,AllTriggers)</f>
        <v>0.68393277004175057</v>
      </c>
      <c r="V1308" s="42">
        <f>_xll.qlYieldTSDiscount(OisCurve,R1308,,AllTriggers)</f>
        <v>0.68279384542273791</v>
      </c>
      <c r="W1308" s="41">
        <f t="shared" si="86"/>
        <v>6.527096842677489E-3</v>
      </c>
      <c r="X1308" s="43">
        <f t="shared" si="87"/>
        <v>6.27147898508646E-5</v>
      </c>
      <c r="Y1308" s="41">
        <f t="shared" si="88"/>
        <v>2.458227532036077E-4</v>
      </c>
      <c r="Z1308" s="62"/>
    </row>
    <row r="1309" spans="15:26" x14ac:dyDescent="0.25">
      <c r="O1309" s="45" t="s">
        <v>21</v>
      </c>
      <c r="P1309" s="39">
        <f>_xll.qlCalendarAdvance(Calendar,P1308,O1308,"f",,Trigger)</f>
        <v>63900</v>
      </c>
      <c r="Q1309" s="39">
        <f>_xll.qlInterestRateIndexValueDate(Index,P1309,Trigger)</f>
        <v>63902</v>
      </c>
      <c r="R1309" s="39">
        <f>_xll.qlInterestRateIndexMaturity(Index,Q1309,Trigger)</f>
        <v>63992</v>
      </c>
      <c r="S1309" s="40">
        <f>_xll.qlDayCounterYearFraction(DayCounter,Q1309,R1309,,,Trigger)</f>
        <v>0.25</v>
      </c>
      <c r="T1309" s="41">
        <f>_xll.qlIndexFixing(Index,P1309,,AllTriggers)</f>
        <v>6.7733096116642244E-3</v>
      </c>
      <c r="U1309" s="42">
        <f>_xll.qlYieldTSDiscount(OisCurve,Q1309,,AllTriggers)</f>
        <v>0.68356121204463316</v>
      </c>
      <c r="V1309" s="42">
        <f>_xll.qlYieldTSDiscount(OisCurve,R1309,,AllTriggers)</f>
        <v>0.68244753991600882</v>
      </c>
      <c r="W1309" s="41">
        <f t="shared" si="86"/>
        <v>6.5275178734554018E-3</v>
      </c>
      <c r="X1309" s="43">
        <f t="shared" si="87"/>
        <v>6.1345940599913783E-5</v>
      </c>
      <c r="Y1309" s="41">
        <f t="shared" si="88"/>
        <v>2.4579173820882261E-4</v>
      </c>
      <c r="Z1309" s="62"/>
    </row>
    <row r="1310" spans="15:26" x14ac:dyDescent="0.25">
      <c r="O1310" s="45" t="s">
        <v>21</v>
      </c>
      <c r="P1310" s="39">
        <f>_xll.qlCalendarAdvance(Calendar,P1309,O1309,"f",,Trigger)</f>
        <v>63933</v>
      </c>
      <c r="Q1310" s="39">
        <f>_xll.qlInterestRateIndexValueDate(Index,P1310,Trigger)</f>
        <v>63935</v>
      </c>
      <c r="R1310" s="39">
        <f>_xll.qlInterestRateIndexMaturity(Index,Q1310,Trigger)</f>
        <v>64025</v>
      </c>
      <c r="S1310" s="40">
        <f>_xll.qlDayCounterYearFraction(DayCounter,Q1310,R1310,,,Trigger)</f>
        <v>0.25</v>
      </c>
      <c r="T1310" s="41">
        <f>_xll.qlIndexFixing(Index,P1310,,AllTriggers)</f>
        <v>6.7737146321027453E-3</v>
      </c>
      <c r="U1310" s="42">
        <f>_xll.qlYieldTSDiscount(OisCurve,Q1310,,AllTriggers)</f>
        <v>0.68315268425691644</v>
      </c>
      <c r="V1310" s="42">
        <f>_xll.qlYieldTSDiscount(OisCurve,R1310,,AllTriggers)</f>
        <v>0.68203960583875267</v>
      </c>
      <c r="W1310" s="41">
        <f t="shared" si="86"/>
        <v>6.5279400705469115E-3</v>
      </c>
      <c r="X1310" s="43">
        <f t="shared" si="87"/>
        <v>6.1341647231842971E-5</v>
      </c>
      <c r="Y1310" s="41">
        <f t="shared" si="88"/>
        <v>2.4577456155583377E-4</v>
      </c>
      <c r="Z1310" s="62"/>
    </row>
    <row r="1311" spans="15:26" x14ac:dyDescent="0.25">
      <c r="O1311" s="45"/>
      <c r="P1311" s="39"/>
      <c r="Q1311" s="39"/>
      <c r="R1311" s="39"/>
      <c r="S1311" s="40"/>
      <c r="T1311" s="41"/>
      <c r="U1311" s="42"/>
      <c r="V1311" s="42"/>
      <c r="W1311" s="41"/>
      <c r="X1311" s="43"/>
      <c r="Y1311" s="62"/>
      <c r="Z1311" s="62"/>
    </row>
    <row r="1312" spans="15:26" x14ac:dyDescent="0.25">
      <c r="O1312" s="45"/>
      <c r="P1312" s="39"/>
      <c r="Q1312" s="39"/>
      <c r="R1312" s="39"/>
      <c r="S1312" s="40"/>
      <c r="T1312" s="41"/>
      <c r="U1312" s="42"/>
      <c r="V1312" s="42"/>
      <c r="W1312" s="41"/>
      <c r="X1312" s="43"/>
      <c r="Y1312" s="62"/>
      <c r="Z1312" s="62"/>
    </row>
    <row r="1313" spans="15:26" x14ac:dyDescent="0.25">
      <c r="O1313" s="45"/>
      <c r="P1313" s="39"/>
      <c r="Q1313" s="39"/>
      <c r="R1313" s="39"/>
      <c r="S1313" s="40"/>
      <c r="T1313" s="41"/>
      <c r="U1313" s="42"/>
      <c r="V1313" s="42"/>
      <c r="W1313" s="41"/>
      <c r="X1313" s="43"/>
      <c r="Y1313" s="62"/>
      <c r="Z1313" s="62"/>
    </row>
    <row r="1314" spans="15:26" x14ac:dyDescent="0.25">
      <c r="O1314" s="45"/>
      <c r="P1314" s="39"/>
      <c r="Q1314" s="39"/>
      <c r="R1314" s="39"/>
      <c r="S1314" s="40"/>
      <c r="T1314" s="41"/>
      <c r="U1314" s="42"/>
      <c r="V1314" s="42"/>
      <c r="W1314" s="41"/>
      <c r="X1314" s="43"/>
      <c r="Y1314" s="62"/>
      <c r="Z1314" s="62"/>
    </row>
    <row r="1315" spans="15:26" x14ac:dyDescent="0.25">
      <c r="O1315" s="45"/>
      <c r="P1315" s="39"/>
      <c r="Q1315" s="39"/>
      <c r="R1315" s="39"/>
      <c r="S1315" s="40"/>
      <c r="T1315" s="41"/>
      <c r="U1315" s="42"/>
      <c r="V1315" s="42"/>
      <c r="W1315" s="41"/>
      <c r="X1315" s="43"/>
      <c r="Y1315" s="62"/>
      <c r="Z1315" s="62"/>
    </row>
    <row r="1316" spans="15:26" x14ac:dyDescent="0.25">
      <c r="O1316" s="45"/>
      <c r="P1316" s="39"/>
      <c r="Q1316" s="39"/>
      <c r="R1316" s="39"/>
      <c r="S1316" s="40"/>
      <c r="T1316" s="41"/>
      <c r="U1316" s="42"/>
      <c r="V1316" s="42"/>
      <c r="W1316" s="41"/>
      <c r="X1316" s="43"/>
      <c r="Y1316" s="62"/>
      <c r="Z1316" s="62"/>
    </row>
    <row r="1317" spans="15:26" x14ac:dyDescent="0.25">
      <c r="O1317" s="45"/>
      <c r="P1317" s="39"/>
      <c r="Q1317" s="39"/>
      <c r="R1317" s="39"/>
      <c r="S1317" s="40"/>
      <c r="T1317" s="41"/>
      <c r="U1317" s="42"/>
      <c r="V1317" s="42"/>
      <c r="W1317" s="41"/>
      <c r="X1317" s="43"/>
      <c r="Y1317" s="62"/>
      <c r="Z1317" s="62"/>
    </row>
    <row r="1318" spans="15:26" x14ac:dyDescent="0.25">
      <c r="O1318" s="45"/>
      <c r="P1318" s="39"/>
      <c r="Q1318" s="39"/>
      <c r="R1318" s="39"/>
      <c r="S1318" s="40"/>
      <c r="T1318" s="41"/>
      <c r="U1318" s="42"/>
      <c r="V1318" s="42"/>
      <c r="W1318" s="41"/>
      <c r="X1318" s="43"/>
      <c r="Y1318" s="62"/>
      <c r="Z1318" s="62"/>
    </row>
    <row r="1319" spans="15:26" x14ac:dyDescent="0.25">
      <c r="O1319" s="45"/>
      <c r="P1319" s="39"/>
      <c r="Q1319" s="39"/>
      <c r="R1319" s="39"/>
      <c r="S1319" s="40"/>
      <c r="T1319" s="41"/>
      <c r="U1319" s="42"/>
      <c r="V1319" s="42"/>
      <c r="W1319" s="41"/>
      <c r="X1319" s="43"/>
      <c r="Y1319" s="62"/>
      <c r="Z1319" s="62"/>
    </row>
    <row r="1320" spans="15:26" x14ac:dyDescent="0.25">
      <c r="O1320" s="45"/>
      <c r="P1320" s="39"/>
      <c r="Q1320" s="39"/>
      <c r="R1320" s="39"/>
      <c r="S1320" s="40"/>
      <c r="T1320" s="41"/>
      <c r="U1320" s="42"/>
      <c r="V1320" s="42"/>
      <c r="W1320" s="41"/>
      <c r="X1320" s="43"/>
      <c r="Y1320" s="62"/>
      <c r="Z1320" s="62"/>
    </row>
    <row r="1321" spans="15:26" x14ac:dyDescent="0.25">
      <c r="O1321" s="45"/>
      <c r="P1321" s="39"/>
      <c r="Q1321" s="39"/>
      <c r="R1321" s="39"/>
      <c r="S1321" s="40"/>
      <c r="T1321" s="41"/>
      <c r="U1321" s="42"/>
      <c r="V1321" s="42"/>
      <c r="W1321" s="41"/>
      <c r="X1321" s="43"/>
      <c r="Y1321" s="62"/>
      <c r="Z1321" s="62"/>
    </row>
    <row r="1322" spans="15:26" x14ac:dyDescent="0.25">
      <c r="O1322" s="45"/>
      <c r="P1322" s="39"/>
      <c r="Q1322" s="39"/>
      <c r="R1322" s="39"/>
      <c r="S1322" s="40"/>
      <c r="T1322" s="41"/>
      <c r="U1322" s="42"/>
      <c r="V1322" s="42"/>
      <c r="W1322" s="41"/>
      <c r="X1322" s="43"/>
      <c r="Y1322" s="62"/>
      <c r="Z1322" s="62"/>
    </row>
    <row r="1323" spans="15:26" x14ac:dyDescent="0.25">
      <c r="O1323" s="45"/>
      <c r="P1323" s="39"/>
      <c r="Q1323" s="39"/>
      <c r="R1323" s="39"/>
      <c r="S1323" s="40"/>
      <c r="T1323" s="41"/>
      <c r="U1323" s="42"/>
      <c r="V1323" s="42"/>
      <c r="W1323" s="41"/>
      <c r="X1323" s="43"/>
      <c r="Y1323" s="62"/>
      <c r="Z1323" s="62"/>
    </row>
    <row r="1324" spans="15:26" x14ac:dyDescent="0.25">
      <c r="O1324" s="45"/>
      <c r="P1324" s="39"/>
      <c r="Q1324" s="39"/>
      <c r="R1324" s="39"/>
      <c r="S1324" s="40"/>
      <c r="T1324" s="41"/>
      <c r="U1324" s="42"/>
      <c r="V1324" s="42"/>
      <c r="W1324" s="41"/>
      <c r="X1324" s="43"/>
      <c r="Y1324" s="62"/>
      <c r="Z1324" s="62"/>
    </row>
    <row r="1325" spans="15:26" x14ac:dyDescent="0.25">
      <c r="O1325" s="45"/>
      <c r="P1325" s="39"/>
      <c r="Q1325" s="39"/>
      <c r="R1325" s="39"/>
      <c r="S1325" s="40"/>
      <c r="T1325" s="41"/>
      <c r="U1325" s="42"/>
      <c r="V1325" s="42"/>
      <c r="W1325" s="41"/>
      <c r="X1325" s="43"/>
      <c r="Y1325" s="62"/>
      <c r="Z1325" s="62"/>
    </row>
    <row r="1326" spans="15:26" x14ac:dyDescent="0.25">
      <c r="O1326" s="45"/>
      <c r="P1326" s="39"/>
      <c r="Q1326" s="39"/>
      <c r="R1326" s="39"/>
      <c r="S1326" s="40"/>
      <c r="T1326" s="41"/>
      <c r="U1326" s="42"/>
      <c r="V1326" s="42"/>
      <c r="W1326" s="41"/>
      <c r="X1326" s="43"/>
      <c r="Y1326" s="62"/>
      <c r="Z1326" s="62"/>
    </row>
    <row r="1327" spans="15:26" x14ac:dyDescent="0.25">
      <c r="O1327" s="45"/>
      <c r="P1327" s="39"/>
      <c r="Q1327" s="39"/>
      <c r="R1327" s="39"/>
      <c r="S1327" s="40"/>
      <c r="T1327" s="41"/>
      <c r="U1327" s="42"/>
      <c r="V1327" s="42"/>
      <c r="W1327" s="41"/>
      <c r="X1327" s="43"/>
      <c r="Y1327" s="62"/>
      <c r="Z1327" s="62"/>
    </row>
    <row r="1328" spans="15:26" x14ac:dyDescent="0.25">
      <c r="O1328" s="45"/>
      <c r="P1328" s="39"/>
      <c r="Q1328" s="39"/>
      <c r="R1328" s="39"/>
      <c r="S1328" s="40"/>
      <c r="T1328" s="41"/>
      <c r="U1328" s="42"/>
      <c r="V1328" s="42"/>
      <c r="W1328" s="41"/>
      <c r="X1328" s="43"/>
      <c r="Y1328" s="62"/>
      <c r="Z1328" s="62"/>
    </row>
    <row r="1329" spans="15:26" x14ac:dyDescent="0.25">
      <c r="O1329" s="45"/>
      <c r="P1329" s="39"/>
      <c r="Q1329" s="39"/>
      <c r="R1329" s="39"/>
      <c r="S1329" s="40"/>
      <c r="T1329" s="41"/>
      <c r="U1329" s="42"/>
      <c r="V1329" s="42"/>
      <c r="W1329" s="41"/>
      <c r="X1329" s="43"/>
      <c r="Y1329" s="62"/>
      <c r="Z1329" s="62"/>
    </row>
    <row r="1330" spans="15:26" x14ac:dyDescent="0.25">
      <c r="O1330" s="45"/>
      <c r="P1330" s="39"/>
      <c r="Q1330" s="39"/>
      <c r="R1330" s="39"/>
      <c r="S1330" s="40"/>
      <c r="T1330" s="41"/>
      <c r="U1330" s="42"/>
      <c r="V1330" s="42"/>
      <c r="W1330" s="41"/>
      <c r="X1330" s="43"/>
      <c r="Y1330" s="62"/>
      <c r="Z1330" s="62"/>
    </row>
    <row r="1331" spans="15:26" x14ac:dyDescent="0.25">
      <c r="O1331" s="45"/>
      <c r="P1331" s="39"/>
      <c r="Q1331" s="39"/>
      <c r="R1331" s="39"/>
      <c r="S1331" s="40"/>
      <c r="T1331" s="41"/>
      <c r="U1331" s="42"/>
      <c r="V1331" s="42"/>
      <c r="W1331" s="41"/>
      <c r="X1331" s="43"/>
      <c r="Y1331" s="62"/>
      <c r="Z1331" s="62"/>
    </row>
    <row r="1332" spans="15:26" x14ac:dyDescent="0.25">
      <c r="O1332" s="45"/>
      <c r="P1332" s="39"/>
      <c r="Q1332" s="39"/>
      <c r="R1332" s="39"/>
      <c r="S1332" s="40"/>
      <c r="T1332" s="41"/>
      <c r="U1332" s="42"/>
      <c r="V1332" s="42"/>
      <c r="W1332" s="41"/>
      <c r="X1332" s="43"/>
      <c r="Y1332" s="62"/>
      <c r="Z1332" s="62"/>
    </row>
    <row r="1333" spans="15:26" x14ac:dyDescent="0.25">
      <c r="O1333" s="45"/>
      <c r="P1333" s="39"/>
      <c r="Q1333" s="39"/>
      <c r="R1333" s="39"/>
      <c r="S1333" s="40"/>
      <c r="T1333" s="41"/>
      <c r="U1333" s="42"/>
      <c r="V1333" s="42"/>
      <c r="W1333" s="41"/>
      <c r="X1333" s="43"/>
      <c r="Y1333" s="62"/>
      <c r="Z1333" s="62"/>
    </row>
    <row r="1334" spans="15:26" x14ac:dyDescent="0.25">
      <c r="O1334" s="45"/>
      <c r="P1334" s="39"/>
      <c r="Q1334" s="39"/>
      <c r="R1334" s="39"/>
      <c r="S1334" s="40"/>
      <c r="T1334" s="41"/>
      <c r="U1334" s="42"/>
      <c r="V1334" s="42"/>
      <c r="W1334" s="41"/>
      <c r="X1334" s="43"/>
      <c r="Y1334" s="62"/>
      <c r="Z1334" s="62"/>
    </row>
    <row r="1335" spans="15:26" x14ac:dyDescent="0.25">
      <c r="O1335" s="45"/>
      <c r="P1335" s="39"/>
      <c r="Q1335" s="39"/>
      <c r="R1335" s="39"/>
      <c r="S1335" s="40"/>
      <c r="T1335" s="41"/>
      <c r="U1335" s="42"/>
      <c r="V1335" s="42"/>
      <c r="W1335" s="41"/>
      <c r="X1335" s="43"/>
      <c r="Y1335" s="62"/>
      <c r="Z1335" s="62"/>
    </row>
    <row r="1336" spans="15:26" x14ac:dyDescent="0.25">
      <c r="O1336" s="45"/>
      <c r="P1336" s="39"/>
      <c r="Q1336" s="39"/>
      <c r="R1336" s="39"/>
      <c r="S1336" s="40"/>
      <c r="T1336" s="41"/>
      <c r="U1336" s="42"/>
      <c r="V1336" s="42"/>
      <c r="W1336" s="41"/>
      <c r="X1336" s="43"/>
      <c r="Y1336" s="62"/>
      <c r="Z1336" s="62"/>
    </row>
    <row r="1337" spans="15:26" x14ac:dyDescent="0.25">
      <c r="O1337" s="45"/>
      <c r="P1337" s="39"/>
      <c r="Q1337" s="39"/>
      <c r="R1337" s="39"/>
      <c r="S1337" s="40"/>
      <c r="T1337" s="41"/>
      <c r="U1337" s="42"/>
      <c r="V1337" s="42"/>
      <c r="W1337" s="41"/>
      <c r="X1337" s="43"/>
      <c r="Y1337" s="62"/>
      <c r="Z1337" s="62"/>
    </row>
    <row r="1338" spans="15:26" x14ac:dyDescent="0.25">
      <c r="O1338" s="45"/>
      <c r="P1338" s="39"/>
      <c r="Q1338" s="39"/>
      <c r="R1338" s="39"/>
      <c r="S1338" s="40"/>
      <c r="T1338" s="41"/>
      <c r="U1338" s="42"/>
      <c r="V1338" s="42"/>
      <c r="W1338" s="41"/>
      <c r="X1338" s="43"/>
      <c r="Y1338" s="62"/>
      <c r="Z1338" s="62"/>
    </row>
    <row r="1339" spans="15:26" x14ac:dyDescent="0.25">
      <c r="O1339" s="45"/>
      <c r="P1339" s="39"/>
      <c r="Q1339" s="39"/>
      <c r="R1339" s="39"/>
      <c r="S1339" s="40"/>
      <c r="T1339" s="41"/>
      <c r="U1339" s="42"/>
      <c r="V1339" s="42"/>
      <c r="W1339" s="41"/>
      <c r="X1339" s="43"/>
      <c r="Y1339" s="62"/>
      <c r="Z1339" s="62"/>
    </row>
    <row r="1340" spans="15:26" x14ac:dyDescent="0.25">
      <c r="O1340" s="45"/>
      <c r="P1340" s="39"/>
      <c r="Q1340" s="39"/>
      <c r="R1340" s="39"/>
      <c r="S1340" s="40"/>
      <c r="T1340" s="41"/>
      <c r="U1340" s="42"/>
      <c r="V1340" s="42"/>
      <c r="W1340" s="41"/>
      <c r="X1340" s="43"/>
      <c r="Y1340" s="62"/>
      <c r="Z1340" s="62"/>
    </row>
    <row r="1341" spans="15:26" x14ac:dyDescent="0.25">
      <c r="O1341" s="45"/>
      <c r="P1341" s="39"/>
      <c r="Q1341" s="39"/>
      <c r="R1341" s="39"/>
      <c r="S1341" s="40"/>
      <c r="T1341" s="41"/>
      <c r="U1341" s="42"/>
      <c r="V1341" s="42"/>
      <c r="W1341" s="41"/>
      <c r="X1341" s="43"/>
      <c r="Y1341" s="62"/>
      <c r="Z1341" s="62"/>
    </row>
    <row r="1342" spans="15:26" x14ac:dyDescent="0.25">
      <c r="O1342" s="45"/>
      <c r="P1342" s="39"/>
      <c r="Q1342" s="39"/>
      <c r="R1342" s="39"/>
      <c r="S1342" s="40"/>
      <c r="T1342" s="41"/>
      <c r="U1342" s="42"/>
      <c r="V1342" s="42"/>
      <c r="W1342" s="41"/>
      <c r="X1342" s="43"/>
      <c r="Y1342" s="62"/>
      <c r="Z1342" s="62"/>
    </row>
    <row r="1343" spans="15:26" x14ac:dyDescent="0.25">
      <c r="O1343" s="45"/>
      <c r="P1343" s="39"/>
      <c r="Q1343" s="39"/>
      <c r="R1343" s="39"/>
      <c r="S1343" s="40"/>
      <c r="T1343" s="41"/>
      <c r="U1343" s="42"/>
      <c r="V1343" s="42"/>
      <c r="W1343" s="41"/>
      <c r="X1343" s="43"/>
      <c r="Y1343" s="62"/>
      <c r="Z1343" s="62"/>
    </row>
    <row r="1344" spans="15:26" x14ac:dyDescent="0.25">
      <c r="O1344" s="45"/>
      <c r="P1344" s="39"/>
      <c r="Q1344" s="39"/>
      <c r="R1344" s="39"/>
      <c r="S1344" s="40"/>
      <c r="T1344" s="41"/>
      <c r="U1344" s="42"/>
      <c r="V1344" s="42"/>
      <c r="W1344" s="41"/>
      <c r="X1344" s="43"/>
      <c r="Y1344" s="62"/>
      <c r="Z1344" s="62"/>
    </row>
    <row r="1345" spans="15:26" x14ac:dyDescent="0.25">
      <c r="O1345" s="45"/>
      <c r="P1345" s="39"/>
      <c r="Q1345" s="39"/>
      <c r="R1345" s="39"/>
      <c r="S1345" s="40"/>
      <c r="T1345" s="41"/>
      <c r="U1345" s="42"/>
      <c r="V1345" s="42"/>
      <c r="W1345" s="41"/>
      <c r="X1345" s="43"/>
      <c r="Y1345" s="62"/>
      <c r="Z1345" s="62"/>
    </row>
    <row r="1346" spans="15:26" x14ac:dyDescent="0.25">
      <c r="O1346" s="45"/>
      <c r="P1346" s="39"/>
      <c r="Q1346" s="39"/>
      <c r="R1346" s="39"/>
      <c r="S1346" s="40"/>
      <c r="T1346" s="41"/>
      <c r="U1346" s="42"/>
      <c r="V1346" s="42"/>
      <c r="W1346" s="41"/>
      <c r="X1346" s="43"/>
      <c r="Y1346" s="62"/>
      <c r="Z1346" s="62"/>
    </row>
    <row r="1347" spans="15:26" x14ac:dyDescent="0.25">
      <c r="O1347" s="45"/>
      <c r="P1347" s="39"/>
      <c r="Q1347" s="39"/>
      <c r="R1347" s="39"/>
      <c r="S1347" s="40"/>
      <c r="T1347" s="41"/>
      <c r="U1347" s="42"/>
      <c r="V1347" s="42"/>
      <c r="W1347" s="41"/>
      <c r="X1347" s="43"/>
      <c r="Y1347" s="62"/>
      <c r="Z1347" s="62"/>
    </row>
    <row r="1348" spans="15:26" x14ac:dyDescent="0.25">
      <c r="O1348" s="45"/>
      <c r="P1348" s="39"/>
      <c r="Q1348" s="39"/>
      <c r="R1348" s="39"/>
      <c r="S1348" s="40"/>
      <c r="T1348" s="41"/>
      <c r="U1348" s="42"/>
      <c r="V1348" s="42"/>
      <c r="W1348" s="41"/>
      <c r="X1348" s="43"/>
      <c r="Y1348" s="62"/>
      <c r="Z1348" s="62"/>
    </row>
    <row r="1349" spans="15:26" x14ac:dyDescent="0.25">
      <c r="O1349" s="45"/>
      <c r="P1349" s="39"/>
      <c r="Q1349" s="39"/>
      <c r="R1349" s="39"/>
      <c r="S1349" s="40"/>
      <c r="T1349" s="41"/>
      <c r="U1349" s="42"/>
      <c r="V1349" s="42"/>
      <c r="W1349" s="41"/>
      <c r="X1349" s="43"/>
      <c r="Y1349" s="62"/>
      <c r="Z1349" s="62"/>
    </row>
    <row r="1350" spans="15:26" x14ac:dyDescent="0.25">
      <c r="O1350" s="45"/>
      <c r="P1350" s="39"/>
      <c r="Q1350" s="39"/>
      <c r="R1350" s="39"/>
      <c r="S1350" s="40"/>
      <c r="T1350" s="41"/>
      <c r="U1350" s="42"/>
      <c r="V1350" s="42"/>
      <c r="W1350" s="41"/>
      <c r="X1350" s="43"/>
      <c r="Y1350" s="62"/>
      <c r="Z1350" s="62"/>
    </row>
    <row r="1351" spans="15:26" x14ac:dyDescent="0.25">
      <c r="O1351" s="45"/>
      <c r="P1351" s="39"/>
      <c r="Q1351" s="39"/>
      <c r="R1351" s="39"/>
      <c r="S1351" s="40"/>
      <c r="T1351" s="41"/>
      <c r="U1351" s="42"/>
      <c r="V1351" s="42"/>
      <c r="W1351" s="41"/>
      <c r="X1351" s="43"/>
      <c r="Y1351" s="62"/>
      <c r="Z1351" s="62"/>
    </row>
    <row r="1352" spans="15:26" x14ac:dyDescent="0.25">
      <c r="O1352" s="45"/>
      <c r="P1352" s="39"/>
      <c r="Q1352" s="39"/>
      <c r="R1352" s="39"/>
      <c r="S1352" s="40"/>
      <c r="T1352" s="41"/>
      <c r="U1352" s="42"/>
      <c r="V1352" s="42"/>
      <c r="W1352" s="41"/>
      <c r="X1352" s="43"/>
      <c r="Y1352" s="62"/>
      <c r="Z1352" s="62"/>
    </row>
    <row r="1353" spans="15:26" x14ac:dyDescent="0.25">
      <c r="O1353" s="45"/>
      <c r="P1353" s="39"/>
      <c r="Q1353" s="39"/>
      <c r="R1353" s="39"/>
      <c r="S1353" s="40"/>
      <c r="T1353" s="41"/>
      <c r="U1353" s="42"/>
      <c r="V1353" s="42"/>
      <c r="W1353" s="41"/>
      <c r="X1353" s="43"/>
      <c r="Y1353" s="62"/>
      <c r="Z1353" s="62"/>
    </row>
    <row r="1354" spans="15:26" x14ac:dyDescent="0.25">
      <c r="O1354" s="45"/>
      <c r="P1354" s="39"/>
      <c r="Q1354" s="39"/>
      <c r="R1354" s="39"/>
      <c r="S1354" s="40"/>
      <c r="T1354" s="41"/>
      <c r="U1354" s="42"/>
      <c r="V1354" s="42"/>
      <c r="W1354" s="41"/>
      <c r="X1354" s="43"/>
      <c r="Y1354" s="62"/>
      <c r="Z1354" s="62"/>
    </row>
    <row r="1355" spans="15:26" x14ac:dyDescent="0.25">
      <c r="O1355" s="45"/>
      <c r="P1355" s="39"/>
      <c r="Q1355" s="39"/>
      <c r="R1355" s="39"/>
      <c r="S1355" s="40"/>
      <c r="T1355" s="41"/>
      <c r="U1355" s="42"/>
      <c r="V1355" s="42"/>
      <c r="W1355" s="41"/>
      <c r="X1355" s="43"/>
      <c r="Y1355" s="62"/>
      <c r="Z1355" s="62"/>
    </row>
    <row r="1356" spans="15:26" x14ac:dyDescent="0.25">
      <c r="O1356" s="45"/>
      <c r="P1356" s="39"/>
      <c r="Q1356" s="39"/>
      <c r="R1356" s="39"/>
      <c r="S1356" s="40"/>
      <c r="T1356" s="41"/>
      <c r="U1356" s="42"/>
      <c r="V1356" s="42"/>
      <c r="W1356" s="41"/>
      <c r="X1356" s="43"/>
      <c r="Y1356" s="62"/>
      <c r="Z1356" s="62"/>
    </row>
    <row r="1357" spans="15:26" x14ac:dyDescent="0.25">
      <c r="O1357" s="45"/>
      <c r="P1357" s="39"/>
      <c r="Q1357" s="39"/>
      <c r="R1357" s="39"/>
      <c r="S1357" s="40"/>
      <c r="T1357" s="41"/>
      <c r="U1357" s="42"/>
      <c r="V1357" s="42"/>
      <c r="W1357" s="41"/>
      <c r="X1357" s="43"/>
      <c r="Y1357" s="62"/>
      <c r="Z1357" s="62"/>
    </row>
    <row r="1358" spans="15:26" x14ac:dyDescent="0.25">
      <c r="O1358" s="45"/>
      <c r="P1358" s="39"/>
      <c r="Q1358" s="39"/>
      <c r="R1358" s="39"/>
      <c r="S1358" s="40"/>
      <c r="T1358" s="41"/>
      <c r="U1358" s="42"/>
      <c r="V1358" s="42"/>
      <c r="W1358" s="41"/>
      <c r="X1358" s="43"/>
      <c r="Y1358" s="62"/>
      <c r="Z1358" s="62"/>
    </row>
    <row r="1359" spans="15:26" x14ac:dyDescent="0.25">
      <c r="O1359" s="45"/>
      <c r="P1359" s="39"/>
      <c r="Q1359" s="39"/>
      <c r="R1359" s="39"/>
      <c r="S1359" s="40"/>
      <c r="T1359" s="41"/>
      <c r="U1359" s="42"/>
      <c r="V1359" s="42"/>
      <c r="W1359" s="41"/>
      <c r="X1359" s="43"/>
      <c r="Y1359" s="62"/>
      <c r="Z1359" s="62"/>
    </row>
    <row r="1360" spans="15:26" x14ac:dyDescent="0.25">
      <c r="O1360" s="45"/>
      <c r="P1360" s="39"/>
      <c r="Q1360" s="39"/>
      <c r="R1360" s="39"/>
      <c r="S1360" s="40"/>
      <c r="T1360" s="41"/>
      <c r="U1360" s="42"/>
      <c r="V1360" s="42"/>
      <c r="W1360" s="41"/>
      <c r="X1360" s="43"/>
      <c r="Y1360" s="62"/>
      <c r="Z1360" s="62"/>
    </row>
    <row r="1361" spans="15:26" x14ac:dyDescent="0.25">
      <c r="O1361" s="45"/>
      <c r="P1361" s="39"/>
      <c r="Q1361" s="39"/>
      <c r="R1361" s="39"/>
      <c r="S1361" s="40"/>
      <c r="T1361" s="41"/>
      <c r="U1361" s="42"/>
      <c r="V1361" s="42"/>
      <c r="W1361" s="41"/>
      <c r="X1361" s="43"/>
      <c r="Y1361" s="62"/>
      <c r="Z1361" s="62"/>
    </row>
    <row r="1362" spans="15:26" x14ac:dyDescent="0.25">
      <c r="O1362" s="45"/>
      <c r="P1362" s="39"/>
      <c r="Q1362" s="39"/>
      <c r="R1362" s="39"/>
      <c r="S1362" s="40"/>
      <c r="T1362" s="41"/>
      <c r="U1362" s="42"/>
      <c r="V1362" s="42"/>
      <c r="W1362" s="41"/>
      <c r="X1362" s="43"/>
      <c r="Y1362" s="62"/>
      <c r="Z1362" s="62"/>
    </row>
    <row r="1363" spans="15:26" x14ac:dyDescent="0.25">
      <c r="O1363" s="45"/>
      <c r="P1363" s="39"/>
      <c r="Q1363" s="39"/>
      <c r="R1363" s="39"/>
      <c r="S1363" s="40"/>
      <c r="T1363" s="41"/>
      <c r="U1363" s="42"/>
      <c r="V1363" s="42"/>
      <c r="W1363" s="41"/>
      <c r="X1363" s="43"/>
      <c r="Y1363" s="62"/>
      <c r="Z1363" s="62"/>
    </row>
    <row r="1364" spans="15:26" x14ac:dyDescent="0.25">
      <c r="O1364" s="45"/>
      <c r="P1364" s="39"/>
      <c r="Q1364" s="39"/>
      <c r="R1364" s="39"/>
      <c r="S1364" s="40"/>
      <c r="T1364" s="41"/>
      <c r="U1364" s="42"/>
      <c r="V1364" s="42"/>
      <c r="W1364" s="41"/>
      <c r="X1364" s="43"/>
      <c r="Y1364" s="62"/>
      <c r="Z1364" s="62"/>
    </row>
    <row r="1365" spans="15:26" x14ac:dyDescent="0.25">
      <c r="O1365" s="45"/>
      <c r="P1365" s="39"/>
      <c r="Q1365" s="39"/>
      <c r="R1365" s="39"/>
      <c r="S1365" s="40"/>
      <c r="T1365" s="41"/>
      <c r="U1365" s="42"/>
      <c r="V1365" s="42"/>
      <c r="W1365" s="41"/>
      <c r="X1365" s="43"/>
      <c r="Y1365" s="62"/>
      <c r="Z1365" s="62"/>
    </row>
    <row r="1366" spans="15:26" x14ac:dyDescent="0.25">
      <c r="O1366" s="45"/>
      <c r="P1366" s="39"/>
      <c r="Q1366" s="39"/>
      <c r="R1366" s="39"/>
      <c r="S1366" s="40"/>
      <c r="T1366" s="41"/>
      <c r="U1366" s="42"/>
      <c r="V1366" s="42"/>
      <c r="W1366" s="41"/>
      <c r="X1366" s="43"/>
      <c r="Y1366" s="62"/>
      <c r="Z1366" s="62"/>
    </row>
    <row r="1367" spans="15:26" x14ac:dyDescent="0.25">
      <c r="O1367" s="45"/>
      <c r="P1367" s="39"/>
      <c r="Q1367" s="39"/>
      <c r="R1367" s="39"/>
      <c r="S1367" s="40"/>
      <c r="T1367" s="41"/>
      <c r="U1367" s="42"/>
      <c r="V1367" s="42"/>
      <c r="W1367" s="41"/>
      <c r="X1367" s="43"/>
      <c r="Y1367" s="62"/>
      <c r="Z1367" s="62"/>
    </row>
    <row r="1368" spans="15:26" x14ac:dyDescent="0.25">
      <c r="O1368" s="45"/>
      <c r="P1368" s="39"/>
      <c r="Q1368" s="39"/>
      <c r="R1368" s="39"/>
      <c r="S1368" s="40"/>
      <c r="T1368" s="41"/>
      <c r="U1368" s="42"/>
      <c r="V1368" s="42"/>
      <c r="W1368" s="41"/>
      <c r="X1368" s="43"/>
      <c r="Y1368" s="62"/>
      <c r="Z1368" s="62"/>
    </row>
    <row r="1369" spans="15:26" x14ac:dyDescent="0.25">
      <c r="O1369" s="45"/>
      <c r="P1369" s="39"/>
      <c r="Q1369" s="39"/>
      <c r="R1369" s="39"/>
      <c r="S1369" s="40"/>
      <c r="T1369" s="41"/>
      <c r="U1369" s="42"/>
      <c r="V1369" s="42"/>
      <c r="W1369" s="41"/>
      <c r="X1369" s="43"/>
      <c r="Y1369" s="62"/>
      <c r="Z1369" s="62"/>
    </row>
    <row r="1370" spans="15:26" x14ac:dyDescent="0.25">
      <c r="O1370" s="45"/>
      <c r="P1370" s="39"/>
      <c r="Q1370" s="39"/>
      <c r="R1370" s="39"/>
      <c r="S1370" s="40"/>
      <c r="T1370" s="41"/>
      <c r="U1370" s="42"/>
      <c r="V1370" s="42"/>
      <c r="W1370" s="41"/>
      <c r="X1370" s="43"/>
      <c r="Y1370" s="62"/>
      <c r="Z1370" s="62"/>
    </row>
    <row r="1371" spans="15:26" x14ac:dyDescent="0.25">
      <c r="O1371" s="45"/>
      <c r="P1371" s="39"/>
      <c r="Q1371" s="39"/>
      <c r="R1371" s="39"/>
      <c r="S1371" s="40"/>
      <c r="T1371" s="41"/>
      <c r="U1371" s="42"/>
      <c r="V1371" s="42"/>
      <c r="W1371" s="41"/>
      <c r="X1371" s="43"/>
      <c r="Y1371" s="62"/>
      <c r="Z1371" s="62"/>
    </row>
    <row r="1372" spans="15:26" x14ac:dyDescent="0.25">
      <c r="O1372" s="45"/>
      <c r="P1372" s="39"/>
      <c r="Q1372" s="39"/>
      <c r="R1372" s="39"/>
      <c r="S1372" s="40"/>
      <c r="T1372" s="41"/>
      <c r="U1372" s="42"/>
      <c r="V1372" s="42"/>
      <c r="W1372" s="41"/>
      <c r="X1372" s="43"/>
      <c r="Y1372" s="62"/>
      <c r="Z1372" s="62"/>
    </row>
    <row r="1373" spans="15:26" x14ac:dyDescent="0.25">
      <c r="O1373" s="45"/>
      <c r="P1373" s="39"/>
      <c r="Q1373" s="39"/>
      <c r="R1373" s="39"/>
      <c r="S1373" s="40"/>
      <c r="T1373" s="41"/>
      <c r="U1373" s="42"/>
      <c r="V1373" s="42"/>
      <c r="W1373" s="41"/>
      <c r="X1373" s="43"/>
      <c r="Y1373" s="62"/>
      <c r="Z1373" s="62"/>
    </row>
    <row r="1374" spans="15:26" x14ac:dyDescent="0.25">
      <c r="O1374" s="45"/>
      <c r="P1374" s="39"/>
      <c r="Q1374" s="39"/>
      <c r="R1374" s="39"/>
      <c r="S1374" s="40"/>
      <c r="T1374" s="41"/>
      <c r="U1374" s="42"/>
      <c r="V1374" s="42"/>
      <c r="W1374" s="41"/>
      <c r="X1374" s="43"/>
      <c r="Y1374" s="62"/>
      <c r="Z1374" s="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ength4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9</xdr:row>
                    <xdr:rowOff>123825</xdr:rowOff>
                  </from>
                  <to>
                    <xdr:col>28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Length1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</xdr:row>
                    <xdr:rowOff>276225</xdr:rowOff>
                  </from>
                  <to>
                    <xdr:col>28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Length7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17</xdr:row>
                    <xdr:rowOff>152400</xdr:rowOff>
                  </from>
                  <to>
                    <xdr:col>28</xdr:col>
                    <xdr:colOff>361950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Length2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4</xdr:row>
                    <xdr:rowOff>38100</xdr:rowOff>
                  </from>
                  <to>
                    <xdr:col>28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Length3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6</xdr:row>
                    <xdr:rowOff>171450</xdr:rowOff>
                  </from>
                  <to>
                    <xdr:col>28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Length5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12</xdr:row>
                    <xdr:rowOff>66675</xdr:rowOff>
                  </from>
                  <to>
                    <xdr:col>28</xdr:col>
                    <xdr:colOff>361950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ength6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15</xdr:row>
                    <xdr:rowOff>19050</xdr:rowOff>
                  </from>
                  <to>
                    <xdr:col>28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1618"/>
  <sheetViews>
    <sheetView showGridLines="0" tabSelected="1" topLeftCell="K1" workbookViewId="0">
      <selection activeCell="K1" sqref="K1"/>
    </sheetView>
  </sheetViews>
  <sheetFormatPr defaultRowHeight="11.25" outlineLevelCol="1" x14ac:dyDescent="0.2"/>
  <cols>
    <col min="1" max="1" width="10" style="81" hidden="1" customWidth="1" outlineLevel="1"/>
    <col min="2" max="2" width="17.28515625" style="81" hidden="1" customWidth="1" outlineLevel="1"/>
    <col min="3" max="3" width="7" style="81" hidden="1" customWidth="1" outlineLevel="1"/>
    <col min="4" max="4" width="17.28515625" style="81" hidden="1" customWidth="1" outlineLevel="1"/>
    <col min="5" max="5" width="6" style="81" hidden="1" customWidth="1" outlineLevel="1"/>
    <col min="6" max="6" width="10" style="81" hidden="1" customWidth="1" outlineLevel="1"/>
    <col min="7" max="7" width="6" style="81" hidden="1" customWidth="1" outlineLevel="1"/>
    <col min="8" max="8" width="8" style="81" hidden="1" customWidth="1" outlineLevel="1"/>
    <col min="9" max="10" width="12" style="81" hidden="1" customWidth="1" outlineLevel="1"/>
    <col min="11" max="11" width="2.7109375" style="81" customWidth="1" collapsed="1"/>
    <col min="12" max="12" width="13.140625" style="81" bestFit="1" customWidth="1"/>
    <col min="13" max="13" width="15.140625" style="81" bestFit="1" customWidth="1"/>
    <col min="14" max="14" width="2.7109375" style="81" customWidth="1"/>
    <col min="15" max="15" width="3" style="81" bestFit="1" customWidth="1"/>
    <col min="16" max="16" width="6" style="81" bestFit="1" customWidth="1"/>
    <col min="17" max="19" width="17.28515625" style="81" bestFit="1" customWidth="1"/>
    <col min="20" max="20" width="7" style="81" bestFit="1" customWidth="1"/>
    <col min="21" max="21" width="9" style="81" bestFit="1" customWidth="1"/>
    <col min="22" max="23" width="12" style="81" hidden="1" customWidth="1" outlineLevel="1"/>
    <col min="24" max="24" width="9" style="81" bestFit="1" customWidth="1" collapsed="1"/>
    <col min="25" max="25" width="8" style="81" bestFit="1" customWidth="1"/>
    <col min="26" max="26" width="12" style="81" customWidth="1"/>
    <col min="27" max="27" width="9" style="81" bestFit="1" customWidth="1"/>
    <col min="28" max="28" width="9" style="81" customWidth="1"/>
    <col min="29" max="29" width="11" style="81" customWidth="1"/>
    <col min="30" max="30" width="9" style="81" bestFit="1" customWidth="1"/>
    <col min="31" max="16384" width="9.140625" style="81"/>
  </cols>
  <sheetData>
    <row r="1" spans="1:30" x14ac:dyDescent="0.2">
      <c r="A1" s="50" t="s">
        <v>34</v>
      </c>
      <c r="B1" s="50"/>
      <c r="C1" s="50"/>
      <c r="D1" s="50"/>
      <c r="E1" s="50"/>
      <c r="F1" s="50" t="s">
        <v>35</v>
      </c>
      <c r="G1" s="50"/>
      <c r="H1" s="50"/>
      <c r="I1" s="50"/>
      <c r="J1" s="50"/>
      <c r="S1" s="95">
        <f>MIN($T$3:$T$135)</f>
        <v>0.50277777777777777</v>
      </c>
      <c r="T1" s="95">
        <f>AVERAGE($T$3:$T$135)</f>
        <v>0.50802005012531293</v>
      </c>
      <c r="U1" s="95">
        <f>MAX($T$3:$T$135)</f>
        <v>0.51666666666666672</v>
      </c>
      <c r="Y1" s="82"/>
      <c r="Z1" s="82" t="s">
        <v>85</v>
      </c>
      <c r="AA1" s="82" t="s">
        <v>85</v>
      </c>
      <c r="AB1" s="82"/>
      <c r="AC1" s="82" t="s">
        <v>87</v>
      </c>
      <c r="AD1" s="81" t="s">
        <v>87</v>
      </c>
    </row>
    <row r="2" spans="1:30" ht="22.5" x14ac:dyDescent="0.2">
      <c r="A2" s="51" t="s">
        <v>36</v>
      </c>
      <c r="B2" s="51" t="s">
        <v>37</v>
      </c>
      <c r="C2" s="51" t="s">
        <v>38</v>
      </c>
      <c r="D2" s="51" t="s">
        <v>39</v>
      </c>
      <c r="E2" s="51" t="s">
        <v>40</v>
      </c>
      <c r="F2" s="51" t="s">
        <v>37</v>
      </c>
      <c r="G2" s="51" t="s">
        <v>39</v>
      </c>
      <c r="H2" s="51" t="s">
        <v>40</v>
      </c>
      <c r="I2" s="51" t="s">
        <v>41</v>
      </c>
      <c r="J2" s="51" t="s">
        <v>42</v>
      </c>
      <c r="Q2" s="64" t="s">
        <v>24</v>
      </c>
      <c r="R2" s="64" t="s">
        <v>25</v>
      </c>
      <c r="S2" s="64" t="s">
        <v>26</v>
      </c>
      <c r="T2" s="64" t="s">
        <v>30</v>
      </c>
      <c r="U2" s="64" t="s">
        <v>44</v>
      </c>
      <c r="V2" s="64" t="s">
        <v>28</v>
      </c>
      <c r="W2" s="64" t="str">
        <f>"P(d+"&amp;M3&amp;")"</f>
        <v>P(d+6M)</v>
      </c>
      <c r="X2" s="64" t="s">
        <v>29</v>
      </c>
      <c r="Y2" s="64" t="s">
        <v>81</v>
      </c>
      <c r="Z2" s="64" t="s">
        <v>80</v>
      </c>
      <c r="AA2" s="64" t="s">
        <v>82</v>
      </c>
      <c r="AB2" s="64" t="s">
        <v>86</v>
      </c>
      <c r="AC2" s="64" t="s">
        <v>80</v>
      </c>
      <c r="AD2" s="64" t="s">
        <v>82</v>
      </c>
    </row>
    <row r="3" spans="1:30" x14ac:dyDescent="0.2">
      <c r="A3" s="54" t="str">
        <f>_xll.qlPeriodEquivalent(C3&amp;"M")</f>
        <v>1Y</v>
      </c>
      <c r="B3" s="46">
        <f>_xll.qlDateEndOfMonth(EDATE(_xll.qlSettingsEvaluationDate(Trigger),-1))</f>
        <v>42094</v>
      </c>
      <c r="C3" s="47">
        <v>12</v>
      </c>
      <c r="D3" s="46">
        <f>EDATE($Q$3,C3)</f>
        <v>42482</v>
      </c>
      <c r="E3" s="48">
        <f>IF(C3&lt;=12,1,IF(C3&lt;=24,3,IF(C3&lt;=120,6,IF(C3&lt;=240,12,IF(C3&lt;=360,36,60)))))</f>
        <v>1</v>
      </c>
      <c r="F3" s="52">
        <f>ROUNDDOWN(I3*10,2)/10</f>
        <v>1E-3</v>
      </c>
      <c r="G3" s="53">
        <f>IF(J3-I3&gt;1%,(QUOTIENT(J3*10000,50)+1)*0.5%,(QUOTIENT(J3*10000,10)+1)*0.1%)</f>
        <v>3.0000000000000001E-3</v>
      </c>
      <c r="H3" s="48">
        <f>IF(G3-F3&lt;0.5%,0.025%,IF(G3-F3&lt;1%,0.1%,IF(G3-F3&lt;2%,0.25%,0.5%)))</f>
        <v>2.5000000000000001E-4</v>
      </c>
      <c r="I3" s="53">
        <f>MIN(_xll.ohPack($Y$3:INDEX($Y$3:$Y$135,MATCH(D3+1,$R$3:$R$135,1),1)))</f>
        <v>1.9614869571547714E-3</v>
      </c>
      <c r="J3" s="53">
        <f>MAX(_xll.ohPack($Y$3:INDEX($Y$3:$Y$135,MATCH(D3+1,$R$3:$R$135,1),1)))</f>
        <v>2.2211207906710469E-3</v>
      </c>
      <c r="L3" s="83" t="s">
        <v>23</v>
      </c>
      <c r="M3" s="84" t="s">
        <v>43</v>
      </c>
      <c r="N3" s="85"/>
      <c r="O3" s="81">
        <v>0</v>
      </c>
      <c r="P3" s="81" t="str">
        <f>O3&amp;"M"</f>
        <v>0M</v>
      </c>
      <c r="Q3" s="68">
        <f>EvaluationDate</f>
        <v>42116</v>
      </c>
      <c r="R3" s="68">
        <f>_xll.qlInterestRateIndexValueDate(Index,Q3,Trigger)</f>
        <v>42118</v>
      </c>
      <c r="S3" s="68">
        <f>_xll.qlInterestRateIndexMaturity(Index,R3,Trigger)</f>
        <v>42303</v>
      </c>
      <c r="T3" s="69">
        <f>_xll.qlDayCounterYearFraction(DayCounter,R3,S3,,,Trigger)</f>
        <v>0.51388888888888884</v>
      </c>
      <c r="U3" s="70">
        <f>_xll.qlIndexFixing(Index,Q3,,AllTriggers)</f>
        <v>6.7999999999999994E-4</v>
      </c>
      <c r="V3" s="71">
        <f>_xll.qlYieldTSDiscount(OisCurve,R3,,AllTriggers)</f>
        <v>1</v>
      </c>
      <c r="W3" s="71">
        <f>_xll.qlYieldTSDiscount(OisCurve,S3,,AllTriggers)</f>
        <v>1.0006589758717661</v>
      </c>
      <c r="X3" s="70">
        <f>(V3/W3-1)/T3</f>
        <v>-1.2814869571547713E-3</v>
      </c>
      <c r="Y3" s="70">
        <f>U3-X3</f>
        <v>1.9614869571547714E-3</v>
      </c>
      <c r="Z3" s="70" t="e">
        <f ca="1">qlIntegralTenorBasisIntegrate($M$12,R3)</f>
        <v>#NAME?</v>
      </c>
      <c r="AA3" s="70" t="e">
        <f ca="1">(Z3-Y3)</f>
        <v>#NAME?</v>
      </c>
      <c r="AB3" s="69">
        <f>_xll.qlDayCounterYearFraction(DayCounter,SettlementDate,R3,,,Trigger)</f>
        <v>0</v>
      </c>
      <c r="AC3" s="70">
        <f>_xll.qlPureAbcdFunctionValue($M$25,AB3)</f>
        <v>1.9614869571547714E-3</v>
      </c>
      <c r="AD3" s="70">
        <f>(AC3-Y3)</f>
        <v>0</v>
      </c>
    </row>
    <row r="4" spans="1:30" x14ac:dyDescent="0.2">
      <c r="A4" s="54" t="str">
        <f>_xll.qlPeriodEquivalent(C4&amp;"M")</f>
        <v>2Y</v>
      </c>
      <c r="B4" s="46">
        <f>_xll.qlDateEndOfMonth(EDATE(_xll.qlIMMNextDate(_xll.qlSettingsEvaluationDate(Trigger)-1,TRUE),-3))</f>
        <v>42094</v>
      </c>
      <c r="C4" s="47">
        <v>24</v>
      </c>
      <c r="D4" s="46">
        <f t="shared" ref="D4:D9" si="0">EDATE($Q$3,C4)</f>
        <v>42847</v>
      </c>
      <c r="E4" s="48">
        <f t="shared" ref="E4:E9" si="1">IF(C4&lt;=12,1,IF(C4&lt;=24,3,IF(C4&lt;=120,6,IF(C4&lt;=240,12,IF(C4&lt;=360,36,60)))))</f>
        <v>3</v>
      </c>
      <c r="F4" s="52">
        <f t="shared" ref="F4:F9" si="2">ROUNDDOWN(I4*10,2)/10</f>
        <v>1E-3</v>
      </c>
      <c r="G4" s="53">
        <f t="shared" ref="G4:G9" si="3">IF(J4-I4&gt;1%,(QUOTIENT(J4*10000,50)+1)*0.5%,(QUOTIENT(J4*10000,10)+1)*0.1%)</f>
        <v>3.0000000000000001E-3</v>
      </c>
      <c r="H4" s="48">
        <f t="shared" ref="H4:H9" si="4">IF(G4-F4&lt;0.5%,0.025%,IF(G4-F4&lt;1%,0.1%,IF(G4-F4&lt;2%,0.25%,0.5%)))</f>
        <v>2.5000000000000001E-4</v>
      </c>
      <c r="I4" s="53">
        <f>MIN(_xll.ohPack($Y$3:INDEX($Y$3:$Y$135,MATCH(D4+1,$R$3:$R$135,1),1)))</f>
        <v>1.9614869571547714E-3</v>
      </c>
      <c r="J4" s="53">
        <f>MAX(_xll.ohPack($Y$3:INDEX($Y$3:$Y$135,MATCH(D4+1,$R$3:$R$135,1),1)))</f>
        <v>2.3729249715246578E-3</v>
      </c>
      <c r="L4" s="83" t="s">
        <v>22</v>
      </c>
      <c r="M4" s="84" t="str">
        <f>PROPER(Currency)&amp;IborType&amp;M3</f>
        <v>Euribor6M</v>
      </c>
      <c r="N4" s="85"/>
      <c r="O4" s="81">
        <v>1</v>
      </c>
      <c r="P4" s="66" t="str">
        <f>_xll.qlPeriodEquivalent(P3&amp;"+"&amp;O4&amp;"M")</f>
        <v>1M</v>
      </c>
      <c r="Q4" s="68">
        <f>_xll.qlCalendarAdvance(Calendar,SettlementDate,P4,"f",,Trigger)</f>
        <v>42149</v>
      </c>
      <c r="R4" s="68">
        <f>_xll.qlInterestRateIndexValueDate(Index,Q4,Trigger)</f>
        <v>42151</v>
      </c>
      <c r="S4" s="68">
        <f>_xll.qlInterestRateIndexMaturity(Index,R4,Trigger)</f>
        <v>42335</v>
      </c>
      <c r="T4" s="69">
        <f>_xll.qlDayCounterYearFraction(DayCounter,R4,S4,,,Trigger)</f>
        <v>0.51111111111111107</v>
      </c>
      <c r="U4" s="70">
        <f>_xll.qlIndexFixing(Index,Q4,,AllTriggers)</f>
        <v>6.3990266472722392E-4</v>
      </c>
      <c r="V4" s="71">
        <f>_xll.qlYieldTSDiscount(OisCurve,R4,,AllTriggers)</f>
        <v>1.0000793143066771</v>
      </c>
      <c r="W4" s="71">
        <f>_xll.qlYieldTSDiscount(OisCurve,S4,,AllTriggers)</f>
        <v>1.0007888065984007</v>
      </c>
      <c r="X4" s="70">
        <f t="shared" ref="X4:X67" si="5">(V4/W4-1)/T4</f>
        <v>-1.3870429838448296E-3</v>
      </c>
      <c r="Y4" s="70">
        <f>U4-X4</f>
        <v>2.0269456485720533E-3</v>
      </c>
      <c r="Z4" s="70" t="e">
        <f t="shared" ref="Z4:Z67" ca="1" si="6">qlIntegralTenorBasisIntegrate($M$12,R4)</f>
        <v>#NAME?</v>
      </c>
      <c r="AA4" s="70" t="e">
        <f ca="1">(Z4-Y4)</f>
        <v>#NAME?</v>
      </c>
      <c r="AB4" s="69">
        <f>_xll.qlDayCounterYearFraction(DayCounter,SettlementDate,R4,,,Trigger)</f>
        <v>9.166666666666666E-2</v>
      </c>
      <c r="AC4" s="70">
        <f>_xll.qlPureAbcdFunctionValue($M$25,AB4)</f>
        <v>1.9994504731733714E-3</v>
      </c>
      <c r="AD4" s="70">
        <f t="shared" ref="AD4:AD67" si="7">(AC4-Y4)</f>
        <v>-2.74951753986819E-5</v>
      </c>
    </row>
    <row r="5" spans="1:30" x14ac:dyDescent="0.2">
      <c r="A5" s="54" t="str">
        <f>_xll.qlPeriodEquivalent(C5&amp;"M")</f>
        <v>5Y</v>
      </c>
      <c r="B5" s="4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47">
        <v>60</v>
      </c>
      <c r="D5" s="46">
        <f t="shared" si="0"/>
        <v>43943</v>
      </c>
      <c r="E5" s="48">
        <f t="shared" si="1"/>
        <v>6</v>
      </c>
      <c r="F5" s="52">
        <f t="shared" si="2"/>
        <v>1E-3</v>
      </c>
      <c r="G5" s="53">
        <f t="shared" si="3"/>
        <v>3.0000000000000001E-3</v>
      </c>
      <c r="H5" s="48">
        <f t="shared" si="4"/>
        <v>2.5000000000000001E-4</v>
      </c>
      <c r="I5" s="53">
        <f>MIN(_xll.ohPack($Y$3:INDEX($Y$3:$Y$135,MATCH(D5+1,$R$3:$R$135,1),1)))</f>
        <v>1.9614869571547714E-3</v>
      </c>
      <c r="J5" s="53">
        <f>MAX(_xll.ohPack($Y$3:INDEX($Y$3:$Y$135,MATCH(D5+1,$R$3:$R$135,1),1)))</f>
        <v>2.881543126531493E-3</v>
      </c>
      <c r="O5" s="81">
        <v>1</v>
      </c>
      <c r="P5" s="67" t="str">
        <f>_xll.qlPeriodEquivalent(P4&amp;"+"&amp;O5&amp;"M")</f>
        <v>2M</v>
      </c>
      <c r="Q5" s="68">
        <f>_xll.qlCalendarAdvance(Calendar,SettlementDate,P5,"f",,Trigger)</f>
        <v>42179</v>
      </c>
      <c r="R5" s="68">
        <f>_xll.qlInterestRateIndexValueDate(Index,Q5,Trigger)</f>
        <v>42181</v>
      </c>
      <c r="S5" s="68">
        <f>_xll.qlInterestRateIndexMaturity(Index,R5,Trigger)</f>
        <v>42366</v>
      </c>
      <c r="T5" s="69">
        <f>_xll.qlDayCounterYearFraction(DayCounter,R5,S5,,,Trigger)</f>
        <v>0.51388888888888884</v>
      </c>
      <c r="U5" s="70">
        <f>_xll.qlIndexFixing(Index,Q5,,AllTriggers)</f>
        <v>6.4825125767093924E-4</v>
      </c>
      <c r="V5" s="71">
        <f>_xll.qlYieldTSDiscount(OisCurve,R5,,AllTriggers)</f>
        <v>1.000175803001512</v>
      </c>
      <c r="W5" s="71">
        <f>_xll.qlYieldTSDiscount(OisCurve,S5,,AllTriggers)</f>
        <v>1.0009236201242628</v>
      </c>
      <c r="X5" s="70">
        <f t="shared" si="5"/>
        <v>-1.4538688757742288E-3</v>
      </c>
      <c r="Y5" s="70">
        <f>U5-X5</f>
        <v>2.102120133445168E-3</v>
      </c>
      <c r="Z5" s="70" t="e">
        <f t="shared" ca="1" si="6"/>
        <v>#NAME?</v>
      </c>
      <c r="AA5" s="70" t="e">
        <f ca="1">(Z5-Y5)</f>
        <v>#NAME?</v>
      </c>
      <c r="AB5" s="69">
        <f>_xll.qlDayCounterYearFraction(DayCounter,SettlementDate,R5,,,Trigger)</f>
        <v>0.17499999999999999</v>
      </c>
      <c r="AC5" s="70">
        <f>_xll.qlPureAbcdFunctionValue($M$25,AB5)</f>
        <v>2.0327434333145661E-3</v>
      </c>
      <c r="AD5" s="70">
        <f t="shared" si="7"/>
        <v>-6.9376700130601831E-5</v>
      </c>
    </row>
    <row r="6" spans="1:30" x14ac:dyDescent="0.2">
      <c r="A6" s="54" t="str">
        <f>_xll.qlPeriodEquivalent(C6&amp;"M")</f>
        <v>10Y</v>
      </c>
      <c r="B6" s="46">
        <f t="shared" ref="B6:B9" si="8">B5</f>
        <v>42004</v>
      </c>
      <c r="C6" s="47">
        <v>120</v>
      </c>
      <c r="D6" s="46">
        <f t="shared" si="0"/>
        <v>45769</v>
      </c>
      <c r="E6" s="48">
        <f t="shared" si="1"/>
        <v>6</v>
      </c>
      <c r="F6" s="52">
        <f t="shared" si="2"/>
        <v>1E-3</v>
      </c>
      <c r="G6" s="53">
        <f t="shared" si="3"/>
        <v>3.0000000000000001E-3</v>
      </c>
      <c r="H6" s="48">
        <f t="shared" si="4"/>
        <v>2.5000000000000001E-4</v>
      </c>
      <c r="I6" s="53">
        <f>MIN(_xll.ohPack($Y$3:INDEX($Y$3:$Y$135,MATCH(D6+1,$R$3:$R$135,1),1)))</f>
        <v>1.9614869571547714E-3</v>
      </c>
      <c r="J6" s="53">
        <f>MAX(_xll.ohPack($Y$3:INDEX($Y$3:$Y$135,MATCH(D6+1,$R$3:$R$135,1),1)))</f>
        <v>2.881543126531493E-3</v>
      </c>
      <c r="N6" s="82"/>
      <c r="O6" s="81">
        <v>1</v>
      </c>
      <c r="P6" s="67" t="str">
        <f>_xll.qlPeriodEquivalent(P5&amp;"+"&amp;O6&amp;"M")</f>
        <v>3M</v>
      </c>
      <c r="Q6" s="68">
        <f>_xll.qlCalendarAdvance(Calendar,SettlementDate,P6,"f",,Trigger)</f>
        <v>42209</v>
      </c>
      <c r="R6" s="68">
        <f>_xll.qlInterestRateIndexValueDate(Index,Q6,Trigger)</f>
        <v>42213</v>
      </c>
      <c r="S6" s="68">
        <f>_xll.qlInterestRateIndexMaturity(Index,R6,Trigger)</f>
        <v>42397</v>
      </c>
      <c r="T6" s="69">
        <f>_xll.qlDayCounterYearFraction(DayCounter,R6,S6,,,Trigger)</f>
        <v>0.51111111111111107</v>
      </c>
      <c r="U6" s="70">
        <f>_xll.qlIndexFixing(Index,Q6,,AllTriggers)</f>
        <v>6.3616009184779183E-4</v>
      </c>
      <c r="V6" s="71">
        <f>_xll.qlYieldTSDiscount(OisCurve,R6,,AllTriggers)</f>
        <v>1.0003000665664634</v>
      </c>
      <c r="W6" s="71">
        <f>_xll.qlYieldTSDiscount(OisCurve,S6,,AllTriggers)</f>
        <v>1.0010484912344206</v>
      </c>
      <c r="X6" s="70">
        <f t="shared" si="5"/>
        <v>-1.4627754257478846E-3</v>
      </c>
      <c r="Y6" s="70">
        <f>U6-X6</f>
        <v>2.0989355175956765E-3</v>
      </c>
      <c r="Z6" s="70" t="e">
        <f t="shared" ca="1" si="6"/>
        <v>#NAME?</v>
      </c>
      <c r="AA6" s="70" t="e">
        <f ca="1">(Z6-Y6)</f>
        <v>#NAME?</v>
      </c>
      <c r="AB6" s="69">
        <f>_xll.qlDayCounterYearFraction(DayCounter,SettlementDate,R6,,,Trigger)</f>
        <v>0.2638888888888889</v>
      </c>
      <c r="AC6" s="70">
        <f>_xll.qlPureAbcdFunctionValue($M$25,AB6)</f>
        <v>2.0670042861298654E-3</v>
      </c>
      <c r="AD6" s="70">
        <f t="shared" si="7"/>
        <v>-3.1931231465811161E-5</v>
      </c>
    </row>
    <row r="7" spans="1:30" x14ac:dyDescent="0.2">
      <c r="A7" s="54" t="str">
        <f>_xll.qlPeriodEquivalent(C7&amp;"M")</f>
        <v>20Y</v>
      </c>
      <c r="B7" s="46">
        <f>IF(AND(MONTH(B6)=12),B6,_xll.qlDateEndOfMonth(EDATE(B6,-6)))</f>
        <v>42004</v>
      </c>
      <c r="C7" s="47">
        <v>240</v>
      </c>
      <c r="D7" s="46">
        <f t="shared" si="0"/>
        <v>49421</v>
      </c>
      <c r="E7" s="49">
        <f t="shared" si="1"/>
        <v>12</v>
      </c>
      <c r="F7" s="52">
        <f t="shared" si="2"/>
        <v>0</v>
      </c>
      <c r="G7" s="53">
        <f t="shared" si="3"/>
        <v>3.0000000000000001E-3</v>
      </c>
      <c r="H7" s="48">
        <f t="shared" si="4"/>
        <v>2.5000000000000001E-4</v>
      </c>
      <c r="I7" s="53">
        <f>MIN(_xll.ohPack($Y$3:INDEX($Y$3:$Y$135,MATCH(D7+1,$R$3:$R$135,1),1)))</f>
        <v>9.8032548109623641E-4</v>
      </c>
      <c r="J7" s="53">
        <f>MAX(_xll.ohPack($Y$3:INDEX($Y$3:$Y$135,MATCH(D7+1,$R$3:$R$135,1),1)))</f>
        <v>2.881543126531493E-3</v>
      </c>
      <c r="L7" s="83" t="s">
        <v>47</v>
      </c>
      <c r="M7" s="96">
        <v>2.7665801210775827E-3</v>
      </c>
      <c r="O7" s="81">
        <v>1</v>
      </c>
      <c r="P7" s="67" t="str">
        <f>_xll.qlPeriodEquivalent(P6&amp;"+"&amp;O7&amp;"M")</f>
        <v>4M</v>
      </c>
      <c r="Q7" s="68">
        <f>_xll.qlCalendarAdvance(Calendar,SettlementDate,P7,"f",,Trigger)</f>
        <v>42240</v>
      </c>
      <c r="R7" s="68">
        <f>_xll.qlInterestRateIndexValueDate(Index,Q7,Trigger)</f>
        <v>42242</v>
      </c>
      <c r="S7" s="68">
        <f>_xll.qlInterestRateIndexMaturity(Index,R7,Trigger)</f>
        <v>42426</v>
      </c>
      <c r="T7" s="69">
        <f>_xll.qlDayCounterYearFraction(DayCounter,R7,S7,,,Trigger)</f>
        <v>0.51111111111111107</v>
      </c>
      <c r="U7" s="70">
        <f>_xll.qlIndexFixing(Index,Q7,,AllTriggers)</f>
        <v>6.2953100611918211E-4</v>
      </c>
      <c r="V7" s="71">
        <f>_xll.qlYieldTSDiscount(OisCurve,R7,,AllTriggers)</f>
        <v>1.0004141136396612</v>
      </c>
      <c r="W7" s="71">
        <f>_xll.qlYieldTSDiscount(OisCurve,S7,,AllTriggers)</f>
        <v>1.0011765272842201</v>
      </c>
      <c r="X7" s="70">
        <f t="shared" si="5"/>
        <v>-1.4899259312797426E-3</v>
      </c>
      <c r="Y7" s="70">
        <f>U7-X7</f>
        <v>2.1194569373989246E-3</v>
      </c>
      <c r="Z7" s="70" t="e">
        <f t="shared" ca="1" si="6"/>
        <v>#NAME?</v>
      </c>
      <c r="AA7" s="70" t="e">
        <f ca="1">(Z7-Y7)</f>
        <v>#NAME?</v>
      </c>
      <c r="AB7" s="69">
        <f>_xll.qlDayCounterYearFraction(DayCounter,SettlementDate,R7,,,Trigger)</f>
        <v>0.34444444444444444</v>
      </c>
      <c r="AC7" s="70">
        <f>_xll.qlPureAbcdFunctionValue($M$25,AB7)</f>
        <v>2.0969609323898608E-3</v>
      </c>
      <c r="AD7" s="70">
        <f t="shared" si="7"/>
        <v>-2.2496005009063798E-5</v>
      </c>
    </row>
    <row r="8" spans="1:30" x14ac:dyDescent="0.2">
      <c r="A8" s="54" t="str">
        <f>_xll.qlPeriodEquivalent(C8&amp;"M")</f>
        <v>30Y</v>
      </c>
      <c r="B8" s="46">
        <f t="shared" si="8"/>
        <v>42004</v>
      </c>
      <c r="C8" s="47">
        <v>360</v>
      </c>
      <c r="D8" s="46">
        <f t="shared" si="0"/>
        <v>53074</v>
      </c>
      <c r="E8" s="49">
        <f t="shared" si="1"/>
        <v>36</v>
      </c>
      <c r="F8" s="52">
        <f t="shared" si="2"/>
        <v>0</v>
      </c>
      <c r="G8" s="53">
        <f t="shared" si="3"/>
        <v>3.0000000000000001E-3</v>
      </c>
      <c r="H8" s="48">
        <f t="shared" si="4"/>
        <v>2.5000000000000001E-4</v>
      </c>
      <c r="I8" s="53">
        <f>MIN(_xll.ohPack($Y$3:INDEX($Y$3:$Y$135,MATCH(D8+1,$R$3:$R$135,1),1)))</f>
        <v>6.2298151794622399E-4</v>
      </c>
      <c r="J8" s="53">
        <f>MAX(_xll.ohPack($Y$3:INDEX($Y$3:$Y$135,MATCH(D8+1,$R$3:$R$135,1),1)))</f>
        <v>2.881543126531493E-3</v>
      </c>
      <c r="L8" s="83" t="s">
        <v>48</v>
      </c>
      <c r="M8" s="97">
        <v>1.4070370147881248E-3</v>
      </c>
      <c r="O8" s="81">
        <v>1</v>
      </c>
      <c r="P8" s="67" t="str">
        <f>_xll.qlPeriodEquivalent(P7&amp;"+"&amp;O8&amp;"M")</f>
        <v>5M</v>
      </c>
      <c r="Q8" s="68">
        <f>_xll.qlCalendarAdvance(Calendar,SettlementDate,P8,"f",,Trigger)</f>
        <v>42271</v>
      </c>
      <c r="R8" s="68">
        <f>_xll.qlInterestRateIndexValueDate(Index,Q8,Trigger)</f>
        <v>42275</v>
      </c>
      <c r="S8" s="68">
        <f>_xll.qlInterestRateIndexMaturity(Index,R8,Trigger)</f>
        <v>42458</v>
      </c>
      <c r="T8" s="69">
        <f>_xll.qlDayCounterYearFraction(DayCounter,R8,S8,,,Trigger)</f>
        <v>0.5083333333333333</v>
      </c>
      <c r="U8" s="70">
        <f>_xll.qlIndexFixing(Index,Q8,,AllTriggers)</f>
        <v>6.2816298886557735E-4</v>
      </c>
      <c r="V8" s="71">
        <f>_xll.qlYieldTSDiscount(OisCurve,R8,,AllTriggers)</f>
        <v>1.0005469434821945</v>
      </c>
      <c r="W8" s="71">
        <f>_xll.qlYieldTSDiscount(OisCurve,S8,,AllTriggers)</f>
        <v>1.0013204266198894</v>
      </c>
      <c r="X8" s="70">
        <f t="shared" si="5"/>
        <v>-1.5195996526815982E-3</v>
      </c>
      <c r="Y8" s="70">
        <f>U8-X8</f>
        <v>2.1477626415471757E-3</v>
      </c>
      <c r="Z8" s="70" t="e">
        <f t="shared" ca="1" si="6"/>
        <v>#NAME?</v>
      </c>
      <c r="AA8" s="70" t="e">
        <f ca="1">(Z8-Y8)</f>
        <v>#NAME?</v>
      </c>
      <c r="AB8" s="69">
        <f>_xll.qlDayCounterYearFraction(DayCounter,SettlementDate,R8,,,Trigger)</f>
        <v>0.43611111111111112</v>
      </c>
      <c r="AC8" s="70">
        <f>_xll.qlPureAbcdFunctionValue($M$25,AB8)</f>
        <v>2.1298140953519081E-3</v>
      </c>
      <c r="AD8" s="70">
        <f t="shared" si="7"/>
        <v>-1.7948546195267669E-5</v>
      </c>
    </row>
    <row r="9" spans="1:30" x14ac:dyDescent="0.2">
      <c r="A9" s="55" t="str">
        <f>_xll.qlPeriodEquivalent(C9&amp;"M")</f>
        <v>60Y</v>
      </c>
      <c r="B9" s="56">
        <f t="shared" si="8"/>
        <v>42004</v>
      </c>
      <c r="C9" s="57">
        <v>720</v>
      </c>
      <c r="D9" s="56">
        <f t="shared" si="0"/>
        <v>64031</v>
      </c>
      <c r="E9" s="58">
        <f t="shared" si="1"/>
        <v>60</v>
      </c>
      <c r="F9" s="59">
        <f t="shared" si="2"/>
        <v>0</v>
      </c>
      <c r="G9" s="60">
        <f t="shared" si="3"/>
        <v>3.0000000000000001E-3</v>
      </c>
      <c r="H9" s="61">
        <f t="shared" si="4"/>
        <v>2.5000000000000001E-4</v>
      </c>
      <c r="I9" s="60">
        <f>MIN(_xll.ohPack($Y$3:INDEX($Y$3:$Y$135,MATCH(D9+1,$R$3:$R$135,1),1)))</f>
        <v>2.5679085583512219E-4</v>
      </c>
      <c r="J9" s="60">
        <f>MAX(_xll.ohPack($Y$3:INDEX($Y$3:$Y$135,MATCH(D9+1,$R$3:$R$135,1),1)))</f>
        <v>2.881543126531493E-3</v>
      </c>
      <c r="L9" s="83" t="s">
        <v>49</v>
      </c>
      <c r="M9" s="97">
        <v>0.15878272205138827</v>
      </c>
      <c r="O9" s="81">
        <v>1</v>
      </c>
      <c r="P9" s="67" t="str">
        <f>_xll.qlPeriodEquivalent(P8&amp;"+"&amp;O9&amp;"M")</f>
        <v>6M</v>
      </c>
      <c r="Q9" s="68">
        <f>_xll.qlCalendarAdvance(Calendar,SettlementDate,P9,"f",,Trigger)</f>
        <v>42303</v>
      </c>
      <c r="R9" s="68">
        <f>_xll.qlInterestRateIndexValueDate(Index,Q9,Trigger)</f>
        <v>42305</v>
      </c>
      <c r="S9" s="68">
        <f>_xll.qlInterestRateIndexMaturity(Index,R9,Trigger)</f>
        <v>42488</v>
      </c>
      <c r="T9" s="69">
        <f>_xll.qlDayCounterYearFraction(DayCounter,R9,S9,,,Trigger)</f>
        <v>0.5083333333333333</v>
      </c>
      <c r="U9" s="70">
        <f>_xll.qlIndexFixing(Index,Q9,,AllTriggers)</f>
        <v>6.2031457103475026E-4</v>
      </c>
      <c r="V9" s="71">
        <f>_xll.qlYieldTSDiscount(OisCurve,R9,,AllTriggers)</f>
        <v>1.0006673904103707</v>
      </c>
      <c r="W9" s="71">
        <f>_xll.qlYieldTSDiscount(OisCurve,S9,,AllTriggers)</f>
        <v>1.0014483510259495</v>
      </c>
      <c r="X9" s="70">
        <f t="shared" si="5"/>
        <v>-1.5340940583697385E-3</v>
      </c>
      <c r="Y9" s="70">
        <f>U9-X9</f>
        <v>2.1544086294044886E-3</v>
      </c>
      <c r="Z9" s="70" t="e">
        <f t="shared" ca="1" si="6"/>
        <v>#NAME?</v>
      </c>
      <c r="AA9" s="70" t="e">
        <f ca="1">(Z9-Y9)</f>
        <v>#NAME?</v>
      </c>
      <c r="AB9" s="69">
        <f>_xll.qlDayCounterYearFraction(DayCounter,SettlementDate,R9,,,Trigger)</f>
        <v>0.51944444444444449</v>
      </c>
      <c r="AC9" s="70">
        <f>_xll.qlPureAbcdFunctionValue($M$25,AB9)</f>
        <v>2.1585640792515094E-3</v>
      </c>
      <c r="AD9" s="70">
        <f t="shared" si="7"/>
        <v>4.1554498470207889E-6</v>
      </c>
    </row>
    <row r="10" spans="1:30" x14ac:dyDescent="0.2">
      <c r="A10" s="54" t="str">
        <f>_xll.qlPeriodEquivalent(C10&amp;"M")</f>
        <v>1Y</v>
      </c>
      <c r="B10" s="46">
        <f>_xll.qlDateEndOfMonth(EDATE(_xll.qlSettingsEvaluationDate(Trigger),-1))</f>
        <v>42094</v>
      </c>
      <c r="C10" s="47">
        <v>12</v>
      </c>
      <c r="D10" s="46">
        <f>EDATE($Q$3,C10)</f>
        <v>42482</v>
      </c>
      <c r="E10" s="48">
        <f>IF(C10&lt;=12,1,IF(C10&lt;=24,3,IF(C10&lt;=120,6,IF(C10&lt;=240,12,IF(C10&lt;=360,36,60)))))</f>
        <v>1</v>
      </c>
      <c r="F10" s="52">
        <f>ROUNDDOWN(I10*10,2)/10</f>
        <v>1E-3</v>
      </c>
      <c r="G10" s="53">
        <f>IF(J10-I10&gt;1%,(QUOTIENT(J10*10000,50)+1)*0.5%,(QUOTIENT(J10*10000,10)+1)*0.1%)</f>
        <v>3.0000000000000001E-3</v>
      </c>
      <c r="H10" s="48">
        <f>IF(G10-F10&lt;0.5%,0.025%,IF(G10-F10&lt;1%,0.1%,IF(G10-F10&lt;2%,0.25%,0.5%)))</f>
        <v>2.5000000000000001E-4</v>
      </c>
      <c r="I10" s="53">
        <f>MIN(_xll.ohPack($Y$3:INDEX($Y$3:$Y$135,MATCH(D10+1,$R$3:$R$135,1),1)))</f>
        <v>1.9614869571547714E-3</v>
      </c>
      <c r="J10" s="53">
        <f>MAX(_xll.ohPack($Y$3:INDEX($Y$3:$Y$135,MATCH(D10+1,$R$3:$R$135,1),1)))</f>
        <v>2.2211207906710469E-3</v>
      </c>
      <c r="L10" s="83" t="s">
        <v>50</v>
      </c>
      <c r="M10" s="96">
        <v>7.9262982673245939E-4</v>
      </c>
      <c r="O10" s="81">
        <v>1</v>
      </c>
      <c r="P10" s="67" t="str">
        <f>_xll.qlPeriodEquivalent(P9&amp;"+"&amp;O10&amp;"M")</f>
        <v>7M</v>
      </c>
      <c r="Q10" s="68">
        <f>_xll.qlCalendarAdvance(Calendar,SettlementDate,P10,"f",,Trigger)</f>
        <v>42332</v>
      </c>
      <c r="R10" s="68">
        <f>_xll.qlInterestRateIndexValueDate(Index,Q10,Trigger)</f>
        <v>42334</v>
      </c>
      <c r="S10" s="68">
        <f>_xll.qlInterestRateIndexMaturity(Index,R10,Trigger)</f>
        <v>42516</v>
      </c>
      <c r="T10" s="69">
        <f>_xll.qlDayCounterYearFraction(DayCounter,R10,S10,,,Trigger)</f>
        <v>0.50555555555555554</v>
      </c>
      <c r="U10" s="70">
        <f>_xll.qlIndexFixing(Index,Q10,,AllTriggers)</f>
        <v>6.2088047479313957E-4</v>
      </c>
      <c r="V10" s="71">
        <f>_xll.qlYieldTSDiscount(OisCurve,R10,,AllTriggers)</f>
        <v>1.000784471045655</v>
      </c>
      <c r="W10" s="71">
        <f>_xll.qlYieldTSDiscount(OisCurve,S10,,AllTriggers)</f>
        <v>1.0015694831594628</v>
      </c>
      <c r="X10" s="70">
        <f t="shared" si="5"/>
        <v>-1.5503379847666005E-3</v>
      </c>
      <c r="Y10" s="70">
        <f>U10-X10</f>
        <v>2.17121845955974E-3</v>
      </c>
      <c r="Z10" s="70" t="e">
        <f t="shared" ca="1" si="6"/>
        <v>#NAME?</v>
      </c>
      <c r="AA10" s="70" t="e">
        <f ca="1">(Z10-Y10)</f>
        <v>#NAME?</v>
      </c>
      <c r="AB10" s="69">
        <f>_xll.qlDayCounterYearFraction(DayCounter,SettlementDate,R10,,,Trigger)</f>
        <v>0.6</v>
      </c>
      <c r="AC10" s="70">
        <f>_xll.qlPureAbcdFunctionValue($M$25,AB10)</f>
        <v>2.185366910272006E-3</v>
      </c>
      <c r="AD10" s="70">
        <f t="shared" si="7"/>
        <v>1.4148450712265972E-5</v>
      </c>
    </row>
    <row r="11" spans="1:30" x14ac:dyDescent="0.2">
      <c r="A11" s="54" t="str">
        <f>_xll.qlPeriodEquivalent(C11&amp;"M")</f>
        <v>2Y</v>
      </c>
      <c r="B11" s="46">
        <f>_xll.qlDateEndOfMonth(EDATE(_xll.qlIMMNextDate(_xll.qlSettingsEvaluationDate(Trigger)-1,TRUE),-3))</f>
        <v>42094</v>
      </c>
      <c r="C11" s="47">
        <v>24</v>
      </c>
      <c r="D11" s="46">
        <f t="shared" ref="D11:D16" si="9">EDATE($Q$3,C11)</f>
        <v>42847</v>
      </c>
      <c r="E11" s="48">
        <f t="shared" ref="E11:E16" si="10">IF(C11&lt;=12,1,IF(C11&lt;=24,3,IF(C11&lt;=120,6,IF(C11&lt;=240,12,IF(C11&lt;=360,36,60)))))</f>
        <v>3</v>
      </c>
      <c r="F11" s="52">
        <f t="shared" ref="F11:F16" si="11">ROUNDDOWN(I11*10,2)/10</f>
        <v>1E-3</v>
      </c>
      <c r="G11" s="53">
        <f t="shared" ref="G11:G16" si="12">IF(J11-I11&gt;1%,(QUOTIENT(J11*10000,50)+1)*0.5%,(QUOTIENT(J11*10000,10)+1)*0.1%)</f>
        <v>3.0000000000000001E-3</v>
      </c>
      <c r="H11" s="48">
        <f t="shared" ref="H11:H16" si="13">IF(G11-F11&lt;0.5%,0.025%,IF(G11-F11&lt;1%,0.1%,IF(G11-F11&lt;2%,0.25%,0.5%)))</f>
        <v>2.5000000000000001E-4</v>
      </c>
      <c r="I11" s="53">
        <f>MIN(_xll.ohPack($Y$3:INDEX($Y$3:$Y$135,MATCH(D11+1,$R$3:$R$135,1),1)))</f>
        <v>1.9614869571547714E-3</v>
      </c>
      <c r="J11" s="53">
        <f>MAX(_xll.ohPack($Y$3:INDEX($Y$3:$Y$135,MATCH(D11+1,$R$3:$R$135,1),1)))</f>
        <v>2.3729249715246578E-3</v>
      </c>
      <c r="L11" s="83" t="s">
        <v>84</v>
      </c>
      <c r="M11" s="84" t="str">
        <f>_xll.qlPureAbcdFunction(,M7,M8,M9,M10)</f>
        <v>obj_00c3a#0455</v>
      </c>
      <c r="O11" s="81">
        <v>1</v>
      </c>
      <c r="P11" s="67" t="str">
        <f>_xll.qlPeriodEquivalent(P10&amp;"+"&amp;O11&amp;"M")</f>
        <v>8M</v>
      </c>
      <c r="Q11" s="68">
        <f>_xll.qlCalendarAdvance(Calendar,SettlementDate,P11,"f",,Trigger)</f>
        <v>42362</v>
      </c>
      <c r="R11" s="68">
        <f>_xll.qlInterestRateIndexValueDate(Index,Q11,Trigger)</f>
        <v>42367</v>
      </c>
      <c r="S11" s="68">
        <f>_xll.qlInterestRateIndexMaturity(Index,R11,Trigger)</f>
        <v>42550</v>
      </c>
      <c r="T11" s="69">
        <f>_xll.qlDayCounterYearFraction(DayCounter,R11,S11,,,Trigger)</f>
        <v>0.5083333333333333</v>
      </c>
      <c r="U11" s="70">
        <f>_xll.qlIndexFixing(Index,Q11,,AllTriggers)</f>
        <v>6.3491891567110886E-4</v>
      </c>
      <c r="V11" s="71">
        <f>_xll.qlYieldTSDiscount(OisCurve,R11,,AllTriggers)</f>
        <v>1.0009281223759088</v>
      </c>
      <c r="W11" s="71">
        <f>_xll.qlYieldTSDiscount(OisCurve,S11,,AllTriggers)</f>
        <v>1.0017197548024797</v>
      </c>
      <c r="X11" s="70">
        <f t="shared" si="5"/>
        <v>-1.5546360987180384E-3</v>
      </c>
      <c r="Y11" s="70">
        <f>U11-X11</f>
        <v>2.1895550143891471E-3</v>
      </c>
      <c r="Z11" s="70" t="e">
        <f t="shared" ca="1" si="6"/>
        <v>#NAME?</v>
      </c>
      <c r="AA11" s="70" t="e">
        <f ca="1">(Z11-Y11)</f>
        <v>#NAME?</v>
      </c>
      <c r="AB11" s="69">
        <f>_xll.qlDayCounterYearFraction(DayCounter,SettlementDate,R11,,,Trigger)</f>
        <v>0.69166666666666665</v>
      </c>
      <c r="AC11" s="70">
        <f>_xll.qlPureAbcdFunctionValue($M$25,AB11)</f>
        <v>2.2147100294799553E-3</v>
      </c>
      <c r="AD11" s="70">
        <f t="shared" si="7"/>
        <v>2.5155015090808173E-5</v>
      </c>
    </row>
    <row r="12" spans="1:30" x14ac:dyDescent="0.2">
      <c r="A12" s="54" t="str">
        <f>_xll.qlPeriodEquivalent(C12&amp;"M")</f>
        <v>5Y</v>
      </c>
      <c r="B12" s="4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47">
        <v>60</v>
      </c>
      <c r="D12" s="46">
        <f t="shared" si="9"/>
        <v>43943</v>
      </c>
      <c r="E12" s="48">
        <f t="shared" si="10"/>
        <v>6</v>
      </c>
      <c r="F12" s="52">
        <f t="shared" si="11"/>
        <v>1E-3</v>
      </c>
      <c r="G12" s="53">
        <f t="shared" si="12"/>
        <v>3.0000000000000001E-3</v>
      </c>
      <c r="H12" s="48">
        <f t="shared" si="13"/>
        <v>2.5000000000000001E-4</v>
      </c>
      <c r="I12" s="53">
        <f>MIN(_xll.ohPack($Y$3:INDEX($Y$3:$Y$135,MATCH(D12+1,$R$3:$R$135,1),1)))</f>
        <v>1.9614869571547714E-3</v>
      </c>
      <c r="J12" s="53">
        <f>MAX(_xll.ohPack($Y$3:INDEX($Y$3:$Y$135,MATCH(D12+1,$R$3:$R$135,1),1)))</f>
        <v>2.881543126531493E-3</v>
      </c>
      <c r="L12" s="83" t="s">
        <v>83</v>
      </c>
      <c r="M12" s="84" t="str">
        <f>_xll.qlAbcdIntegralTenorBasis(,SettlementDate,Index,Currency&amp;"ON",$M$11,,Trigger)</f>
        <v>obj_00c3b#0444</v>
      </c>
      <c r="N12" s="82"/>
      <c r="O12" s="81">
        <v>1</v>
      </c>
      <c r="P12" s="67" t="str">
        <f>_xll.qlPeriodEquivalent(P11&amp;"+"&amp;O12&amp;"M")</f>
        <v>9M</v>
      </c>
      <c r="Q12" s="68">
        <f>_xll.qlCalendarAdvance(Calendar,SettlementDate,P12,"f",,Trigger)</f>
        <v>42394</v>
      </c>
      <c r="R12" s="68">
        <f>_xll.qlInterestRateIndexValueDate(Index,Q12,Trigger)</f>
        <v>42396</v>
      </c>
      <c r="S12" s="68">
        <f>_xll.qlInterestRateIndexMaturity(Index,R12,Trigger)</f>
        <v>42578</v>
      </c>
      <c r="T12" s="69">
        <f>_xll.qlDayCounterYearFraction(DayCounter,R12,S12,,,Trigger)</f>
        <v>0.50555555555555554</v>
      </c>
      <c r="U12" s="70">
        <f>_xll.qlIndexFixing(Index,Q12,,AllTriggers)</f>
        <v>6.4243981151604866E-4</v>
      </c>
      <c r="V12" s="71">
        <f>_xll.qlYieldTSDiscount(OisCurve,R12,,AllTriggers)</f>
        <v>1.0010438650034574</v>
      </c>
      <c r="W12" s="71">
        <f>_xll.qlYieldTSDiscount(OisCurve,S12,,AllTriggers)</f>
        <v>1.0018434472183104</v>
      </c>
      <c r="X12" s="70">
        <f t="shared" si="5"/>
        <v>-1.5786809791549985E-3</v>
      </c>
      <c r="Y12" s="70">
        <f>U12-X12</f>
        <v>2.2211207906710469E-3</v>
      </c>
      <c r="Z12" s="70" t="e">
        <f t="shared" ca="1" si="6"/>
        <v>#NAME?</v>
      </c>
      <c r="AA12" s="70" t="e">
        <f ca="1">(Z12-Y12)</f>
        <v>#NAME?</v>
      </c>
      <c r="AB12" s="69">
        <f>_xll.qlDayCounterYearFraction(DayCounter,SettlementDate,R12,,,Trigger)</f>
        <v>0.77222222222222225</v>
      </c>
      <c r="AC12" s="70">
        <f>_xll.qlPureAbcdFunctionValue($M$25,AB12)</f>
        <v>2.2395019445828925E-3</v>
      </c>
      <c r="AD12" s="70">
        <f t="shared" si="7"/>
        <v>1.8381153911845548E-5</v>
      </c>
    </row>
    <row r="13" spans="1:30" x14ac:dyDescent="0.2">
      <c r="A13" s="54" t="str">
        <f>_xll.qlPeriodEquivalent(C13&amp;"M")</f>
        <v>10Y</v>
      </c>
      <c r="B13" s="46">
        <f t="shared" ref="B13:B16" si="14">B12</f>
        <v>42004</v>
      </c>
      <c r="C13" s="47">
        <v>120</v>
      </c>
      <c r="D13" s="46">
        <f t="shared" si="9"/>
        <v>45769</v>
      </c>
      <c r="E13" s="48">
        <f t="shared" si="10"/>
        <v>6</v>
      </c>
      <c r="F13" s="52">
        <f t="shared" si="11"/>
        <v>1E-3</v>
      </c>
      <c r="G13" s="53">
        <f t="shared" si="12"/>
        <v>3.0000000000000001E-3</v>
      </c>
      <c r="H13" s="48">
        <f t="shared" si="13"/>
        <v>2.5000000000000001E-4</v>
      </c>
      <c r="I13" s="53">
        <f>MIN(_xll.ohPack($Y$3:INDEX($Y$3:$Y$135,MATCH(D13+1,$R$3:$R$135,1),1)))</f>
        <v>1.9614869571547714E-3</v>
      </c>
      <c r="J13" s="53">
        <f>MAX(_xll.ohPack($Y$3:INDEX($Y$3:$Y$135,MATCH(D13+1,$R$3:$R$135,1),1)))</f>
        <v>2.881543126531493E-3</v>
      </c>
      <c r="L13" s="83" t="s">
        <v>79</v>
      </c>
      <c r="M13" s="96" t="e">
        <f ca="1">SQRT(SUMPRODUCT(AA3:AA135,AA3:AA135)/(COUNT(AA3:AA135)-1))</f>
        <v>#NAME?</v>
      </c>
      <c r="O13" s="81">
        <v>1</v>
      </c>
      <c r="P13" s="67" t="str">
        <f>_xll.qlPeriodEquivalent(P12&amp;"+"&amp;O13&amp;"M")</f>
        <v>10M</v>
      </c>
      <c r="Q13" s="68">
        <f>_xll.qlCalendarAdvance(Calendar,SettlementDate,P13,"f",,Trigger)</f>
        <v>42424</v>
      </c>
      <c r="R13" s="68">
        <f>_xll.qlInterestRateIndexValueDate(Index,Q13,Trigger)</f>
        <v>42426</v>
      </c>
      <c r="S13" s="68">
        <f>_xll.qlInterestRateIndexMaturity(Index,R13,Trigger)</f>
        <v>42608</v>
      </c>
      <c r="T13" s="69">
        <f>_xll.qlDayCounterYearFraction(DayCounter,R13,S13,,,Trigger)</f>
        <v>0.50555555555555554</v>
      </c>
      <c r="U13" s="70">
        <f>_xll.qlIndexFixing(Index,Q13,,AllTriggers)</f>
        <v>6.5075276734392938E-4</v>
      </c>
      <c r="V13" s="71">
        <f>_xll.qlYieldTSDiscount(OisCurve,R13,,AllTriggers)</f>
        <v>1.0011765272842201</v>
      </c>
      <c r="W13" s="71">
        <f>_xll.qlYieldTSDiscount(OisCurve,S13,,AllTriggers)</f>
        <v>1.0019699791328724</v>
      </c>
      <c r="X13" s="70">
        <f t="shared" si="5"/>
        <v>-1.5663794602855136E-3</v>
      </c>
      <c r="Y13" s="70">
        <f>U13-X13</f>
        <v>2.2171322276294432E-3</v>
      </c>
      <c r="Z13" s="70" t="e">
        <f t="shared" ca="1" si="6"/>
        <v>#NAME?</v>
      </c>
      <c r="AA13" s="70" t="e">
        <f ca="1">(Z13-Y13)</f>
        <v>#NAME?</v>
      </c>
      <c r="AB13" s="69">
        <f>_xll.qlDayCounterYearFraction(DayCounter,SettlementDate,R13,,,Trigger)</f>
        <v>0.85555555555555551</v>
      </c>
      <c r="AC13" s="70">
        <f>_xll.qlPureAbcdFunctionValue($M$25,AB13)</f>
        <v>2.2641912646488792E-3</v>
      </c>
      <c r="AD13" s="70">
        <f t="shared" si="7"/>
        <v>4.7059037019436031E-5</v>
      </c>
    </row>
    <row r="14" spans="1:30" x14ac:dyDescent="0.2">
      <c r="A14" s="54" t="str">
        <f>_xll.qlPeriodEquivalent(C14&amp;"M")</f>
        <v>20Y</v>
      </c>
      <c r="B14" s="46">
        <f>IF(AND(MONTH(B13)=12),B13,_xll.qlDateEndOfMonth(EDATE(B13,-6)))</f>
        <v>42004</v>
      </c>
      <c r="C14" s="47">
        <v>240</v>
      </c>
      <c r="D14" s="46">
        <f t="shared" si="9"/>
        <v>49421</v>
      </c>
      <c r="E14" s="49">
        <f t="shared" si="10"/>
        <v>12</v>
      </c>
      <c r="F14" s="52">
        <f t="shared" si="11"/>
        <v>0</v>
      </c>
      <c r="G14" s="53">
        <f t="shared" si="12"/>
        <v>3.0000000000000001E-3</v>
      </c>
      <c r="H14" s="48">
        <f t="shared" si="13"/>
        <v>2.5000000000000001E-4</v>
      </c>
      <c r="I14" s="53">
        <f>MIN(_xll.ohPack($Y$3:INDEX($Y$3:$Y$135,MATCH(D14+1,$R$3:$R$135,1),1)))</f>
        <v>9.8032548109623641E-4</v>
      </c>
      <c r="J14" s="53">
        <f>MAX(_xll.ohPack($Y$3:INDEX($Y$3:$Y$135,MATCH(D14+1,$R$3:$R$135,1),1)))</f>
        <v>2.881543126531493E-3</v>
      </c>
      <c r="O14" s="81">
        <v>1</v>
      </c>
      <c r="P14" s="67" t="str">
        <f>_xll.qlPeriodEquivalent(P13&amp;"+"&amp;O14&amp;"M")</f>
        <v>11M</v>
      </c>
      <c r="Q14" s="68">
        <f>_xll.qlCalendarAdvance(Calendar,SettlementDate,P14,"f",,Trigger)</f>
        <v>42453</v>
      </c>
      <c r="R14" s="68">
        <f>_xll.qlInterestRateIndexValueDate(Index,Q14,Trigger)</f>
        <v>42459</v>
      </c>
      <c r="S14" s="68">
        <f>_xll.qlInterestRateIndexMaturity(Index,R14,Trigger)</f>
        <v>42643</v>
      </c>
      <c r="T14" s="69">
        <f>_xll.qlDayCounterYearFraction(DayCounter,R14,S14,,,Trigger)</f>
        <v>0.51111111111111107</v>
      </c>
      <c r="U14" s="70">
        <f>_xll.qlIndexFixing(Index,Q14,,AllTriggers)</f>
        <v>6.6547956221629789E-4</v>
      </c>
      <c r="V14" s="71">
        <f>_xll.qlYieldTSDiscount(OisCurve,R14,,AllTriggers)</f>
        <v>1.0013249005679545</v>
      </c>
      <c r="W14" s="71">
        <f>_xll.qlYieldTSDiscount(OisCurve,S14,,AllTriggers)</f>
        <v>1.0021142288051632</v>
      </c>
      <c r="X14" s="70">
        <f t="shared" si="5"/>
        <v>-1.5410796603992675E-3</v>
      </c>
      <c r="Y14" s="70">
        <f>U14-X14</f>
        <v>2.2065592226155652E-3</v>
      </c>
      <c r="Z14" s="70" t="e">
        <f t="shared" ca="1" si="6"/>
        <v>#NAME?</v>
      </c>
      <c r="AA14" s="70" t="e">
        <f ca="1">(Z14-Y14)</f>
        <v>#NAME?</v>
      </c>
      <c r="AB14" s="69">
        <f>_xll.qlDayCounterYearFraction(DayCounter,SettlementDate,R14,,,Trigger)</f>
        <v>0.94722222222222219</v>
      </c>
      <c r="AC14" s="70">
        <f>_xll.qlPureAbcdFunctionValue($M$25,AB14)</f>
        <v>2.2902496350507891E-3</v>
      </c>
      <c r="AD14" s="70">
        <f t="shared" si="7"/>
        <v>8.3690412435223974E-5</v>
      </c>
    </row>
    <row r="15" spans="1:30" x14ac:dyDescent="0.2">
      <c r="A15" s="54" t="str">
        <f>_xll.qlPeriodEquivalent(C15&amp;"M")</f>
        <v>30Y</v>
      </c>
      <c r="B15" s="46">
        <f t="shared" si="14"/>
        <v>42004</v>
      </c>
      <c r="C15" s="47">
        <v>360</v>
      </c>
      <c r="D15" s="46">
        <f t="shared" si="9"/>
        <v>53074</v>
      </c>
      <c r="E15" s="49">
        <f t="shared" si="10"/>
        <v>36</v>
      </c>
      <c r="F15" s="52">
        <f t="shared" si="11"/>
        <v>0</v>
      </c>
      <c r="G15" s="53">
        <f t="shared" si="12"/>
        <v>3.0000000000000001E-3</v>
      </c>
      <c r="H15" s="48">
        <f t="shared" si="13"/>
        <v>2.5000000000000001E-4</v>
      </c>
      <c r="I15" s="53">
        <f>MIN(_xll.ohPack($Y$3:INDEX($Y$3:$Y$135,MATCH(D15+1,$R$3:$R$135,1),1)))</f>
        <v>6.2298151794622399E-4</v>
      </c>
      <c r="J15" s="53">
        <f>MAX(_xll.ohPack($Y$3:INDEX($Y$3:$Y$135,MATCH(D15+1,$R$3:$R$135,1),1)))</f>
        <v>2.881543126531493E-3</v>
      </c>
      <c r="L15" s="83" t="s">
        <v>47</v>
      </c>
      <c r="M15" s="96">
        <f>_xll.qlAbcdIntegralTenorBasisA($M$12)</f>
        <v>2.9991694110134588E-3</v>
      </c>
      <c r="O15" s="81">
        <v>1</v>
      </c>
      <c r="P15" s="67" t="str">
        <f>_xll.qlPeriodEquivalent(P14&amp;"+"&amp;O15&amp;"M")</f>
        <v>1Y</v>
      </c>
      <c r="Q15" s="68">
        <f>_xll.qlCalendarAdvance(Calendar,SettlementDate,P15,"f",,Trigger)</f>
        <v>42485</v>
      </c>
      <c r="R15" s="68">
        <f>_xll.qlInterestRateIndexValueDate(Index,Q15,Trigger)</f>
        <v>42487</v>
      </c>
      <c r="S15" s="68">
        <f>_xll.qlInterestRateIndexMaturity(Index,R15,Trigger)</f>
        <v>42670</v>
      </c>
      <c r="T15" s="69">
        <f>_xll.qlDayCounterYearFraction(DayCounter,R15,S15,,,Trigger)</f>
        <v>0.5083333333333333</v>
      </c>
      <c r="U15" s="70">
        <f>_xll.qlIndexFixing(Index,Q15,,AllTriggers)</f>
        <v>6.9201371207612528E-4</v>
      </c>
      <c r="V15" s="71">
        <f>_xll.qlYieldTSDiscount(OisCurve,R15,,AllTriggers)</f>
        <v>1.0014440075742406</v>
      </c>
      <c r="W15" s="71">
        <f>_xll.qlYieldTSDiscount(OisCurve,S15,,AllTriggers)</f>
        <v>1.0022278443658585</v>
      </c>
      <c r="X15" s="70">
        <f t="shared" si="5"/>
        <v>-1.538546374425684E-3</v>
      </c>
      <c r="Y15" s="70">
        <f>U15-X15</f>
        <v>2.2305600865018095E-3</v>
      </c>
      <c r="Z15" s="70" t="e">
        <f t="shared" ca="1" si="6"/>
        <v>#NAME?</v>
      </c>
      <c r="AA15" s="70" t="e">
        <f ca="1">(Z15-Y15)</f>
        <v>#NAME?</v>
      </c>
      <c r="AB15" s="69">
        <f>_xll.qlDayCounterYearFraction(DayCounter,SettlementDate,R15,,,Trigger)</f>
        <v>1.0249999999999999</v>
      </c>
      <c r="AC15" s="70">
        <f>_xll.qlPureAbcdFunctionValue($M$25,AB15)</f>
        <v>2.3114759175628555E-3</v>
      </c>
      <c r="AD15" s="70">
        <f t="shared" si="7"/>
        <v>8.0915831061045915E-5</v>
      </c>
    </row>
    <row r="16" spans="1:30" x14ac:dyDescent="0.2">
      <c r="A16" s="55" t="str">
        <f>_xll.qlPeriodEquivalent(C16&amp;"M")</f>
        <v>60Y</v>
      </c>
      <c r="B16" s="56">
        <f t="shared" si="14"/>
        <v>42004</v>
      </c>
      <c r="C16" s="57">
        <v>720</v>
      </c>
      <c r="D16" s="56">
        <f t="shared" si="9"/>
        <v>64031</v>
      </c>
      <c r="E16" s="58">
        <f t="shared" si="10"/>
        <v>60</v>
      </c>
      <c r="F16" s="59">
        <f t="shared" si="11"/>
        <v>0</v>
      </c>
      <c r="G16" s="60">
        <f t="shared" si="12"/>
        <v>3.0000000000000001E-3</v>
      </c>
      <c r="H16" s="61">
        <f t="shared" si="13"/>
        <v>2.5000000000000001E-4</v>
      </c>
      <c r="I16" s="60">
        <f>MIN(_xll.ohPack($Y$3:INDEX($Y$3:$Y$135,MATCH(D16+1,$R$3:$R$135,1),1)))</f>
        <v>2.5679085583512219E-4</v>
      </c>
      <c r="J16" s="60">
        <f>MAX(_xll.ohPack($Y$3:INDEX($Y$3:$Y$135,MATCH(D16+1,$R$3:$R$135,1),1)))</f>
        <v>2.881543126531493E-3</v>
      </c>
      <c r="L16" s="83" t="s">
        <v>48</v>
      </c>
      <c r="M16" s="97">
        <f>_xll.qlAbcdIntegralTenorBasisB($M$12)</f>
        <v>1.3511622514816577E-3</v>
      </c>
      <c r="O16" s="81">
        <v>1</v>
      </c>
      <c r="P16" s="67" t="str">
        <f>_xll.qlPeriodEquivalent(P15&amp;"+"&amp;O16&amp;"M")</f>
        <v>1Y1M</v>
      </c>
      <c r="Q16" s="68">
        <f>_xll.qlCalendarAdvance(Calendar,SettlementDate,P16,"f",,Trigger)</f>
        <v>42514</v>
      </c>
      <c r="R16" s="68">
        <f>_xll.qlInterestRateIndexValueDate(Index,Q16,Trigger)</f>
        <v>42516</v>
      </c>
      <c r="S16" s="68">
        <f>_xll.qlInterestRateIndexMaturity(Index,R16,Trigger)</f>
        <v>42702</v>
      </c>
      <c r="T16" s="69">
        <f>_xll.qlDayCounterYearFraction(DayCounter,R16,S16,,,Trigger)</f>
        <v>0.51666666666666672</v>
      </c>
      <c r="U16" s="70">
        <f>_xll.qlIndexFixing(Index,Q16,,AllTriggers)</f>
        <v>7.1421263547869732E-4</v>
      </c>
      <c r="V16" s="71">
        <f>_xll.qlYieldTSDiscount(OisCurve,R16,,AllTriggers)</f>
        <v>1.0015694831594628</v>
      </c>
      <c r="W16" s="71">
        <f>_xll.qlYieldTSDiscount(OisCurve,S16,,AllTriggers)</f>
        <v>1.002367799566914</v>
      </c>
      <c r="X16" s="70">
        <f t="shared" si="5"/>
        <v>-1.5414786181463631E-3</v>
      </c>
      <c r="Y16" s="70">
        <f>U16-X16</f>
        <v>2.2556912536250604E-3</v>
      </c>
      <c r="Z16" s="70" t="e">
        <f t="shared" ca="1" si="6"/>
        <v>#NAME?</v>
      </c>
      <c r="AA16" s="70" t="e">
        <f ca="1">(Z16-Y16)</f>
        <v>#NAME?</v>
      </c>
      <c r="AB16" s="69">
        <f>_xll.qlDayCounterYearFraction(DayCounter,SettlementDate,R16,,,Trigger)</f>
        <v>1.1055555555555556</v>
      </c>
      <c r="AC16" s="70">
        <f>_xll.qlPureAbcdFunctionValue($M$25,AB16)</f>
        <v>2.3326234591813841E-3</v>
      </c>
      <c r="AD16" s="70">
        <f t="shared" si="7"/>
        <v>7.6932205556323741E-5</v>
      </c>
    </row>
    <row r="17" spans="12:30" x14ac:dyDescent="0.2">
      <c r="L17" s="83" t="s">
        <v>49</v>
      </c>
      <c r="M17" s="97">
        <f>_xll.qlAbcdIntegralTenorBasisC($M$12)</f>
        <v>0.15878272205138827</v>
      </c>
      <c r="O17" s="81">
        <v>1</v>
      </c>
      <c r="P17" s="67" t="str">
        <f>_xll.qlPeriodEquivalent(P16&amp;"+"&amp;O17&amp;"M")</f>
        <v>1Y2M</v>
      </c>
      <c r="Q17" s="68">
        <f>_xll.qlCalendarAdvance(Calendar,SettlementDate,P17,"f",,Trigger)</f>
        <v>42545</v>
      </c>
      <c r="R17" s="68">
        <f>_xll.qlInterestRateIndexValueDate(Index,Q17,Trigger)</f>
        <v>42549</v>
      </c>
      <c r="S17" s="68">
        <f>_xll.qlInterestRateIndexMaturity(Index,R17,Trigger)</f>
        <v>42732</v>
      </c>
      <c r="T17" s="69">
        <f>_xll.qlDayCounterYearFraction(DayCounter,R17,S17,,,Trigger)</f>
        <v>0.5083333333333333</v>
      </c>
      <c r="U17" s="70">
        <f>_xll.qlIndexFixing(Index,Q17,,AllTriggers)</f>
        <v>7.4180354241390521E-4</v>
      </c>
      <c r="V17" s="71">
        <f>_xll.qlYieldTSDiscount(OisCurve,R17,,AllTriggers)</f>
        <v>1.0017152855209135</v>
      </c>
      <c r="W17" s="71">
        <f>_xll.qlYieldTSDiscount(OisCurve,S17,,AllTriggers)</f>
        <v>1.0024993105449136</v>
      </c>
      <c r="X17" s="70">
        <f t="shared" si="5"/>
        <v>-1.5384991224283964E-3</v>
      </c>
      <c r="Y17" s="70">
        <f>U17-X17</f>
        <v>2.2803026648423015E-3</v>
      </c>
      <c r="Z17" s="70" t="e">
        <f t="shared" ca="1" si="6"/>
        <v>#NAME?</v>
      </c>
      <c r="AA17" s="70" t="e">
        <f ca="1">(Z17-Y17)</f>
        <v>#NAME?</v>
      </c>
      <c r="AB17" s="69">
        <f>_xll.qlDayCounterYearFraction(DayCounter,SettlementDate,R17,,,Trigger)</f>
        <v>1.1972222222222222</v>
      </c>
      <c r="AC17" s="70">
        <f>_xll.qlPureAbcdFunctionValue($M$25,AB17)</f>
        <v>2.3556746781126692E-3</v>
      </c>
      <c r="AD17" s="70">
        <f t="shared" si="7"/>
        <v>7.5372013270367643E-5</v>
      </c>
    </row>
    <row r="18" spans="12:30" x14ac:dyDescent="0.2">
      <c r="L18" s="83" t="s">
        <v>50</v>
      </c>
      <c r="M18" s="96">
        <f>_xll.qlAbcdIntegralTenorBasisD($M$12)</f>
        <v>7.9262982673245939E-4</v>
      </c>
      <c r="O18" s="81">
        <v>1</v>
      </c>
      <c r="P18" s="67" t="str">
        <f>_xll.qlPeriodEquivalent(P17&amp;"+"&amp;O18&amp;"M")</f>
        <v>1Y3M</v>
      </c>
      <c r="Q18" s="68">
        <f>_xll.qlCalendarAdvance(Calendar,SettlementDate,P18,"f",,Trigger)</f>
        <v>42576</v>
      </c>
      <c r="R18" s="68">
        <f>_xll.qlInterestRateIndexValueDate(Index,Q18,Trigger)</f>
        <v>42578</v>
      </c>
      <c r="S18" s="68">
        <f>_xll.qlInterestRateIndexMaturity(Index,R18,Trigger)</f>
        <v>42762</v>
      </c>
      <c r="T18" s="69">
        <f>_xll.qlDayCounterYearFraction(DayCounter,R18,S18,,,Trigger)</f>
        <v>0.51111111111111107</v>
      </c>
      <c r="U18" s="70">
        <f>_xll.qlIndexFixing(Index,Q18,,AllTriggers)</f>
        <v>8.0288869781880196E-4</v>
      </c>
      <c r="V18" s="71">
        <f>_xll.qlYieldTSDiscount(OisCurve,R18,,AllTriggers)</f>
        <v>1.0018434472183104</v>
      </c>
      <c r="W18" s="71">
        <f>_xll.qlYieldTSDiscount(OisCurve,S18,,AllTriggers)</f>
        <v>1.0026167797393626</v>
      </c>
      <c r="X18" s="70">
        <f t="shared" si="5"/>
        <v>-1.5090929252234793E-3</v>
      </c>
      <c r="Y18" s="70">
        <f>U18-X18</f>
        <v>2.3119816230422812E-3</v>
      </c>
      <c r="Z18" s="70" t="e">
        <f t="shared" ca="1" si="6"/>
        <v>#NAME?</v>
      </c>
      <c r="AA18" s="70" t="e">
        <f ca="1">(Z18-Y18)</f>
        <v>#NAME?</v>
      </c>
      <c r="AB18" s="69">
        <f>_xll.qlDayCounterYearFraction(DayCounter,SettlementDate,R18,,,Trigger)</f>
        <v>1.2777777777777777</v>
      </c>
      <c r="AC18" s="70">
        <f>_xll.qlPureAbcdFunctionValue($M$25,AB18)</f>
        <v>2.3750610758817362E-3</v>
      </c>
      <c r="AD18" s="70">
        <f t="shared" si="7"/>
        <v>6.3079452839454909E-5</v>
      </c>
    </row>
    <row r="19" spans="12:30" x14ac:dyDescent="0.2">
      <c r="L19" s="83" t="s">
        <v>88</v>
      </c>
      <c r="M19" s="98">
        <f>_xll.qlAbcdIntegralTenorBasisMaximumLocation($M$12)</f>
        <v>43586</v>
      </c>
      <c r="O19" s="81">
        <v>1</v>
      </c>
      <c r="P19" s="67" t="str">
        <f>_xll.qlPeriodEquivalent(P18&amp;"+"&amp;O19&amp;"M")</f>
        <v>1Y4M</v>
      </c>
      <c r="Q19" s="68">
        <f>_xll.qlCalendarAdvance(Calendar,SettlementDate,P19,"f",,Trigger)</f>
        <v>42606</v>
      </c>
      <c r="R19" s="68">
        <f>_xll.qlInterestRateIndexValueDate(Index,Q19,Trigger)</f>
        <v>42608</v>
      </c>
      <c r="S19" s="68">
        <f>_xll.qlInterestRateIndexMaturity(Index,R19,Trigger)</f>
        <v>42793</v>
      </c>
      <c r="T19" s="69">
        <f>_xll.qlDayCounterYearFraction(DayCounter,R19,S19,,,Trigger)</f>
        <v>0.51388888888888884</v>
      </c>
      <c r="U19" s="70">
        <f>_xll.qlIndexFixing(Index,Q19,,AllTriggers)</f>
        <v>8.4269907678077328E-4</v>
      </c>
      <c r="V19" s="71">
        <f>_xll.qlYieldTSDiscount(OisCurve,R19,,AllTriggers)</f>
        <v>1.0019699791328724</v>
      </c>
      <c r="W19" s="71">
        <f>_xll.qlYieldTSDiscount(OisCurve,S19,,AllTriggers)</f>
        <v>1.0027364125061671</v>
      </c>
      <c r="X19" s="70">
        <f t="shared" si="5"/>
        <v>-1.4873678635771656E-3</v>
      </c>
      <c r="Y19" s="70">
        <f>U19-X19</f>
        <v>2.3300669403579386E-3</v>
      </c>
      <c r="Z19" s="70" t="e">
        <f t="shared" ca="1" si="6"/>
        <v>#NAME?</v>
      </c>
      <c r="AA19" s="70" t="e">
        <f ca="1">(Z19-Y19)</f>
        <v>#NAME?</v>
      </c>
      <c r="AB19" s="69">
        <f>_xll.qlDayCounterYearFraction(DayCounter,SettlementDate,R19,,,Trigger)</f>
        <v>1.3611111111111112</v>
      </c>
      <c r="AC19" s="70">
        <f>_xll.qlPureAbcdFunctionValue($M$25,AB19)</f>
        <v>2.3942780174902932E-3</v>
      </c>
      <c r="AD19" s="70">
        <f t="shared" si="7"/>
        <v>6.4211077132354539E-5</v>
      </c>
    </row>
    <row r="20" spans="12:30" x14ac:dyDescent="0.2">
      <c r="O20" s="81">
        <v>1</v>
      </c>
      <c r="P20" s="67" t="str">
        <f>_xll.qlPeriodEquivalent(P19&amp;"+"&amp;O20&amp;"M")</f>
        <v>1Y5M</v>
      </c>
      <c r="Q20" s="68">
        <f>_xll.qlCalendarAdvance(Calendar,SettlementDate,P20,"f",,Trigger)</f>
        <v>42639</v>
      </c>
      <c r="R20" s="68">
        <f>_xll.qlInterestRateIndexValueDate(Index,Q20,Trigger)</f>
        <v>42641</v>
      </c>
      <c r="S20" s="68">
        <f>_xll.qlInterestRateIndexMaturity(Index,R20,Trigger)</f>
        <v>42822</v>
      </c>
      <c r="T20" s="69">
        <f>_xll.qlDayCounterYearFraction(DayCounter,R20,S20,,,Trigger)</f>
        <v>0.50277777777777777</v>
      </c>
      <c r="U20" s="70">
        <f>_xll.qlIndexFixing(Index,Q20,,AllTriggers)</f>
        <v>8.9282599234901641E-4</v>
      </c>
      <c r="V20" s="71">
        <f>_xll.qlYieldTSDiscount(OisCurve,R20,,AllTriggers)</f>
        <v>1.0021059536568968</v>
      </c>
      <c r="W20" s="71">
        <f>_xll.qlYieldTSDiscount(OisCurve,S20,,AllTriggers)</f>
        <v>1.0028398334546955</v>
      </c>
      <c r="X20" s="70">
        <f t="shared" si="5"/>
        <v>-1.4555170006884518E-3</v>
      </c>
      <c r="Y20" s="70">
        <f>U20-X20</f>
        <v>2.348342993037468E-3</v>
      </c>
      <c r="Z20" s="70" t="e">
        <f t="shared" ca="1" si="6"/>
        <v>#NAME?</v>
      </c>
      <c r="AA20" s="70" t="e">
        <f ca="1">(Z20-Y20)</f>
        <v>#NAME?</v>
      </c>
      <c r="AB20" s="69">
        <f>_xll.qlDayCounterYearFraction(DayCounter,SettlementDate,R20,,,Trigger)</f>
        <v>1.4527777777777777</v>
      </c>
      <c r="AC20" s="70">
        <f>_xll.qlPureAbcdFunctionValue($M$25,AB20)</f>
        <v>2.4144545610364247E-3</v>
      </c>
      <c r="AD20" s="70">
        <f t="shared" si="7"/>
        <v>6.611156799895667E-5</v>
      </c>
    </row>
    <row r="21" spans="12:30" x14ac:dyDescent="0.2">
      <c r="L21" s="83" t="s">
        <v>47</v>
      </c>
      <c r="M21" s="96">
        <f>Y3-M24</f>
        <v>1.5625875946338706E-3</v>
      </c>
      <c r="O21" s="81">
        <v>1</v>
      </c>
      <c r="P21" s="67" t="str">
        <f>_xll.qlPeriodEquivalent(P20&amp;"+"&amp;O21&amp;"M")</f>
        <v>1Y6M</v>
      </c>
      <c r="Q21" s="68">
        <f>_xll.qlCalendarAdvance(Calendar,SettlementDate,P21,"f",,Trigger)</f>
        <v>42667</v>
      </c>
      <c r="R21" s="68">
        <f>_xll.qlInterestRateIndexValueDate(Index,Q21,Trigger)</f>
        <v>42669</v>
      </c>
      <c r="S21" s="68">
        <f>_xll.qlInterestRateIndexMaturity(Index,R21,Trigger)</f>
        <v>42851</v>
      </c>
      <c r="T21" s="69">
        <f>_xll.qlDayCounterYearFraction(DayCounter,R21,S21,,,Trigger)</f>
        <v>0.50555555555555554</v>
      </c>
      <c r="U21" s="70">
        <f>_xll.qlIndexFixing(Index,Q21,,AllTriggers)</f>
        <v>9.6603517815130574E-4</v>
      </c>
      <c r="V21" s="71">
        <f>_xll.qlYieldTSDiscount(OisCurve,R21,,AllTriggers)</f>
        <v>1.0022235516190672</v>
      </c>
      <c r="W21" s="71">
        <f>_xll.qlYieldTSDiscount(OisCurve,S21,,AllTriggers)</f>
        <v>1.0029369014734968</v>
      </c>
      <c r="X21" s="70">
        <f t="shared" si="5"/>
        <v>-1.4068897933733522E-3</v>
      </c>
      <c r="Y21" s="70">
        <f>U21-X21</f>
        <v>2.3729249715246578E-3</v>
      </c>
      <c r="Z21" s="70" t="e">
        <f t="shared" ca="1" si="6"/>
        <v>#NAME?</v>
      </c>
      <c r="AA21" s="70" t="e">
        <f ca="1">(Z21-Y21)</f>
        <v>#NAME?</v>
      </c>
      <c r="AB21" s="69">
        <f>_xll.qlDayCounterYearFraction(DayCounter,SettlementDate,R21,,,Trigger)</f>
        <v>1.5305555555555554</v>
      </c>
      <c r="AC21" s="70">
        <f>_xll.qlPureAbcdFunctionValue($M$25,AB21)</f>
        <v>2.4308013140987212E-3</v>
      </c>
      <c r="AD21" s="70">
        <f t="shared" si="7"/>
        <v>5.7876342574063409E-5</v>
      </c>
    </row>
    <row r="22" spans="12:30" x14ac:dyDescent="0.2">
      <c r="L22" s="83" t="s">
        <v>48</v>
      </c>
      <c r="M22" s="97">
        <v>6.6728478528807478E-4</v>
      </c>
      <c r="O22" s="81">
        <v>6</v>
      </c>
      <c r="P22" s="67" t="str">
        <f>_xll.qlPeriodEquivalent(P21&amp;"+"&amp;O22&amp;"M")</f>
        <v>2Y</v>
      </c>
      <c r="Q22" s="68">
        <f>_xll.qlCalendarAdvance(Calendar,SettlementDate,P22,"f",,Trigger)</f>
        <v>42849</v>
      </c>
      <c r="R22" s="68">
        <f>_xll.qlInterestRateIndexValueDate(Index,Q22,Trigger)</f>
        <v>42851</v>
      </c>
      <c r="S22" s="68">
        <f>_xll.qlInterestRateIndexMaturity(Index,R22,Trigger)</f>
        <v>43034</v>
      </c>
      <c r="T22" s="69">
        <f>_xll.qlDayCounterYearFraction(DayCounter,R22,S22,,,Trigger)</f>
        <v>0.5083333333333333</v>
      </c>
      <c r="U22" s="70">
        <f>_xll.qlIndexFixing(Index,Q22,,AllTriggers)</f>
        <v>1.5223472376477006E-3</v>
      </c>
      <c r="V22" s="71">
        <f>_xll.qlYieldTSDiscount(OisCurve,R22,,AllTriggers)</f>
        <v>1.0029369014734968</v>
      </c>
      <c r="W22" s="71">
        <f>_xll.qlYieldTSDiscount(OisCurve,S22,,AllTriggers)</f>
        <v>1.0034205137100725</v>
      </c>
      <c r="X22" s="70">
        <f t="shared" si="5"/>
        <v>-9.481252588005594E-4</v>
      </c>
      <c r="Y22" s="70">
        <f>U22-X22</f>
        <v>2.4704724964482601E-3</v>
      </c>
      <c r="Z22" s="70" t="e">
        <f t="shared" ca="1" si="6"/>
        <v>#NAME?</v>
      </c>
      <c r="AA22" s="70" t="e">
        <f ca="1">(Z22-Y22)</f>
        <v>#NAME?</v>
      </c>
      <c r="AB22" s="69">
        <f>_xll.qlDayCounterYearFraction(DayCounter,SettlementDate,R22,,,Trigger)</f>
        <v>2.036111111111111</v>
      </c>
      <c r="AC22" s="70">
        <f>_xll.qlPureAbcdFunctionValue($M$25,AB22)</f>
        <v>2.5207759554078581E-3</v>
      </c>
      <c r="AD22" s="70">
        <f t="shared" si="7"/>
        <v>5.0303458959597997E-5</v>
      </c>
    </row>
    <row r="23" spans="12:30" x14ac:dyDescent="0.2">
      <c r="L23" s="83" t="s">
        <v>49</v>
      </c>
      <c r="M23" s="97">
        <v>0.15702087248561541</v>
      </c>
      <c r="O23" s="81">
        <v>6</v>
      </c>
      <c r="P23" s="67" t="str">
        <f>_xll.qlPeriodEquivalent(P22&amp;"+"&amp;O23&amp;"M")</f>
        <v>2Y6M</v>
      </c>
      <c r="Q23" s="68">
        <f>_xll.qlCalendarAdvance(Calendar,SettlementDate,P23,"f",,Trigger)</f>
        <v>43032</v>
      </c>
      <c r="R23" s="68">
        <f>_xll.qlInterestRateIndexValueDate(Index,Q23,Trigger)</f>
        <v>43034</v>
      </c>
      <c r="S23" s="68">
        <f>_xll.qlInterestRateIndexMaturity(Index,R23,Trigger)</f>
        <v>43216</v>
      </c>
      <c r="T23" s="69">
        <f>_xll.qlDayCounterYearFraction(DayCounter,R23,S23,,,Trigger)</f>
        <v>0.50555555555555554</v>
      </c>
      <c r="U23" s="70">
        <f>_xll.qlIndexFixing(Index,Q23,,AllTriggers)</f>
        <v>2.1674441327477713E-3</v>
      </c>
      <c r="V23" s="71">
        <f>_xll.qlYieldTSDiscount(OisCurve,R23,,AllTriggers)</f>
        <v>1.0034205137100725</v>
      </c>
      <c r="W23" s="71">
        <f>_xll.qlYieldTSDiscount(OisCurve,S23,,AllTriggers)</f>
        <v>1.0036019373393186</v>
      </c>
      <c r="X23" s="70">
        <f t="shared" si="5"/>
        <v>-3.575719741361488E-4</v>
      </c>
      <c r="Y23" s="70">
        <f>U23-X23</f>
        <v>2.5250161068839198E-3</v>
      </c>
      <c r="Z23" s="70" t="e">
        <f t="shared" ca="1" si="6"/>
        <v>#NAME?</v>
      </c>
      <c r="AA23" s="70" t="e">
        <f ca="1">(Z23-Y23)</f>
        <v>#NAME?</v>
      </c>
      <c r="AB23" s="69">
        <f>_xll.qlDayCounterYearFraction(DayCounter,SettlementDate,R23,,,Trigger)</f>
        <v>2.5444444444444443</v>
      </c>
      <c r="AC23" s="70">
        <f>_xll.qlPureAbcdFunctionValue($M$25,AB23)</f>
        <v>2.585474331494475E-3</v>
      </c>
      <c r="AD23" s="70">
        <f t="shared" si="7"/>
        <v>6.0458224610555195E-5</v>
      </c>
    </row>
    <row r="24" spans="12:30" x14ac:dyDescent="0.2">
      <c r="L24" s="83" t="s">
        <v>50</v>
      </c>
      <c r="M24" s="96">
        <v>3.9889936252090086E-4</v>
      </c>
      <c r="O24" s="81">
        <v>6</v>
      </c>
      <c r="P24" s="67" t="str">
        <f>_xll.qlPeriodEquivalent(P23&amp;"+"&amp;O24&amp;"M")</f>
        <v>3Y</v>
      </c>
      <c r="Q24" s="68">
        <f>_xll.qlCalendarAdvance(Calendar,SettlementDate,P24,"f",,Trigger)</f>
        <v>43214</v>
      </c>
      <c r="R24" s="68">
        <f>_xll.qlInterestRateIndexValueDate(Index,Q24,Trigger)</f>
        <v>43216</v>
      </c>
      <c r="S24" s="68">
        <f>_xll.qlInterestRateIndexMaturity(Index,R24,Trigger)</f>
        <v>43399</v>
      </c>
      <c r="T24" s="69">
        <f>_xll.qlDayCounterYearFraction(DayCounter,R24,S24,,,Trigger)</f>
        <v>0.5083333333333333</v>
      </c>
      <c r="U24" s="70">
        <f>_xll.qlIndexFixing(Index,Q24,,AllTriggers)</f>
        <v>3.0536303394257938E-3</v>
      </c>
      <c r="V24" s="71">
        <f>_xll.qlYieldTSDiscount(OisCurve,R24,,AllTriggers)</f>
        <v>1.0036019373393186</v>
      </c>
      <c r="W24" s="71">
        <f>_xll.qlYieldTSDiscount(OisCurve,S24,,AllTriggers)</f>
        <v>1.003403434842207</v>
      </c>
      <c r="X24" s="70">
        <f t="shared" si="5"/>
        <v>3.891721934268961E-4</v>
      </c>
      <c r="Y24" s="70">
        <f>U24-X24</f>
        <v>2.6644581459988976E-3</v>
      </c>
      <c r="Z24" s="70" t="e">
        <f t="shared" ca="1" si="6"/>
        <v>#NAME?</v>
      </c>
      <c r="AA24" s="70" t="e">
        <f ca="1">(Z24-Y24)</f>
        <v>#NAME?</v>
      </c>
      <c r="AB24" s="69">
        <f>_xll.qlDayCounterYearFraction(DayCounter,SettlementDate,R24,,,Trigger)</f>
        <v>3.05</v>
      </c>
      <c r="AC24" s="70">
        <f>_xll.qlPureAbcdFunctionValue($M$25,AB24)</f>
        <v>2.6275818696345843E-3</v>
      </c>
      <c r="AD24" s="70">
        <f t="shared" si="7"/>
        <v>-3.6876276364313301E-5</v>
      </c>
    </row>
    <row r="25" spans="12:30" x14ac:dyDescent="0.2">
      <c r="L25" s="83" t="s">
        <v>83</v>
      </c>
      <c r="M25" s="84" t="str">
        <f>_xll.qlPureAbcdFunction(,M21,M22,M23,M24)</f>
        <v>obj_00c3c#0150</v>
      </c>
      <c r="O25" s="81">
        <v>6</v>
      </c>
      <c r="P25" s="67" t="str">
        <f>_xll.qlPeriodEquivalent(P24&amp;"+"&amp;O25&amp;"M")</f>
        <v>3Y6M</v>
      </c>
      <c r="Q25" s="68">
        <f>_xll.qlCalendarAdvance(Calendar,SettlementDate,P25,"f",,Trigger)</f>
        <v>43397</v>
      </c>
      <c r="R25" s="68">
        <f>_xll.qlInterestRateIndexValueDate(Index,Q25,Trigger)</f>
        <v>43399</v>
      </c>
      <c r="S25" s="68">
        <f>_xll.qlInterestRateIndexMaturity(Index,R25,Trigger)</f>
        <v>43581</v>
      </c>
      <c r="T25" s="69">
        <f>_xll.qlDayCounterYearFraction(DayCounter,R25,S25,,,Trigger)</f>
        <v>0.50555555555555554</v>
      </c>
      <c r="U25" s="70">
        <f>_xll.qlIndexFixing(Index,Q25,,AllTriggers)</f>
        <v>3.8277479438484268E-3</v>
      </c>
      <c r="V25" s="71">
        <f>_xll.qlYieldTSDiscount(OisCurve,R25,,AllTriggers)</f>
        <v>1.003403434842207</v>
      </c>
      <c r="W25" s="71">
        <f>_xll.qlYieldTSDiscount(OisCurve,S25,,AllTriggers)</f>
        <v>1.0028820608106344</v>
      </c>
      <c r="X25" s="70">
        <f t="shared" si="5"/>
        <v>1.0283255963190025E-3</v>
      </c>
      <c r="Y25" s="70">
        <f>U25-X25</f>
        <v>2.7994223475294243E-3</v>
      </c>
      <c r="Z25" s="70" t="e">
        <f t="shared" ca="1" si="6"/>
        <v>#NAME?</v>
      </c>
      <c r="AA25" s="70" t="e">
        <f ca="1">(Z25-Y25)</f>
        <v>#NAME?</v>
      </c>
      <c r="AB25" s="69">
        <f>_xll.qlDayCounterYearFraction(DayCounter,SettlementDate,R25,,,Trigger)</f>
        <v>3.5583333333333331</v>
      </c>
      <c r="AC25" s="70">
        <f>_xll.qlPureAbcdFunctionValue($M$25,AB25)</f>
        <v>2.6506067487369325E-3</v>
      </c>
      <c r="AD25" s="70">
        <f t="shared" si="7"/>
        <v>-1.4881559879249178E-4</v>
      </c>
    </row>
    <row r="26" spans="12:30" x14ac:dyDescent="0.2">
      <c r="L26" s="83" t="s">
        <v>79</v>
      </c>
      <c r="M26" s="96">
        <f>SQRT(SUMPRODUCT(AD3:AD135,AD3:AD135)/(COUNT(AD3:AD135)-1))</f>
        <v>7.3385788990055245E-5</v>
      </c>
      <c r="O26" s="81">
        <v>6</v>
      </c>
      <c r="P26" s="67" t="str">
        <f>_xll.qlPeriodEquivalent(P25&amp;"+"&amp;O26&amp;"M")</f>
        <v>4Y</v>
      </c>
      <c r="Q26" s="68">
        <f>_xll.qlCalendarAdvance(Calendar,SettlementDate,P26,"f",,Trigger)</f>
        <v>43579</v>
      </c>
      <c r="R26" s="68">
        <f>_xll.qlInterestRateIndexValueDate(Index,Q26,Trigger)</f>
        <v>43581</v>
      </c>
      <c r="S26" s="68">
        <f>_xll.qlInterestRateIndexMaturity(Index,R26,Trigger)</f>
        <v>43766</v>
      </c>
      <c r="T26" s="69">
        <f>_xll.qlDayCounterYearFraction(DayCounter,R26,S26,,,Trigger)</f>
        <v>0.51388888888888884</v>
      </c>
      <c r="U26" s="70">
        <f>_xll.qlIndexFixing(Index,Q26,,AllTriggers)</f>
        <v>4.4315055821594496E-3</v>
      </c>
      <c r="V26" s="71">
        <f>_xll.qlYieldTSDiscount(OisCurve,R26,,AllTriggers)</f>
        <v>1.0028820608106344</v>
      </c>
      <c r="W26" s="71">
        <f>_xll.qlYieldTSDiscount(OisCurve,S26,,AllTriggers)</f>
        <v>1.0020838924884452</v>
      </c>
      <c r="X26" s="70">
        <f t="shared" si="5"/>
        <v>1.5499624556279568E-3</v>
      </c>
      <c r="Y26" s="70">
        <f>U26-X26</f>
        <v>2.881543126531493E-3</v>
      </c>
      <c r="Z26" s="70" t="e">
        <f t="shared" ca="1" si="6"/>
        <v>#NAME?</v>
      </c>
      <c r="AA26" s="70" t="e">
        <f ca="1">(Z26-Y26)</f>
        <v>#NAME?</v>
      </c>
      <c r="AB26" s="69">
        <f>_xll.qlDayCounterYearFraction(DayCounter,SettlementDate,R26,,,Trigger)</f>
        <v>4.0638888888888891</v>
      </c>
      <c r="AC26" s="70">
        <f>_xll.qlPureAbcdFunctionValue($M$25,AB26)</f>
        <v>2.6569880192188547E-3</v>
      </c>
      <c r="AD26" s="70">
        <f t="shared" si="7"/>
        <v>-2.2455510731263836E-4</v>
      </c>
    </row>
    <row r="27" spans="12:30" x14ac:dyDescent="0.2">
      <c r="L27" s="83" t="s">
        <v>88</v>
      </c>
      <c r="M27" s="98">
        <f>_xll.qlPureAbcdFunctionMaximumLocation(M25)*360+SettlementDate</f>
        <v>43567.673151724266</v>
      </c>
      <c r="O27" s="81">
        <v>6</v>
      </c>
      <c r="P27" s="67" t="str">
        <f>_xll.qlPeriodEquivalent(P26&amp;"+"&amp;O27&amp;"M")</f>
        <v>4Y6M</v>
      </c>
      <c r="Q27" s="68">
        <f>_xll.qlCalendarAdvance(Calendar,SettlementDate,P27,"f",,Trigger)</f>
        <v>43762</v>
      </c>
      <c r="R27" s="68">
        <f>_xll.qlInterestRateIndexValueDate(Index,Q27,Trigger)</f>
        <v>43766</v>
      </c>
      <c r="S27" s="68">
        <f>_xll.qlInterestRateIndexMaturity(Index,R27,Trigger)</f>
        <v>43949</v>
      </c>
      <c r="T27" s="69">
        <f>_xll.qlDayCounterYearFraction(DayCounter,R27,S27,,,Trigger)</f>
        <v>0.5083333333333333</v>
      </c>
      <c r="U27" s="70">
        <f>_xll.qlIndexFixing(Index,Q27,,AllTriggers)</f>
        <v>4.9555580794598429E-3</v>
      </c>
      <c r="V27" s="71">
        <f>_xll.qlYieldTSDiscount(OisCurve,R27,,AllTriggers)</f>
        <v>1.0020838924884452</v>
      </c>
      <c r="W27" s="71">
        <f>_xll.qlYieldTSDiscount(OisCurve,S27,,AllTriggers)</f>
        <v>1.0009898183724415</v>
      </c>
      <c r="X27" s="70">
        <f t="shared" si="5"/>
        <v>2.1501486928359654E-3</v>
      </c>
      <c r="Y27" s="70">
        <f>U27-X27</f>
        <v>2.8054093866238775E-3</v>
      </c>
      <c r="Z27" s="70" t="e">
        <f t="shared" ca="1" si="6"/>
        <v>#NAME?</v>
      </c>
      <c r="AA27" s="70" t="e">
        <f ca="1">(Z27-Y27)</f>
        <v>#NAME?</v>
      </c>
      <c r="AB27" s="69">
        <f>_xll.qlDayCounterYearFraction(DayCounter,SettlementDate,R27,,,Trigger)</f>
        <v>4.5777777777777775</v>
      </c>
      <c r="AC27" s="70">
        <f>_xll.qlPureAbcdFunctionValue($M$25,AB27)</f>
        <v>2.6490490825176144E-3</v>
      </c>
      <c r="AD27" s="70">
        <f t="shared" si="7"/>
        <v>-1.5636030410626309E-4</v>
      </c>
    </row>
    <row r="28" spans="12:30" x14ac:dyDescent="0.2">
      <c r="O28" s="81">
        <v>6</v>
      </c>
      <c r="P28" s="67" t="str">
        <f>_xll.qlPeriodEquivalent(P27&amp;"+"&amp;O28&amp;"M")</f>
        <v>5Y</v>
      </c>
      <c r="Q28" s="68">
        <f>_xll.qlCalendarAdvance(Calendar,SettlementDate,P28,"f",,Trigger)</f>
        <v>43945</v>
      </c>
      <c r="R28" s="68">
        <f>_xll.qlInterestRateIndexValueDate(Index,Q28,Trigger)</f>
        <v>43949</v>
      </c>
      <c r="S28" s="68">
        <f>_xll.qlInterestRateIndexMaturity(Index,R28,Trigger)</f>
        <v>44132</v>
      </c>
      <c r="T28" s="69">
        <f>_xll.qlDayCounterYearFraction(DayCounter,R28,S28,,,Trigger)</f>
        <v>0.5083333333333333</v>
      </c>
      <c r="U28" s="70">
        <f>_xll.qlIndexFixing(Index,Q28,,AllTriggers)</f>
        <v>5.4449390635257239E-3</v>
      </c>
      <c r="V28" s="71">
        <f>_xll.qlYieldTSDiscount(OisCurve,R28,,AllTriggers)</f>
        <v>1.0009898183724415</v>
      </c>
      <c r="W28" s="71">
        <f>_xll.qlYieldTSDiscount(OisCurve,S28,,AllTriggers)</f>
        <v>0.99954706712320829</v>
      </c>
      <c r="X28" s="70">
        <f t="shared" si="5"/>
        <v>2.8394852750535287E-3</v>
      </c>
      <c r="Y28" s="70">
        <f>U28-X28</f>
        <v>2.6054537884721953E-3</v>
      </c>
      <c r="Z28" s="70" t="e">
        <f t="shared" ca="1" si="6"/>
        <v>#NAME?</v>
      </c>
      <c r="AA28" s="70" t="e">
        <f ca="1">(Z28-Y28)</f>
        <v>#NAME?</v>
      </c>
      <c r="AB28" s="69">
        <f>_xll.qlDayCounterYearFraction(DayCounter,SettlementDate,R28,,,Trigger)</f>
        <v>5.0861111111111112</v>
      </c>
      <c r="AC28" s="70">
        <f>_xll.qlPureAbcdFunctionValue($M$25,AB28)</f>
        <v>2.6290488644469165E-3</v>
      </c>
      <c r="AD28" s="70">
        <f t="shared" si="7"/>
        <v>2.3595075974721259E-5</v>
      </c>
    </row>
    <row r="29" spans="12:30" x14ac:dyDescent="0.2">
      <c r="O29" s="81">
        <v>6</v>
      </c>
      <c r="P29" s="67" t="str">
        <f>_xll.qlPeriodEquivalent(P28&amp;"+"&amp;O29&amp;"M")</f>
        <v>5Y6M</v>
      </c>
      <c r="Q29" s="68">
        <f>_xll.qlCalendarAdvance(Calendar,SettlementDate,P29,"f",,Trigger)</f>
        <v>44130</v>
      </c>
      <c r="R29" s="68">
        <f>_xll.qlInterestRateIndexValueDate(Index,Q29,Trigger)</f>
        <v>44132</v>
      </c>
      <c r="S29" s="68">
        <f>_xll.qlInterestRateIndexMaturity(Index,R29,Trigger)</f>
        <v>44314</v>
      </c>
      <c r="T29" s="69">
        <f>_xll.qlDayCounterYearFraction(DayCounter,R29,S29,,,Trigger)</f>
        <v>0.50555555555555554</v>
      </c>
      <c r="U29" s="70">
        <f>_xll.qlIndexFixing(Index,Q29,,AllTriggers)</f>
        <v>6.0011682460201403E-3</v>
      </c>
      <c r="V29" s="71">
        <f>_xll.qlYieldTSDiscount(OisCurve,R29,,AllTriggers)</f>
        <v>0.99954706712320829</v>
      </c>
      <c r="W29" s="71">
        <f>_xll.qlYieldTSDiscount(OisCurve,S29,,AllTriggers)</f>
        <v>0.99778138014287387</v>
      </c>
      <c r="X29" s="70">
        <f t="shared" si="5"/>
        <v>3.5003335629580049E-3</v>
      </c>
      <c r="Y29" s="70">
        <f>U29-X29</f>
        <v>2.5008346830621355E-3</v>
      </c>
      <c r="Z29" s="70" t="e">
        <f t="shared" ca="1" si="6"/>
        <v>#NAME?</v>
      </c>
      <c r="AA29" s="70" t="e">
        <f ca="1">(Z29-Y29)</f>
        <v>#NAME?</v>
      </c>
      <c r="AB29" s="69">
        <f>_xll.qlDayCounterYearFraction(DayCounter,SettlementDate,R29,,,Trigger)</f>
        <v>5.5944444444444441</v>
      </c>
      <c r="AC29" s="70">
        <f>_xll.qlPureAbcdFunctionValue($M$25,AB29)</f>
        <v>2.5988742598867841E-3</v>
      </c>
      <c r="AD29" s="70">
        <f t="shared" si="7"/>
        <v>9.8039576824648662E-5</v>
      </c>
    </row>
    <row r="30" spans="12:30" x14ac:dyDescent="0.2">
      <c r="O30" s="81">
        <v>6</v>
      </c>
      <c r="P30" s="67" t="str">
        <f>_xll.qlPeriodEquivalent(P29&amp;"+"&amp;O30&amp;"M")</f>
        <v>6Y</v>
      </c>
      <c r="Q30" s="68">
        <f>_xll.qlCalendarAdvance(Calendar,SettlementDate,P30,"f",,Trigger)</f>
        <v>44312</v>
      </c>
      <c r="R30" s="68">
        <f>_xll.qlInterestRateIndexValueDate(Index,Q30,Trigger)</f>
        <v>44314</v>
      </c>
      <c r="S30" s="68">
        <f>_xll.qlInterestRateIndexMaturity(Index,R30,Trigger)</f>
        <v>44497</v>
      </c>
      <c r="T30" s="69">
        <f>_xll.qlDayCounterYearFraction(DayCounter,R30,S30,,,Trigger)</f>
        <v>0.5083333333333333</v>
      </c>
      <c r="U30" s="70">
        <f>_xll.qlIndexFixing(Index,Q30,,AllTriggers)</f>
        <v>6.6387347283410952E-3</v>
      </c>
      <c r="V30" s="71">
        <f>_xll.qlYieldTSDiscount(OisCurve,R30,,AllTriggers)</f>
        <v>0.99778138014287387</v>
      </c>
      <c r="W30" s="71">
        <f>_xll.qlYieldTSDiscount(OisCurve,S30,,AllTriggers)</f>
        <v>0.99569143152628869</v>
      </c>
      <c r="X30" s="70">
        <f t="shared" si="5"/>
        <v>4.129165118360153E-3</v>
      </c>
      <c r="Y30" s="70">
        <f>U30-X30</f>
        <v>2.5095696099809422E-3</v>
      </c>
      <c r="Z30" s="70" t="e">
        <f t="shared" ca="1" si="6"/>
        <v>#NAME?</v>
      </c>
      <c r="AA30" s="70" t="e">
        <f ca="1">(Z30-Y30)</f>
        <v>#NAME?</v>
      </c>
      <c r="AB30" s="69">
        <f>_xll.qlDayCounterYearFraction(DayCounter,SettlementDate,R30,,,Trigger)</f>
        <v>6.1</v>
      </c>
      <c r="AC30" s="70">
        <f>_xll.qlPureAbcdFunctionValue($M$25,AB30)</f>
        <v>2.5604357031753936E-3</v>
      </c>
      <c r="AD30" s="70">
        <f t="shared" si="7"/>
        <v>5.0866093194451394E-5</v>
      </c>
    </row>
    <row r="31" spans="12:30" x14ac:dyDescent="0.2">
      <c r="O31" s="81">
        <v>6</v>
      </c>
      <c r="P31" s="67" t="str">
        <f>_xll.qlPeriodEquivalent(P30&amp;"+"&amp;O31&amp;"M")</f>
        <v>6Y6M</v>
      </c>
      <c r="Q31" s="68">
        <f>_xll.qlCalendarAdvance(Calendar,SettlementDate,P31,"f",,Trigger)</f>
        <v>44494</v>
      </c>
      <c r="R31" s="68">
        <f>_xll.qlInterestRateIndexValueDate(Index,Q31,Trigger)</f>
        <v>44496</v>
      </c>
      <c r="S31" s="68">
        <f>_xll.qlInterestRateIndexMaturity(Index,R31,Trigger)</f>
        <v>44678</v>
      </c>
      <c r="T31" s="69">
        <f>_xll.qlDayCounterYearFraction(DayCounter,R31,S31,,,Trigger)</f>
        <v>0.50555555555555554</v>
      </c>
      <c r="U31" s="70">
        <f>_xll.qlIndexFixing(Index,Q31,,AllTriggers)</f>
        <v>7.3132302407622318E-3</v>
      </c>
      <c r="V31" s="71">
        <f>_xll.qlYieldTSDiscount(OisCurve,R31,,AllTriggers)</f>
        <v>0.99570374522907135</v>
      </c>
      <c r="W31" s="71">
        <f>_xll.qlYieldTSDiscount(OisCurve,S31,,AllTriggers)</f>
        <v>0.99328942983005608</v>
      </c>
      <c r="X31" s="70">
        <f t="shared" si="5"/>
        <v>4.8078322165836865E-3</v>
      </c>
      <c r="Y31" s="70">
        <f>U31-X31</f>
        <v>2.5053980241785453E-3</v>
      </c>
      <c r="Z31" s="70" t="e">
        <f t="shared" ca="1" si="6"/>
        <v>#NAME?</v>
      </c>
      <c r="AA31" s="70" t="e">
        <f ca="1">(Z31-Y31)</f>
        <v>#NAME?</v>
      </c>
      <c r="AB31" s="69">
        <f>_xll.qlDayCounterYearFraction(DayCounter,SettlementDate,R31,,,Trigger)</f>
        <v>6.6055555555555552</v>
      </c>
      <c r="AC31" s="70">
        <f>_xll.qlPureAbcdFunctionValue($M$25,AB31)</f>
        <v>2.5150517501103184E-3</v>
      </c>
      <c r="AD31" s="70">
        <f t="shared" si="7"/>
        <v>9.6537259317731189E-6</v>
      </c>
    </row>
    <row r="32" spans="12:30" x14ac:dyDescent="0.2">
      <c r="O32" s="81">
        <v>6</v>
      </c>
      <c r="P32" s="67" t="str">
        <f>_xll.qlPeriodEquivalent(P31&amp;"+"&amp;O32&amp;"M")</f>
        <v>7Y</v>
      </c>
      <c r="Q32" s="68">
        <f>_xll.qlCalendarAdvance(Calendar,SettlementDate,P32,"f",,Trigger)</f>
        <v>44676</v>
      </c>
      <c r="R32" s="68">
        <f>_xll.qlInterestRateIndexValueDate(Index,Q32,Trigger)</f>
        <v>44678</v>
      </c>
      <c r="S32" s="68">
        <f>_xll.qlInterestRateIndexMaturity(Index,R32,Trigger)</f>
        <v>44861</v>
      </c>
      <c r="T32" s="69">
        <f>_xll.qlDayCounterYearFraction(DayCounter,R32,S32,,,Trigger)</f>
        <v>0.5083333333333333</v>
      </c>
      <c r="U32" s="70">
        <f>_xll.qlIndexFixing(Index,Q32,,AllTriggers)</f>
        <v>7.9834761963579054E-3</v>
      </c>
      <c r="V32" s="71">
        <f>_xll.qlYieldTSDiscount(OisCurve,R32,,AllTriggers)</f>
        <v>0.99328942983005608</v>
      </c>
      <c r="W32" s="71">
        <f>_xll.qlYieldTSDiscount(OisCurve,S32,,AllTriggers)</f>
        <v>0.99050916898240071</v>
      </c>
      <c r="X32" s="70">
        <f t="shared" si="5"/>
        <v>5.5217718050648021E-3</v>
      </c>
      <c r="Y32" s="70">
        <f>U32-X32</f>
        <v>2.4617043912931033E-3</v>
      </c>
      <c r="Z32" s="70" t="e">
        <f t="shared" ca="1" si="6"/>
        <v>#NAME?</v>
      </c>
      <c r="AA32" s="70" t="e">
        <f ca="1">(Z32-Y32)</f>
        <v>#NAME?</v>
      </c>
      <c r="AB32" s="69">
        <f>_xll.qlDayCounterYearFraction(DayCounter,SettlementDate,R32,,,Trigger)</f>
        <v>7.1111111111111107</v>
      </c>
      <c r="AC32" s="70">
        <f>_xll.qlPureAbcdFunctionValue($M$25,AB32)</f>
        <v>2.4640063163405986E-3</v>
      </c>
      <c r="AD32" s="70">
        <f t="shared" si="7"/>
        <v>2.3019250474953269E-6</v>
      </c>
    </row>
    <row r="33" spans="15:30" x14ac:dyDescent="0.2">
      <c r="O33" s="81">
        <v>6</v>
      </c>
      <c r="P33" s="67" t="str">
        <f>_xll.qlPeriodEquivalent(P32&amp;"+"&amp;O33&amp;"M")</f>
        <v>7Y6M</v>
      </c>
      <c r="Q33" s="68">
        <f>_xll.qlCalendarAdvance(Calendar,SettlementDate,P33,"f",,Trigger)</f>
        <v>44858</v>
      </c>
      <c r="R33" s="68">
        <f>_xll.qlInterestRateIndexValueDate(Index,Q33,Trigger)</f>
        <v>44860</v>
      </c>
      <c r="S33" s="68">
        <f>_xll.qlInterestRateIndexMaturity(Index,R33,Trigger)</f>
        <v>45042</v>
      </c>
      <c r="T33" s="69">
        <f>_xll.qlDayCounterYearFraction(DayCounter,R33,S33,,,Trigger)</f>
        <v>0.50555555555555554</v>
      </c>
      <c r="U33" s="70">
        <f>_xll.qlIndexFixing(Index,Q33,,AllTriggers)</f>
        <v>8.4921646992703569E-3</v>
      </c>
      <c r="V33" s="71">
        <f>_xll.qlYieldTSDiscount(OisCurve,R33,,AllTriggers)</f>
        <v>0.99052521352785217</v>
      </c>
      <c r="W33" s="71">
        <f>_xll.qlYieldTSDiscount(OisCurve,S33,,AllTriggers)</f>
        <v>0.98748041990869373</v>
      </c>
      <c r="X33" s="70">
        <f t="shared" si="5"/>
        <v>6.0990259409836921E-3</v>
      </c>
      <c r="Y33" s="70">
        <f>U33-X33</f>
        <v>2.3931387582866647E-3</v>
      </c>
      <c r="Z33" s="70" t="e">
        <f t="shared" ca="1" si="6"/>
        <v>#NAME?</v>
      </c>
      <c r="AA33" s="70" t="e">
        <f ca="1">(Z33-Y33)</f>
        <v>#NAME?</v>
      </c>
      <c r="AB33" s="69">
        <f>_xll.qlDayCounterYearFraction(DayCounter,SettlementDate,R33,,,Trigger)</f>
        <v>7.6166666666666663</v>
      </c>
      <c r="AC33" s="70">
        <f>_xll.qlPureAbcdFunctionValue($M$25,AB33)</f>
        <v>2.4084278052637961E-3</v>
      </c>
      <c r="AD33" s="70">
        <f t="shared" si="7"/>
        <v>1.5289046977131314E-5</v>
      </c>
    </row>
    <row r="34" spans="15:30" x14ac:dyDescent="0.2">
      <c r="O34" s="81">
        <v>6</v>
      </c>
      <c r="P34" s="67" t="str">
        <f>_xll.qlPeriodEquivalent(P33&amp;"+"&amp;O34&amp;"M")</f>
        <v>8Y</v>
      </c>
      <c r="Q34" s="68">
        <f>_xll.qlCalendarAdvance(Calendar,SettlementDate,P34,"f",,Trigger)</f>
        <v>45040</v>
      </c>
      <c r="R34" s="68">
        <f>_xll.qlInterestRateIndexValueDate(Index,Q34,Trigger)</f>
        <v>45042</v>
      </c>
      <c r="S34" s="68">
        <f>_xll.qlInterestRateIndexMaturity(Index,R34,Trigger)</f>
        <v>45225</v>
      </c>
      <c r="T34" s="69">
        <f>_xll.qlDayCounterYearFraction(DayCounter,R34,S34,,,Trigger)</f>
        <v>0.5083333333333333</v>
      </c>
      <c r="U34" s="70">
        <f>_xll.qlIndexFixing(Index,Q34,,AllTriggers)</f>
        <v>8.8312555480889211E-3</v>
      </c>
      <c r="V34" s="71">
        <f>_xll.qlYieldTSDiscount(OisCurve,R34,,AllTriggers)</f>
        <v>0.98748041990869373</v>
      </c>
      <c r="W34" s="71">
        <f>_xll.qlYieldTSDiscount(OisCurve,S34,,AllTriggers)</f>
        <v>0.98422267869050395</v>
      </c>
      <c r="X34" s="70">
        <f t="shared" si="5"/>
        <v>6.511403758166401E-3</v>
      </c>
      <c r="Y34" s="70">
        <f>U34-X34</f>
        <v>2.3198517899225201E-3</v>
      </c>
      <c r="Z34" s="70" t="e">
        <f t="shared" ca="1" si="6"/>
        <v>#NAME?</v>
      </c>
      <c r="AA34" s="70" t="e">
        <f ca="1">(Z34-Y34)</f>
        <v>#NAME?</v>
      </c>
      <c r="AB34" s="69">
        <f>_xll.qlDayCounterYearFraction(DayCounter,SettlementDate,R34,,,Trigger)</f>
        <v>8.1222222222222218</v>
      </c>
      <c r="AC34" s="70">
        <f>_xll.qlPureAbcdFunctionValue($M$25,AB34)</f>
        <v>2.3493053662140672E-3</v>
      </c>
      <c r="AD34" s="70">
        <f t="shared" si="7"/>
        <v>2.9453576291547066E-5</v>
      </c>
    </row>
    <row r="35" spans="15:30" x14ac:dyDescent="0.2">
      <c r="O35" s="81">
        <v>6</v>
      </c>
      <c r="P35" s="67" t="str">
        <f>_xll.qlPeriodEquivalent(P34&amp;"+"&amp;O35&amp;"M")</f>
        <v>8Y6M</v>
      </c>
      <c r="Q35" s="68">
        <f>_xll.qlCalendarAdvance(Calendar,SettlementDate,P35,"f",,Trigger)</f>
        <v>45223</v>
      </c>
      <c r="R35" s="68">
        <f>_xll.qlInterestRateIndexValueDate(Index,Q35,Trigger)</f>
        <v>45225</v>
      </c>
      <c r="S35" s="68">
        <f>_xll.qlInterestRateIndexMaturity(Index,R35,Trigger)</f>
        <v>45408</v>
      </c>
      <c r="T35" s="69">
        <f>_xll.qlDayCounterYearFraction(DayCounter,R35,S35,,,Trigger)</f>
        <v>0.5083333333333333</v>
      </c>
      <c r="U35" s="70">
        <f>_xll.qlIndexFixing(Index,Q35,,AllTriggers)</f>
        <v>9.0858064539609575E-3</v>
      </c>
      <c r="V35" s="71">
        <f>_xll.qlYieldTSDiscount(OisCurve,R35,,AllTriggers)</f>
        <v>0.98422267869050395</v>
      </c>
      <c r="W35" s="71">
        <f>_xll.qlYieldTSDiscount(OisCurve,S35,,AllTriggers)</f>
        <v>0.98084360726532482</v>
      </c>
      <c r="X35" s="70">
        <f t="shared" si="5"/>
        <v>6.7771799439427308E-3</v>
      </c>
      <c r="Y35" s="70">
        <f>U35-X35</f>
        <v>2.3086265100182267E-3</v>
      </c>
      <c r="Z35" s="70" t="e">
        <f t="shared" ca="1" si="6"/>
        <v>#NAME?</v>
      </c>
      <c r="AA35" s="70" t="e">
        <f ca="1">(Z35-Y35)</f>
        <v>#NAME?</v>
      </c>
      <c r="AB35" s="69">
        <f>_xll.qlDayCounterYearFraction(DayCounter,SettlementDate,R35,,,Trigger)</f>
        <v>8.6305555555555564</v>
      </c>
      <c r="AC35" s="70">
        <f>_xll.qlPureAbcdFunctionValue($M$25,AB35)</f>
        <v>2.2871580439890924E-3</v>
      </c>
      <c r="AD35" s="70">
        <f t="shared" si="7"/>
        <v>-2.1468466029134301E-5</v>
      </c>
    </row>
    <row r="36" spans="15:30" x14ac:dyDescent="0.2">
      <c r="O36" s="81">
        <v>6</v>
      </c>
      <c r="P36" s="67" t="str">
        <f>_xll.qlPeriodEquivalent(P35&amp;"+"&amp;O36&amp;"M")</f>
        <v>9Y</v>
      </c>
      <c r="Q36" s="68">
        <f>_xll.qlCalendarAdvance(Calendar,SettlementDate,P36,"f",,Trigger)</f>
        <v>45406</v>
      </c>
      <c r="R36" s="68">
        <f>_xll.qlInterestRateIndexValueDate(Index,Q36,Trigger)</f>
        <v>45408</v>
      </c>
      <c r="S36" s="68">
        <f>_xll.qlInterestRateIndexMaturity(Index,R36,Trigger)</f>
        <v>45593</v>
      </c>
      <c r="T36" s="69">
        <f>_xll.qlDayCounterYearFraction(DayCounter,R36,S36,,,Trigger)</f>
        <v>0.51388888888888884</v>
      </c>
      <c r="U36" s="70">
        <f>_xll.qlIndexFixing(Index,Q36,,AllTriggers)</f>
        <v>9.2921753946396055E-3</v>
      </c>
      <c r="V36" s="71">
        <f>_xll.qlYieldTSDiscount(OisCurve,R36,,AllTriggers)</f>
        <v>0.98084360726532482</v>
      </c>
      <c r="W36" s="71">
        <f>_xll.qlYieldTSDiscount(OisCurve,S36,,AllTriggers)</f>
        <v>0.97735058777921169</v>
      </c>
      <c r="X36" s="70">
        <f t="shared" si="5"/>
        <v>6.9547480639029682E-3</v>
      </c>
      <c r="Y36" s="70">
        <f>U36-X36</f>
        <v>2.3374273307366373E-3</v>
      </c>
      <c r="Z36" s="70" t="e">
        <f t="shared" ca="1" si="6"/>
        <v>#NAME?</v>
      </c>
      <c r="AA36" s="70" t="e">
        <f ca="1">(Z36-Y36)</f>
        <v>#NAME?</v>
      </c>
      <c r="AB36" s="69">
        <f>_xll.qlDayCounterYearFraction(DayCounter,SettlementDate,R36,,,Trigger)</f>
        <v>9.1388888888888893</v>
      </c>
      <c r="AC36" s="70">
        <f>_xll.qlPureAbcdFunctionValue($M$25,AB36)</f>
        <v>2.2230672102775159E-3</v>
      </c>
      <c r="AD36" s="70">
        <f t="shared" si="7"/>
        <v>-1.1436012045912139E-4</v>
      </c>
    </row>
    <row r="37" spans="15:30" x14ac:dyDescent="0.2">
      <c r="O37" s="81">
        <v>6</v>
      </c>
      <c r="P37" s="67" t="str">
        <f>_xll.qlPeriodEquivalent(P36&amp;"+"&amp;O37&amp;"M")</f>
        <v>9Y6M</v>
      </c>
      <c r="Q37" s="68">
        <f>_xll.qlCalendarAdvance(Calendar,SettlementDate,P37,"f",,Trigger)</f>
        <v>45589</v>
      </c>
      <c r="R37" s="68">
        <f>_xll.qlInterestRateIndexValueDate(Index,Q37,Trigger)</f>
        <v>45593</v>
      </c>
      <c r="S37" s="68">
        <f>_xll.qlInterestRateIndexMaturity(Index,R37,Trigger)</f>
        <v>45775</v>
      </c>
      <c r="T37" s="69">
        <f>_xll.qlDayCounterYearFraction(DayCounter,R37,S37,,,Trigger)</f>
        <v>0.50555555555555554</v>
      </c>
      <c r="U37" s="70">
        <f>_xll.qlIndexFixing(Index,Q37,,AllTriggers)</f>
        <v>9.5050585155667337E-3</v>
      </c>
      <c r="V37" s="71">
        <f>_xll.qlYieldTSDiscount(OisCurve,R37,,AllTriggers)</f>
        <v>0.97735058777921169</v>
      </c>
      <c r="W37" s="71">
        <f>_xll.qlYieldTSDiscount(OisCurve,S37,,AllTriggers)</f>
        <v>0.97378208065902672</v>
      </c>
      <c r="X37" s="70">
        <f t="shared" si="5"/>
        <v>7.2486294959102863E-3</v>
      </c>
      <c r="Y37" s="70">
        <f>U37-X37</f>
        <v>2.2564290196564474E-3</v>
      </c>
      <c r="Z37" s="70" t="e">
        <f t="shared" ca="1" si="6"/>
        <v>#NAME?</v>
      </c>
      <c r="AA37" s="70" t="e">
        <f ca="1">(Z37-Y37)</f>
        <v>#NAME?</v>
      </c>
      <c r="AB37" s="69">
        <f>_xll.qlDayCounterYearFraction(DayCounter,SettlementDate,R37,,,Trigger)</f>
        <v>9.6527777777777786</v>
      </c>
      <c r="AC37" s="70">
        <f>_xll.qlPureAbcdFunctionValue($M$25,AB37)</f>
        <v>2.1569775290238274E-3</v>
      </c>
      <c r="AD37" s="70">
        <f t="shared" si="7"/>
        <v>-9.9451490632620002E-5</v>
      </c>
    </row>
    <row r="38" spans="15:30" x14ac:dyDescent="0.2">
      <c r="O38" s="81">
        <v>6</v>
      </c>
      <c r="P38" s="67" t="str">
        <f>_xll.qlPeriodEquivalent(P37&amp;"+"&amp;O38&amp;"M")</f>
        <v>10Y</v>
      </c>
      <c r="Q38" s="68">
        <f>_xll.qlCalendarAdvance(Calendar,SettlementDate,P38,"f",,Trigger)</f>
        <v>45771</v>
      </c>
      <c r="R38" s="68">
        <f>_xll.qlInterestRateIndexValueDate(Index,Q38,Trigger)</f>
        <v>45775</v>
      </c>
      <c r="S38" s="68">
        <f>_xll.qlInterestRateIndexMaturity(Index,R38,Trigger)</f>
        <v>45958</v>
      </c>
      <c r="T38" s="69">
        <f>_xll.qlDayCounterYearFraction(DayCounter,R38,S38,,,Trigger)</f>
        <v>0.5083333333333333</v>
      </c>
      <c r="U38" s="70">
        <f>_xll.qlIndexFixing(Index,Q38,,AllTriggers)</f>
        <v>9.7259132825719633E-3</v>
      </c>
      <c r="V38" s="71">
        <f>_xll.qlYieldTSDiscount(OisCurve,R38,,AllTriggers)</f>
        <v>0.97378208065902672</v>
      </c>
      <c r="W38" s="71">
        <f>_xll.qlYieldTSDiscount(OisCurve,S38,,AllTriggers)</f>
        <v>0.97001232559512396</v>
      </c>
      <c r="X38" s="70">
        <f t="shared" si="5"/>
        <v>7.645172546205033E-3</v>
      </c>
      <c r="Y38" s="70">
        <f>U38-X38</f>
        <v>2.0807407363669303E-3</v>
      </c>
      <c r="Z38" s="70" t="e">
        <f t="shared" ca="1" si="6"/>
        <v>#NAME?</v>
      </c>
      <c r="AA38" s="70" t="e">
        <f ca="1">(Z38-Y38)</f>
        <v>#NAME?</v>
      </c>
      <c r="AB38" s="69">
        <f>_xll.qlDayCounterYearFraction(DayCounter,SettlementDate,R38,,,Trigger)</f>
        <v>10.158333333333333</v>
      </c>
      <c r="AC38" s="70">
        <f>_xll.qlPureAbcdFunctionValue($M$25,AB38)</f>
        <v>2.0912583479730201E-3</v>
      </c>
      <c r="AD38" s="70">
        <f t="shared" si="7"/>
        <v>1.051761160608981E-5</v>
      </c>
    </row>
    <row r="39" spans="15:30" x14ac:dyDescent="0.2">
      <c r="O39" s="81">
        <v>6</v>
      </c>
      <c r="P39" s="67" t="str">
        <f>_xll.qlPeriodEquivalent(P38&amp;"+"&amp;O39&amp;"M")</f>
        <v>10Y6M</v>
      </c>
      <c r="Q39" s="68">
        <f>_xll.qlCalendarAdvance(Calendar,SettlementDate,P39,"f",,Trigger)</f>
        <v>45954</v>
      </c>
      <c r="R39" s="68">
        <f>_xll.qlInterestRateIndexValueDate(Index,Q39,Trigger)</f>
        <v>45958</v>
      </c>
      <c r="S39" s="68">
        <f>_xll.qlInterestRateIndexMaturity(Index,R39,Trigger)</f>
        <v>46140</v>
      </c>
      <c r="T39" s="69">
        <f>_xll.qlDayCounterYearFraction(DayCounter,R39,S39,,,Trigger)</f>
        <v>0.50555555555555554</v>
      </c>
      <c r="U39" s="70">
        <f>_xll.qlIndexFixing(Index,Q39,,AllTriggers)</f>
        <v>9.9077844193617131E-3</v>
      </c>
      <c r="V39" s="71">
        <f>_xll.qlYieldTSDiscount(OisCurve,R39,,AllTriggers)</f>
        <v>0.97001232559512396</v>
      </c>
      <c r="W39" s="71">
        <f>_xll.qlYieldTSDiscount(OisCurve,S39,,AllTriggers)</f>
        <v>0.96614678886455252</v>
      </c>
      <c r="X39" s="70">
        <f t="shared" si="5"/>
        <v>7.9140320063655692E-3</v>
      </c>
      <c r="Y39" s="70">
        <f>U39-X39</f>
        <v>1.9937524129961439E-3</v>
      </c>
      <c r="Z39" s="70" t="e">
        <f t="shared" ca="1" si="6"/>
        <v>#NAME?</v>
      </c>
      <c r="AA39" s="70" t="e">
        <f ca="1">(Z39-Y39)</f>
        <v>#NAME?</v>
      </c>
      <c r="AB39" s="69">
        <f>_xll.qlDayCounterYearFraction(DayCounter,SettlementDate,R39,,,Trigger)</f>
        <v>10.666666666666666</v>
      </c>
      <c r="AC39" s="70">
        <f>_xll.qlPureAbcdFunctionValue($M$25,AB39)</f>
        <v>2.0249690343481686E-3</v>
      </c>
      <c r="AD39" s="70">
        <f t="shared" si="7"/>
        <v>3.1216621352024663E-5</v>
      </c>
    </row>
    <row r="40" spans="15:30" x14ac:dyDescent="0.2">
      <c r="O40" s="81">
        <v>6</v>
      </c>
      <c r="P40" s="67" t="str">
        <f>_xll.qlPeriodEquivalent(P39&amp;"+"&amp;O40&amp;"M")</f>
        <v>11Y</v>
      </c>
      <c r="Q40" s="68">
        <f>_xll.qlCalendarAdvance(Calendar,SettlementDate,P40,"f",,Trigger)</f>
        <v>46136</v>
      </c>
      <c r="R40" s="68">
        <f>_xll.qlInterestRateIndexValueDate(Index,Q40,Trigger)</f>
        <v>46140</v>
      </c>
      <c r="S40" s="68">
        <f>_xll.qlInterestRateIndexMaturity(Index,R40,Trigger)</f>
        <v>46323</v>
      </c>
      <c r="T40" s="69">
        <f>_xll.qlDayCounterYearFraction(DayCounter,R40,S40,,,Trigger)</f>
        <v>0.5083333333333333</v>
      </c>
      <c r="U40" s="70">
        <f>_xll.qlIndexFixing(Index,Q40,,AllTriggers)</f>
        <v>1.0040088506525728E-2</v>
      </c>
      <c r="V40" s="71">
        <f>_xll.qlYieldTSDiscount(OisCurve,R40,,AllTriggers)</f>
        <v>0.96614678886455252</v>
      </c>
      <c r="W40" s="71">
        <f>_xll.qlYieldTSDiscount(OisCurve,S40,,AllTriggers)</f>
        <v>0.96221571189781019</v>
      </c>
      <c r="X40" s="70">
        <f t="shared" si="5"/>
        <v>8.0369360720898321E-3</v>
      </c>
      <c r="Y40" s="70">
        <f>U40-X40</f>
        <v>2.0031524344358963E-3</v>
      </c>
      <c r="Z40" s="70" t="e">
        <f t="shared" ca="1" si="6"/>
        <v>#NAME?</v>
      </c>
      <c r="AA40" s="70" t="e">
        <f ca="1">(Z40-Y40)</f>
        <v>#NAME?</v>
      </c>
      <c r="AB40" s="69">
        <f>_xll.qlDayCounterYearFraction(DayCounter,SettlementDate,R40,,,Trigger)</f>
        <v>11.172222222222222</v>
      </c>
      <c r="AC40" s="70">
        <f>_xll.qlPureAbcdFunctionValue($M$25,AB40)</f>
        <v>1.9592502823918743E-3</v>
      </c>
      <c r="AD40" s="70">
        <f t="shared" si="7"/>
        <v>-4.3902152044022081E-5</v>
      </c>
    </row>
    <row r="41" spans="15:30" x14ac:dyDescent="0.2">
      <c r="O41" s="81">
        <v>6</v>
      </c>
      <c r="P41" s="67" t="str">
        <f>_xll.qlPeriodEquivalent(P40&amp;"+"&amp;O41&amp;"M")</f>
        <v>11Y6M</v>
      </c>
      <c r="Q41" s="68">
        <f>_xll.qlCalendarAdvance(Calendar,SettlementDate,P41,"f",,Trigger)</f>
        <v>46321</v>
      </c>
      <c r="R41" s="68">
        <f>_xll.qlInterestRateIndexValueDate(Index,Q41,Trigger)</f>
        <v>46323</v>
      </c>
      <c r="S41" s="68">
        <f>_xll.qlInterestRateIndexMaturity(Index,R41,Trigger)</f>
        <v>46505</v>
      </c>
      <c r="T41" s="69">
        <f>_xll.qlDayCounterYearFraction(DayCounter,R41,S41,,,Trigger)</f>
        <v>0.50555555555555554</v>
      </c>
      <c r="U41" s="70">
        <f>_xll.qlIndexFixing(Index,Q41,,AllTriggers)</f>
        <v>1.0122356128983498E-2</v>
      </c>
      <c r="V41" s="71">
        <f>_xll.qlYieldTSDiscount(OisCurve,R41,,AllTriggers)</f>
        <v>0.96221571189781019</v>
      </c>
      <c r="W41" s="71">
        <f>_xll.qlYieldTSDiscount(OisCurve,S41,,AllTriggers)</f>
        <v>0.95826927109889537</v>
      </c>
      <c r="X41" s="70">
        <f t="shared" si="5"/>
        <v>8.1460888610822395E-3</v>
      </c>
      <c r="Y41" s="70">
        <f>U41-X41</f>
        <v>1.9762672679012588E-3</v>
      </c>
      <c r="Z41" s="70" t="e">
        <f t="shared" ca="1" si="6"/>
        <v>#NAME?</v>
      </c>
      <c r="AA41" s="70" t="e">
        <f ca="1">(Z41-Y41)</f>
        <v>#NAME?</v>
      </c>
      <c r="AB41" s="69">
        <f>_xll.qlDayCounterYearFraction(DayCounter,SettlementDate,R41,,,Trigger)</f>
        <v>11.680555555555555</v>
      </c>
      <c r="AC41" s="70">
        <f>_xll.qlPureAbcdFunctionValue($M$25,AB41)</f>
        <v>1.8937362475399972E-3</v>
      </c>
      <c r="AD41" s="70">
        <f t="shared" si="7"/>
        <v>-8.2531020361261559E-5</v>
      </c>
    </row>
    <row r="42" spans="15:30" x14ac:dyDescent="0.2">
      <c r="O42" s="81">
        <v>6</v>
      </c>
      <c r="P42" s="67" t="str">
        <f>_xll.qlPeriodEquivalent(P41&amp;"+"&amp;O42&amp;"M")</f>
        <v>12Y</v>
      </c>
      <c r="Q42" s="68">
        <f>_xll.qlCalendarAdvance(Calendar,SettlementDate,P42,"f",,Trigger)</f>
        <v>46503</v>
      </c>
      <c r="R42" s="68">
        <f>_xll.qlInterestRateIndexValueDate(Index,Q42,Trigger)</f>
        <v>46505</v>
      </c>
      <c r="S42" s="68">
        <f>_xll.qlInterestRateIndexMaturity(Index,R42,Trigger)</f>
        <v>46688</v>
      </c>
      <c r="T42" s="69">
        <f>_xll.qlDayCounterYearFraction(DayCounter,R42,S42,,,Trigger)</f>
        <v>0.5083333333333333</v>
      </c>
      <c r="U42" s="70">
        <f>_xll.qlIndexFixing(Index,Q42,,AllTriggers)</f>
        <v>1.0161894967969286E-2</v>
      </c>
      <c r="V42" s="71">
        <f>_xll.qlYieldTSDiscount(OisCurve,R42,,AllTriggers)</f>
        <v>0.95826927109889537</v>
      </c>
      <c r="W42" s="71">
        <f>_xll.qlYieldTSDiscount(OisCurve,S42,,AllTriggers)</f>
        <v>0.95425902558406928</v>
      </c>
      <c r="X42" s="70">
        <f t="shared" si="5"/>
        <v>8.2671553096615794E-3</v>
      </c>
      <c r="Y42" s="70">
        <f>U42-X42</f>
        <v>1.8947396583077064E-3</v>
      </c>
      <c r="Z42" s="70" t="e">
        <f t="shared" ca="1" si="6"/>
        <v>#NAME?</v>
      </c>
      <c r="AA42" s="70" t="e">
        <f ca="1">(Z42-Y42)</f>
        <v>#NAME?</v>
      </c>
      <c r="AB42" s="69">
        <f>_xll.qlDayCounterYearFraction(DayCounter,SettlementDate,R42,,,Trigger)</f>
        <v>12.186111111111112</v>
      </c>
      <c r="AC42" s="70">
        <f>_xll.qlPureAbcdFunctionValue($M$25,AB42)</f>
        <v>1.8294413207371471E-3</v>
      </c>
      <c r="AD42" s="70">
        <f t="shared" si="7"/>
        <v>-6.5298337570559271E-5</v>
      </c>
    </row>
    <row r="43" spans="15:30" x14ac:dyDescent="0.2">
      <c r="O43" s="81">
        <v>6</v>
      </c>
      <c r="P43" s="67" t="str">
        <f>_xll.qlPeriodEquivalent(P42&amp;"+"&amp;O43&amp;"M")</f>
        <v>12Y6M</v>
      </c>
      <c r="Q43" s="68">
        <f>_xll.qlCalendarAdvance(Calendar,SettlementDate,P43,"f",,Trigger)</f>
        <v>46685</v>
      </c>
      <c r="R43" s="68">
        <f>_xll.qlInterestRateIndexValueDate(Index,Q43,Trigger)</f>
        <v>46687</v>
      </c>
      <c r="S43" s="68">
        <f>_xll.qlInterestRateIndexMaturity(Index,R43,Trigger)</f>
        <v>46870</v>
      </c>
      <c r="T43" s="69">
        <f>_xll.qlDayCounterYearFraction(DayCounter,R43,S43,,,Trigger)</f>
        <v>0.5083333333333333</v>
      </c>
      <c r="U43" s="70">
        <f>_xll.qlIndexFixing(Index,Q43,,AllTriggers)</f>
        <v>1.0184619994110373E-2</v>
      </c>
      <c r="V43" s="71">
        <f>_xll.qlYieldTSDiscount(OisCurve,R43,,AllTriggers)</f>
        <v>0.95428104685215187</v>
      </c>
      <c r="W43" s="71">
        <f>_xll.qlYieldTSDiscount(OisCurve,S43,,AllTriggers)</f>
        <v>0.95023409314268292</v>
      </c>
      <c r="X43" s="70">
        <f t="shared" si="5"/>
        <v>8.3781675163224507E-3</v>
      </c>
      <c r="Y43" s="70">
        <f>U43-X43</f>
        <v>1.8064524777879221E-3</v>
      </c>
      <c r="Z43" s="70" t="e">
        <f t="shared" ca="1" si="6"/>
        <v>#NAME?</v>
      </c>
      <c r="AA43" s="70" t="e">
        <f ca="1">(Z43-Y43)</f>
        <v>#NAME?</v>
      </c>
      <c r="AB43" s="69">
        <f>_xll.qlDayCounterYearFraction(DayCounter,SettlementDate,R43,,,Trigger)</f>
        <v>12.691666666666666</v>
      </c>
      <c r="AC43" s="70">
        <f>_xll.qlPureAbcdFunctionValue($M$25,AB43)</f>
        <v>1.7662539584148112E-3</v>
      </c>
      <c r="AD43" s="70">
        <f t="shared" si="7"/>
        <v>-4.0198519373110895E-5</v>
      </c>
    </row>
    <row r="44" spans="15:30" x14ac:dyDescent="0.2">
      <c r="O44" s="81">
        <v>6</v>
      </c>
      <c r="P44" s="67" t="str">
        <f>_xll.qlPeriodEquivalent(P43&amp;"+"&amp;O44&amp;"M")</f>
        <v>13Y</v>
      </c>
      <c r="Q44" s="68">
        <f>_xll.qlCalendarAdvance(Calendar,SettlementDate,P44,"f",,Trigger)</f>
        <v>46867</v>
      </c>
      <c r="R44" s="68">
        <f>_xll.qlInterestRateIndexValueDate(Index,Q44,Trigger)</f>
        <v>46869</v>
      </c>
      <c r="S44" s="68">
        <f>_xll.qlInterestRateIndexMaturity(Index,R44,Trigger)</f>
        <v>47052</v>
      </c>
      <c r="T44" s="69">
        <f>_xll.qlDayCounterYearFraction(DayCounter,R44,S44,,,Trigger)</f>
        <v>0.5083333333333333</v>
      </c>
      <c r="U44" s="70">
        <f>_xll.qlIndexFixing(Index,Q44,,AllTriggers)</f>
        <v>1.0197110051102097E-2</v>
      </c>
      <c r="V44" s="71">
        <f>_xll.qlYieldTSDiscount(OisCurve,R44,,AllTriggers)</f>
        <v>0.95025629392522959</v>
      </c>
      <c r="W44" s="71">
        <f>_xll.qlYieldTSDiscount(OisCurve,S44,,AllTriggers)</f>
        <v>0.94618030685664589</v>
      </c>
      <c r="X44" s="70">
        <f t="shared" si="5"/>
        <v>8.4744262365005485E-3</v>
      </c>
      <c r="Y44" s="70">
        <f>U44-X44</f>
        <v>1.7226838146015486E-3</v>
      </c>
      <c r="Z44" s="70" t="e">
        <f t="shared" ca="1" si="6"/>
        <v>#NAME?</v>
      </c>
      <c r="AA44" s="70" t="e">
        <f ca="1">(Z44-Y44)</f>
        <v>#NAME?</v>
      </c>
      <c r="AB44" s="69">
        <f>_xll.qlDayCounterYearFraction(DayCounter,SettlementDate,R44,,,Trigger)</f>
        <v>13.197222222222223</v>
      </c>
      <c r="AC44" s="70">
        <f>_xll.qlPureAbcdFunctionValue($M$25,AB44)</f>
        <v>1.7043795554977964E-3</v>
      </c>
      <c r="AD44" s="70">
        <f t="shared" si="7"/>
        <v>-1.8304259103752146E-5</v>
      </c>
    </row>
    <row r="45" spans="15:30" x14ac:dyDescent="0.2">
      <c r="O45" s="81">
        <v>6</v>
      </c>
      <c r="P45" s="67" t="str">
        <f>_xll.qlPeriodEquivalent(P44&amp;"+"&amp;O45&amp;"M")</f>
        <v>13Y6M</v>
      </c>
      <c r="Q45" s="68">
        <f>_xll.qlCalendarAdvance(Calendar,SettlementDate,P45,"f",,Trigger)</f>
        <v>47050</v>
      </c>
      <c r="R45" s="68">
        <f>_xll.qlInterestRateIndexValueDate(Index,Q45,Trigger)</f>
        <v>47052</v>
      </c>
      <c r="S45" s="68">
        <f>_xll.qlInterestRateIndexMaturity(Index,R45,Trigger)</f>
        <v>47234</v>
      </c>
      <c r="T45" s="69">
        <f>_xll.qlDayCounterYearFraction(DayCounter,R45,S45,,,Trigger)</f>
        <v>0.50555555555555554</v>
      </c>
      <c r="U45" s="70">
        <f>_xll.qlIndexFixing(Index,Q45,,AllTriggers)</f>
        <v>1.0199217509601432E-2</v>
      </c>
      <c r="V45" s="71">
        <f>_xll.qlYieldTSDiscount(OisCurve,R45,,AllTriggers)</f>
        <v>0.94618030685664589</v>
      </c>
      <c r="W45" s="71">
        <f>_xll.qlYieldTSDiscount(OisCurve,S45,,AllTriggers)</f>
        <v>0.94210518132377041</v>
      </c>
      <c r="X45" s="70">
        <f t="shared" si="5"/>
        <v>8.5560381441697319E-3</v>
      </c>
      <c r="Y45" s="70">
        <f>U45-X45</f>
        <v>1.6431793654317003E-3</v>
      </c>
      <c r="Z45" s="70" t="e">
        <f t="shared" ca="1" si="6"/>
        <v>#NAME?</v>
      </c>
      <c r="AA45" s="70" t="e">
        <f ca="1">(Z45-Y45)</f>
        <v>#NAME?</v>
      </c>
      <c r="AB45" s="69">
        <f>_xll.qlDayCounterYearFraction(DayCounter,SettlementDate,R45,,,Trigger)</f>
        <v>13.705555555555556</v>
      </c>
      <c r="AC45" s="70">
        <f>_xll.qlPureAbcdFunctionValue($M$25,AB45)</f>
        <v>1.6436582254946031E-3</v>
      </c>
      <c r="AD45" s="70">
        <f t="shared" si="7"/>
        <v>4.7886006290277783E-7</v>
      </c>
    </row>
    <row r="46" spans="15:30" x14ac:dyDescent="0.2">
      <c r="O46" s="81">
        <v>6</v>
      </c>
      <c r="P46" s="67" t="str">
        <f>_xll.qlPeriodEquivalent(P45&amp;"+"&amp;O46&amp;"M")</f>
        <v>14Y</v>
      </c>
      <c r="Q46" s="68">
        <f>_xll.qlCalendarAdvance(Calendar,SettlementDate,P46,"f",,Trigger)</f>
        <v>47232</v>
      </c>
      <c r="R46" s="68">
        <f>_xll.qlInterestRateIndexValueDate(Index,Q46,Trigger)</f>
        <v>47234</v>
      </c>
      <c r="S46" s="68">
        <f>_xll.qlInterestRateIndexMaturity(Index,R46,Trigger)</f>
        <v>47417</v>
      </c>
      <c r="T46" s="69">
        <f>_xll.qlDayCounterYearFraction(DayCounter,R46,S46,,,Trigger)</f>
        <v>0.5083333333333333</v>
      </c>
      <c r="U46" s="70">
        <f>_xll.qlIndexFixing(Index,Q46,,AllTriggers)</f>
        <v>1.0191312519938321E-2</v>
      </c>
      <c r="V46" s="71">
        <f>_xll.qlYieldTSDiscount(OisCurve,R46,,AllTriggers)</f>
        <v>0.94210518132377041</v>
      </c>
      <c r="W46" s="71">
        <f>_xll.qlYieldTSDiscount(OisCurve,S46,,AllTriggers)</f>
        <v>0.93799361875615828</v>
      </c>
      <c r="X46" s="70">
        <f t="shared" si="5"/>
        <v>8.6230008855118362E-3</v>
      </c>
      <c r="Y46" s="70">
        <f>U46-X46</f>
        <v>1.5683116344264846E-3</v>
      </c>
      <c r="Z46" s="70" t="e">
        <f t="shared" ca="1" si="6"/>
        <v>#NAME?</v>
      </c>
      <c r="AA46" s="70" t="e">
        <f ca="1">(Z46-Y46)</f>
        <v>#NAME?</v>
      </c>
      <c r="AB46" s="69">
        <f>_xll.qlDayCounterYearFraction(DayCounter,SettlementDate,R46,,,Trigger)</f>
        <v>14.21111111111111</v>
      </c>
      <c r="AC46" s="70">
        <f>_xll.qlPureAbcdFunctionValue($M$25,AB46)</f>
        <v>1.584888491566567E-3</v>
      </c>
      <c r="AD46" s="70">
        <f t="shared" si="7"/>
        <v>1.6576857140082352E-5</v>
      </c>
    </row>
    <row r="47" spans="15:30" x14ac:dyDescent="0.2">
      <c r="O47" s="81">
        <v>6</v>
      </c>
      <c r="P47" s="67" t="str">
        <f>_xll.qlPeriodEquivalent(P46&amp;"+"&amp;O47&amp;"M")</f>
        <v>14Y6M</v>
      </c>
      <c r="Q47" s="68">
        <f>_xll.qlCalendarAdvance(Calendar,SettlementDate,P47,"f",,Trigger)</f>
        <v>47415</v>
      </c>
      <c r="R47" s="68">
        <f>_xll.qlInterestRateIndexValueDate(Index,Q47,Trigger)</f>
        <v>47417</v>
      </c>
      <c r="S47" s="68">
        <f>_xll.qlInterestRateIndexMaturity(Index,R47,Trigger)</f>
        <v>47599</v>
      </c>
      <c r="T47" s="69">
        <f>_xll.qlDayCounterYearFraction(DayCounter,R47,S47,,,Trigger)</f>
        <v>0.50555555555555554</v>
      </c>
      <c r="U47" s="70">
        <f>_xll.qlIndexFixing(Index,Q47,,AllTriggers)</f>
        <v>1.0172837822654931E-2</v>
      </c>
      <c r="V47" s="71">
        <f>_xll.qlYieldTSDiscount(OisCurve,R47,,AllTriggers)</f>
        <v>0.93799361875615828</v>
      </c>
      <c r="W47" s="71">
        <f>_xll.qlYieldTSDiscount(OisCurve,S47,,AllTriggers)</f>
        <v>0.93389786062488889</v>
      </c>
      <c r="X47" s="70">
        <f t="shared" si="5"/>
        <v>8.6749311053052804E-3</v>
      </c>
      <c r="Y47" s="70">
        <f>U47-X47</f>
        <v>1.4979067173496504E-3</v>
      </c>
      <c r="Z47" s="70" t="e">
        <f t="shared" ca="1" si="6"/>
        <v>#NAME?</v>
      </c>
      <c r="AA47" s="70" t="e">
        <f ca="1">(Z47-Y47)</f>
        <v>#NAME?</v>
      </c>
      <c r="AB47" s="69">
        <f>_xll.qlDayCounterYearFraction(DayCounter,SettlementDate,R47,,,Trigger)</f>
        <v>14.719444444444445</v>
      </c>
      <c r="AC47" s="70">
        <f>_xll.qlPureAbcdFunctionValue($M$25,AB47)</f>
        <v>1.5275308805578524E-3</v>
      </c>
      <c r="AD47" s="70">
        <f t="shared" si="7"/>
        <v>2.9624163208201958E-5</v>
      </c>
    </row>
    <row r="48" spans="15:30" x14ac:dyDescent="0.2">
      <c r="O48" s="81">
        <v>6</v>
      </c>
      <c r="P48" s="67" t="str">
        <f>_xll.qlPeriodEquivalent(P47&amp;"+"&amp;O48&amp;"M")</f>
        <v>15Y</v>
      </c>
      <c r="Q48" s="68">
        <f>_xll.qlCalendarAdvance(Calendar,SettlementDate,P48,"f",,Trigger)</f>
        <v>47597</v>
      </c>
      <c r="R48" s="68">
        <f>_xll.qlInterestRateIndexValueDate(Index,Q48,Trigger)</f>
        <v>47599</v>
      </c>
      <c r="S48" s="68">
        <f>_xll.qlInterestRateIndexMaturity(Index,R48,Trigger)</f>
        <v>47784</v>
      </c>
      <c r="T48" s="69">
        <f>_xll.qlDayCounterYearFraction(DayCounter,R48,S48,,,Trigger)</f>
        <v>0.51388888888888884</v>
      </c>
      <c r="U48" s="70">
        <f>_xll.qlIndexFixing(Index,Q48,,AllTriggers)</f>
        <v>1.0143805040076856E-2</v>
      </c>
      <c r="V48" s="71">
        <f>_xll.qlYieldTSDiscount(OisCurve,R48,,AllTriggers)</f>
        <v>0.93389786062488889</v>
      </c>
      <c r="W48" s="71">
        <f>_xll.qlYieldTSDiscount(OisCurve,S48,,AllTriggers)</f>
        <v>0.92973534444121719</v>
      </c>
      <c r="X48" s="70">
        <f t="shared" si="5"/>
        <v>8.7121905615178269E-3</v>
      </c>
      <c r="Y48" s="70">
        <f>U48-X48</f>
        <v>1.4316144785590287E-3</v>
      </c>
      <c r="Z48" s="70" t="e">
        <f t="shared" ca="1" si="6"/>
        <v>#NAME?</v>
      </c>
      <c r="AA48" s="70" t="e">
        <f ca="1">(Z48-Y48)</f>
        <v>#NAME?</v>
      </c>
      <c r="AB48" s="69">
        <f>_xll.qlDayCounterYearFraction(DayCounter,SettlementDate,R48,,,Trigger)</f>
        <v>15.225</v>
      </c>
      <c r="AC48" s="70">
        <f>_xll.qlPureAbcdFunctionValue($M$25,AB48)</f>
        <v>1.4722921938699414E-3</v>
      </c>
      <c r="AD48" s="70">
        <f t="shared" si="7"/>
        <v>4.0677715310912747E-5</v>
      </c>
    </row>
    <row r="49" spans="15:30" x14ac:dyDescent="0.2">
      <c r="O49" s="81">
        <v>6</v>
      </c>
      <c r="P49" s="67" t="str">
        <f>_xll.qlPeriodEquivalent(P48&amp;"+"&amp;O49&amp;"M")</f>
        <v>15Y6M</v>
      </c>
      <c r="Q49" s="68">
        <f>_xll.qlCalendarAdvance(Calendar,SettlementDate,P49,"f",,Trigger)</f>
        <v>47780</v>
      </c>
      <c r="R49" s="68">
        <f>_xll.qlInterestRateIndexValueDate(Index,Q49,Trigger)</f>
        <v>47784</v>
      </c>
      <c r="S49" s="68">
        <f>_xll.qlInterestRateIndexMaturity(Index,R49,Trigger)</f>
        <v>47966</v>
      </c>
      <c r="T49" s="69">
        <f>_xll.qlDayCounterYearFraction(DayCounter,R49,S49,,,Trigger)</f>
        <v>0.50555555555555554</v>
      </c>
      <c r="U49" s="70">
        <f>_xll.qlIndexFixing(Index,Q49,,AllTriggers)</f>
        <v>1.0100496480178574E-2</v>
      </c>
      <c r="V49" s="71">
        <f>_xll.qlYieldTSDiscount(OisCurve,R49,,AllTriggers)</f>
        <v>0.92973534444121719</v>
      </c>
      <c r="W49" s="71">
        <f>_xll.qlYieldTSDiscount(OisCurve,S49,,AllTriggers)</f>
        <v>0.92564905075194726</v>
      </c>
      <c r="X49" s="70">
        <f t="shared" si="5"/>
        <v>8.7320121156742158E-3</v>
      </c>
      <c r="Y49" s="70">
        <f>U49-X49</f>
        <v>1.3684843645043587E-3</v>
      </c>
      <c r="Z49" s="70" t="e">
        <f t="shared" ca="1" si="6"/>
        <v>#NAME?</v>
      </c>
      <c r="AA49" s="70" t="e">
        <f ca="1">(Z49-Y49)</f>
        <v>#NAME?</v>
      </c>
      <c r="AB49" s="69">
        <f>_xll.qlDayCounterYearFraction(DayCounter,SettlementDate,R49,,,Trigger)</f>
        <v>15.738888888888889</v>
      </c>
      <c r="AC49" s="70">
        <f>_xll.qlPureAbcdFunctionValue($M$25,AB49)</f>
        <v>1.418047445334465E-3</v>
      </c>
      <c r="AD49" s="70">
        <f t="shared" si="7"/>
        <v>4.9563080830106361E-5</v>
      </c>
    </row>
    <row r="50" spans="15:30" x14ac:dyDescent="0.2">
      <c r="O50" s="81">
        <v>6</v>
      </c>
      <c r="P50" s="67" t="str">
        <f>_xll.qlPeriodEquivalent(P49&amp;"+"&amp;O50&amp;"M")</f>
        <v>16Y</v>
      </c>
      <c r="Q50" s="68">
        <f>_xll.qlCalendarAdvance(Calendar,SettlementDate,P50,"f",,Trigger)</f>
        <v>47962</v>
      </c>
      <c r="R50" s="68">
        <f>_xll.qlInterestRateIndexValueDate(Index,Q50,Trigger)</f>
        <v>47966</v>
      </c>
      <c r="S50" s="68">
        <f>_xll.qlInterestRateIndexMaturity(Index,R50,Trigger)</f>
        <v>48149</v>
      </c>
      <c r="T50" s="69">
        <f>_xll.qlDayCounterYearFraction(DayCounter,R50,S50,,,Trigger)</f>
        <v>0.5083333333333333</v>
      </c>
      <c r="U50" s="70">
        <f>_xll.qlIndexFixing(Index,Q50,,AllTriggers)</f>
        <v>1.0044045621907327E-2</v>
      </c>
      <c r="V50" s="71">
        <f>_xll.qlYieldTSDiscount(OisCurve,R50,,AllTriggers)</f>
        <v>0.92564905075194726</v>
      </c>
      <c r="W50" s="71">
        <f>_xll.qlYieldTSDiscount(OisCurve,S50,,AllTriggers)</f>
        <v>0.92155704401218641</v>
      </c>
      <c r="X50" s="70">
        <f t="shared" si="5"/>
        <v>8.7350526767969935E-3</v>
      </c>
      <c r="Y50" s="70">
        <f>U50-X50</f>
        <v>1.3089929451103339E-3</v>
      </c>
      <c r="Z50" s="70" t="e">
        <f t="shared" ca="1" si="6"/>
        <v>#NAME?</v>
      </c>
      <c r="AA50" s="70" t="e">
        <f ca="1">(Z50-Y50)</f>
        <v>#NAME?</v>
      </c>
      <c r="AB50" s="69">
        <f>_xll.qlDayCounterYearFraction(DayCounter,SettlementDate,R50,,,Trigger)</f>
        <v>16.244444444444444</v>
      </c>
      <c r="AC50" s="70">
        <f>_xll.qlPureAbcdFunctionValue($M$25,AB50)</f>
        <v>1.3665944154178629E-3</v>
      </c>
      <c r="AD50" s="70">
        <f t="shared" si="7"/>
        <v>5.7601470307529039E-5</v>
      </c>
    </row>
    <row r="51" spans="15:30" x14ac:dyDescent="0.2">
      <c r="O51" s="81">
        <v>6</v>
      </c>
      <c r="P51" s="67" t="str">
        <f>_xll.qlPeriodEquivalent(P50&amp;"+"&amp;O51&amp;"M")</f>
        <v>16Y6M</v>
      </c>
      <c r="Q51" s="68">
        <f>_xll.qlCalendarAdvance(Calendar,SettlementDate,P51,"f",,Trigger)</f>
        <v>48145</v>
      </c>
      <c r="R51" s="68">
        <f>_xll.qlInterestRateIndexValueDate(Index,Q51,Trigger)</f>
        <v>48149</v>
      </c>
      <c r="S51" s="68">
        <f>_xll.qlInterestRateIndexMaturity(Index,R51,Trigger)</f>
        <v>48332</v>
      </c>
      <c r="T51" s="69">
        <f>_xll.qlDayCounterYearFraction(DayCounter,R51,S51,,,Trigger)</f>
        <v>0.5083333333333333</v>
      </c>
      <c r="U51" s="70">
        <f>_xll.qlIndexFixing(Index,Q51,,AllTriggers)</f>
        <v>9.9733678850040513E-3</v>
      </c>
      <c r="V51" s="71">
        <f>_xll.qlYieldTSDiscount(OisCurve,R51,,AllTriggers)</f>
        <v>0.92155704401218641</v>
      </c>
      <c r="W51" s="71">
        <f>_xll.qlYieldTSDiscount(OisCurve,S51,,AllTriggers)</f>
        <v>0.91748969004420855</v>
      </c>
      <c r="X51" s="70">
        <f t="shared" si="5"/>
        <v>8.7209176898407886E-3</v>
      </c>
      <c r="Y51" s="70">
        <f>U51-X51</f>
        <v>1.2524501951632627E-3</v>
      </c>
      <c r="Z51" s="70" t="e">
        <f t="shared" ca="1" si="6"/>
        <v>#NAME?</v>
      </c>
      <c r="AA51" s="70" t="e">
        <f ca="1">(Z51-Y51)</f>
        <v>#NAME?</v>
      </c>
      <c r="AB51" s="69">
        <f>_xll.qlDayCounterYearFraction(DayCounter,SettlementDate,R51,,,Trigger)</f>
        <v>16.752777777777776</v>
      </c>
      <c r="AC51" s="70">
        <f>_xll.qlPureAbcdFunctionValue($M$25,AB51)</f>
        <v>1.3167923774795921E-3</v>
      </c>
      <c r="AD51" s="70">
        <f t="shared" si="7"/>
        <v>6.4342182316329353E-5</v>
      </c>
    </row>
    <row r="52" spans="15:30" x14ac:dyDescent="0.2">
      <c r="O52" s="81">
        <v>6</v>
      </c>
      <c r="P52" s="67" t="str">
        <f>_xll.qlPeriodEquivalent(P51&amp;"+"&amp;O52&amp;"M")</f>
        <v>17Y</v>
      </c>
      <c r="Q52" s="68">
        <f>_xll.qlCalendarAdvance(Calendar,SettlementDate,P52,"f",,Trigger)</f>
        <v>48330</v>
      </c>
      <c r="R52" s="68">
        <f>_xll.qlInterestRateIndexValueDate(Index,Q52,Trigger)</f>
        <v>48332</v>
      </c>
      <c r="S52" s="68">
        <f>_xll.qlInterestRateIndexMaturity(Index,R52,Trigger)</f>
        <v>48515</v>
      </c>
      <c r="T52" s="69">
        <f>_xll.qlDayCounterYearFraction(DayCounter,R52,S52,,,Trigger)</f>
        <v>0.5083333333333333</v>
      </c>
      <c r="U52" s="70">
        <f>_xll.qlIndexFixing(Index,Q52,,AllTriggers)</f>
        <v>9.8887358461463935E-3</v>
      </c>
      <c r="V52" s="71">
        <f>_xll.qlYieldTSDiscount(OisCurve,R52,,AllTriggers)</f>
        <v>0.91748969004420855</v>
      </c>
      <c r="W52" s="71">
        <f>_xll.qlYieldTSDiscount(OisCurve,S52,,AllTriggers)</f>
        <v>0.91345473123571297</v>
      </c>
      <c r="X52" s="70">
        <f t="shared" si="5"/>
        <v>8.689674062804421E-3</v>
      </c>
      <c r="Y52" s="70">
        <f>U52-X52</f>
        <v>1.1990617833419724E-3</v>
      </c>
      <c r="Z52" s="70" t="e">
        <f t="shared" ca="1" si="6"/>
        <v>#NAME?</v>
      </c>
      <c r="AA52" s="70" t="e">
        <f ca="1">(Z52-Y52)</f>
        <v>#NAME?</v>
      </c>
      <c r="AB52" s="69">
        <f>_xll.qlDayCounterYearFraction(DayCounter,SettlementDate,R52,,,Trigger)</f>
        <v>17.261111111111113</v>
      </c>
      <c r="AC52" s="70">
        <f>_xll.qlPureAbcdFunctionValue($M$25,AB52)</f>
        <v>1.2689363223707527E-3</v>
      </c>
      <c r="AD52" s="70">
        <f t="shared" si="7"/>
        <v>6.9874539028780313E-5</v>
      </c>
    </row>
    <row r="53" spans="15:30" x14ac:dyDescent="0.2">
      <c r="O53" s="81">
        <v>6</v>
      </c>
      <c r="P53" s="67" t="str">
        <f>_xll.qlPeriodEquivalent(P52&amp;"+"&amp;O53&amp;"M")</f>
        <v>17Y6M</v>
      </c>
      <c r="Q53" s="68">
        <f>_xll.qlCalendarAdvance(Calendar,SettlementDate,P53,"f",,Trigger)</f>
        <v>48512</v>
      </c>
      <c r="R53" s="68">
        <f>_xll.qlInterestRateIndexValueDate(Index,Q53,Trigger)</f>
        <v>48514</v>
      </c>
      <c r="S53" s="68">
        <f>_xll.qlInterestRateIndexMaturity(Index,R53,Trigger)</f>
        <v>48696</v>
      </c>
      <c r="T53" s="69">
        <f>_xll.qlDayCounterYearFraction(DayCounter,R53,S53,,,Trigger)</f>
        <v>0.50555555555555554</v>
      </c>
      <c r="U53" s="70">
        <f>_xll.qlIndexFixing(Index,Q53,,AllTriggers)</f>
        <v>9.7908894906294282E-3</v>
      </c>
      <c r="V53" s="71">
        <f>_xll.qlYieldTSDiscount(OisCurve,R53,,AllTriggers)</f>
        <v>0.91347667836269519</v>
      </c>
      <c r="W53" s="71">
        <f>_xll.qlYieldTSDiscount(OisCurve,S53,,AllTriggers)</f>
        <v>0.90950319013314407</v>
      </c>
      <c r="X53" s="70">
        <f t="shared" si="5"/>
        <v>8.6416926655456059E-3</v>
      </c>
      <c r="Y53" s="70">
        <f>U53-X53</f>
        <v>1.1491968250838223E-3</v>
      </c>
      <c r="Z53" s="70" t="e">
        <f t="shared" ca="1" si="6"/>
        <v>#NAME?</v>
      </c>
      <c r="AA53" s="70" t="e">
        <f ca="1">(Z53-Y53)</f>
        <v>#NAME?</v>
      </c>
      <c r="AB53" s="69">
        <f>_xll.qlDayCounterYearFraction(DayCounter,SettlementDate,R53,,,Trigger)</f>
        <v>17.766666666666666</v>
      </c>
      <c r="AC53" s="70">
        <f>_xll.qlPureAbcdFunctionValue($M$25,AB53)</f>
        <v>1.2232664344484963E-3</v>
      </c>
      <c r="AD53" s="70">
        <f t="shared" si="7"/>
        <v>7.4069609364673912E-5</v>
      </c>
    </row>
    <row r="54" spans="15:30" x14ac:dyDescent="0.2">
      <c r="O54" s="81">
        <v>6</v>
      </c>
      <c r="P54" s="67" t="str">
        <f>_xll.qlPeriodEquivalent(P53&amp;"+"&amp;O54&amp;"M")</f>
        <v>18Y</v>
      </c>
      <c r="Q54" s="68">
        <f>_xll.qlCalendarAdvance(Calendar,SettlementDate,P54,"f",,Trigger)</f>
        <v>48694</v>
      </c>
      <c r="R54" s="68">
        <f>_xll.qlInterestRateIndexValueDate(Index,Q54,Trigger)</f>
        <v>48696</v>
      </c>
      <c r="S54" s="68">
        <f>_xll.qlInterestRateIndexMaturity(Index,R54,Trigger)</f>
        <v>48879</v>
      </c>
      <c r="T54" s="69">
        <f>_xll.qlDayCounterYearFraction(DayCounter,R54,S54,,,Trigger)</f>
        <v>0.5083333333333333</v>
      </c>
      <c r="U54" s="70">
        <f>_xll.qlIndexFixing(Index,Q54,,AllTriggers)</f>
        <v>9.678921607339401E-3</v>
      </c>
      <c r="V54" s="71">
        <f>_xll.qlYieldTSDiscount(OisCurve,R54,,AllTriggers)</f>
        <v>0.90950319013314407</v>
      </c>
      <c r="W54" s="71">
        <f>_xll.qlYieldTSDiscount(OisCurve,S54,,AllTriggers)</f>
        <v>0.90555514314143382</v>
      </c>
      <c r="X54" s="70">
        <f t="shared" si="5"/>
        <v>8.5766724186610369E-3</v>
      </c>
      <c r="Y54" s="70">
        <f>U54-X54</f>
        <v>1.1022491886783642E-3</v>
      </c>
      <c r="Z54" s="70" t="e">
        <f t="shared" ca="1" si="6"/>
        <v>#NAME?</v>
      </c>
      <c r="AA54" s="70" t="e">
        <f ca="1">(Z54-Y54)</f>
        <v>#NAME?</v>
      </c>
      <c r="AB54" s="69">
        <f>_xll.qlDayCounterYearFraction(DayCounter,SettlementDate,R54,,,Trigger)</f>
        <v>18.272222222222222</v>
      </c>
      <c r="AC54" s="70">
        <f>_xll.qlPureAbcdFunctionValue($M$25,AB54)</f>
        <v>1.1795001179508244E-3</v>
      </c>
      <c r="AD54" s="70">
        <f t="shared" si="7"/>
        <v>7.7250929272460259E-5</v>
      </c>
    </row>
    <row r="55" spans="15:30" x14ac:dyDescent="0.2">
      <c r="O55" s="81">
        <v>6</v>
      </c>
      <c r="P55" s="67" t="str">
        <f>_xll.qlPeriodEquivalent(P54&amp;"+"&amp;O55&amp;"M")</f>
        <v>18Y6M</v>
      </c>
      <c r="Q55" s="68">
        <f>_xll.qlCalendarAdvance(Calendar,SettlementDate,P55,"f",,Trigger)</f>
        <v>48876</v>
      </c>
      <c r="R55" s="68">
        <f>_xll.qlInterestRateIndexValueDate(Index,Q55,Trigger)</f>
        <v>48878</v>
      </c>
      <c r="S55" s="68">
        <f>_xll.qlInterestRateIndexMaturity(Index,R55,Trigger)</f>
        <v>49060</v>
      </c>
      <c r="T55" s="69">
        <f>_xll.qlDayCounterYearFraction(DayCounter,R55,S55,,,Trigger)</f>
        <v>0.50555555555555554</v>
      </c>
      <c r="U55" s="70">
        <f>_xll.qlIndexFixing(Index,Q55,,AllTriggers)</f>
        <v>9.5535629807802815E-3</v>
      </c>
      <c r="V55" s="71">
        <f>_xll.qlYieldTSDiscount(OisCurve,R55,,AllTriggers)</f>
        <v>0.90557657507586975</v>
      </c>
      <c r="W55" s="71">
        <f>_xll.qlYieldTSDiscount(OisCurve,S55,,AllTriggers)</f>
        <v>0.90170405499131512</v>
      </c>
      <c r="X55" s="70">
        <f t="shared" si="5"/>
        <v>8.4949488639643137E-3</v>
      </c>
      <c r="Y55" s="70">
        <f>U55-X55</f>
        <v>1.0586141168159677E-3</v>
      </c>
      <c r="Z55" s="70" t="e">
        <f t="shared" ca="1" si="6"/>
        <v>#NAME?</v>
      </c>
      <c r="AA55" s="70" t="e">
        <f ca="1">(Z55-Y55)</f>
        <v>#NAME?</v>
      </c>
      <c r="AB55" s="69">
        <f>_xll.qlDayCounterYearFraction(DayCounter,SettlementDate,R55,,,Trigger)</f>
        <v>18.777777777777779</v>
      </c>
      <c r="AC55" s="70">
        <f>_xll.qlPureAbcdFunctionValue($M$25,AB55)</f>
        <v>1.137612807158515E-3</v>
      </c>
      <c r="AD55" s="70">
        <f t="shared" si="7"/>
        <v>7.8998690342547279E-5</v>
      </c>
    </row>
    <row r="56" spans="15:30" x14ac:dyDescent="0.2">
      <c r="O56" s="81">
        <v>6</v>
      </c>
      <c r="P56" s="67" t="str">
        <f>_xll.qlPeriodEquivalent(P55&amp;"+"&amp;O56&amp;"M")</f>
        <v>19Y</v>
      </c>
      <c r="Q56" s="68">
        <f>_xll.qlCalendarAdvance(Calendar,SettlementDate,P56,"f",,Trigger)</f>
        <v>49058</v>
      </c>
      <c r="R56" s="68">
        <f>_xll.qlInterestRateIndexValueDate(Index,Q56,Trigger)</f>
        <v>49060</v>
      </c>
      <c r="S56" s="68">
        <f>_xll.qlInterestRateIndexMaturity(Index,R56,Trigger)</f>
        <v>49243</v>
      </c>
      <c r="T56" s="69">
        <f>_xll.qlDayCounterYearFraction(DayCounter,R56,S56,,,Trigger)</f>
        <v>0.5083333333333333</v>
      </c>
      <c r="U56" s="70">
        <f>_xll.qlIndexFixing(Index,Q56,,AllTriggers)</f>
        <v>9.4139234736369884E-3</v>
      </c>
      <c r="V56" s="71">
        <f>_xll.qlYieldTSDiscount(OisCurve,R56,,AllTriggers)</f>
        <v>0.90170405499131512</v>
      </c>
      <c r="W56" s="71">
        <f>_xll.qlYieldTSDiscount(OisCurve,S56,,AllTriggers)</f>
        <v>0.89787196856976026</v>
      </c>
      <c r="X56" s="70">
        <f t="shared" si="5"/>
        <v>8.3959973462164918E-3</v>
      </c>
      <c r="Y56" s="70">
        <f>U56-X56</f>
        <v>1.0179261274204966E-3</v>
      </c>
      <c r="Z56" s="70" t="e">
        <f t="shared" ca="1" si="6"/>
        <v>#NAME?</v>
      </c>
      <c r="AA56" s="70" t="e">
        <f ca="1">(Z56-Y56)</f>
        <v>#NAME?</v>
      </c>
      <c r="AB56" s="69">
        <f>_xll.qlDayCounterYearFraction(DayCounter,SettlementDate,R56,,,Trigger)</f>
        <v>19.283333333333335</v>
      </c>
      <c r="AC56" s="70">
        <f>_xll.qlPureAbcdFunctionValue($M$25,AB56)</f>
        <v>1.0975725997698499E-3</v>
      </c>
      <c r="AD56" s="70">
        <f t="shared" si="7"/>
        <v>7.9646472349353264E-5</v>
      </c>
    </row>
    <row r="57" spans="15:30" x14ac:dyDescent="0.2">
      <c r="O57" s="81">
        <v>6</v>
      </c>
      <c r="P57" s="67" t="str">
        <f>_xll.qlPeriodEquivalent(P56&amp;"+"&amp;O57&amp;"M")</f>
        <v>19Y6M</v>
      </c>
      <c r="Q57" s="68">
        <f>_xll.qlCalendarAdvance(Calendar,SettlementDate,P57,"f",,Trigger)</f>
        <v>49241</v>
      </c>
      <c r="R57" s="68">
        <f>_xll.qlInterestRateIndexValueDate(Index,Q57,Trigger)</f>
        <v>49243</v>
      </c>
      <c r="S57" s="68">
        <f>_xll.qlInterestRateIndexMaturity(Index,R57,Trigger)</f>
        <v>49425</v>
      </c>
      <c r="T57" s="69">
        <f>_xll.qlDayCounterYearFraction(DayCounter,R57,S57,,,Trigger)</f>
        <v>0.50555555555555554</v>
      </c>
      <c r="U57" s="70">
        <f>_xll.qlIndexFixing(Index,Q57,,AllTriggers)</f>
        <v>9.260184798599861E-3</v>
      </c>
      <c r="V57" s="71">
        <f>_xll.qlYieldTSDiscount(OisCurve,R57,,AllTriggers)</f>
        <v>0.89787196856976026</v>
      </c>
      <c r="W57" s="71">
        <f>_xll.qlYieldTSDiscount(OisCurve,S57,,AllTriggers)</f>
        <v>0.89412920730098677</v>
      </c>
      <c r="X57" s="70">
        <f t="shared" si="5"/>
        <v>8.2798593175036246E-3</v>
      </c>
      <c r="Y57" s="70">
        <f>U57-X57</f>
        <v>9.8032548109623641E-4</v>
      </c>
      <c r="Z57" s="70" t="e">
        <f t="shared" ca="1" si="6"/>
        <v>#NAME?</v>
      </c>
      <c r="AA57" s="70" t="e">
        <f ca="1">(Z57-Y57)</f>
        <v>#NAME?</v>
      </c>
      <c r="AB57" s="69">
        <f>_xll.qlDayCounterYearFraction(DayCounter,SettlementDate,R57,,,Trigger)</f>
        <v>19.791666666666668</v>
      </c>
      <c r="AC57" s="70">
        <f>_xll.qlPureAbcdFunctionValue($M$25,AB57)</f>
        <v>1.0591363789963517E-3</v>
      </c>
      <c r="AD57" s="70">
        <f t="shared" si="7"/>
        <v>7.8810897900115275E-5</v>
      </c>
    </row>
    <row r="58" spans="15:30" x14ac:dyDescent="0.2">
      <c r="O58" s="81">
        <v>6</v>
      </c>
      <c r="P58" s="67" t="str">
        <f>_xll.qlPeriodEquivalent(P57&amp;"+"&amp;O58&amp;"M")</f>
        <v>20Y</v>
      </c>
      <c r="Q58" s="68">
        <f>_xll.qlCalendarAdvance(Calendar,SettlementDate,P58,"f",,Trigger)</f>
        <v>49423</v>
      </c>
      <c r="R58" s="68">
        <f>_xll.qlInterestRateIndexValueDate(Index,Q58,Trigger)</f>
        <v>49425</v>
      </c>
      <c r="S58" s="68">
        <f>_xll.qlInterestRateIndexMaturity(Index,R58,Trigger)</f>
        <v>49608</v>
      </c>
      <c r="T58" s="69">
        <f>_xll.qlDayCounterYearFraction(DayCounter,R58,S58,,,Trigger)</f>
        <v>0.5083333333333333</v>
      </c>
      <c r="U58" s="70">
        <f>_xll.qlIndexFixing(Index,Q58,,AllTriggers)</f>
        <v>9.0986806043060909E-3</v>
      </c>
      <c r="V58" s="71">
        <f>_xll.qlYieldTSDiscount(OisCurve,R58,,AllTriggers)</f>
        <v>0.89412920730098677</v>
      </c>
      <c r="W58" s="71">
        <f>_xll.qlYieldTSDiscount(OisCurve,S58,,AllTriggers)</f>
        <v>0.89043893836345978</v>
      </c>
      <c r="X58" s="70">
        <f t="shared" si="5"/>
        <v>8.1527717826617458E-3</v>
      </c>
      <c r="Y58" s="70">
        <f>U58-X58</f>
        <v>9.4590882164434509E-4</v>
      </c>
      <c r="Z58" s="70" t="e">
        <f t="shared" ca="1" si="6"/>
        <v>#NAME?</v>
      </c>
      <c r="AA58" s="70" t="e">
        <f ca="1">(Z58-Y58)</f>
        <v>#NAME?</v>
      </c>
      <c r="AB58" s="69">
        <f>_xll.qlDayCounterYearFraction(DayCounter,SettlementDate,R58,,,Trigger)</f>
        <v>20.297222222222221</v>
      </c>
      <c r="AC58" s="70">
        <f>_xll.qlPureAbcdFunctionValue($M$25,AB58)</f>
        <v>1.0226810672757636E-3</v>
      </c>
      <c r="AD58" s="70">
        <f t="shared" si="7"/>
        <v>7.6772245631418542E-5</v>
      </c>
    </row>
    <row r="59" spans="15:30" x14ac:dyDescent="0.2">
      <c r="O59" s="81">
        <v>6</v>
      </c>
      <c r="P59" s="67" t="str">
        <f>_xll.qlPeriodEquivalent(P58&amp;"+"&amp;O59&amp;"M")</f>
        <v>20Y6M</v>
      </c>
      <c r="Q59" s="68">
        <f>_xll.qlCalendarAdvance(Calendar,SettlementDate,P59,"f",,Trigger)</f>
        <v>49606</v>
      </c>
      <c r="R59" s="68">
        <f>_xll.qlInterestRateIndexValueDate(Index,Q59,Trigger)</f>
        <v>49608</v>
      </c>
      <c r="S59" s="68">
        <f>_xll.qlInterestRateIndexMaturity(Index,R59,Trigger)</f>
        <v>49793</v>
      </c>
      <c r="T59" s="69">
        <f>_xll.qlDayCounterYearFraction(DayCounter,R59,S59,,,Trigger)</f>
        <v>0.51388888888888884</v>
      </c>
      <c r="U59" s="70">
        <f>_xll.qlIndexFixing(Index,Q59,,AllTriggers)</f>
        <v>8.9507803292766322E-3</v>
      </c>
      <c r="V59" s="71">
        <f>_xll.qlYieldTSDiscount(OisCurve,R59,,AllTriggers)</f>
        <v>0.89043893836345978</v>
      </c>
      <c r="W59" s="71">
        <f>_xll.qlYieldTSDiscount(OisCurve,S59,,AllTriggers)</f>
        <v>0.88677670977203782</v>
      </c>
      <c r="X59" s="70">
        <f t="shared" si="5"/>
        <v>8.036407363965237E-3</v>
      </c>
      <c r="Y59" s="70">
        <f>U59-X59</f>
        <v>9.1437296531139516E-4</v>
      </c>
      <c r="Z59" s="70" t="e">
        <f t="shared" ca="1" si="6"/>
        <v>#NAME?</v>
      </c>
      <c r="AA59" s="70" t="e">
        <f ca="1">(Z59-Y59)</f>
        <v>#NAME?</v>
      </c>
      <c r="AB59" s="69">
        <f>_xll.qlDayCounterYearFraction(DayCounter,SettlementDate,R59,,,Trigger)</f>
        <v>20.805555555555557</v>
      </c>
      <c r="AC59" s="70">
        <f>_xll.qlPureAbcdFunctionValue($M$25,AB59)</f>
        <v>9.8775855757223668E-4</v>
      </c>
      <c r="AD59" s="70">
        <f t="shared" si="7"/>
        <v>7.3385592260841528E-5</v>
      </c>
    </row>
    <row r="60" spans="15:30" x14ac:dyDescent="0.2">
      <c r="O60" s="81">
        <v>6</v>
      </c>
      <c r="P60" s="67" t="str">
        <f>_xll.qlPeriodEquivalent(P59&amp;"+"&amp;O60&amp;"M")</f>
        <v>21Y</v>
      </c>
      <c r="Q60" s="68">
        <f>_xll.qlCalendarAdvance(Calendar,SettlementDate,P60,"f",,Trigger)</f>
        <v>49789</v>
      </c>
      <c r="R60" s="68">
        <f>_xll.qlInterestRateIndexValueDate(Index,Q60,Trigger)</f>
        <v>49793</v>
      </c>
      <c r="S60" s="68">
        <f>_xll.qlInterestRateIndexMaturity(Index,R60,Trigger)</f>
        <v>49976</v>
      </c>
      <c r="T60" s="69">
        <f>_xll.qlDayCounterYearFraction(DayCounter,R60,S60,,,Trigger)</f>
        <v>0.5083333333333333</v>
      </c>
      <c r="U60" s="70">
        <f>_xll.qlIndexFixing(Index,Q60,,AllTriggers)</f>
        <v>8.822781066585933E-3</v>
      </c>
      <c r="V60" s="71">
        <f>_xll.qlYieldTSDiscount(OisCurve,R60,,AllTriggers)</f>
        <v>0.88677670977203782</v>
      </c>
      <c r="W60" s="71">
        <f>_xll.qlYieldTSDiscount(OisCurve,S60,,AllTriggers)</f>
        <v>0.88321331086611399</v>
      </c>
      <c r="X60" s="70">
        <f t="shared" si="5"/>
        <v>7.9368879234388637E-3</v>
      </c>
      <c r="Y60" s="70">
        <f>U60-X60</f>
        <v>8.858931431470693E-4</v>
      </c>
      <c r="Z60" s="70" t="e">
        <f t="shared" ca="1" si="6"/>
        <v>#NAME?</v>
      </c>
      <c r="AA60" s="70" t="e">
        <f ca="1">(Z60-Y60)</f>
        <v>#NAME?</v>
      </c>
      <c r="AB60" s="69">
        <f>_xll.qlDayCounterYearFraction(DayCounter,SettlementDate,R60,,,Trigger)</f>
        <v>21.319444444444443</v>
      </c>
      <c r="AC60" s="70">
        <f>_xll.qlPureAbcdFunctionValue($M$25,AB60)</f>
        <v>9.5416898996219103E-4</v>
      </c>
      <c r="AD60" s="70">
        <f t="shared" si="7"/>
        <v>6.8275846815121733E-5</v>
      </c>
    </row>
    <row r="61" spans="15:30" x14ac:dyDescent="0.2">
      <c r="O61" s="81">
        <v>6</v>
      </c>
      <c r="P61" s="67" t="str">
        <f>_xll.qlPeriodEquivalent(P60&amp;"+"&amp;O61&amp;"M")</f>
        <v>21Y6M</v>
      </c>
      <c r="Q61" s="68">
        <f>_xll.qlCalendarAdvance(Calendar,SettlementDate,P61,"f",,Trigger)</f>
        <v>49972</v>
      </c>
      <c r="R61" s="68">
        <f>_xll.qlInterestRateIndexValueDate(Index,Q61,Trigger)</f>
        <v>49976</v>
      </c>
      <c r="S61" s="68">
        <f>_xll.qlInterestRateIndexMaturity(Index,R61,Trigger)</f>
        <v>50158</v>
      </c>
      <c r="T61" s="69">
        <f>_xll.qlDayCounterYearFraction(DayCounter,R61,S61,,,Trigger)</f>
        <v>0.50555555555555554</v>
      </c>
      <c r="U61" s="70">
        <f>_xll.qlIndexFixing(Index,Q61,,AllTriggers)</f>
        <v>8.7160793240277541E-3</v>
      </c>
      <c r="V61" s="71">
        <f>_xll.qlYieldTSDiscount(OisCurve,R61,,AllTriggers)</f>
        <v>0.88321331086611399</v>
      </c>
      <c r="W61" s="71">
        <f>_xll.qlYieldTSDiscount(OisCurve,S61,,AllTriggers)</f>
        <v>0.87971968776644527</v>
      </c>
      <c r="X61" s="70">
        <f t="shared" si="5"/>
        <v>7.8553013762999672E-3</v>
      </c>
      <c r="Y61" s="70">
        <f>U61-X61</f>
        <v>8.6077794772778694E-4</v>
      </c>
      <c r="Z61" s="70" t="e">
        <f t="shared" ca="1" si="6"/>
        <v>#NAME?</v>
      </c>
      <c r="AA61" s="70" t="e">
        <f ca="1">(Z61-Y61)</f>
        <v>#NAME?</v>
      </c>
      <c r="AB61" s="69">
        <f>_xll.qlDayCounterYearFraction(DayCounter,SettlementDate,R61,,,Trigger)</f>
        <v>21.827777777777779</v>
      </c>
      <c r="AC61" s="70">
        <f>_xll.qlPureAbcdFunctionValue($M$25,AB61)</f>
        <v>9.2258481306174049E-4</v>
      </c>
      <c r="AD61" s="70">
        <f t="shared" si="7"/>
        <v>6.1806865333953551E-5</v>
      </c>
    </row>
    <row r="62" spans="15:30" x14ac:dyDescent="0.2">
      <c r="O62" s="81">
        <v>6</v>
      </c>
      <c r="P62" s="67" t="str">
        <f>_xll.qlPeriodEquivalent(P61&amp;"+"&amp;O62&amp;"M")</f>
        <v>22Y</v>
      </c>
      <c r="Q62" s="68">
        <f>_xll.qlCalendarAdvance(Calendar,SettlementDate,P62,"f",,Trigger)</f>
        <v>50154</v>
      </c>
      <c r="R62" s="68">
        <f>_xll.qlInterestRateIndexValueDate(Index,Q62,Trigger)</f>
        <v>50158</v>
      </c>
      <c r="S62" s="68">
        <f>_xll.qlInterestRateIndexMaturity(Index,R62,Trigger)</f>
        <v>50341</v>
      </c>
      <c r="T62" s="69">
        <f>_xll.qlDayCounterYearFraction(DayCounter,R62,S62,,,Trigger)</f>
        <v>0.5083333333333333</v>
      </c>
      <c r="U62" s="70">
        <f>_xll.qlIndexFixing(Index,Q62,,AllTriggers)</f>
        <v>8.6296508275357613E-3</v>
      </c>
      <c r="V62" s="71">
        <f>_xll.qlYieldTSDiscount(OisCurve,R62,,AllTriggers)</f>
        <v>0.87971968776644527</v>
      </c>
      <c r="W62" s="71">
        <f>_xll.qlYieldTSDiscount(OisCurve,S62,,AllTriggers)</f>
        <v>0.87624943376257247</v>
      </c>
      <c r="X62" s="70">
        <f t="shared" si="5"/>
        <v>7.7908514686655349E-3</v>
      </c>
      <c r="Y62" s="70">
        <f>U62-X62</f>
        <v>8.3879935887022639E-4</v>
      </c>
      <c r="Z62" s="70" t="e">
        <f t="shared" ca="1" si="6"/>
        <v>#NAME?</v>
      </c>
      <c r="AA62" s="70" t="e">
        <f ca="1">(Z62-Y62)</f>
        <v>#NAME?</v>
      </c>
      <c r="AB62" s="69">
        <f>_xll.qlDayCounterYearFraction(DayCounter,SettlementDate,R62,,,Trigger)</f>
        <v>22.333333333333332</v>
      </c>
      <c r="AC62" s="70">
        <f>_xll.qlPureAbcdFunctionValue($M$25,AB62)</f>
        <v>8.9273847639163633E-4</v>
      </c>
      <c r="AD62" s="70">
        <f t="shared" si="7"/>
        <v>5.3939117521409948E-5</v>
      </c>
    </row>
    <row r="63" spans="15:30" x14ac:dyDescent="0.2">
      <c r="O63" s="81">
        <v>6</v>
      </c>
      <c r="P63" s="67" t="str">
        <f>_xll.qlPeriodEquivalent(P62&amp;"+"&amp;O63&amp;"M")</f>
        <v>22Y6M</v>
      </c>
      <c r="Q63" s="68">
        <f>_xll.qlCalendarAdvance(Calendar,SettlementDate,P63,"f",,Trigger)</f>
        <v>50339</v>
      </c>
      <c r="R63" s="68">
        <f>_xll.qlInterestRateIndexValueDate(Index,Q63,Trigger)</f>
        <v>50341</v>
      </c>
      <c r="S63" s="68">
        <f>_xll.qlInterestRateIndexMaturity(Index,R63,Trigger)</f>
        <v>50523</v>
      </c>
      <c r="T63" s="69">
        <f>_xll.qlDayCounterYearFraction(DayCounter,R63,S63,,,Trigger)</f>
        <v>0.50555555555555554</v>
      </c>
      <c r="U63" s="70">
        <f>_xll.qlIndexFixing(Index,Q63,,AllTriggers)</f>
        <v>8.5630385670269499E-3</v>
      </c>
      <c r="V63" s="71">
        <f>_xll.qlYieldTSDiscount(OisCurve,R63,,AllTriggers)</f>
        <v>0.87624943376257247</v>
      </c>
      <c r="W63" s="71">
        <f>_xll.qlYieldTSDiscount(OisCurve,S63,,AllTriggers)</f>
        <v>0.87283264273938377</v>
      </c>
      <c r="X63" s="70">
        <f t="shared" si="5"/>
        <v>7.7431656508215891E-3</v>
      </c>
      <c r="Y63" s="70">
        <f>U63-X63</f>
        <v>8.1987291620536085E-4</v>
      </c>
      <c r="Z63" s="70" t="e">
        <f t="shared" ca="1" si="6"/>
        <v>#NAME?</v>
      </c>
      <c r="AA63" s="70" t="e">
        <f ca="1">(Z63-Y63)</f>
        <v>#NAME?</v>
      </c>
      <c r="AB63" s="69">
        <f>_xll.qlDayCounterYearFraction(DayCounter,SettlementDate,R63,,,Trigger)</f>
        <v>22.841666666666665</v>
      </c>
      <c r="AC63" s="70">
        <f>_xll.qlPureAbcdFunctionValue($M$25,AB63)</f>
        <v>8.6424601605422538E-4</v>
      </c>
      <c r="AD63" s="70">
        <f t="shared" si="7"/>
        <v>4.4373099848864532E-5</v>
      </c>
    </row>
    <row r="64" spans="15:30" x14ac:dyDescent="0.2">
      <c r="O64" s="81">
        <v>6</v>
      </c>
      <c r="P64" s="67" t="str">
        <f>_xll.qlPeriodEquivalent(P63&amp;"+"&amp;O64&amp;"M")</f>
        <v>23Y</v>
      </c>
      <c r="Q64" s="68">
        <f>_xll.qlCalendarAdvance(Calendar,SettlementDate,P64,"f",,Trigger)</f>
        <v>50522</v>
      </c>
      <c r="R64" s="68">
        <f>_xll.qlInterestRateIndexValueDate(Index,Q64,Trigger)</f>
        <v>50524</v>
      </c>
      <c r="S64" s="68">
        <f>_xll.qlInterestRateIndexMaturity(Index,R64,Trigger)</f>
        <v>50707</v>
      </c>
      <c r="T64" s="69">
        <f>_xll.qlDayCounterYearFraction(DayCounter,R64,S64,,,Trigger)</f>
        <v>0.5083333333333333</v>
      </c>
      <c r="U64" s="70">
        <f>_xll.qlIndexFixing(Index,Q64,,AllTriggers)</f>
        <v>8.5164881802152481E-3</v>
      </c>
      <c r="V64" s="71">
        <f>_xll.qlYieldTSDiscount(OisCurve,R64,,AllTriggers)</f>
        <v>0.8728139499333204</v>
      </c>
      <c r="W64" s="71">
        <f>_xll.qlYieldTSDiscount(OisCurve,S64,,AllTriggers)</f>
        <v>0.86940543334999865</v>
      </c>
      <c r="X64" s="70">
        <f t="shared" si="5"/>
        <v>7.7124874855343546E-3</v>
      </c>
      <c r="Y64" s="70">
        <f>U64-X64</f>
        <v>8.0400069468089357E-4</v>
      </c>
      <c r="Z64" s="70" t="e">
        <f t="shared" ca="1" si="6"/>
        <v>#NAME?</v>
      </c>
      <c r="AA64" s="70" t="e">
        <f ca="1">(Z64-Y64)</f>
        <v>#NAME?</v>
      </c>
      <c r="AB64" s="69">
        <f>_xll.qlDayCounterYearFraction(DayCounter,SettlementDate,R64,,,Trigger)</f>
        <v>23.35</v>
      </c>
      <c r="AC64" s="70">
        <f>_xll.qlPureAbcdFunctionValue($M$25,AB64)</f>
        <v>8.3721878806571103E-4</v>
      </c>
      <c r="AD64" s="70">
        <f t="shared" si="7"/>
        <v>3.3218093384817463E-5</v>
      </c>
    </row>
    <row r="65" spans="15:30" x14ac:dyDescent="0.2">
      <c r="O65" s="81">
        <v>6</v>
      </c>
      <c r="P65" s="67" t="str">
        <f>_xll.qlPeriodEquivalent(P64&amp;"+"&amp;O65&amp;"M")</f>
        <v>23Y6M</v>
      </c>
      <c r="Q65" s="68">
        <f>_xll.qlCalendarAdvance(Calendar,SettlementDate,P65,"f",,Trigger)</f>
        <v>50703</v>
      </c>
      <c r="R65" s="68">
        <f>_xll.qlInterestRateIndexValueDate(Index,Q65,Trigger)</f>
        <v>50705</v>
      </c>
      <c r="S65" s="68">
        <f>_xll.qlInterestRateIndexMaturity(Index,R65,Trigger)</f>
        <v>50887</v>
      </c>
      <c r="T65" s="69">
        <f>_xll.qlDayCounterYearFraction(DayCounter,R65,S65,,,Trigger)</f>
        <v>0.50555555555555554</v>
      </c>
      <c r="U65" s="70">
        <f>_xll.qlIndexFixing(Index,Q65,,AllTriggers)</f>
        <v>8.4902449386614134E-3</v>
      </c>
      <c r="V65" s="71">
        <f>_xll.qlYieldTSDiscount(OisCurve,R65,,AllTriggers)</f>
        <v>0.86944256678431675</v>
      </c>
      <c r="W65" s="71">
        <f>_xll.qlYieldTSDiscount(OisCurve,S65,,AllTriggers)</f>
        <v>0.86607164752062493</v>
      </c>
      <c r="X65" s="70">
        <f t="shared" si="5"/>
        <v>7.6988461737645007E-3</v>
      </c>
      <c r="Y65" s="70">
        <f>U65-X65</f>
        <v>7.9139876489691275E-4</v>
      </c>
      <c r="Z65" s="70" t="e">
        <f t="shared" ca="1" si="6"/>
        <v>#NAME?</v>
      </c>
      <c r="AA65" s="70" t="e">
        <f ca="1">(Z65-Y65)</f>
        <v>#NAME?</v>
      </c>
      <c r="AB65" s="69">
        <f>_xll.qlDayCounterYearFraction(DayCounter,SettlementDate,R65,,,Trigger)</f>
        <v>23.852777777777778</v>
      </c>
      <c r="AC65" s="70">
        <f>_xll.qlPureAbcdFunctionValue($M$25,AB65)</f>
        <v>8.1187225198182131E-4</v>
      </c>
      <c r="AD65" s="70">
        <f t="shared" si="7"/>
        <v>2.0473487084908559E-5</v>
      </c>
    </row>
    <row r="66" spans="15:30" x14ac:dyDescent="0.2">
      <c r="O66" s="81">
        <v>6</v>
      </c>
      <c r="P66" s="67" t="str">
        <f>_xll.qlPeriodEquivalent(P65&amp;"+"&amp;O66&amp;"M")</f>
        <v>24Y</v>
      </c>
      <c r="Q66" s="68">
        <f>_xll.qlCalendarAdvance(Calendar,SettlementDate,P66,"f",,Trigger)</f>
        <v>50885</v>
      </c>
      <c r="R66" s="68">
        <f>_xll.qlInterestRateIndexValueDate(Index,Q66,Trigger)</f>
        <v>50887</v>
      </c>
      <c r="S66" s="68">
        <f>_xll.qlInterestRateIndexMaturity(Index,R66,Trigger)</f>
        <v>51070</v>
      </c>
      <c r="T66" s="69">
        <f>_xll.qlDayCounterYearFraction(DayCounter,R66,S66,,,Trigger)</f>
        <v>0.5083333333333333</v>
      </c>
      <c r="U66" s="70">
        <f>_xll.qlIndexFixing(Index,Q66,,AllTriggers)</f>
        <v>8.4838579281690946E-3</v>
      </c>
      <c r="V66" s="71">
        <f>_xll.qlYieldTSDiscount(OisCurve,R66,,AllTriggers)</f>
        <v>0.86607164752062493</v>
      </c>
      <c r="W66" s="71">
        <f>_xll.qlYieldTSDiscount(OisCurve,S66,,AllTriggers)</f>
        <v>0.8626940038678278</v>
      </c>
      <c r="X66" s="70">
        <f t="shared" si="5"/>
        <v>7.7020877170331228E-3</v>
      </c>
      <c r="Y66" s="70">
        <f>U66-X66</f>
        <v>7.8177021113597176E-4</v>
      </c>
      <c r="Z66" s="70" t="e">
        <f t="shared" ca="1" si="6"/>
        <v>#NAME?</v>
      </c>
      <c r="AA66" s="70" t="e">
        <f ca="1">(Z66-Y66)</f>
        <v>#NAME?</v>
      </c>
      <c r="AB66" s="69">
        <f>_xll.qlDayCounterYearFraction(DayCounter,SettlementDate,R66,,,Trigger)</f>
        <v>24.358333333333334</v>
      </c>
      <c r="AC66" s="70">
        <f>_xll.qlPureAbcdFunctionValue($M$25,AB66)</f>
        <v>7.877189159973707E-4</v>
      </c>
      <c r="AD66" s="70">
        <f t="shared" si="7"/>
        <v>5.9487048613989348E-6</v>
      </c>
    </row>
    <row r="67" spans="15:30" x14ac:dyDescent="0.2">
      <c r="O67" s="81">
        <v>6</v>
      </c>
      <c r="P67" s="67" t="str">
        <f>_xll.qlPeriodEquivalent(P66&amp;"+"&amp;O67&amp;"M")</f>
        <v>24Y6M</v>
      </c>
      <c r="Q67" s="68">
        <f>_xll.qlCalendarAdvance(Calendar,SettlementDate,P67,"f",,Trigger)</f>
        <v>51067</v>
      </c>
      <c r="R67" s="68">
        <f>_xll.qlInterestRateIndexValueDate(Index,Q67,Trigger)</f>
        <v>51069</v>
      </c>
      <c r="S67" s="68">
        <f>_xll.qlInterestRateIndexMaturity(Index,R67,Trigger)</f>
        <v>51252</v>
      </c>
      <c r="T67" s="69">
        <f>_xll.qlDayCounterYearFraction(DayCounter,R67,S67,,,Trigger)</f>
        <v>0.5083333333333333</v>
      </c>
      <c r="U67" s="70">
        <f>_xll.qlIndexFixing(Index,Q67,,AllTriggers)</f>
        <v>8.4973344721137097E-3</v>
      </c>
      <c r="V67" s="71">
        <f>_xll.qlYieldTSDiscount(OisCurve,R67,,AllTriggers)</f>
        <v>0.86271244226627797</v>
      </c>
      <c r="W67" s="71">
        <f>_xll.qlYieldTSDiscount(OisCurve,S67,,AllTriggers)</f>
        <v>0.85933918838724699</v>
      </c>
      <c r="X67" s="70">
        <f t="shared" si="5"/>
        <v>7.7221071259169789E-3</v>
      </c>
      <c r="Y67" s="70">
        <f>U67-X67</f>
        <v>7.7522734619673087E-4</v>
      </c>
      <c r="Z67" s="70" t="e">
        <f t="shared" ca="1" si="6"/>
        <v>#NAME?</v>
      </c>
      <c r="AA67" s="70" t="e">
        <f ca="1">(Z67-Y67)</f>
        <v>#NAME?</v>
      </c>
      <c r="AB67" s="69">
        <f>_xll.qlDayCounterYearFraction(DayCounter,SettlementDate,R67,,,Trigger)</f>
        <v>24.863888888888887</v>
      </c>
      <c r="AC67" s="70">
        <f>_xll.qlPureAbcdFunctionValue($M$25,AB67)</f>
        <v>7.648469771988776E-4</v>
      </c>
      <c r="AD67" s="70">
        <f t="shared" si="7"/>
        <v>-1.0380368997853261E-5</v>
      </c>
    </row>
    <row r="68" spans="15:30" x14ac:dyDescent="0.2">
      <c r="O68" s="81">
        <v>6</v>
      </c>
      <c r="P68" s="67" t="str">
        <f>_xll.qlPeriodEquivalent(P67&amp;"+"&amp;O68&amp;"M")</f>
        <v>25Y</v>
      </c>
      <c r="Q68" s="68">
        <f>_xll.qlCalendarAdvance(Calendar,SettlementDate,P68,"f",,Trigger)</f>
        <v>51250</v>
      </c>
      <c r="R68" s="68">
        <f>_xll.qlInterestRateIndexValueDate(Index,Q68,Trigger)</f>
        <v>51252</v>
      </c>
      <c r="S68" s="68">
        <f>_xll.qlInterestRateIndexMaturity(Index,R68,Trigger)</f>
        <v>51435</v>
      </c>
      <c r="T68" s="69">
        <f>_xll.qlDayCounterYearFraction(DayCounter,R68,S68,,,Trigger)</f>
        <v>0.5083333333333333</v>
      </c>
      <c r="U68" s="70">
        <f>_xll.qlIndexFixing(Index,Q68,,AllTriggers)</f>
        <v>8.5269418852132791E-3</v>
      </c>
      <c r="V68" s="71">
        <f>_xll.qlYieldTSDiscount(OisCurve,R68,,AllTriggers)</f>
        <v>0.85933918838724699</v>
      </c>
      <c r="W68" s="71">
        <f>_xll.qlYieldTSDiscount(OisCurve,S68,,AllTriggers)</f>
        <v>0.85596435883466493</v>
      </c>
      <c r="X68" s="70">
        <f t="shared" ref="X68:X131" si="15">(V68/W68-1)/T68</f>
        <v>7.7561745268666217E-3</v>
      </c>
      <c r="Y68" s="70">
        <f>U68-X68</f>
        <v>7.7076735834665736E-4</v>
      </c>
      <c r="Z68" s="70" t="e">
        <f t="shared" ref="Z68:Z131" ca="1" si="16">qlIntegralTenorBasisIntegrate($M$12,R68)</f>
        <v>#NAME?</v>
      </c>
      <c r="AA68" s="70" t="e">
        <f ca="1">(Z68-Y68)</f>
        <v>#NAME?</v>
      </c>
      <c r="AB68" s="69">
        <f>_xll.qlDayCounterYearFraction(DayCounter,SettlementDate,R68,,,Trigger)</f>
        <v>25.372222222222224</v>
      </c>
      <c r="AC68" s="70">
        <f>_xll.qlPureAbcdFunctionValue($M$25,AB68)</f>
        <v>7.4308587973624532E-4</v>
      </c>
      <c r="AD68" s="70">
        <f t="shared" ref="AD68:AD131" si="17">(AC68-Y68)</f>
        <v>-2.7681478610412039E-5</v>
      </c>
    </row>
    <row r="69" spans="15:30" x14ac:dyDescent="0.2">
      <c r="O69" s="81">
        <v>6</v>
      </c>
      <c r="P69" s="67" t="str">
        <f>_xll.qlPeriodEquivalent(P68&amp;"+"&amp;O69&amp;"M")</f>
        <v>25Y6M</v>
      </c>
      <c r="Q69" s="68">
        <f>_xll.qlCalendarAdvance(Calendar,SettlementDate,P69,"f",,Trigger)</f>
        <v>51433</v>
      </c>
      <c r="R69" s="68">
        <f>_xll.qlInterestRateIndexValueDate(Index,Q69,Trigger)</f>
        <v>51435</v>
      </c>
      <c r="S69" s="68">
        <f>_xll.qlInterestRateIndexMaturity(Index,R69,Trigger)</f>
        <v>51617</v>
      </c>
      <c r="T69" s="69">
        <f>_xll.qlDayCounterYearFraction(DayCounter,R69,S69,,,Trigger)</f>
        <v>0.50555555555555554</v>
      </c>
      <c r="U69" s="70">
        <f>_xll.qlIndexFixing(Index,Q69,,AllTriggers)</f>
        <v>8.5568618587568198E-3</v>
      </c>
      <c r="V69" s="71">
        <f>_xll.qlYieldTSDiscount(OisCurve,R69,,AllTriggers)</f>
        <v>0.85596435883466493</v>
      </c>
      <c r="W69" s="71">
        <f>_xll.qlYieldTSDiscount(OisCurve,S69,,AllTriggers)</f>
        <v>0.85260560456529844</v>
      </c>
      <c r="X69" s="70">
        <f t="shared" si="15"/>
        <v>7.7922192019476985E-3</v>
      </c>
      <c r="Y69" s="70">
        <f>U69-X69</f>
        <v>7.6464265680912125E-4</v>
      </c>
      <c r="Z69" s="70" t="e">
        <f t="shared" ca="1" si="16"/>
        <v>#NAME?</v>
      </c>
      <c r="AA69" s="70" t="e">
        <f ca="1">(Z69-Y69)</f>
        <v>#NAME?</v>
      </c>
      <c r="AB69" s="69">
        <f>_xll.qlDayCounterYearFraction(DayCounter,SettlementDate,R69,,,Trigger)</f>
        <v>25.880555555555556</v>
      </c>
      <c r="AC69" s="70">
        <f>_xll.qlPureAbcdFunctionValue($M$25,AB69)</f>
        <v>7.2250989679926427E-4</v>
      </c>
      <c r="AD69" s="70">
        <f t="shared" si="17"/>
        <v>-4.2132760009856978E-5</v>
      </c>
    </row>
    <row r="70" spans="15:30" x14ac:dyDescent="0.2">
      <c r="O70" s="81">
        <v>6</v>
      </c>
      <c r="P70" s="67" t="str">
        <f>_xll.qlPeriodEquivalent(P69&amp;"+"&amp;O70&amp;"M")</f>
        <v>26Y</v>
      </c>
      <c r="Q70" s="68">
        <f>_xll.qlCalendarAdvance(Calendar,SettlementDate,P70,"f",,Trigger)</f>
        <v>51615</v>
      </c>
      <c r="R70" s="68">
        <f>_xll.qlInterestRateIndexValueDate(Index,Q70,Trigger)</f>
        <v>51617</v>
      </c>
      <c r="S70" s="68">
        <f>_xll.qlInterestRateIndexMaturity(Index,R70,Trigger)</f>
        <v>51802</v>
      </c>
      <c r="T70" s="69">
        <f>_xll.qlDayCounterYearFraction(DayCounter,R70,S70,,,Trigger)</f>
        <v>0.51388888888888884</v>
      </c>
      <c r="U70" s="70">
        <f>_xll.qlIndexFixing(Index,Q70,,AllTriggers)</f>
        <v>8.5840495935385949E-3</v>
      </c>
      <c r="V70" s="71">
        <f>_xll.qlYieldTSDiscount(OisCurve,R70,,AllTriggers)</f>
        <v>0.85260560456529844</v>
      </c>
      <c r="W70" s="71">
        <f>_xll.qlYieldTSDiscount(OisCurve,S70,,AllTriggers)</f>
        <v>0.84918950950997807</v>
      </c>
      <c r="X70" s="70">
        <f t="shared" si="15"/>
        <v>7.8280952006845195E-3</v>
      </c>
      <c r="Y70" s="70">
        <f>U70-X70</f>
        <v>7.5595439285407531E-4</v>
      </c>
      <c r="Z70" s="70" t="e">
        <f t="shared" ca="1" si="16"/>
        <v>#NAME?</v>
      </c>
      <c r="AA70" s="70" t="e">
        <f ca="1">(Z70-Y70)</f>
        <v>#NAME?</v>
      </c>
      <c r="AB70" s="69">
        <f>_xll.qlDayCounterYearFraction(DayCounter,SettlementDate,R70,,,Trigger)</f>
        <v>26.386111111111113</v>
      </c>
      <c r="AC70" s="70">
        <f>_xll.qlPureAbcdFunctionValue($M$25,AB70)</f>
        <v>7.0316854195917329E-4</v>
      </c>
      <c r="AD70" s="70">
        <f t="shared" si="17"/>
        <v>-5.2785850894902027E-5</v>
      </c>
    </row>
    <row r="71" spans="15:30" x14ac:dyDescent="0.2">
      <c r="O71" s="81">
        <v>6</v>
      </c>
      <c r="P71" s="67" t="str">
        <f>_xll.qlPeriodEquivalent(P70&amp;"+"&amp;O71&amp;"M")</f>
        <v>26Y6M</v>
      </c>
      <c r="Q71" s="68">
        <f>_xll.qlCalendarAdvance(Calendar,SettlementDate,P71,"f",,Trigger)</f>
        <v>51798</v>
      </c>
      <c r="R71" s="68">
        <f>_xll.qlInterestRateIndexValueDate(Index,Q71,Trigger)</f>
        <v>51802</v>
      </c>
      <c r="S71" s="68">
        <f>_xll.qlInterestRateIndexMaturity(Index,R71,Trigger)</f>
        <v>51984</v>
      </c>
      <c r="T71" s="69">
        <f>_xll.qlDayCounterYearFraction(DayCounter,R71,S71,,,Trigger)</f>
        <v>0.50555555555555554</v>
      </c>
      <c r="U71" s="70">
        <f>_xll.qlIndexFixing(Index,Q71,,AllTriggers)</f>
        <v>8.6073259289519474E-3</v>
      </c>
      <c r="V71" s="71">
        <f>_xll.qlYieldTSDiscount(OisCurve,R71,,AllTriggers)</f>
        <v>0.84918950950997807</v>
      </c>
      <c r="W71" s="71">
        <f>_xll.qlYieldTSDiscount(OisCurve,S71,,AllTriggers)</f>
        <v>0.84582729467639406</v>
      </c>
      <c r="X71" s="70">
        <f t="shared" si="15"/>
        <v>7.8627574181146936E-3</v>
      </c>
      <c r="Y71" s="70">
        <f>U71-X71</f>
        <v>7.4456851083725371E-4</v>
      </c>
      <c r="Z71" s="70" t="e">
        <f t="shared" ca="1" si="16"/>
        <v>#NAME?</v>
      </c>
      <c r="AA71" s="70" t="e">
        <f ca="1">(Z71-Y71)</f>
        <v>#NAME?</v>
      </c>
      <c r="AB71" s="69">
        <f>_xll.qlDayCounterYearFraction(DayCounter,SettlementDate,R71,,,Trigger)</f>
        <v>26.9</v>
      </c>
      <c r="AC71" s="70">
        <f>_xll.qlPureAbcdFunctionValue($M$25,AB71)</f>
        <v>6.8460200869367065E-4</v>
      </c>
      <c r="AD71" s="70">
        <f t="shared" si="17"/>
        <v>-5.9966502143583063E-5</v>
      </c>
    </row>
    <row r="72" spans="15:30" x14ac:dyDescent="0.2">
      <c r="O72" s="81">
        <v>6</v>
      </c>
      <c r="P72" s="67" t="str">
        <f>_xll.qlPeriodEquivalent(P71&amp;"+"&amp;O72&amp;"M")</f>
        <v>27Y</v>
      </c>
      <c r="Q72" s="68">
        <f>_xll.qlCalendarAdvance(Calendar,SettlementDate,P72,"f",,Trigger)</f>
        <v>51980</v>
      </c>
      <c r="R72" s="68">
        <f>_xll.qlInterestRateIndexValueDate(Index,Q72,Trigger)</f>
        <v>51984</v>
      </c>
      <c r="S72" s="68">
        <f>_xll.qlInterestRateIndexMaturity(Index,R72,Trigger)</f>
        <v>52167</v>
      </c>
      <c r="T72" s="69">
        <f>_xll.qlDayCounterYearFraction(DayCounter,R72,S72,,,Trigger)</f>
        <v>0.5083333333333333</v>
      </c>
      <c r="U72" s="70">
        <f>_xll.qlIndexFixing(Index,Q72,,AllTriggers)</f>
        <v>8.6275971603750612E-3</v>
      </c>
      <c r="V72" s="71">
        <f>_xll.qlYieldTSDiscount(OisCurve,R72,,AllTriggers)</f>
        <v>0.84582729467639406</v>
      </c>
      <c r="W72" s="71">
        <f>_xll.qlYieldTSDiscount(OisCurve,S72,,AllTriggers)</f>
        <v>0.84244551449880889</v>
      </c>
      <c r="X72" s="70">
        <f t="shared" si="15"/>
        <v>7.8968695328847354E-3</v>
      </c>
      <c r="Y72" s="70">
        <f>U72-X72</f>
        <v>7.3072762749032578E-4</v>
      </c>
      <c r="Z72" s="70" t="e">
        <f t="shared" ca="1" si="16"/>
        <v>#NAME?</v>
      </c>
      <c r="AA72" s="70" t="e">
        <f ca="1">(Z72-Y72)</f>
        <v>#NAME?</v>
      </c>
      <c r="AB72" s="69">
        <f>_xll.qlDayCounterYearFraction(DayCounter,SettlementDate,R72,,,Trigger)</f>
        <v>27.405555555555555</v>
      </c>
      <c r="AC72" s="70">
        <f>_xll.qlPureAbcdFunctionValue($M$25,AB72)</f>
        <v>6.6736150178552903E-4</v>
      </c>
      <c r="AD72" s="70">
        <f t="shared" si="17"/>
        <v>-6.3366125704796754E-5</v>
      </c>
    </row>
    <row r="73" spans="15:30" x14ac:dyDescent="0.2">
      <c r="O73" s="81">
        <v>6</v>
      </c>
      <c r="P73" s="67" t="str">
        <f>_xll.qlPeriodEquivalent(P72&amp;"+"&amp;O73&amp;"M")</f>
        <v>27Y6M</v>
      </c>
      <c r="Q73" s="68">
        <f>_xll.qlCalendarAdvance(Calendar,SettlementDate,P73,"f",,Trigger)</f>
        <v>52163</v>
      </c>
      <c r="R73" s="68">
        <f>_xll.qlInterestRateIndexValueDate(Index,Q73,Trigger)</f>
        <v>52167</v>
      </c>
      <c r="S73" s="68">
        <f>_xll.qlInterestRateIndexMaturity(Index,R73,Trigger)</f>
        <v>52349</v>
      </c>
      <c r="T73" s="69">
        <f>_xll.qlDayCounterYearFraction(DayCounter,R73,S73,,,Trigger)</f>
        <v>0.50555555555555554</v>
      </c>
      <c r="U73" s="70">
        <f>_xll.qlIndexFixing(Index,Q73,,AllTriggers)</f>
        <v>8.6443933719083273E-3</v>
      </c>
      <c r="V73" s="71">
        <f>_xll.qlYieldTSDiscount(OisCurve,R73,,AllTriggers)</f>
        <v>0.84244551449880889</v>
      </c>
      <c r="W73" s="71">
        <f>_xll.qlYieldTSDiscount(OisCurve,S73,,AllTriggers)</f>
        <v>0.83908154282729985</v>
      </c>
      <c r="X73" s="70">
        <f t="shared" si="15"/>
        <v>7.9301111513757454E-3</v>
      </c>
      <c r="Y73" s="70">
        <f>U73-X73</f>
        <v>7.1428222053258189E-4</v>
      </c>
      <c r="Z73" s="70" t="e">
        <f t="shared" ca="1" si="16"/>
        <v>#NAME?</v>
      </c>
      <c r="AA73" s="70" t="e">
        <f ca="1">(Z73-Y73)</f>
        <v>#NAME?</v>
      </c>
      <c r="AB73" s="69">
        <f>_xll.qlDayCounterYearFraction(DayCounter,SettlementDate,R73,,,Trigger)</f>
        <v>27.913888888888888</v>
      </c>
      <c r="AC73" s="70">
        <f>_xll.qlPureAbcdFunctionValue($M$25,AB73)</f>
        <v>6.5100167145813671E-4</v>
      </c>
      <c r="AD73" s="70">
        <f t="shared" si="17"/>
        <v>-6.3280549074445176E-5</v>
      </c>
    </row>
    <row r="74" spans="15:30" x14ac:dyDescent="0.2">
      <c r="O74" s="81">
        <v>6</v>
      </c>
      <c r="P74" s="67" t="str">
        <f>_xll.qlPeriodEquivalent(P73&amp;"+"&amp;O74&amp;"M")</f>
        <v>28Y</v>
      </c>
      <c r="Q74" s="68">
        <f>_xll.qlCalendarAdvance(Calendar,SettlementDate,P74,"f",,Trigger)</f>
        <v>52345</v>
      </c>
      <c r="R74" s="68">
        <f>_xll.qlInterestRateIndexValueDate(Index,Q74,Trigger)</f>
        <v>52349</v>
      </c>
      <c r="S74" s="68">
        <f>_xll.qlInterestRateIndexMaturity(Index,R74,Trigger)</f>
        <v>52532</v>
      </c>
      <c r="T74" s="69">
        <f>_xll.qlDayCounterYearFraction(DayCounter,R74,S74,,,Trigger)</f>
        <v>0.5083333333333333</v>
      </c>
      <c r="U74" s="70">
        <f>_xll.qlIndexFixing(Index,Q74,,AllTriggers)</f>
        <v>8.6581221591996264E-3</v>
      </c>
      <c r="V74" s="71">
        <f>_xll.qlYieldTSDiscount(OisCurve,R74,,AllTriggers)</f>
        <v>0.83908154282729985</v>
      </c>
      <c r="W74" s="71">
        <f>_xll.qlYieldTSDiscount(OisCurve,S74,,AllTriggers)</f>
        <v>0.83569882527360406</v>
      </c>
      <c r="X74" s="70">
        <f t="shared" si="15"/>
        <v>7.9628283945005467E-3</v>
      </c>
      <c r="Y74" s="70">
        <f>U74-X74</f>
        <v>6.9529376469907971E-4</v>
      </c>
      <c r="Z74" s="70" t="e">
        <f t="shared" ca="1" si="16"/>
        <v>#NAME?</v>
      </c>
      <c r="AA74" s="70" t="e">
        <f ca="1">(Z74-Y74)</f>
        <v>#NAME?</v>
      </c>
      <c r="AB74" s="69">
        <f>_xll.qlDayCounterYearFraction(DayCounter,SettlementDate,R74,,,Trigger)</f>
        <v>28.419444444444444</v>
      </c>
      <c r="AC74" s="70">
        <f>_xll.qlPureAbcdFunctionValue($M$25,AB74)</f>
        <v>6.3565383865669413E-4</v>
      </c>
      <c r="AD74" s="70">
        <f t="shared" si="17"/>
        <v>-5.9639926042385572E-5</v>
      </c>
    </row>
    <row r="75" spans="15:30" x14ac:dyDescent="0.2">
      <c r="O75" s="81">
        <v>6</v>
      </c>
      <c r="P75" s="67" t="str">
        <f>_xll.qlPeriodEquivalent(P74&amp;"+"&amp;O75&amp;"M")</f>
        <v>28Y6M</v>
      </c>
      <c r="Q75" s="68">
        <f>_xll.qlCalendarAdvance(Calendar,SettlementDate,P75,"f",,Trigger)</f>
        <v>52530</v>
      </c>
      <c r="R75" s="68">
        <f>_xll.qlInterestRateIndexValueDate(Index,Q75,Trigger)</f>
        <v>52532</v>
      </c>
      <c r="S75" s="68">
        <f>_xll.qlInterestRateIndexMaturity(Index,R75,Trigger)</f>
        <v>52715</v>
      </c>
      <c r="T75" s="69">
        <f>_xll.qlDayCounterYearFraction(DayCounter,R75,S75,,,Trigger)</f>
        <v>0.5083333333333333</v>
      </c>
      <c r="U75" s="70">
        <f>_xll.qlIndexFixing(Index,Q75,,AllTriggers)</f>
        <v>8.6685009054983005E-3</v>
      </c>
      <c r="V75" s="71">
        <f>_xll.qlYieldTSDiscount(OisCurve,R75,,AllTriggers)</f>
        <v>0.83569882527360406</v>
      </c>
      <c r="W75" s="71">
        <f>_xll.qlYieldTSDiscount(OisCurve,S75,,AllTriggers)</f>
        <v>0.8323162527034883</v>
      </c>
      <c r="X75" s="70">
        <f t="shared" si="15"/>
        <v>7.9948470307111292E-3</v>
      </c>
      <c r="Y75" s="70">
        <f>U75-X75</f>
        <v>6.7365387478717127E-4</v>
      </c>
      <c r="Z75" s="70" t="e">
        <f t="shared" ca="1" si="16"/>
        <v>#NAME?</v>
      </c>
      <c r="AA75" s="70" t="e">
        <f ca="1">(Z75-Y75)</f>
        <v>#NAME?</v>
      </c>
      <c r="AB75" s="69">
        <f>_xll.qlDayCounterYearFraction(DayCounter,SettlementDate,R75,,,Trigger)</f>
        <v>28.927777777777777</v>
      </c>
      <c r="AC75" s="70">
        <f>_xll.qlPureAbcdFunctionValue($M$25,AB75)</f>
        <v>6.2110312522562926E-4</v>
      </c>
      <c r="AD75" s="70">
        <f t="shared" si="17"/>
        <v>-5.2550749561542016E-5</v>
      </c>
    </row>
    <row r="76" spans="15:30" x14ac:dyDescent="0.2">
      <c r="O76" s="81">
        <v>6</v>
      </c>
      <c r="P76" s="67" t="str">
        <f>_xll.qlPeriodEquivalent(P75&amp;"+"&amp;O76&amp;"M")</f>
        <v>29Y</v>
      </c>
      <c r="Q76" s="68">
        <f>_xll.qlCalendarAdvance(Calendar,SettlementDate,P76,"f",,Trigger)</f>
        <v>52712</v>
      </c>
      <c r="R76" s="68">
        <f>_xll.qlInterestRateIndexValueDate(Index,Q76,Trigger)</f>
        <v>52714</v>
      </c>
      <c r="S76" s="68">
        <f>_xll.qlInterestRateIndexMaturity(Index,R76,Trigger)</f>
        <v>52897</v>
      </c>
      <c r="T76" s="69">
        <f>_xll.qlDayCounterYearFraction(DayCounter,R76,S76,,,Trigger)</f>
        <v>0.5083333333333333</v>
      </c>
      <c r="U76" s="70">
        <f>_xll.qlIndexFixing(Index,Q76,,AllTriggers)</f>
        <v>8.6755600749265378E-3</v>
      </c>
      <c r="V76" s="71">
        <f>_xll.qlYieldTSDiscount(OisCurve,R76,,AllTriggers)</f>
        <v>0.83233473558090032</v>
      </c>
      <c r="W76" s="71">
        <f>_xll.qlYieldTSDiscount(OisCurve,S76,,AllTriggers)</f>
        <v>0.82895270762345785</v>
      </c>
      <c r="X76" s="70">
        <f t="shared" si="15"/>
        <v>8.0259943554799162E-3</v>
      </c>
      <c r="Y76" s="70">
        <f>U76-X76</f>
        <v>6.4956571944662159E-4</v>
      </c>
      <c r="Z76" s="70" t="e">
        <f t="shared" ca="1" si="16"/>
        <v>#NAME?</v>
      </c>
      <c r="AA76" s="70" t="e">
        <f ca="1">(Z76-Y76)</f>
        <v>#NAME?</v>
      </c>
      <c r="AB76" s="69">
        <f>_xll.qlDayCounterYearFraction(DayCounter,SettlementDate,R76,,,Trigger)</f>
        <v>29.433333333333334</v>
      </c>
      <c r="AC76" s="70">
        <f>_xll.qlPureAbcdFunctionValue($M$25,AB76)</f>
        <v>6.0746429646098255E-4</v>
      </c>
      <c r="AD76" s="70">
        <f t="shared" si="17"/>
        <v>-4.2101422985639037E-5</v>
      </c>
    </row>
    <row r="77" spans="15:30" x14ac:dyDescent="0.2">
      <c r="O77" s="81">
        <v>6</v>
      </c>
      <c r="P77" s="67" t="str">
        <f>_xll.qlPeriodEquivalent(P76&amp;"+"&amp;O77&amp;"M")</f>
        <v>29Y6M</v>
      </c>
      <c r="Q77" s="68">
        <f>_xll.qlCalendarAdvance(Calendar,SettlementDate,P77,"f",,Trigger)</f>
        <v>52894</v>
      </c>
      <c r="R77" s="68">
        <f>_xll.qlInterestRateIndexValueDate(Index,Q77,Trigger)</f>
        <v>52896</v>
      </c>
      <c r="S77" s="68">
        <f>_xll.qlInterestRateIndexMaturity(Index,R77,Trigger)</f>
        <v>53078</v>
      </c>
      <c r="T77" s="69">
        <f>_xll.qlDayCounterYearFraction(DayCounter,R77,S77,,,Trigger)</f>
        <v>0.50555555555555554</v>
      </c>
      <c r="U77" s="70">
        <f>_xll.qlIndexFixing(Index,Q77,,AllTriggers)</f>
        <v>8.6792563106859438E-3</v>
      </c>
      <c r="V77" s="71">
        <f>_xll.qlYieldTSDiscount(OisCurve,R77,,AllTriggers)</f>
        <v>0.82897118644324008</v>
      </c>
      <c r="W77" s="71">
        <f>_xll.qlYieldTSDiscount(OisCurve,S77,,AllTriggers)</f>
        <v>0.82560856985762199</v>
      </c>
      <c r="X77" s="70">
        <f t="shared" si="15"/>
        <v>8.0562747927397198E-3</v>
      </c>
      <c r="Y77" s="70">
        <f>U77-X77</f>
        <v>6.2298151794622399E-4</v>
      </c>
      <c r="Z77" s="70" t="e">
        <f t="shared" ca="1" si="16"/>
        <v>#NAME?</v>
      </c>
      <c r="AA77" s="70" t="e">
        <f ca="1">(Z77-Y77)</f>
        <v>#NAME?</v>
      </c>
      <c r="AB77" s="69">
        <f>_xll.qlDayCounterYearFraction(DayCounter,SettlementDate,R77,,,Trigger)</f>
        <v>29.93888888888889</v>
      </c>
      <c r="AC77" s="70">
        <f>_xll.qlPureAbcdFunctionValue($M$25,AB77)</f>
        <v>5.9461306061649871E-4</v>
      </c>
      <c r="AD77" s="70">
        <f t="shared" si="17"/>
        <v>-2.8368457329725275E-5</v>
      </c>
    </row>
    <row r="78" spans="15:30" x14ac:dyDescent="0.2">
      <c r="O78" s="81">
        <v>6</v>
      </c>
      <c r="P78" s="67" t="str">
        <f>_xll.qlPeriodEquivalent(P77&amp;"+"&amp;O78&amp;"M")</f>
        <v>30Y</v>
      </c>
      <c r="Q78" s="68">
        <f>_xll.qlCalendarAdvance(Calendar,SettlementDate,P78,"f",,Trigger)</f>
        <v>53076</v>
      </c>
      <c r="R78" s="68">
        <f>_xll.qlInterestRateIndexValueDate(Index,Q78,Trigger)</f>
        <v>53078</v>
      </c>
      <c r="S78" s="68">
        <f>_xll.qlInterestRateIndexMaturity(Index,R78,Trigger)</f>
        <v>53261</v>
      </c>
      <c r="T78" s="69">
        <f>_xll.qlDayCounterYearFraction(DayCounter,R78,S78,,,Trigger)</f>
        <v>0.5083333333333333</v>
      </c>
      <c r="U78" s="70">
        <f>_xll.qlIndexFixing(Index,Q78,,AllTriggers)</f>
        <v>8.6792825986575523E-3</v>
      </c>
      <c r="V78" s="71">
        <f>_xll.qlYieldTSDiscount(OisCurve,R78,,AllTriggers)</f>
        <v>0.82560856985762199</v>
      </c>
      <c r="W78" s="71">
        <f>_xll.qlYieldTSDiscount(OisCurve,S78,,AllTriggers)</f>
        <v>0.82222963836150376</v>
      </c>
      <c r="X78" s="70">
        <f t="shared" si="15"/>
        <v>8.0842115668140185E-3</v>
      </c>
      <c r="Y78" s="70">
        <f>U78-X78</f>
        <v>5.9507103184353385E-4</v>
      </c>
      <c r="Z78" s="70" t="e">
        <f t="shared" ca="1" si="16"/>
        <v>#NAME?</v>
      </c>
      <c r="AA78" s="70" t="e">
        <f ca="1">(Z78-Y78)</f>
        <v>#NAME?</v>
      </c>
      <c r="AB78" s="69">
        <f>_xll.qlDayCounterYearFraction(DayCounter,SettlementDate,R78,,,Trigger)</f>
        <v>30.444444444444443</v>
      </c>
      <c r="AC78" s="70">
        <f>_xll.qlPureAbcdFunctionValue($M$25,AB78)</f>
        <v>5.8250863898511712E-4</v>
      </c>
      <c r="AD78" s="70">
        <f t="shared" si="17"/>
        <v>-1.256239285841673E-5</v>
      </c>
    </row>
    <row r="79" spans="15:30" x14ac:dyDescent="0.2">
      <c r="O79" s="81">
        <v>6</v>
      </c>
      <c r="P79" s="67" t="str">
        <f>_xll.qlPeriodEquivalent(P78&amp;"+"&amp;O79&amp;"M")</f>
        <v>30Y6M</v>
      </c>
      <c r="Q79" s="68">
        <f>_xll.qlCalendarAdvance(Calendar,SettlementDate,P79,"f",,Trigger)</f>
        <v>53259</v>
      </c>
      <c r="R79" s="68">
        <f>_xll.qlInterestRateIndexValueDate(Index,Q79,Trigger)</f>
        <v>53261</v>
      </c>
      <c r="S79" s="68">
        <f>_xll.qlInterestRateIndexMaturity(Index,R79,Trigger)</f>
        <v>53443</v>
      </c>
      <c r="T79" s="69">
        <f>_xll.qlDayCounterYearFraction(DayCounter,R79,S79,,,Trigger)</f>
        <v>0.50555555555555554</v>
      </c>
      <c r="U79" s="70">
        <f>_xll.qlIndexFixing(Index,Q79,,AllTriggers)</f>
        <v>8.6727602463436762E-3</v>
      </c>
      <c r="V79" s="71">
        <f>_xll.qlYieldTSDiscount(OisCurve,R79,,AllTriggers)</f>
        <v>0.82222963836150376</v>
      </c>
      <c r="W79" s="71">
        <f>_xll.qlYieldTSDiscount(OisCurve,S79,,AllTriggers)</f>
        <v>0.81887567606176204</v>
      </c>
      <c r="X79" s="70">
        <f t="shared" si="15"/>
        <v>8.1016097269516561E-3</v>
      </c>
      <c r="Y79" s="70">
        <f>U79-X79</f>
        <v>5.7115051939202015E-4</v>
      </c>
      <c r="Z79" s="70" t="e">
        <f t="shared" ca="1" si="16"/>
        <v>#NAME?</v>
      </c>
      <c r="AA79" s="70" t="e">
        <f ca="1">(Z79-Y79)</f>
        <v>#NAME?</v>
      </c>
      <c r="AB79" s="69">
        <f>_xll.qlDayCounterYearFraction(DayCounter,SettlementDate,R79,,,Trigger)</f>
        <v>30.952777777777779</v>
      </c>
      <c r="AC79" s="70">
        <f>_xll.qlPureAbcdFunctionValue($M$25,AB79)</f>
        <v>5.7105115535681806E-4</v>
      </c>
      <c r="AD79" s="70">
        <f t="shared" si="17"/>
        <v>-9.9364035202088863E-8</v>
      </c>
    </row>
    <row r="80" spans="15:30" x14ac:dyDescent="0.2">
      <c r="O80" s="81">
        <v>6</v>
      </c>
      <c r="P80" s="67" t="str">
        <f>_xll.qlPeriodEquivalent(P79&amp;"+"&amp;O80&amp;"M")</f>
        <v>31Y</v>
      </c>
      <c r="Q80" s="68">
        <f>_xll.qlCalendarAdvance(Calendar,SettlementDate,P80,"f",,Trigger)</f>
        <v>53441</v>
      </c>
      <c r="R80" s="68">
        <f>_xll.qlInterestRateIndexValueDate(Index,Q80,Trigger)</f>
        <v>53443</v>
      </c>
      <c r="S80" s="68">
        <f>_xll.qlInterestRateIndexMaturity(Index,R80,Trigger)</f>
        <v>53626</v>
      </c>
      <c r="T80" s="69">
        <f>_xll.qlDayCounterYearFraction(DayCounter,R80,S80,,,Trigger)</f>
        <v>0.5083333333333333</v>
      </c>
      <c r="U80" s="70">
        <f>_xll.qlIndexFixing(Index,Q80,,AllTriggers)</f>
        <v>8.6595069702872854E-3</v>
      </c>
      <c r="V80" s="71">
        <f>_xll.qlYieldTSDiscount(OisCurve,R80,,AllTriggers)</f>
        <v>0.81887567606176204</v>
      </c>
      <c r="W80" s="71">
        <f>_xll.qlYieldTSDiscount(OisCurve,S80,,AllTriggers)</f>
        <v>0.81551490687278172</v>
      </c>
      <c r="X80" s="70">
        <f t="shared" si="15"/>
        <v>8.1069630591740494E-3</v>
      </c>
      <c r="Y80" s="70">
        <f>U80-X80</f>
        <v>5.5254391111323603E-4</v>
      </c>
      <c r="Z80" s="70" t="e">
        <f t="shared" ca="1" si="16"/>
        <v>#NAME?</v>
      </c>
      <c r="AA80" s="70" t="e">
        <f ca="1">(Z80-Y80)</f>
        <v>#NAME?</v>
      </c>
      <c r="AB80" s="69">
        <f>_xll.qlDayCounterYearFraction(DayCounter,SettlementDate,R80,,,Trigger)</f>
        <v>31.458333333333332</v>
      </c>
      <c r="AC80" s="70">
        <f>_xll.qlPureAbcdFunctionValue($M$25,AB80)</f>
        <v>5.6032814387097353E-4</v>
      </c>
      <c r="AD80" s="70">
        <f t="shared" si="17"/>
        <v>7.7842327577375007E-6</v>
      </c>
    </row>
    <row r="81" spans="15:30" x14ac:dyDescent="0.2">
      <c r="O81" s="81">
        <v>6</v>
      </c>
      <c r="P81" s="67" t="str">
        <f>_xll.qlPeriodEquivalent(P80&amp;"+"&amp;O81&amp;"M")</f>
        <v>31Y6M</v>
      </c>
      <c r="Q81" s="68">
        <f>_xll.qlCalendarAdvance(Calendar,SettlementDate,P81,"f",,Trigger)</f>
        <v>53624</v>
      </c>
      <c r="R81" s="68">
        <f>_xll.qlInterestRateIndexValueDate(Index,Q81,Trigger)</f>
        <v>53626</v>
      </c>
      <c r="S81" s="68">
        <f>_xll.qlInterestRateIndexMaturity(Index,R81,Trigger)</f>
        <v>53808</v>
      </c>
      <c r="T81" s="69">
        <f>_xll.qlDayCounterYearFraction(DayCounter,R81,S81,,,Trigger)</f>
        <v>0.50555555555555554</v>
      </c>
      <c r="U81" s="70">
        <f>_xll.qlIndexFixing(Index,Q81,,AllTriggers)</f>
        <v>8.6391191167587821E-3</v>
      </c>
      <c r="V81" s="71">
        <f>_xll.qlYieldTSDiscount(OisCurve,R81,,AllTriggers)</f>
        <v>0.81551490687278172</v>
      </c>
      <c r="W81" s="71">
        <f>_xll.qlYieldTSDiscount(OisCurve,S81,,AllTriggers)</f>
        <v>0.81218902170902718</v>
      </c>
      <c r="X81" s="70">
        <f t="shared" si="15"/>
        <v>8.0999296646988208E-3</v>
      </c>
      <c r="Y81" s="70">
        <f>U81-X81</f>
        <v>5.3918945205996133E-4</v>
      </c>
      <c r="Z81" s="70" t="e">
        <f t="shared" ca="1" si="16"/>
        <v>#NAME?</v>
      </c>
      <c r="AA81" s="70" t="e">
        <f ca="1">(Z81-Y81)</f>
        <v>#NAME?</v>
      </c>
      <c r="AB81" s="69">
        <f>_xll.qlDayCounterYearFraction(DayCounter,SettlementDate,R81,,,Trigger)</f>
        <v>31.966666666666665</v>
      </c>
      <c r="AC81" s="70">
        <f>_xll.qlPureAbcdFunctionValue($M$25,AB81)</f>
        <v>5.5018543692763721E-4</v>
      </c>
      <c r="AD81" s="70">
        <f t="shared" si="17"/>
        <v>1.0995984867675883E-5</v>
      </c>
    </row>
    <row r="82" spans="15:30" x14ac:dyDescent="0.2">
      <c r="O82" s="81">
        <v>6</v>
      </c>
      <c r="P82" s="67" t="str">
        <f>_xll.qlPeriodEquivalent(P81&amp;"+"&amp;O82&amp;"M")</f>
        <v>32Y</v>
      </c>
      <c r="Q82" s="68">
        <f>_xll.qlCalendarAdvance(Calendar,SettlementDate,P82,"f",,Trigger)</f>
        <v>53806</v>
      </c>
      <c r="R82" s="68">
        <f>_xll.qlInterestRateIndexValueDate(Index,Q82,Trigger)</f>
        <v>53808</v>
      </c>
      <c r="S82" s="68">
        <f>_xll.qlInterestRateIndexMaturity(Index,R82,Trigger)</f>
        <v>53993</v>
      </c>
      <c r="T82" s="69">
        <f>_xll.qlDayCounterYearFraction(DayCounter,R82,S82,,,Trigger)</f>
        <v>0.51388888888888884</v>
      </c>
      <c r="U82" s="70">
        <f>_xll.qlIndexFixing(Index,Q82,,AllTriggers)</f>
        <v>8.6120301584604961E-3</v>
      </c>
      <c r="V82" s="71">
        <f>_xll.qlYieldTSDiscount(OisCurve,R82,,AllTriggers)</f>
        <v>0.81218902170902718</v>
      </c>
      <c r="W82" s="71">
        <f>_xll.qlYieldTSDiscount(OisCurve,S82,,AllTriggers)</f>
        <v>0.8088302120639862</v>
      </c>
      <c r="X82" s="70">
        <f t="shared" si="15"/>
        <v>8.0808826308464681E-3</v>
      </c>
      <c r="Y82" s="70">
        <f>U82-X82</f>
        <v>5.3114752761402803E-4</v>
      </c>
      <c r="Z82" s="70" t="e">
        <f t="shared" ca="1" si="16"/>
        <v>#NAME?</v>
      </c>
      <c r="AA82" s="70" t="e">
        <f ca="1">(Z82-Y82)</f>
        <v>#NAME?</v>
      </c>
      <c r="AB82" s="69">
        <f>_xll.qlDayCounterYearFraction(DayCounter,SettlementDate,R82,,,Trigger)</f>
        <v>32.472222222222221</v>
      </c>
      <c r="AC82" s="70">
        <f>_xll.qlPureAbcdFunctionValue($M$25,AB82)</f>
        <v>5.4069940565197464E-4</v>
      </c>
      <c r="AD82" s="70">
        <f t="shared" si="17"/>
        <v>9.5518780379466074E-6</v>
      </c>
    </row>
    <row r="83" spans="15:30" x14ac:dyDescent="0.2">
      <c r="O83" s="81">
        <v>6</v>
      </c>
      <c r="P83" s="67" t="str">
        <f>_xll.qlPeriodEquivalent(P82&amp;"+"&amp;O83&amp;"M")</f>
        <v>32Y6M</v>
      </c>
      <c r="Q83" s="68">
        <f>_xll.qlCalendarAdvance(Calendar,SettlementDate,P83,"f",,Trigger)</f>
        <v>53989</v>
      </c>
      <c r="R83" s="68">
        <f>_xll.qlInterestRateIndexValueDate(Index,Q83,Trigger)</f>
        <v>53993</v>
      </c>
      <c r="S83" s="68">
        <f>_xll.qlInterestRateIndexMaturity(Index,R83,Trigger)</f>
        <v>54176</v>
      </c>
      <c r="T83" s="69">
        <f>_xll.qlDayCounterYearFraction(DayCounter,R83,S83,,,Trigger)</f>
        <v>0.5083333333333333</v>
      </c>
      <c r="U83" s="70">
        <f>_xll.qlIndexFixing(Index,Q83,,AllTriggers)</f>
        <v>8.5773301340535697E-3</v>
      </c>
      <c r="V83" s="71">
        <f>_xll.qlYieldTSDiscount(OisCurve,R83,,AllTriggers)</f>
        <v>0.8088302120639862</v>
      </c>
      <c r="W83" s="71">
        <f>_xll.qlYieldTSDiscount(OisCurve,S83,,AllTriggers)</f>
        <v>0.8055343252828151</v>
      </c>
      <c r="X83" s="70">
        <f t="shared" si="15"/>
        <v>8.0489576882872057E-3</v>
      </c>
      <c r="Y83" s="70">
        <f>U83-X83</f>
        <v>5.2837244576636397E-4</v>
      </c>
      <c r="Z83" s="70" t="e">
        <f t="shared" ca="1" si="16"/>
        <v>#NAME?</v>
      </c>
      <c r="AA83" s="70" t="e">
        <f ca="1">(Z83-Y83)</f>
        <v>#NAME?</v>
      </c>
      <c r="AB83" s="69">
        <f>_xll.qlDayCounterYearFraction(DayCounter,SettlementDate,R83,,,Trigger)</f>
        <v>32.986111111111114</v>
      </c>
      <c r="AC83" s="70">
        <f>_xll.qlPureAbcdFunctionValue($M$25,AB83)</f>
        <v>5.3163769503512901E-4</v>
      </c>
      <c r="AD83" s="70">
        <f t="shared" si="17"/>
        <v>3.2652492687650428E-6</v>
      </c>
    </row>
    <row r="84" spans="15:30" x14ac:dyDescent="0.2">
      <c r="O84" s="81">
        <v>6</v>
      </c>
      <c r="P84" s="67" t="str">
        <f>_xll.qlPeriodEquivalent(P83&amp;"+"&amp;O84&amp;"M")</f>
        <v>33Y</v>
      </c>
      <c r="Q84" s="68">
        <f>_xll.qlCalendarAdvance(Calendar,SettlementDate,P84,"f",,Trigger)</f>
        <v>54172</v>
      </c>
      <c r="R84" s="68">
        <f>_xll.qlInterestRateIndexValueDate(Index,Q84,Trigger)</f>
        <v>54176</v>
      </c>
      <c r="S84" s="68">
        <f>_xll.qlInterestRateIndexMaturity(Index,R84,Trigger)</f>
        <v>54359</v>
      </c>
      <c r="T84" s="69">
        <f>_xll.qlDayCounterYearFraction(DayCounter,R84,S84,,,Trigger)</f>
        <v>0.5083333333333333</v>
      </c>
      <c r="U84" s="70">
        <f>_xll.qlIndexFixing(Index,Q84,,AllTriggers)</f>
        <v>8.5360276422304076E-3</v>
      </c>
      <c r="V84" s="71">
        <f>_xll.qlYieldTSDiscount(OisCurve,R84,,AllTriggers)</f>
        <v>0.8055343252828151</v>
      </c>
      <c r="W84" s="71">
        <f>_xll.qlYieldTSDiscount(OisCurve,S84,,AllTriggers)</f>
        <v>0.80226969832512451</v>
      </c>
      <c r="X84" s="70">
        <f t="shared" si="15"/>
        <v>8.0050598687150497E-3</v>
      </c>
      <c r="Y84" s="70">
        <f>U84-X84</f>
        <v>5.3096777351535791E-4</v>
      </c>
      <c r="Z84" s="70" t="e">
        <f t="shared" ca="1" si="16"/>
        <v>#NAME?</v>
      </c>
      <c r="AA84" s="70" t="e">
        <f ca="1">(Z84-Y84)</f>
        <v>#NAME?</v>
      </c>
      <c r="AB84" s="69">
        <f>_xll.qlDayCounterYearFraction(DayCounter,SettlementDate,R84,,,Trigger)</f>
        <v>33.494444444444447</v>
      </c>
      <c r="AC84" s="70">
        <f>_xll.qlPureAbcdFunctionValue($M$25,AB84)</f>
        <v>5.2321792450433461E-4</v>
      </c>
      <c r="AD84" s="70">
        <f t="shared" si="17"/>
        <v>-7.749849011023306E-6</v>
      </c>
    </row>
    <row r="85" spans="15:30" x14ac:dyDescent="0.2">
      <c r="O85" s="81">
        <v>6</v>
      </c>
      <c r="P85" s="67" t="str">
        <f>_xll.qlPeriodEquivalent(P84&amp;"+"&amp;O85&amp;"M")</f>
        <v>33Y6M</v>
      </c>
      <c r="Q85" s="68">
        <f>_xll.qlCalendarAdvance(Calendar,SettlementDate,P85,"f",,Trigger)</f>
        <v>54357</v>
      </c>
      <c r="R85" s="68">
        <f>_xll.qlInterestRateIndexValueDate(Index,Q85,Trigger)</f>
        <v>54359</v>
      </c>
      <c r="S85" s="68">
        <f>_xll.qlInterestRateIndexMaturity(Index,R85,Trigger)</f>
        <v>54541</v>
      </c>
      <c r="T85" s="69">
        <f>_xll.qlDayCounterYearFraction(DayCounter,R85,S85,,,Trigger)</f>
        <v>0.50555555555555554</v>
      </c>
      <c r="U85" s="70">
        <f>_xll.qlIndexFixing(Index,Q85,,AllTriggers)</f>
        <v>8.4877999669374319E-3</v>
      </c>
      <c r="V85" s="71">
        <f>_xll.qlYieldTSDiscount(OisCurve,R85,,AllTriggers)</f>
        <v>0.80226969832512451</v>
      </c>
      <c r="W85" s="71">
        <f>_xll.qlYieldTSDiscount(OisCurve,S85,,AllTriggers)</f>
        <v>0.79905856517082263</v>
      </c>
      <c r="X85" s="70">
        <f t="shared" si="15"/>
        <v>7.9489692375756104E-3</v>
      </c>
      <c r="Y85" s="70">
        <f>U85-X85</f>
        <v>5.388307293618215E-4</v>
      </c>
      <c r="Z85" s="70" t="e">
        <f t="shared" ca="1" si="16"/>
        <v>#NAME?</v>
      </c>
      <c r="AA85" s="70" t="e">
        <f ca="1">(Z85-Y85)</f>
        <v>#NAME?</v>
      </c>
      <c r="AB85" s="69">
        <f>_xll.qlDayCounterYearFraction(DayCounter,SettlementDate,R85,,,Trigger)</f>
        <v>34.00277777777778</v>
      </c>
      <c r="AC85" s="70">
        <f>_xll.qlPureAbcdFunctionValue($M$25,AB85)</f>
        <v>5.1530880359825556E-4</v>
      </c>
      <c r="AD85" s="70">
        <f t="shared" si="17"/>
        <v>-2.3521925763565939E-5</v>
      </c>
    </row>
    <row r="86" spans="15:30" x14ac:dyDescent="0.2">
      <c r="O86" s="81">
        <v>6</v>
      </c>
      <c r="P86" s="67" t="str">
        <f>_xll.qlPeriodEquivalent(P85&amp;"+"&amp;O86&amp;"M")</f>
        <v>34Y</v>
      </c>
      <c r="Q86" s="68">
        <f>_xll.qlCalendarAdvance(Calendar,SettlementDate,P86,"f",,Trigger)</f>
        <v>54539</v>
      </c>
      <c r="R86" s="68">
        <f>_xll.qlInterestRateIndexValueDate(Index,Q86,Trigger)</f>
        <v>54541</v>
      </c>
      <c r="S86" s="68">
        <f>_xll.qlInterestRateIndexMaturity(Index,R86,Trigger)</f>
        <v>54724</v>
      </c>
      <c r="T86" s="69">
        <f>_xll.qlDayCounterYearFraction(DayCounter,R86,S86,,,Trigger)</f>
        <v>0.5083333333333333</v>
      </c>
      <c r="U86" s="70">
        <f>_xll.qlIndexFixing(Index,Q86,,AllTriggers)</f>
        <v>8.432834517755193E-3</v>
      </c>
      <c r="V86" s="71">
        <f>_xll.qlYieldTSDiscount(OisCurve,R86,,AllTriggers)</f>
        <v>0.79905856517082263</v>
      </c>
      <c r="W86" s="71">
        <f>_xll.qlYieldTSDiscount(OisCurve,S86,,AllTriggers)</f>
        <v>0.79587023856731376</v>
      </c>
      <c r="X86" s="70">
        <f t="shared" si="15"/>
        <v>7.8808298194850759E-3</v>
      </c>
      <c r="Y86" s="70">
        <f>U86-X86</f>
        <v>5.5200469827011711E-4</v>
      </c>
      <c r="Z86" s="70" t="e">
        <f t="shared" ca="1" si="16"/>
        <v>#NAME?</v>
      </c>
      <c r="AA86" s="70" t="e">
        <f ca="1">(Z86-Y86)</f>
        <v>#NAME?</v>
      </c>
      <c r="AB86" s="69">
        <f>_xll.qlDayCounterYearFraction(DayCounter,SettlementDate,R86,,,Trigger)</f>
        <v>34.508333333333333</v>
      </c>
      <c r="AC86" s="70">
        <f>_xll.qlPureAbcdFunctionValue($M$25,AB86)</f>
        <v>5.0792086263021154E-4</v>
      </c>
      <c r="AD86" s="70">
        <f t="shared" si="17"/>
        <v>-4.408383563990557E-5</v>
      </c>
    </row>
    <row r="87" spans="15:30" x14ac:dyDescent="0.2">
      <c r="O87" s="81">
        <v>6</v>
      </c>
      <c r="P87" s="67" t="str">
        <f>_xll.qlPeriodEquivalent(P86&amp;"+"&amp;O87&amp;"M")</f>
        <v>34Y6M</v>
      </c>
      <c r="Q87" s="68">
        <f>_xll.qlCalendarAdvance(Calendar,SettlementDate,P87,"f",,Trigger)</f>
        <v>54721</v>
      </c>
      <c r="R87" s="68">
        <f>_xll.qlInterestRateIndexValueDate(Index,Q87,Trigger)</f>
        <v>54723</v>
      </c>
      <c r="S87" s="68">
        <f>_xll.qlInterestRateIndexMaturity(Index,R87,Trigger)</f>
        <v>54905</v>
      </c>
      <c r="T87" s="69">
        <f>_xll.qlDayCounterYearFraction(DayCounter,R87,S87,,,Trigger)</f>
        <v>0.50555555555555554</v>
      </c>
      <c r="U87" s="70">
        <f>_xll.qlIndexFixing(Index,Q87,,AllTriggers)</f>
        <v>8.3711061615429107E-3</v>
      </c>
      <c r="V87" s="71">
        <f>_xll.qlYieldTSDiscount(OisCurve,R87,,AllTriggers)</f>
        <v>0.79588754267538575</v>
      </c>
      <c r="W87" s="71">
        <f>_xll.qlYieldTSDiscount(OisCurve,S87,,AllTriggers)</f>
        <v>0.79276110402397959</v>
      </c>
      <c r="X87" s="70">
        <f t="shared" si="15"/>
        <v>7.8007918577597344E-3</v>
      </c>
      <c r="Y87" s="70">
        <f>U87-X87</f>
        <v>5.7031430378317628E-4</v>
      </c>
      <c r="Z87" s="70" t="e">
        <f t="shared" ca="1" si="16"/>
        <v>#NAME?</v>
      </c>
      <c r="AA87" s="70" t="e">
        <f ca="1">(Z87-Y87)</f>
        <v>#NAME?</v>
      </c>
      <c r="AB87" s="69">
        <f>_xll.qlDayCounterYearFraction(DayCounter,SettlementDate,R87,,,Trigger)</f>
        <v>35.013888888888886</v>
      </c>
      <c r="AC87" s="70">
        <f>_xll.qlPureAbcdFunctionValue($M$25,AB87)</f>
        <v>5.0098258079459338E-4</v>
      </c>
      <c r="AD87" s="70">
        <f t="shared" si="17"/>
        <v>-6.9331722988582906E-5</v>
      </c>
    </row>
    <row r="88" spans="15:30" x14ac:dyDescent="0.2">
      <c r="O88" s="81">
        <v>6</v>
      </c>
      <c r="P88" s="67" t="str">
        <f>_xll.qlPeriodEquivalent(P87&amp;"+"&amp;O88&amp;"M")</f>
        <v>35Y</v>
      </c>
      <c r="Q88" s="68">
        <f>_xll.qlCalendarAdvance(Calendar,SettlementDate,P88,"f",,Trigger)</f>
        <v>54903</v>
      </c>
      <c r="R88" s="68">
        <f>_xll.qlInterestRateIndexValueDate(Index,Q88,Trigger)</f>
        <v>54905</v>
      </c>
      <c r="S88" s="68">
        <f>_xll.qlInterestRateIndexMaturity(Index,R88,Trigger)</f>
        <v>55088</v>
      </c>
      <c r="T88" s="69">
        <f>_xll.qlDayCounterYearFraction(DayCounter,R88,S88,,,Trigger)</f>
        <v>0.5083333333333333</v>
      </c>
      <c r="U88" s="70">
        <f>_xll.qlIndexFixing(Index,Q88,,AllTriggers)</f>
        <v>8.3005253420732235E-3</v>
      </c>
      <c r="V88" s="71">
        <f>_xll.qlYieldTSDiscount(OisCurve,R88,,AllTriggers)</f>
        <v>0.79276110402397959</v>
      </c>
      <c r="W88" s="71">
        <f>_xll.qlYieldTSDiscount(OisCurve,S88,,AllTriggers)</f>
        <v>0.78966688677061136</v>
      </c>
      <c r="X88" s="70">
        <f t="shared" si="15"/>
        <v>7.7082942981405436E-3</v>
      </c>
      <c r="Y88" s="70">
        <f>U88-X88</f>
        <v>5.922310439326799E-4</v>
      </c>
      <c r="Z88" s="70" t="e">
        <f t="shared" ca="1" si="16"/>
        <v>#NAME?</v>
      </c>
      <c r="AA88" s="70" t="e">
        <f ca="1">(Z88-Y88)</f>
        <v>#NAME?</v>
      </c>
      <c r="AB88" s="69">
        <f>_xll.qlDayCounterYearFraction(DayCounter,SettlementDate,R88,,,Trigger)</f>
        <v>35.519444444444446</v>
      </c>
      <c r="AC88" s="70">
        <f>_xll.qlPureAbcdFunctionValue($M$25,AB88)</f>
        <v>4.9446835353748452E-4</v>
      </c>
      <c r="AD88" s="70">
        <f t="shared" si="17"/>
        <v>-9.7762690395195376E-5</v>
      </c>
    </row>
    <row r="89" spans="15:30" x14ac:dyDescent="0.2">
      <c r="O89" s="81">
        <v>6</v>
      </c>
      <c r="P89" s="67" t="str">
        <f>_xll.qlPeriodEquivalent(P88&amp;"+"&amp;O89&amp;"M")</f>
        <v>35Y6M</v>
      </c>
      <c r="Q89" s="68">
        <f>_xll.qlCalendarAdvance(Calendar,SettlementDate,P89,"f",,Trigger)</f>
        <v>55085</v>
      </c>
      <c r="R89" s="68">
        <f>_xll.qlInterestRateIndexValueDate(Index,Q89,Trigger)</f>
        <v>55087</v>
      </c>
      <c r="S89" s="68">
        <f>_xll.qlInterestRateIndexMaturity(Index,R89,Trigger)</f>
        <v>55269</v>
      </c>
      <c r="T89" s="69">
        <f>_xll.qlDayCounterYearFraction(DayCounter,R89,S89,,,Trigger)</f>
        <v>0.50555555555555554</v>
      </c>
      <c r="U89" s="70">
        <f>_xll.qlIndexFixing(Index,Q89,,AllTriggers)</f>
        <v>8.2146802053086505E-3</v>
      </c>
      <c r="V89" s="71">
        <f>_xll.qlYieldTSDiscount(OisCurve,R89,,AllTriggers)</f>
        <v>0.7896836524883476</v>
      </c>
      <c r="W89" s="71">
        <f>_xll.qlYieldTSDiscount(OisCurve,S89,,AllTriggers)</f>
        <v>0.78665952417787399</v>
      </c>
      <c r="X89" s="70">
        <f t="shared" si="15"/>
        <v>7.604042255417583E-3</v>
      </c>
      <c r="Y89" s="70">
        <f>U89-X89</f>
        <v>6.1063794989106752E-4</v>
      </c>
      <c r="Z89" s="70" t="e">
        <f t="shared" ca="1" si="16"/>
        <v>#NAME?</v>
      </c>
      <c r="AA89" s="70" t="e">
        <f ca="1">(Z89-Y89)</f>
        <v>#NAME?</v>
      </c>
      <c r="AB89" s="69">
        <f>_xll.qlDayCounterYearFraction(DayCounter,SettlementDate,R89,,,Trigger)</f>
        <v>36.024999999999999</v>
      </c>
      <c r="AC89" s="70">
        <f>_xll.qlPureAbcdFunctionValue($M$25,AB89)</f>
        <v>4.8835386554511862E-4</v>
      </c>
      <c r="AD89" s="70">
        <f t="shared" si="17"/>
        <v>-1.2228408434594891E-4</v>
      </c>
    </row>
    <row r="90" spans="15:30" x14ac:dyDescent="0.2">
      <c r="O90" s="81">
        <v>6</v>
      </c>
      <c r="P90" s="67" t="str">
        <f>_xll.qlPeriodEquivalent(P89&amp;"+"&amp;O90&amp;"M")</f>
        <v>36Y</v>
      </c>
      <c r="Q90" s="68">
        <f>_xll.qlCalendarAdvance(Calendar,SettlementDate,P90,"f",,Trigger)</f>
        <v>55267</v>
      </c>
      <c r="R90" s="68">
        <f>_xll.qlInterestRateIndexValueDate(Index,Q90,Trigger)</f>
        <v>55269</v>
      </c>
      <c r="S90" s="68">
        <f>_xll.qlInterestRateIndexMaturity(Index,R90,Trigger)</f>
        <v>55452</v>
      </c>
      <c r="T90" s="69">
        <f>_xll.qlDayCounterYearFraction(DayCounter,R90,S90,,,Trigger)</f>
        <v>0.5083333333333333</v>
      </c>
      <c r="U90" s="70">
        <f>_xll.qlIndexFixing(Index,Q90,,AllTriggers)</f>
        <v>8.1113166730124482E-3</v>
      </c>
      <c r="V90" s="71">
        <f>_xll.qlYieldTSDiscount(OisCurve,R90,,AllTriggers)</f>
        <v>0.78665952417787399</v>
      </c>
      <c r="W90" s="71">
        <f>_xll.qlYieldTSDiscount(OisCurve,S90,,AllTriggers)</f>
        <v>0.78367685829949651</v>
      </c>
      <c r="X90" s="70">
        <f t="shared" si="15"/>
        <v>7.4871924195969884E-3</v>
      </c>
      <c r="Y90" s="70">
        <f>U90-X90</f>
        <v>6.2412425341545983E-4</v>
      </c>
      <c r="Z90" s="70" t="e">
        <f t="shared" ca="1" si="16"/>
        <v>#NAME?</v>
      </c>
      <c r="AA90" s="70" t="e">
        <f ca="1">(Z90-Y90)</f>
        <v>#NAME?</v>
      </c>
      <c r="AB90" s="69">
        <f>_xll.qlDayCounterYearFraction(DayCounter,SettlementDate,R90,,,Trigger)</f>
        <v>36.530555555555559</v>
      </c>
      <c r="AC90" s="70">
        <f>_xll.qlPureAbcdFunctionValue($M$25,AB90)</f>
        <v>4.8261604308582538E-4</v>
      </c>
      <c r="AD90" s="70">
        <f t="shared" si="17"/>
        <v>-1.4150821032963445E-4</v>
      </c>
    </row>
    <row r="91" spans="15:30" x14ac:dyDescent="0.2">
      <c r="O91" s="81">
        <v>6</v>
      </c>
      <c r="P91" s="67" t="str">
        <f>_xll.qlPeriodEquivalent(P90&amp;"+"&amp;O91&amp;"M")</f>
        <v>36Y6M</v>
      </c>
      <c r="Q91" s="68">
        <f>_xll.qlCalendarAdvance(Calendar,SettlementDate,P91,"f",,Trigger)</f>
        <v>55450</v>
      </c>
      <c r="R91" s="68">
        <f>_xll.qlInterestRateIndexValueDate(Index,Q91,Trigger)</f>
        <v>55452</v>
      </c>
      <c r="S91" s="68">
        <f>_xll.qlInterestRateIndexMaturity(Index,R91,Trigger)</f>
        <v>55635</v>
      </c>
      <c r="T91" s="69">
        <f>_xll.qlDayCounterYearFraction(DayCounter,R91,S91,,,Trigger)</f>
        <v>0.5083333333333333</v>
      </c>
      <c r="U91" s="70">
        <f>_xll.qlIndexFixing(Index,Q91,,AllTriggers)</f>
        <v>7.9902511051815808E-3</v>
      </c>
      <c r="V91" s="71">
        <f>_xll.qlYieldTSDiscount(OisCurve,R91,,AllTriggers)</f>
        <v>0.78367685829949651</v>
      </c>
      <c r="W91" s="71">
        <f>_xll.qlYieldTSDiscount(OisCurve,S91,,AllTriggers)</f>
        <v>0.78075670280813037</v>
      </c>
      <c r="X91" s="70">
        <f t="shared" si="15"/>
        <v>7.3576930676041491E-3</v>
      </c>
      <c r="Y91" s="70">
        <f>U91-X91</f>
        <v>6.325580375774317E-4</v>
      </c>
      <c r="Z91" s="70" t="e">
        <f t="shared" ca="1" si="16"/>
        <v>#NAME?</v>
      </c>
      <c r="AA91" s="70" t="e">
        <f ca="1">(Z91-Y91)</f>
        <v>#NAME?</v>
      </c>
      <c r="AB91" s="69">
        <f>_xll.qlDayCounterYearFraction(DayCounter,SettlementDate,R91,,,Trigger)</f>
        <v>37.038888888888891</v>
      </c>
      <c r="AC91" s="70">
        <f>_xll.qlPureAbcdFunctionValue($M$25,AB91)</f>
        <v>4.7720437023111753E-4</v>
      </c>
      <c r="AD91" s="70">
        <f t="shared" si="17"/>
        <v>-1.5535366734631417E-4</v>
      </c>
    </row>
    <row r="92" spans="15:30" x14ac:dyDescent="0.2">
      <c r="O92" s="81">
        <v>6</v>
      </c>
      <c r="P92" s="67" t="str">
        <f>_xll.qlPeriodEquivalent(P91&amp;"+"&amp;O92&amp;"M")</f>
        <v>37Y</v>
      </c>
      <c r="Q92" s="68">
        <f>_xll.qlCalendarAdvance(Calendar,SettlementDate,P92,"f",,Trigger)</f>
        <v>55633</v>
      </c>
      <c r="R92" s="68">
        <f>_xll.qlInterestRateIndexValueDate(Index,Q92,Trigger)</f>
        <v>55635</v>
      </c>
      <c r="S92" s="68">
        <f>_xll.qlInterestRateIndexMaturity(Index,R92,Trigger)</f>
        <v>55820</v>
      </c>
      <c r="T92" s="69">
        <f>_xll.qlDayCounterYearFraction(DayCounter,R92,S92,,,Trigger)</f>
        <v>0.51388888888888884</v>
      </c>
      <c r="U92" s="70">
        <f>_xll.qlIndexFixing(Index,Q92,,AllTriggers)</f>
        <v>7.8511831529113289E-3</v>
      </c>
      <c r="V92" s="71">
        <f>_xll.qlYieldTSDiscount(OisCurve,R92,,AllTriggers)</f>
        <v>0.78075670280813037</v>
      </c>
      <c r="W92" s="71">
        <f>_xll.qlYieldTSDiscount(OisCurve,S92,,AllTriggers)</f>
        <v>0.77787247875484022</v>
      </c>
      <c r="X92" s="70">
        <f t="shared" si="15"/>
        <v>7.2152496160858637E-3</v>
      </c>
      <c r="Y92" s="70">
        <f>U92-X92</f>
        <v>6.3593353682546514E-4</v>
      </c>
      <c r="Z92" s="70" t="e">
        <f t="shared" ca="1" si="16"/>
        <v>#NAME?</v>
      </c>
      <c r="AA92" s="70" t="e">
        <f ca="1">(Z92-Y92)</f>
        <v>#NAME?</v>
      </c>
      <c r="AB92" s="69">
        <f>_xll.qlDayCounterYearFraction(DayCounter,SettlementDate,R92,,,Trigger)</f>
        <v>37.547222222222224</v>
      </c>
      <c r="AC92" s="70">
        <f>_xll.qlPureAbcdFunctionValue($M$25,AB92)</f>
        <v>4.7213031863190707E-4</v>
      </c>
      <c r="AD92" s="70">
        <f t="shared" si="17"/>
        <v>-1.6380321819355807E-4</v>
      </c>
    </row>
    <row r="93" spans="15:30" x14ac:dyDescent="0.2">
      <c r="O93" s="81">
        <v>6</v>
      </c>
      <c r="P93" s="67" t="str">
        <f>_xll.qlPeriodEquivalent(P92&amp;"+"&amp;O93&amp;"M")</f>
        <v>37Y6M</v>
      </c>
      <c r="Q93" s="68">
        <f>_xll.qlCalendarAdvance(Calendar,SettlementDate,P93,"f",,Trigger)</f>
        <v>55816</v>
      </c>
      <c r="R93" s="68">
        <f>_xll.qlInterestRateIndexValueDate(Index,Q93,Trigger)</f>
        <v>55820</v>
      </c>
      <c r="S93" s="68">
        <f>_xll.qlInterestRateIndexMaturity(Index,R93,Trigger)</f>
        <v>56002</v>
      </c>
      <c r="T93" s="69">
        <f>_xll.qlDayCounterYearFraction(DayCounter,R93,S93,,,Trigger)</f>
        <v>0.50555555555555554</v>
      </c>
      <c r="U93" s="70">
        <f>_xll.qlIndexFixing(Index,Q93,,AllTriggers)</f>
        <v>7.6946406286334578E-3</v>
      </c>
      <c r="V93" s="71">
        <f>_xll.qlYieldTSDiscount(OisCurve,R93,,AllTriggers)</f>
        <v>0.77787247875484022</v>
      </c>
      <c r="W93" s="71">
        <f>_xll.qlYieldTSDiscount(OisCurve,S93,,AllTriggers)</f>
        <v>0.77510575286478023</v>
      </c>
      <c r="X93" s="70">
        <f t="shared" si="15"/>
        <v>7.0605134815142348E-3</v>
      </c>
      <c r="Y93" s="70">
        <f>U93-X93</f>
        <v>6.3412714711922301E-4</v>
      </c>
      <c r="Z93" s="70" t="e">
        <f t="shared" ca="1" si="16"/>
        <v>#NAME?</v>
      </c>
      <c r="AA93" s="70" t="e">
        <f ca="1">(Z93-Y93)</f>
        <v>#NAME?</v>
      </c>
      <c r="AB93" s="69">
        <f>_xll.qlDayCounterYearFraction(DayCounter,SettlementDate,R93,,,Trigger)</f>
        <v>38.06111111111111</v>
      </c>
      <c r="AC93" s="70">
        <f>_xll.qlPureAbcdFunctionValue($M$25,AB93)</f>
        <v>4.6732363770450017E-4</v>
      </c>
      <c r="AD93" s="70">
        <f t="shared" si="17"/>
        <v>-1.6680350941472284E-4</v>
      </c>
    </row>
    <row r="94" spans="15:30" x14ac:dyDescent="0.2">
      <c r="O94" s="81">
        <v>6</v>
      </c>
      <c r="P94" s="67" t="str">
        <f>_xll.qlPeriodEquivalent(P93&amp;"+"&amp;O94&amp;"M")</f>
        <v>38Y</v>
      </c>
      <c r="Q94" s="68">
        <f>_xll.qlCalendarAdvance(Calendar,SettlementDate,P94,"f",,Trigger)</f>
        <v>55998</v>
      </c>
      <c r="R94" s="68">
        <f>_xll.qlInterestRateIndexValueDate(Index,Q94,Trigger)</f>
        <v>56002</v>
      </c>
      <c r="S94" s="68">
        <f>_xll.qlInterestRateIndexMaturity(Index,R94,Trigger)</f>
        <v>56185</v>
      </c>
      <c r="T94" s="69">
        <f>_xll.qlDayCounterYearFraction(DayCounter,R94,S94,,,Trigger)</f>
        <v>0.5083333333333333</v>
      </c>
      <c r="U94" s="70">
        <f>_xll.qlIndexFixing(Index,Q94,,AllTriggers)</f>
        <v>7.521955280070481E-3</v>
      </c>
      <c r="V94" s="71">
        <f>_xll.qlYieldTSDiscount(OisCurve,R94,,AllTriggers)</f>
        <v>0.77510575286478023</v>
      </c>
      <c r="W94" s="71">
        <f>_xll.qlYieldTSDiscount(OisCurve,S94,,AllTriggers)</f>
        <v>0.77239866514286593</v>
      </c>
      <c r="X94" s="70">
        <f t="shared" si="15"/>
        <v>6.894650016458349E-3</v>
      </c>
      <c r="Y94" s="70">
        <f>U94-X94</f>
        <v>6.27305263612132E-4</v>
      </c>
      <c r="Z94" s="70" t="e">
        <f t="shared" ca="1" si="16"/>
        <v>#NAME?</v>
      </c>
      <c r="AA94" s="70" t="e">
        <f ca="1">(Z94-Y94)</f>
        <v>#NAME?</v>
      </c>
      <c r="AB94" s="69">
        <f>_xll.qlDayCounterYearFraction(DayCounter,SettlementDate,R94,,,Trigger)</f>
        <v>38.56666666666667</v>
      </c>
      <c r="AC94" s="70">
        <f>_xll.qlPureAbcdFunctionValue($M$25,AB94)</f>
        <v>4.6289277359330282E-4</v>
      </c>
      <c r="AD94" s="70">
        <f t="shared" si="17"/>
        <v>-1.6441249001882918E-4</v>
      </c>
    </row>
    <row r="95" spans="15:30" x14ac:dyDescent="0.2">
      <c r="O95" s="81">
        <v>6</v>
      </c>
      <c r="P95" s="67" t="str">
        <f>_xll.qlPeriodEquivalent(P94&amp;"+"&amp;O95&amp;"M")</f>
        <v>38Y6M</v>
      </c>
      <c r="Q95" s="68">
        <f>_xll.qlCalendarAdvance(Calendar,SettlementDate,P95,"f",,Trigger)</f>
        <v>56181</v>
      </c>
      <c r="R95" s="68">
        <f>_xll.qlInterestRateIndexValueDate(Index,Q95,Trigger)</f>
        <v>56185</v>
      </c>
      <c r="S95" s="68">
        <f>_xll.qlInterestRateIndexMaturity(Index,R95,Trigger)</f>
        <v>56367</v>
      </c>
      <c r="T95" s="69">
        <f>_xll.qlDayCounterYearFraction(DayCounter,R95,S95,,,Trigger)</f>
        <v>0.50555555555555554</v>
      </c>
      <c r="U95" s="70">
        <f>_xll.qlIndexFixing(Index,Q95,,AllTriggers)</f>
        <v>7.3318825506342522E-3</v>
      </c>
      <c r="V95" s="71">
        <f>_xll.qlYieldTSDiscount(OisCurve,R95,,AllTriggers)</f>
        <v>0.77239866514286593</v>
      </c>
      <c r="W95" s="71">
        <f>_xll.qlYieldTSDiscount(OisCurve,S95,,AllTriggers)</f>
        <v>0.76978482226012512</v>
      </c>
      <c r="X95" s="70">
        <f t="shared" si="15"/>
        <v>6.7164726033147664E-3</v>
      </c>
      <c r="Y95" s="70">
        <f>U95-X95</f>
        <v>6.154099473194858E-4</v>
      </c>
      <c r="Z95" s="70" t="e">
        <f t="shared" ca="1" si="16"/>
        <v>#NAME?</v>
      </c>
      <c r="AA95" s="70" t="e">
        <f ca="1">(Z95-Y95)</f>
        <v>#NAME?</v>
      </c>
      <c r="AB95" s="69">
        <f>_xll.qlDayCounterYearFraction(DayCounter,SettlementDate,R95,,,Trigger)</f>
        <v>39.075000000000003</v>
      </c>
      <c r="AC95" s="70">
        <f>_xll.qlPureAbcdFunctionValue($M$25,AB95)</f>
        <v>4.587176098994875E-4</v>
      </c>
      <c r="AD95" s="70">
        <f t="shared" si="17"/>
        <v>-1.566923374199983E-4</v>
      </c>
    </row>
    <row r="96" spans="15:30" x14ac:dyDescent="0.2">
      <c r="O96" s="81">
        <v>6</v>
      </c>
      <c r="P96" s="67" t="str">
        <f>_xll.qlPeriodEquivalent(P95&amp;"+"&amp;O96&amp;"M")</f>
        <v>39Y</v>
      </c>
      <c r="Q96" s="68">
        <f>_xll.qlCalendarAdvance(Calendar,SettlementDate,P96,"f",,Trigger)</f>
        <v>56363</v>
      </c>
      <c r="R96" s="68">
        <f>_xll.qlInterestRateIndexValueDate(Index,Q96,Trigger)</f>
        <v>56367</v>
      </c>
      <c r="S96" s="68">
        <f>_xll.qlInterestRateIndexMaturity(Index,R96,Trigger)</f>
        <v>56550</v>
      </c>
      <c r="T96" s="69">
        <f>_xll.qlDayCounterYearFraction(DayCounter,R96,S96,,,Trigger)</f>
        <v>0.5083333333333333</v>
      </c>
      <c r="U96" s="70">
        <f>_xll.qlIndexFixing(Index,Q96,,AllTriggers)</f>
        <v>7.1247017298676852E-3</v>
      </c>
      <c r="V96" s="71">
        <f>_xll.qlYieldTSDiscount(OisCurve,R96,,AllTriggers)</f>
        <v>0.76978482226012512</v>
      </c>
      <c r="W96" s="71">
        <f>_xll.qlYieldTSDiscount(OisCurve,S96,,AllTriggers)</f>
        <v>0.7672395092262676</v>
      </c>
      <c r="X96" s="70">
        <f t="shared" si="15"/>
        <v>6.5262191547052718E-3</v>
      </c>
      <c r="Y96" s="70">
        <f>U96-X96</f>
        <v>5.9848257516241336E-4</v>
      </c>
      <c r="Z96" s="70" t="e">
        <f t="shared" ca="1" si="16"/>
        <v>#NAME?</v>
      </c>
      <c r="AA96" s="70" t="e">
        <f ca="1">(Z96-Y96)</f>
        <v>#NAME?</v>
      </c>
      <c r="AB96" s="69">
        <f>_xll.qlDayCounterYearFraction(DayCounter,SettlementDate,R96,,,Trigger)</f>
        <v>39.580555555555556</v>
      </c>
      <c r="AC96" s="70">
        <f>_xll.qlPureAbcdFunctionValue($M$25,AB96)</f>
        <v>4.5482711037203019E-4</v>
      </c>
      <c r="AD96" s="70">
        <f t="shared" si="17"/>
        <v>-1.4365546479038318E-4</v>
      </c>
    </row>
    <row r="97" spans="15:30" x14ac:dyDescent="0.2">
      <c r="O97" s="81">
        <v>6</v>
      </c>
      <c r="P97" s="67" t="str">
        <f>_xll.qlPeriodEquivalent(P96&amp;"+"&amp;O97&amp;"M")</f>
        <v>39Y6M</v>
      </c>
      <c r="Q97" s="68">
        <f>_xll.qlCalendarAdvance(Calendar,SettlementDate,P97,"f",,Trigger)</f>
        <v>56548</v>
      </c>
      <c r="R97" s="68">
        <f>_xll.qlInterestRateIndexValueDate(Index,Q97,Trigger)</f>
        <v>56550</v>
      </c>
      <c r="S97" s="68">
        <f>_xll.qlInterestRateIndexMaturity(Index,R97,Trigger)</f>
        <v>56732</v>
      </c>
      <c r="T97" s="69">
        <f>_xll.qlDayCounterYearFraction(DayCounter,R97,S97,,,Trigger)</f>
        <v>0.50555555555555554</v>
      </c>
      <c r="U97" s="70">
        <f>_xll.qlIndexFixing(Index,Q97,,AllTriggers)</f>
        <v>6.9001600224581064E-3</v>
      </c>
      <c r="V97" s="71">
        <f>_xll.qlYieldTSDiscount(OisCurve,R97,,AllTriggers)</f>
        <v>0.7672395092262676</v>
      </c>
      <c r="W97" s="71">
        <f>_xll.qlYieldTSDiscount(OisCurve,S97,,AllTriggers)</f>
        <v>0.76479448599795707</v>
      </c>
      <c r="X97" s="70">
        <f t="shared" si="15"/>
        <v>6.3236722687162227E-3</v>
      </c>
      <c r="Y97" s="70">
        <f>U97-X97</f>
        <v>5.7648775374188367E-4</v>
      </c>
      <c r="Z97" s="70" t="e">
        <f t="shared" ca="1" si="16"/>
        <v>#NAME?</v>
      </c>
      <c r="AA97" s="70" t="e">
        <f ca="1">(Z97-Y97)</f>
        <v>#NAME?</v>
      </c>
      <c r="AB97" s="69">
        <f>_xll.qlDayCounterYearFraction(DayCounter,SettlementDate,R97,,,Trigger)</f>
        <v>40.088888888888889</v>
      </c>
      <c r="AC97" s="70">
        <f>_xll.qlPureAbcdFunctionValue($M$25,AB97)</f>
        <v>4.5116266167605093E-4</v>
      </c>
      <c r="AD97" s="70">
        <f t="shared" si="17"/>
        <v>-1.2532509206583274E-4</v>
      </c>
    </row>
    <row r="98" spans="15:30" x14ac:dyDescent="0.2">
      <c r="O98" s="81">
        <v>6</v>
      </c>
      <c r="P98" s="67" t="str">
        <f>_xll.qlPeriodEquivalent(P97&amp;"+"&amp;O98&amp;"M")</f>
        <v>40Y</v>
      </c>
      <c r="Q98" s="68">
        <f>_xll.qlCalendarAdvance(Calendar,SettlementDate,P98,"f",,Trigger)</f>
        <v>56730</v>
      </c>
      <c r="R98" s="68">
        <f>_xll.qlInterestRateIndexValueDate(Index,Q98,Trigger)</f>
        <v>56732</v>
      </c>
      <c r="S98" s="68">
        <f>_xll.qlInterestRateIndexMaturity(Index,R98,Trigger)</f>
        <v>56915</v>
      </c>
      <c r="T98" s="69">
        <f>_xll.qlDayCounterYearFraction(DayCounter,R98,S98,,,Trigger)</f>
        <v>0.5083333333333333</v>
      </c>
      <c r="U98" s="70">
        <f>_xll.qlIndexFixing(Index,Q98,,AllTriggers)</f>
        <v>6.6648365453404815E-3</v>
      </c>
      <c r="V98" s="71">
        <f>_xll.qlYieldTSDiscount(OisCurve,R98,,AllTriggers)</f>
        <v>0.76479448599795707</v>
      </c>
      <c r="W98" s="71">
        <f>_xll.qlYieldTSDiscount(OisCurve,S98,,AllTriggers)</f>
        <v>0.76242487845864781</v>
      </c>
      <c r="X98" s="70">
        <f t="shared" si="15"/>
        <v>6.1140751828212226E-3</v>
      </c>
      <c r="Y98" s="70">
        <f>U98-X98</f>
        <v>5.5076136251925884E-4</v>
      </c>
      <c r="Z98" s="70" t="e">
        <f t="shared" ca="1" si="16"/>
        <v>#NAME?</v>
      </c>
      <c r="AA98" s="70" t="e">
        <f ca="1">(Z98-Y98)</f>
        <v>#NAME?</v>
      </c>
      <c r="AB98" s="69">
        <f>_xll.qlDayCounterYearFraction(DayCounter,SettlementDate,R98,,,Trigger)</f>
        <v>40.594444444444441</v>
      </c>
      <c r="AC98" s="70">
        <f>_xll.qlPureAbcdFunctionValue($M$25,AB98)</f>
        <v>4.477494452171862E-4</v>
      </c>
      <c r="AD98" s="70">
        <f t="shared" si="17"/>
        <v>-1.0301191730207265E-4</v>
      </c>
    </row>
    <row r="99" spans="15:30" x14ac:dyDescent="0.2">
      <c r="O99" s="81">
        <v>6</v>
      </c>
      <c r="P99" s="67" t="str">
        <f>_xll.qlPeriodEquivalent(P98&amp;"+"&amp;O99&amp;"M")</f>
        <v>40Y6M</v>
      </c>
      <c r="Q99" s="68">
        <f>_xll.qlCalendarAdvance(Calendar,SettlementDate,P99,"f",,Trigger)</f>
        <v>56912</v>
      </c>
      <c r="R99" s="68">
        <f>_xll.qlInterestRateIndexValueDate(Index,Q99,Trigger)</f>
        <v>56914</v>
      </c>
      <c r="S99" s="68">
        <f>_xll.qlInterestRateIndexMaturity(Index,R99,Trigger)</f>
        <v>57097</v>
      </c>
      <c r="T99" s="69">
        <f>_xll.qlDayCounterYearFraction(DayCounter,R99,S99,,,Trigger)</f>
        <v>0.5083333333333333</v>
      </c>
      <c r="U99" s="70">
        <f>_xll.qlIndexFixing(Index,Q99,,AllTriggers)</f>
        <v>6.4434990153990779E-3</v>
      </c>
      <c r="V99" s="71">
        <f>_xll.qlYieldTSDiscount(OisCurve,R99,,AllTriggers)</f>
        <v>0.76243759335598116</v>
      </c>
      <c r="W99" s="71">
        <f>_xll.qlYieldTSDiscount(OisCurve,S99,,AllTriggers)</f>
        <v>0.76015114354875957</v>
      </c>
      <c r="X99" s="70">
        <f t="shared" si="15"/>
        <v>5.9171575089589368E-3</v>
      </c>
      <c r="Y99" s="70">
        <f>U99-X99</f>
        <v>5.2634150644014117E-4</v>
      </c>
      <c r="Z99" s="70" t="e">
        <f t="shared" ca="1" si="16"/>
        <v>#NAME?</v>
      </c>
      <c r="AA99" s="70" t="e">
        <f ca="1">(Z99-Y99)</f>
        <v>#NAME?</v>
      </c>
      <c r="AB99" s="69">
        <f>_xll.qlDayCounterYearFraction(DayCounter,SettlementDate,R99,,,Trigger)</f>
        <v>41.1</v>
      </c>
      <c r="AC99" s="70">
        <f>_xll.qlPureAbcdFunctionValue($M$25,AB99)</f>
        <v>4.4455280910577909E-4</v>
      </c>
      <c r="AD99" s="70">
        <f t="shared" si="17"/>
        <v>-8.1788697334362085E-5</v>
      </c>
    </row>
    <row r="100" spans="15:30" x14ac:dyDescent="0.2">
      <c r="O100" s="81">
        <v>6</v>
      </c>
      <c r="P100" s="67" t="str">
        <f>_xll.qlPeriodEquivalent(P99&amp;"+"&amp;O100&amp;"M")</f>
        <v>41Y</v>
      </c>
      <c r="Q100" s="68">
        <f>_xll.qlCalendarAdvance(Calendar,SettlementDate,P100,"f",,Trigger)</f>
        <v>57094</v>
      </c>
      <c r="R100" s="68">
        <f>_xll.qlInterestRateIndexValueDate(Index,Q100,Trigger)</f>
        <v>57096</v>
      </c>
      <c r="S100" s="68">
        <f>_xll.qlInterestRateIndexMaturity(Index,R100,Trigger)</f>
        <v>57279</v>
      </c>
      <c r="T100" s="69">
        <f>_xll.qlDayCounterYearFraction(DayCounter,R100,S100,,,Trigger)</f>
        <v>0.5083333333333333</v>
      </c>
      <c r="U100" s="70">
        <f>_xll.qlIndexFixing(Index,Q100,,AllTriggers)</f>
        <v>6.241393577759327E-3</v>
      </c>
      <c r="V100" s="71">
        <f>_xll.qlYieldTSDiscount(OisCurve,R100,,AllTriggers)</f>
        <v>0.76016342364355283</v>
      </c>
      <c r="W100" s="71">
        <f>_xll.qlYieldTSDiscount(OisCurve,S100,,AllTriggers)</f>
        <v>0.75795298794453858</v>
      </c>
      <c r="X100" s="70">
        <f t="shared" si="15"/>
        <v>5.7370287677254821E-3</v>
      </c>
      <c r="Y100" s="70">
        <f>U100-X100</f>
        <v>5.0436481003384489E-4</v>
      </c>
      <c r="Z100" s="70" t="e">
        <f t="shared" ca="1" si="16"/>
        <v>#NAME?</v>
      </c>
      <c r="AA100" s="70" t="e">
        <f ca="1">(Z100-Y100)</f>
        <v>#NAME?</v>
      </c>
      <c r="AB100" s="69">
        <f>_xll.qlDayCounterYearFraction(DayCounter,SettlementDate,R100,,,Trigger)</f>
        <v>41.605555555555554</v>
      </c>
      <c r="AC100" s="70">
        <f>_xll.qlPureAbcdFunctionValue($M$25,AB100)</f>
        <v>4.4155957507160167E-4</v>
      </c>
      <c r="AD100" s="70">
        <f t="shared" si="17"/>
        <v>-6.2805234962243217E-5</v>
      </c>
    </row>
    <row r="101" spans="15:30" x14ac:dyDescent="0.2">
      <c r="O101" s="81">
        <v>6</v>
      </c>
      <c r="P101" s="67" t="str">
        <f>_xll.qlPeriodEquivalent(P100&amp;"+"&amp;O101&amp;"M")</f>
        <v>41Y6M</v>
      </c>
      <c r="Q101" s="68">
        <f>_xll.qlCalendarAdvance(Calendar,SettlementDate,P101,"f",,Trigger)</f>
        <v>57277</v>
      </c>
      <c r="R101" s="68">
        <f>_xll.qlInterestRateIndexValueDate(Index,Q101,Trigger)</f>
        <v>57279</v>
      </c>
      <c r="S101" s="68">
        <f>_xll.qlInterestRateIndexMaturity(Index,R101,Trigger)</f>
        <v>57461</v>
      </c>
      <c r="T101" s="69">
        <f>_xll.qlDayCounterYearFraction(DayCounter,R101,S101,,,Trigger)</f>
        <v>0.50555555555555554</v>
      </c>
      <c r="U101" s="70">
        <f>_xll.qlIndexFixing(Index,Q101,,AllTriggers)</f>
        <v>6.0579786534419935E-3</v>
      </c>
      <c r="V101" s="71">
        <f>_xll.qlYieldTSDiscount(OisCurve,R101,,AllTriggers)</f>
        <v>0.75795298794453858</v>
      </c>
      <c r="W101" s="71">
        <f>_xll.qlYieldTSDiscount(OisCurve,S101,,AllTriggers)</f>
        <v>0.7558234054395333</v>
      </c>
      <c r="X101" s="70">
        <f t="shared" si="15"/>
        <v>5.5732079326939804E-3</v>
      </c>
      <c r="Y101" s="70">
        <f>U101-X101</f>
        <v>4.8477072074801317E-4</v>
      </c>
      <c r="Z101" s="70" t="e">
        <f t="shared" ca="1" si="16"/>
        <v>#NAME?</v>
      </c>
      <c r="AA101" s="70" t="e">
        <f ca="1">(Z101-Y101)</f>
        <v>#NAME?</v>
      </c>
      <c r="AB101" s="69">
        <f>_xll.qlDayCounterYearFraction(DayCounter,SettlementDate,R101,,,Trigger)</f>
        <v>42.113888888888887</v>
      </c>
      <c r="AC101" s="70">
        <f>_xll.qlPureAbcdFunctionValue($M$25,AB101)</f>
        <v>4.3874242344348996E-4</v>
      </c>
      <c r="AD101" s="70">
        <f t="shared" si="17"/>
        <v>-4.6028297304523218E-5</v>
      </c>
    </row>
    <row r="102" spans="15:30" x14ac:dyDescent="0.2">
      <c r="O102" s="81">
        <v>6</v>
      </c>
      <c r="P102" s="67" t="str">
        <f>_xll.qlPeriodEquivalent(P101&amp;"+"&amp;O102&amp;"M")</f>
        <v>42Y</v>
      </c>
      <c r="Q102" s="68">
        <f>_xll.qlCalendarAdvance(Calendar,SettlementDate,P102,"f",,Trigger)</f>
        <v>57459</v>
      </c>
      <c r="R102" s="68">
        <f>_xll.qlInterestRateIndexValueDate(Index,Q102,Trigger)</f>
        <v>57461</v>
      </c>
      <c r="S102" s="68">
        <f>_xll.qlInterestRateIndexMaturity(Index,R102,Trigger)</f>
        <v>57644</v>
      </c>
      <c r="T102" s="69">
        <f>_xll.qlDayCounterYearFraction(DayCounter,R102,S102,,,Trigger)</f>
        <v>0.5083333333333333</v>
      </c>
      <c r="U102" s="70">
        <f>_xll.qlIndexFixing(Index,Q102,,AllTriggers)</f>
        <v>5.8940097915374029E-3</v>
      </c>
      <c r="V102" s="71">
        <f>_xll.qlYieldTSDiscount(OisCurve,R102,,AllTriggers)</f>
        <v>0.7558234054395333</v>
      </c>
      <c r="W102" s="71">
        <f>_xll.qlYieldTSDiscount(OisCurve,S102,,AllTriggers)</f>
        <v>0.75374427702465463</v>
      </c>
      <c r="X102" s="70">
        <f t="shared" si="15"/>
        <v>5.4263611806813885E-3</v>
      </c>
      <c r="Y102" s="70">
        <f>U102-X102</f>
        <v>4.676486108560144E-4</v>
      </c>
      <c r="Z102" s="70" t="e">
        <f t="shared" ca="1" si="16"/>
        <v>#NAME?</v>
      </c>
      <c r="AA102" s="70" t="e">
        <f ca="1">(Z102-Y102)</f>
        <v>#NAME?</v>
      </c>
      <c r="AB102" s="69">
        <f>_xll.qlDayCounterYearFraction(DayCounter,SettlementDate,R102,,,Trigger)</f>
        <v>42.619444444444447</v>
      </c>
      <c r="AC102" s="70">
        <f>_xll.qlPureAbcdFunctionValue($M$25,AB102)</f>
        <v>4.3612037505188253E-4</v>
      </c>
      <c r="AD102" s="70">
        <f t="shared" si="17"/>
        <v>-3.1528235804131877E-5</v>
      </c>
    </row>
    <row r="103" spans="15:30" x14ac:dyDescent="0.2">
      <c r="O103" s="81">
        <v>6</v>
      </c>
      <c r="P103" s="67" t="str">
        <f>_xll.qlPeriodEquivalent(P102&amp;"+"&amp;O103&amp;"M")</f>
        <v>42Y6M</v>
      </c>
      <c r="Q103" s="68">
        <f>_xll.qlCalendarAdvance(Calendar,SettlementDate,P103,"f",,Trigger)</f>
        <v>57642</v>
      </c>
      <c r="R103" s="68">
        <f>_xll.qlInterestRateIndexValueDate(Index,Q103,Trigger)</f>
        <v>57644</v>
      </c>
      <c r="S103" s="68">
        <f>_xll.qlInterestRateIndexMaturity(Index,R103,Trigger)</f>
        <v>57826</v>
      </c>
      <c r="T103" s="69">
        <f>_xll.qlDayCounterYearFraction(DayCounter,R103,S103,,,Trigger)</f>
        <v>0.50555555555555554</v>
      </c>
      <c r="U103" s="70">
        <f>_xll.qlIndexFixing(Index,Q103,,AllTriggers)</f>
        <v>5.7492482829273528E-3</v>
      </c>
      <c r="V103" s="71">
        <f>_xll.qlYieldTSDiscount(OisCurve,R103,,AllTriggers)</f>
        <v>0.75374427702465463</v>
      </c>
      <c r="W103" s="71">
        <f>_xll.qlYieldTSDiscount(OisCurve,S103,,AllTriggers)</f>
        <v>0.75173146590430417</v>
      </c>
      <c r="X103" s="70">
        <f t="shared" si="15"/>
        <v>5.2962857273387192E-3</v>
      </c>
      <c r="Y103" s="70">
        <f>U103-X103</f>
        <v>4.5296255558863359E-4</v>
      </c>
      <c r="Z103" s="70" t="e">
        <f t="shared" ca="1" si="16"/>
        <v>#NAME?</v>
      </c>
      <c r="AA103" s="70" t="e">
        <f ca="1">(Z103-Y103)</f>
        <v>#NAME?</v>
      </c>
      <c r="AB103" s="69">
        <f>_xll.qlDayCounterYearFraction(DayCounter,SettlementDate,R103,,,Trigger)</f>
        <v>43.12777777777778</v>
      </c>
      <c r="AC103" s="70">
        <f>_xll.qlPureAbcdFunctionValue($M$25,AB103)</f>
        <v>4.3365344795471704E-4</v>
      </c>
      <c r="AD103" s="70">
        <f t="shared" si="17"/>
        <v>-1.9309107633916551E-5</v>
      </c>
    </row>
    <row r="104" spans="15:30" x14ac:dyDescent="0.2">
      <c r="O104" s="81">
        <v>6</v>
      </c>
      <c r="P104" s="67" t="str">
        <f>_xll.qlPeriodEquivalent(P103&amp;"+"&amp;O104&amp;"M")</f>
        <v>43Y</v>
      </c>
      <c r="Q104" s="68">
        <f>_xll.qlCalendarAdvance(Calendar,SettlementDate,P104,"f",,Trigger)</f>
        <v>57824</v>
      </c>
      <c r="R104" s="68">
        <f>_xll.qlInterestRateIndexValueDate(Index,Q104,Trigger)</f>
        <v>57826</v>
      </c>
      <c r="S104" s="68">
        <f>_xll.qlInterestRateIndexMaturity(Index,R104,Trigger)</f>
        <v>58011</v>
      </c>
      <c r="T104" s="69">
        <f>_xll.qlDayCounterYearFraction(DayCounter,R104,S104,,,Trigger)</f>
        <v>0.51388888888888884</v>
      </c>
      <c r="U104" s="70">
        <f>_xll.qlIndexFixing(Index,Q104,,AllTriggers)</f>
        <v>5.623385331716883E-3</v>
      </c>
      <c r="V104" s="71">
        <f>_xll.qlYieldTSDiscount(OisCurve,R104,,AllTriggers)</f>
        <v>0.75173146590430417</v>
      </c>
      <c r="W104" s="71">
        <f>_xll.qlYieldTSDiscount(OisCurve,S104,,AllTriggers)</f>
        <v>0.74973467922766424</v>
      </c>
      <c r="X104" s="70">
        <f t="shared" si="15"/>
        <v>5.1826853498750224E-3</v>
      </c>
      <c r="Y104" s="70">
        <f>U104-X104</f>
        <v>4.4069998184186054E-4</v>
      </c>
      <c r="Z104" s="70" t="e">
        <f t="shared" ca="1" si="16"/>
        <v>#NAME?</v>
      </c>
      <c r="AA104" s="70" t="e">
        <f ca="1">(Z104-Y104)</f>
        <v>#NAME?</v>
      </c>
      <c r="AB104" s="69">
        <f>_xll.qlDayCounterYearFraction(DayCounter,SettlementDate,R104,,,Trigger)</f>
        <v>43.633333333333333</v>
      </c>
      <c r="AC104" s="70">
        <f>_xll.qlPureAbcdFunctionValue($M$25,AB104)</f>
        <v>4.313581616950584E-4</v>
      </c>
      <c r="AD104" s="70">
        <f t="shared" si="17"/>
        <v>-9.3418201468021471E-6</v>
      </c>
    </row>
    <row r="105" spans="15:30" x14ac:dyDescent="0.2">
      <c r="O105" s="81">
        <v>6</v>
      </c>
      <c r="P105" s="67" t="str">
        <f>_xll.qlPeriodEquivalent(P104&amp;"+"&amp;O105&amp;"M")</f>
        <v>43Y6M</v>
      </c>
      <c r="Q105" s="68">
        <f>_xll.qlCalendarAdvance(Calendar,SettlementDate,P105,"f",,Trigger)</f>
        <v>58007</v>
      </c>
      <c r="R105" s="68">
        <f>_xll.qlInterestRateIndexValueDate(Index,Q105,Trigger)</f>
        <v>58011</v>
      </c>
      <c r="S105" s="68">
        <f>_xll.qlInterestRateIndexMaturity(Index,R105,Trigger)</f>
        <v>58193</v>
      </c>
      <c r="T105" s="69">
        <f>_xll.qlDayCounterYearFraction(DayCounter,R105,S105,,,Trigger)</f>
        <v>0.50555555555555554</v>
      </c>
      <c r="U105" s="70">
        <f>_xll.qlIndexFixing(Index,Q105,,AllTriggers)</f>
        <v>5.5167316503254666E-3</v>
      </c>
      <c r="V105" s="71">
        <f>_xll.qlYieldTSDiscount(OisCurve,R105,,AllTriggers)</f>
        <v>0.74973467922766424</v>
      </c>
      <c r="W105" s="71">
        <f>_xll.qlYieldTSDiscount(OisCurve,S105,,AllTriggers)</f>
        <v>0.74781191570736716</v>
      </c>
      <c r="X105" s="70">
        <f t="shared" si="15"/>
        <v>5.0858623964141923E-3</v>
      </c>
      <c r="Y105" s="70">
        <f>U105-X105</f>
        <v>4.3086925391127434E-4</v>
      </c>
      <c r="Z105" s="70" t="e">
        <f t="shared" ca="1" si="16"/>
        <v>#NAME?</v>
      </c>
      <c r="AA105" s="70" t="e">
        <f ca="1">(Z105-Y105)</f>
        <v>#NAME?</v>
      </c>
      <c r="AB105" s="69">
        <f>_xll.qlDayCounterYearFraction(DayCounter,SettlementDate,R105,,,Trigger)</f>
        <v>44.147222222222226</v>
      </c>
      <c r="AC105" s="70">
        <f>_xll.qlPureAbcdFunctionValue($M$25,AB105)</f>
        <v>4.2917658935039279E-4</v>
      </c>
      <c r="AD105" s="70">
        <f t="shared" si="17"/>
        <v>-1.6926645608815547E-6</v>
      </c>
    </row>
    <row r="106" spans="15:30" x14ac:dyDescent="0.2">
      <c r="O106" s="81">
        <v>6</v>
      </c>
      <c r="P106" s="67" t="str">
        <f>_xll.qlPeriodEquivalent(P105&amp;"+"&amp;O106&amp;"M")</f>
        <v>44Y</v>
      </c>
      <c r="Q106" s="68">
        <f>_xll.qlCalendarAdvance(Calendar,SettlementDate,P106,"f",,Trigger)</f>
        <v>58189</v>
      </c>
      <c r="R106" s="68">
        <f>_xll.qlInterestRateIndexValueDate(Index,Q106,Trigger)</f>
        <v>58193</v>
      </c>
      <c r="S106" s="68">
        <f>_xll.qlInterestRateIndexMaturity(Index,R106,Trigger)</f>
        <v>58376</v>
      </c>
      <c r="T106" s="69">
        <f>_xll.qlDayCounterYearFraction(DayCounter,R106,S106,,,Trigger)</f>
        <v>0.5083333333333333</v>
      </c>
      <c r="U106" s="70">
        <f>_xll.qlIndexFixing(Index,Q106,,AllTriggers)</f>
        <v>5.4302295647552226E-3</v>
      </c>
      <c r="V106" s="71">
        <f>_xll.qlYieldTSDiscount(OisCurve,R106,,AllTriggers)</f>
        <v>0.74781191570736716</v>
      </c>
      <c r="W106" s="71">
        <f>_xll.qlYieldTSDiscount(OisCurve,S106,,AllTriggers)</f>
        <v>0.74591353072984146</v>
      </c>
      <c r="X106" s="70">
        <f t="shared" si="15"/>
        <v>5.0066497935582002E-3</v>
      </c>
      <c r="Y106" s="70">
        <f>U106-X106</f>
        <v>4.2357977119702236E-4</v>
      </c>
      <c r="Z106" s="70" t="e">
        <f t="shared" ca="1" si="16"/>
        <v>#NAME?</v>
      </c>
      <c r="AA106" s="70" t="e">
        <f ca="1">(Z106-Y106)</f>
        <v>#NAME?</v>
      </c>
      <c r="AB106" s="69">
        <f>_xll.qlDayCounterYearFraction(DayCounter,SettlementDate,R106,,,Trigger)</f>
        <v>44.652777777777779</v>
      </c>
      <c r="AC106" s="70">
        <f>_xll.qlPureAbcdFunctionValue($M$25,AB106)</f>
        <v>4.2717015239400447E-4</v>
      </c>
      <c r="AD106" s="70">
        <f t="shared" si="17"/>
        <v>3.590381196982113E-6</v>
      </c>
    </row>
    <row r="107" spans="15:30" x14ac:dyDescent="0.2">
      <c r="O107" s="81">
        <v>6</v>
      </c>
      <c r="P107" s="67" t="str">
        <f>_xll.qlPeriodEquivalent(P106&amp;"+"&amp;O107&amp;"M")</f>
        <v>44Y6M</v>
      </c>
      <c r="Q107" s="68">
        <f>_xll.qlCalendarAdvance(Calendar,SettlementDate,P107,"f",,Trigger)</f>
        <v>58372</v>
      </c>
      <c r="R107" s="68">
        <f>_xll.qlInterestRateIndexValueDate(Index,Q107,Trigger)</f>
        <v>58376</v>
      </c>
      <c r="S107" s="68">
        <f>_xll.qlInterestRateIndexMaturity(Index,R107,Trigger)</f>
        <v>58559</v>
      </c>
      <c r="T107" s="69">
        <f>_xll.qlDayCounterYearFraction(DayCounter,R107,S107,,,Trigger)</f>
        <v>0.5083333333333333</v>
      </c>
      <c r="U107" s="70">
        <f>_xll.qlIndexFixing(Index,Q107,,AllTriggers)</f>
        <v>5.3628268724581667E-3</v>
      </c>
      <c r="V107" s="71">
        <f>_xll.qlYieldTSDiscount(OisCurve,R107,,AllTriggers)</f>
        <v>0.74591353072984146</v>
      </c>
      <c r="W107" s="71">
        <f>_xll.qlYieldTSDiscount(OisCurve,S107,,AllTriggers)</f>
        <v>0.74404356120859216</v>
      </c>
      <c r="X107" s="70">
        <f t="shared" si="15"/>
        <v>4.9441037570656585E-3</v>
      </c>
      <c r="Y107" s="70">
        <f>U107-X107</f>
        <v>4.1872311539250823E-4</v>
      </c>
      <c r="Z107" s="70" t="e">
        <f t="shared" ca="1" si="16"/>
        <v>#NAME?</v>
      </c>
      <c r="AA107" s="70" t="e">
        <f ca="1">(Z107-Y107)</f>
        <v>#NAME?</v>
      </c>
      <c r="AB107" s="69">
        <f>_xll.qlDayCounterYearFraction(DayCounter,SettlementDate,R107,,,Trigger)</f>
        <v>45.161111111111111</v>
      </c>
      <c r="AC107" s="70">
        <f>_xll.qlPureAbcdFunctionValue($M$25,AB107)</f>
        <v>4.2528365775548532E-4</v>
      </c>
      <c r="AD107" s="70">
        <f t="shared" si="17"/>
        <v>6.560542362977085E-6</v>
      </c>
    </row>
    <row r="108" spans="15:30" x14ac:dyDescent="0.2">
      <c r="O108" s="81">
        <v>6</v>
      </c>
      <c r="P108" s="67" t="str">
        <f>_xll.qlPeriodEquivalent(P107&amp;"+"&amp;O108&amp;"M")</f>
        <v>45Y</v>
      </c>
      <c r="Q108" s="68">
        <f>_xll.qlCalendarAdvance(Calendar,SettlementDate,P108,"f",,Trigger)</f>
        <v>58557</v>
      </c>
      <c r="R108" s="68">
        <f>_xll.qlInterestRateIndexValueDate(Index,Q108,Trigger)</f>
        <v>58559</v>
      </c>
      <c r="S108" s="68">
        <f>_xll.qlInterestRateIndexMaturity(Index,R108,Trigger)</f>
        <v>58742</v>
      </c>
      <c r="T108" s="69">
        <f>_xll.qlDayCounterYearFraction(DayCounter,R108,S108,,,Trigger)</f>
        <v>0.5083333333333333</v>
      </c>
      <c r="U108" s="70">
        <f>_xll.qlIndexFixing(Index,Q108,,AllTriggers)</f>
        <v>5.3144032910328615E-3</v>
      </c>
      <c r="V108" s="71">
        <f>_xll.qlYieldTSDiscount(OisCurve,R108,,AllTriggers)</f>
        <v>0.74404356120859216</v>
      </c>
      <c r="W108" s="71">
        <f>_xll.qlYieldTSDiscount(OisCurve,S108,,AllTriggers)</f>
        <v>0.74219543951551459</v>
      </c>
      <c r="X108" s="70">
        <f t="shared" si="15"/>
        <v>4.8985065640620197E-3</v>
      </c>
      <c r="Y108" s="70">
        <f>U108-X108</f>
        <v>4.1589672697084183E-4</v>
      </c>
      <c r="Z108" s="70" t="e">
        <f t="shared" ca="1" si="16"/>
        <v>#NAME?</v>
      </c>
      <c r="AA108" s="70" t="e">
        <f ca="1">(Z108-Y108)</f>
        <v>#NAME?</v>
      </c>
      <c r="AB108" s="69">
        <f>_xll.qlDayCounterYearFraction(DayCounter,SettlementDate,R108,,,Trigger)</f>
        <v>45.669444444444444</v>
      </c>
      <c r="AC108" s="70">
        <f>_xll.qlPureAbcdFunctionValue($M$25,AB108)</f>
        <v>4.2352022813662123E-4</v>
      </c>
      <c r="AD108" s="70">
        <f t="shared" si="17"/>
        <v>7.6235011657793997E-6</v>
      </c>
    </row>
    <row r="109" spans="15:30" x14ac:dyDescent="0.2">
      <c r="O109" s="81">
        <v>6</v>
      </c>
      <c r="P109" s="67" t="str">
        <f>_xll.qlPeriodEquivalent(P108&amp;"+"&amp;O109&amp;"M")</f>
        <v>45Y6M</v>
      </c>
      <c r="Q109" s="68">
        <f>_xll.qlCalendarAdvance(Calendar,SettlementDate,P109,"f",,Trigger)</f>
        <v>58739</v>
      </c>
      <c r="R109" s="68">
        <f>_xll.qlInterestRateIndexValueDate(Index,Q109,Trigger)</f>
        <v>58741</v>
      </c>
      <c r="S109" s="68">
        <f>_xll.qlInterestRateIndexMaturity(Index,R109,Trigger)</f>
        <v>58923</v>
      </c>
      <c r="T109" s="69">
        <f>_xll.qlDayCounterYearFraction(DayCounter,R109,S109,,,Trigger)</f>
        <v>0.50555555555555554</v>
      </c>
      <c r="U109" s="70">
        <f>_xll.qlIndexFixing(Index,Q109,,AllTriggers)</f>
        <v>5.2834213396649211E-3</v>
      </c>
      <c r="V109" s="71">
        <f>_xll.qlYieldTSDiscount(OisCurve,R109,,AllTriggers)</f>
        <v>0.7422054909493323</v>
      </c>
      <c r="W109" s="71">
        <f>_xll.qlYieldTSDiscount(OisCurve,S109,,AllTriggers)</f>
        <v>0.74038263436784646</v>
      </c>
      <c r="X109" s="70">
        <f t="shared" si="15"/>
        <v>4.8699823761260098E-3</v>
      </c>
      <c r="Y109" s="70">
        <f>U109-X109</f>
        <v>4.1343896353891133E-4</v>
      </c>
      <c r="Z109" s="70" t="e">
        <f t="shared" ca="1" si="16"/>
        <v>#NAME?</v>
      </c>
      <c r="AA109" s="70" t="e">
        <f ca="1">(Z109-Y109)</f>
        <v>#NAME?</v>
      </c>
      <c r="AB109" s="69">
        <f>_xll.qlDayCounterYearFraction(DayCounter,SettlementDate,R109,,,Trigger)</f>
        <v>46.174999999999997</v>
      </c>
      <c r="AC109" s="70">
        <f>_xll.qlPureAbcdFunctionValue($M$25,AB109)</f>
        <v>4.2188079051516669E-4</v>
      </c>
      <c r="AD109" s="70">
        <f t="shared" si="17"/>
        <v>8.4418269762553608E-6</v>
      </c>
    </row>
    <row r="110" spans="15:30" x14ac:dyDescent="0.2">
      <c r="O110" s="81">
        <v>6</v>
      </c>
      <c r="P110" s="67" t="str">
        <f>_xll.qlPeriodEquivalent(P109&amp;"+"&amp;O110&amp;"M")</f>
        <v>46Y</v>
      </c>
      <c r="Q110" s="68">
        <f>_xll.qlCalendarAdvance(Calendar,SettlementDate,P110,"f",,Trigger)</f>
        <v>58921</v>
      </c>
      <c r="R110" s="68">
        <f>_xll.qlInterestRateIndexValueDate(Index,Q110,Trigger)</f>
        <v>58923</v>
      </c>
      <c r="S110" s="68">
        <f>_xll.qlInterestRateIndexMaturity(Index,R110,Trigger)</f>
        <v>59106</v>
      </c>
      <c r="T110" s="69">
        <f>_xll.qlDayCounterYearFraction(DayCounter,R110,S110,,,Trigger)</f>
        <v>0.5083333333333333</v>
      </c>
      <c r="U110" s="70">
        <f>_xll.qlIndexFixing(Index,Q110,,AllTriggers)</f>
        <v>5.2691188242090384E-3</v>
      </c>
      <c r="V110" s="71">
        <f>_xll.qlYieldTSDiscount(OisCurve,R110,,AllTriggers)</f>
        <v>0.74038263436784646</v>
      </c>
      <c r="W110" s="71">
        <f>_xll.qlYieldTSDiscount(OisCurve,S110,,AllTriggers)</f>
        <v>0.73855870434349991</v>
      </c>
      <c r="X110" s="70">
        <f t="shared" si="15"/>
        <v>4.8581907479889235E-3</v>
      </c>
      <c r="Y110" s="70">
        <f>U110-X110</f>
        <v>4.1092807622011493E-4</v>
      </c>
      <c r="Z110" s="70" t="e">
        <f t="shared" ca="1" si="16"/>
        <v>#NAME?</v>
      </c>
      <c r="AA110" s="70" t="e">
        <f ca="1">(Z110-Y110)</f>
        <v>#NAME?</v>
      </c>
      <c r="AB110" s="69">
        <f>_xll.qlDayCounterYearFraction(DayCounter,SettlementDate,R110,,,Trigger)</f>
        <v>46.680555555555557</v>
      </c>
      <c r="AC110" s="70">
        <f>_xll.qlPureAbcdFunctionValue($M$25,AB110)</f>
        <v>4.2034818946747721E-4</v>
      </c>
      <c r="AD110" s="70">
        <f t="shared" si="17"/>
        <v>9.4201132473622812E-6</v>
      </c>
    </row>
    <row r="111" spans="15:30" x14ac:dyDescent="0.2">
      <c r="O111" s="81">
        <v>6</v>
      </c>
      <c r="P111" s="67" t="str">
        <f>_xll.qlPeriodEquivalent(P110&amp;"+"&amp;O111&amp;"M")</f>
        <v>46Y6M</v>
      </c>
      <c r="Q111" s="68">
        <f>_xll.qlCalendarAdvance(Calendar,SettlementDate,P111,"f",,Trigger)</f>
        <v>59103</v>
      </c>
      <c r="R111" s="68">
        <f>_xll.qlInterestRateIndexValueDate(Index,Q111,Trigger)</f>
        <v>59105</v>
      </c>
      <c r="S111" s="68">
        <f>_xll.qlInterestRateIndexMaturity(Index,R111,Trigger)</f>
        <v>59287</v>
      </c>
      <c r="T111" s="69">
        <f>_xll.qlDayCounterYearFraction(DayCounter,R111,S111,,,Trigger)</f>
        <v>0.50555555555555554</v>
      </c>
      <c r="U111" s="70">
        <f>_xll.qlIndexFixing(Index,Q111,,AllTriggers)</f>
        <v>5.2714671721448775E-3</v>
      </c>
      <c r="V111" s="71">
        <f>_xll.qlYieldTSDiscount(OisCurve,R111,,AllTriggers)</f>
        <v>0.7385686583227139</v>
      </c>
      <c r="W111" s="71">
        <f>_xll.qlYieldTSDiscount(OisCurve,S111,,AllTriggers)</f>
        <v>0.73675729147748659</v>
      </c>
      <c r="X111" s="70">
        <f t="shared" si="15"/>
        <v>4.8630987050493416E-3</v>
      </c>
      <c r="Y111" s="70">
        <f>U111-X111</f>
        <v>4.0836846709553596E-4</v>
      </c>
      <c r="Z111" s="70" t="e">
        <f t="shared" ca="1" si="16"/>
        <v>#NAME?</v>
      </c>
      <c r="AA111" s="70" t="e">
        <f ca="1">(Z111-Y111)</f>
        <v>#NAME?</v>
      </c>
      <c r="AB111" s="69">
        <f>_xll.qlDayCounterYearFraction(DayCounter,SettlementDate,R111,,,Trigger)</f>
        <v>47.18611111111111</v>
      </c>
      <c r="AC111" s="70">
        <f>_xll.qlPureAbcdFunctionValue($M$25,AB111)</f>
        <v>4.1891566653067501E-4</v>
      </c>
      <c r="AD111" s="70">
        <f t="shared" si="17"/>
        <v>1.054719943513905E-5</v>
      </c>
    </row>
    <row r="112" spans="15:30" x14ac:dyDescent="0.2">
      <c r="O112" s="81">
        <v>6</v>
      </c>
      <c r="P112" s="67" t="str">
        <f>_xll.qlPeriodEquivalent(P111&amp;"+"&amp;O112&amp;"M")</f>
        <v>47Y</v>
      </c>
      <c r="Q112" s="68">
        <f>_xll.qlCalendarAdvance(Calendar,SettlementDate,P112,"f",,Trigger)</f>
        <v>59285</v>
      </c>
      <c r="R112" s="68">
        <f>_xll.qlInterestRateIndexValueDate(Index,Q112,Trigger)</f>
        <v>59287</v>
      </c>
      <c r="S112" s="68">
        <f>_xll.qlInterestRateIndexMaturity(Index,R112,Trigger)</f>
        <v>59470</v>
      </c>
      <c r="T112" s="69">
        <f>_xll.qlDayCounterYearFraction(DayCounter,R112,S112,,,Trigger)</f>
        <v>0.5083333333333333</v>
      </c>
      <c r="U112" s="70">
        <f>_xll.qlIndexFixing(Index,Q112,,AllTriggers)</f>
        <v>5.2906779398196003E-3</v>
      </c>
      <c r="V112" s="71">
        <f>_xll.qlYieldTSDiscount(OisCurve,R112,,AllTriggers)</f>
        <v>0.73675729147748659</v>
      </c>
      <c r="W112" s="71">
        <f>_xll.qlYieldTSDiscount(OisCurve,S112,,AllTriggers)</f>
        <v>0.7349323301348587</v>
      </c>
      <c r="X112" s="70">
        <f t="shared" si="15"/>
        <v>4.8849230601652523E-3</v>
      </c>
      <c r="Y112" s="70">
        <f>U112-X112</f>
        <v>4.0575487965434798E-4</v>
      </c>
      <c r="Z112" s="70" t="e">
        <f t="shared" ca="1" si="16"/>
        <v>#NAME?</v>
      </c>
      <c r="AA112" s="70" t="e">
        <f ca="1">(Z112-Y112)</f>
        <v>#NAME?</v>
      </c>
      <c r="AB112" s="69">
        <f>_xll.qlDayCounterYearFraction(DayCounter,SettlementDate,R112,,,Trigger)</f>
        <v>47.69166666666667</v>
      </c>
      <c r="AC112" s="70">
        <f>_xll.qlPureAbcdFunctionValue($M$25,AB112)</f>
        <v>4.175768725756926E-4</v>
      </c>
      <c r="AD112" s="70">
        <f t="shared" si="17"/>
        <v>1.1821992921344612E-5</v>
      </c>
    </row>
    <row r="113" spans="15:30" x14ac:dyDescent="0.2">
      <c r="O113" s="81">
        <v>6</v>
      </c>
      <c r="P113" s="67" t="str">
        <f>_xll.qlPeriodEquivalent(P112&amp;"+"&amp;O113&amp;"M")</f>
        <v>47Y6M</v>
      </c>
      <c r="Q113" s="68">
        <f>_xll.qlCalendarAdvance(Calendar,SettlementDate,P113,"f",,Trigger)</f>
        <v>59468</v>
      </c>
      <c r="R113" s="68">
        <f>_xll.qlInterestRateIndexValueDate(Index,Q113,Trigger)</f>
        <v>59470</v>
      </c>
      <c r="S113" s="68">
        <f>_xll.qlInterestRateIndexMaturity(Index,R113,Trigger)</f>
        <v>59652</v>
      </c>
      <c r="T113" s="69">
        <f>_xll.qlDayCounterYearFraction(DayCounter,R113,S113,,,Trigger)</f>
        <v>0.50555555555555554</v>
      </c>
      <c r="U113" s="70">
        <f>_xll.qlIndexFixing(Index,Q113,,AllTriggers)</f>
        <v>5.326598714347138E-3</v>
      </c>
      <c r="V113" s="71">
        <f>_xll.qlYieldTSDiscount(OisCurve,R113,,AllTriggers)</f>
        <v>0.7349323301348587</v>
      </c>
      <c r="W113" s="71">
        <f>_xll.qlYieldTSDiscount(OisCurve,S113,,AllTriggers)</f>
        <v>0.73310754255407251</v>
      </c>
      <c r="X113" s="70">
        <f t="shared" si="15"/>
        <v>4.923520398442115E-3</v>
      </c>
      <c r="Y113" s="70">
        <f>U113-X113</f>
        <v>4.0307831590502292E-4</v>
      </c>
      <c r="Z113" s="70" t="e">
        <f t="shared" ca="1" si="16"/>
        <v>#NAME?</v>
      </c>
      <c r="AA113" s="70" t="e">
        <f ca="1">(Z113-Y113)</f>
        <v>#NAME?</v>
      </c>
      <c r="AB113" s="69">
        <f>_xll.qlDayCounterYearFraction(DayCounter,SettlementDate,R113,,,Trigger)</f>
        <v>48.2</v>
      </c>
      <c r="AC113" s="70">
        <f>_xll.qlPureAbcdFunctionValue($M$25,AB113)</f>
        <v>4.163192028523281E-4</v>
      </c>
      <c r="AD113" s="70">
        <f t="shared" si="17"/>
        <v>1.3240886947305181E-5</v>
      </c>
    </row>
    <row r="114" spans="15:30" x14ac:dyDescent="0.2">
      <c r="O114" s="81">
        <v>6</v>
      </c>
      <c r="P114" s="67" t="str">
        <f>_xll.qlPeriodEquivalent(P113&amp;"+"&amp;O114&amp;"M")</f>
        <v>48Y</v>
      </c>
      <c r="Q114" s="68">
        <f>_xll.qlCalendarAdvance(Calendar,SettlementDate,P114,"f",,Trigger)</f>
        <v>59650</v>
      </c>
      <c r="R114" s="68">
        <f>_xll.qlInterestRateIndexValueDate(Index,Q114,Trigger)</f>
        <v>59652</v>
      </c>
      <c r="S114" s="68">
        <f>_xll.qlInterestRateIndexMaturity(Index,R114,Trigger)</f>
        <v>59835</v>
      </c>
      <c r="T114" s="69">
        <f>_xll.qlDayCounterYearFraction(DayCounter,R114,S114,,,Trigger)</f>
        <v>0.5083333333333333</v>
      </c>
      <c r="U114" s="70">
        <f>_xll.qlIndexFixing(Index,Q114,,AllTriggers)</f>
        <v>5.3794177803293125E-3</v>
      </c>
      <c r="V114" s="71">
        <f>_xll.qlYieldTSDiscount(OisCurve,R114,,AllTriggers)</f>
        <v>0.73310754255407251</v>
      </c>
      <c r="W114" s="71">
        <f>_xll.qlYieldTSDiscount(OisCurve,S114,,AllTriggers)</f>
        <v>0.73125671699286654</v>
      </c>
      <c r="X114" s="70">
        <f t="shared" si="15"/>
        <v>4.9790562363642736E-3</v>
      </c>
      <c r="Y114" s="70">
        <f>U114-X114</f>
        <v>4.0036154396503893E-4</v>
      </c>
      <c r="Z114" s="70" t="e">
        <f t="shared" ca="1" si="16"/>
        <v>#NAME?</v>
      </c>
      <c r="AA114" s="70" t="e">
        <f ca="1">(Z114-Y114)</f>
        <v>#NAME?</v>
      </c>
      <c r="AB114" s="69">
        <f>_xll.qlDayCounterYearFraction(DayCounter,SettlementDate,R114,,,Trigger)</f>
        <v>48.705555555555556</v>
      </c>
      <c r="AC114" s="70">
        <f>_xll.qlPureAbcdFunctionValue($M$25,AB114)</f>
        <v>4.1515077902169831E-4</v>
      </c>
      <c r="AD114" s="70">
        <f t="shared" si="17"/>
        <v>1.4789235056659382E-5</v>
      </c>
    </row>
    <row r="115" spans="15:30" x14ac:dyDescent="0.2">
      <c r="O115" s="81">
        <v>6</v>
      </c>
      <c r="P115" s="67" t="str">
        <f>_xll.qlPeriodEquivalent(P114&amp;"+"&amp;O115&amp;"M")</f>
        <v>48Y6M</v>
      </c>
      <c r="Q115" s="68">
        <f>_xll.qlCalendarAdvance(Calendar,SettlementDate,P115,"f",,Trigger)</f>
        <v>59833</v>
      </c>
      <c r="R115" s="68">
        <f>_xll.qlInterestRateIndexValueDate(Index,Q115,Trigger)</f>
        <v>59835</v>
      </c>
      <c r="S115" s="68">
        <f>_xll.qlInterestRateIndexMaturity(Index,R115,Trigger)</f>
        <v>60020</v>
      </c>
      <c r="T115" s="69">
        <f>_xll.qlDayCounterYearFraction(DayCounter,R115,S115,,,Trigger)</f>
        <v>0.51388888888888884</v>
      </c>
      <c r="U115" s="70">
        <f>_xll.qlIndexFixing(Index,Q115,,AllTriggers)</f>
        <v>5.4497347546916377E-3</v>
      </c>
      <c r="V115" s="71">
        <f>_xll.qlYieldTSDiscount(OisCurve,R115,,AllTriggers)</f>
        <v>0.73125671699286654</v>
      </c>
      <c r="W115" s="71">
        <f>_xll.qlYieldTSDiscount(OisCurve,S115,,AllTriggers)</f>
        <v>0.72936310925498549</v>
      </c>
      <c r="X115" s="70">
        <f t="shared" si="15"/>
        <v>5.0521588684480393E-3</v>
      </c>
      <c r="Y115" s="70">
        <f>U115-X115</f>
        <v>3.9757588624359831E-4</v>
      </c>
      <c r="Z115" s="70" t="e">
        <f t="shared" ca="1" si="16"/>
        <v>#NAME?</v>
      </c>
      <c r="AA115" s="70" t="e">
        <f ca="1">(Z115-Y115)</f>
        <v>#NAME?</v>
      </c>
      <c r="AB115" s="69">
        <f>_xll.qlDayCounterYearFraction(DayCounter,SettlementDate,R115,,,Trigger)</f>
        <v>49.213888888888889</v>
      </c>
      <c r="AC115" s="70">
        <f>_xll.qlPureAbcdFunctionValue($M$25,AB115)</f>
        <v>4.1405344501144154E-4</v>
      </c>
      <c r="AD115" s="70">
        <f t="shared" si="17"/>
        <v>1.6477558767843232E-5</v>
      </c>
    </row>
    <row r="116" spans="15:30" x14ac:dyDescent="0.2">
      <c r="O116" s="81">
        <v>6</v>
      </c>
      <c r="P116" s="67" t="str">
        <f>_xll.qlPeriodEquivalent(P115&amp;"+"&amp;O116&amp;"M")</f>
        <v>49Y</v>
      </c>
      <c r="Q116" s="68">
        <f>_xll.qlCalendarAdvance(Calendar,SettlementDate,P116,"f",,Trigger)</f>
        <v>60016</v>
      </c>
      <c r="R116" s="68">
        <f>_xll.qlInterestRateIndexValueDate(Index,Q116,Trigger)</f>
        <v>60020</v>
      </c>
      <c r="S116" s="68">
        <f>_xll.qlInterestRateIndexMaturity(Index,R116,Trigger)</f>
        <v>60203</v>
      </c>
      <c r="T116" s="69">
        <f>_xll.qlDayCounterYearFraction(DayCounter,R116,S116,,,Trigger)</f>
        <v>0.5083333333333333</v>
      </c>
      <c r="U116" s="70">
        <f>_xll.qlIndexFixing(Index,Q116,,AllTriggers)</f>
        <v>5.5369407096514259E-3</v>
      </c>
      <c r="V116" s="71">
        <f>_xll.qlYieldTSDiscount(OisCurve,R116,,AllTriggers)</f>
        <v>0.72936310925498549</v>
      </c>
      <c r="W116" s="71">
        <f>_xll.qlYieldTSDiscount(OisCurve,S116,,AllTriggers)</f>
        <v>0.72746155024204351</v>
      </c>
      <c r="X116" s="70">
        <f t="shared" si="15"/>
        <v>5.1422261801926644E-3</v>
      </c>
      <c r="Y116" s="70">
        <f>U116-X116</f>
        <v>3.9471452945876156E-4</v>
      </c>
      <c r="Z116" s="70" t="e">
        <f t="shared" ca="1" si="16"/>
        <v>#NAME?</v>
      </c>
      <c r="AA116" s="70" t="e">
        <f ca="1">(Z116-Y116)</f>
        <v>#NAME?</v>
      </c>
      <c r="AB116" s="69">
        <f>_xll.qlDayCounterYearFraction(DayCounter,SettlementDate,R116,,,Trigger)</f>
        <v>49.727777777777774</v>
      </c>
      <c r="AC116" s="70">
        <f>_xll.qlPureAbcdFunctionValue($M$25,AB116)</f>
        <v>4.1301801790502856E-4</v>
      </c>
      <c r="AD116" s="70">
        <f t="shared" si="17"/>
        <v>1.8303488446266998E-5</v>
      </c>
    </row>
    <row r="117" spans="15:30" x14ac:dyDescent="0.2">
      <c r="O117" s="81">
        <v>6</v>
      </c>
      <c r="P117" s="67" t="str">
        <f>_xll.qlPeriodEquivalent(P116&amp;"+"&amp;O117&amp;"M")</f>
        <v>49Y6M</v>
      </c>
      <c r="Q117" s="68">
        <f>_xll.qlCalendarAdvance(Calendar,SettlementDate,P117,"f",,Trigger)</f>
        <v>60199</v>
      </c>
      <c r="R117" s="68">
        <f>_xll.qlInterestRateIndexValueDate(Index,Q117,Trigger)</f>
        <v>60203</v>
      </c>
      <c r="S117" s="68">
        <f>_xll.qlInterestRateIndexMaturity(Index,R117,Trigger)</f>
        <v>60385</v>
      </c>
      <c r="T117" s="69">
        <f>_xll.qlDayCounterYearFraction(DayCounter,R117,S117,,,Trigger)</f>
        <v>0.50555555555555554</v>
      </c>
      <c r="U117" s="70">
        <f>_xll.qlIndexFixing(Index,Q117,,AllTriggers)</f>
        <v>5.6403596342788085E-3</v>
      </c>
      <c r="V117" s="71">
        <f>_xll.qlYieldTSDiscount(OisCurve,R117,,AllTriggers)</f>
        <v>0.72746155024204351</v>
      </c>
      <c r="W117" s="71">
        <f>_xll.qlYieldTSDiscount(OisCurve,S117,,AllTriggers)</f>
        <v>0.72553639504661405</v>
      </c>
      <c r="X117" s="70">
        <f t="shared" si="15"/>
        <v>5.2485296584164837E-3</v>
      </c>
      <c r="Y117" s="70">
        <f>U117-X117</f>
        <v>3.9182997586232476E-4</v>
      </c>
      <c r="Z117" s="70" t="e">
        <f t="shared" ca="1" si="16"/>
        <v>#NAME?</v>
      </c>
      <c r="AA117" s="70" t="e">
        <f ca="1">(Z117-Y117)</f>
        <v>#NAME?</v>
      </c>
      <c r="AB117" s="69">
        <f>_xll.qlDayCounterYearFraction(DayCounter,SettlementDate,R117,,,Trigger)</f>
        <v>50.236111111111114</v>
      </c>
      <c r="AC117" s="70">
        <f>_xll.qlPureAbcdFunctionValue($M$25,AB117)</f>
        <v>4.1206214456690731E-4</v>
      </c>
      <c r="AD117" s="70">
        <f t="shared" si="17"/>
        <v>2.0232168704582549E-5</v>
      </c>
    </row>
    <row r="118" spans="15:30" x14ac:dyDescent="0.2">
      <c r="O118" s="81">
        <v>6</v>
      </c>
      <c r="P118" s="67" t="str">
        <f>_xll.qlPeriodEquivalent(P117&amp;"+"&amp;O118&amp;"M")</f>
        <v>50Y</v>
      </c>
      <c r="Q118" s="68">
        <f>_xll.qlCalendarAdvance(Calendar,SettlementDate,P118,"f",,Trigger)</f>
        <v>60381</v>
      </c>
      <c r="R118" s="68">
        <f>_xll.qlInterestRateIndexValueDate(Index,Q118,Trigger)</f>
        <v>60385</v>
      </c>
      <c r="S118" s="68">
        <f>_xll.qlInterestRateIndexMaturity(Index,R118,Trigger)</f>
        <v>60568</v>
      </c>
      <c r="T118" s="69">
        <f>_xll.qlDayCounterYearFraction(DayCounter,R118,S118,,,Trigger)</f>
        <v>0.5083333333333333</v>
      </c>
      <c r="U118" s="70">
        <f>_xll.qlIndexFixing(Index,Q118,,AllTriggers)</f>
        <v>5.75642482033345E-3</v>
      </c>
      <c r="V118" s="71">
        <f>_xll.qlYieldTSDiscount(OisCurve,R118,,AllTriggers)</f>
        <v>0.72553639504661405</v>
      </c>
      <c r="W118" s="71">
        <f>_xll.qlYieldTSDiscount(OisCurve,S118,,AllTriggers)</f>
        <v>0.72356210572433699</v>
      </c>
      <c r="X118" s="70">
        <f t="shared" si="15"/>
        <v>5.3676772406627323E-3</v>
      </c>
      <c r="Y118" s="70">
        <f>U118-X118</f>
        <v>3.8874757967071773E-4</v>
      </c>
      <c r="Z118" s="70" t="e">
        <f t="shared" ca="1" si="16"/>
        <v>#NAME?</v>
      </c>
      <c r="AA118" s="70" t="e">
        <f ca="1">(Z118-Y118)</f>
        <v>#NAME?</v>
      </c>
      <c r="AB118" s="69">
        <f>_xll.qlDayCounterYearFraction(DayCounter,SettlementDate,R118,,,Trigger)</f>
        <v>50.741666666666667</v>
      </c>
      <c r="AC118" s="70">
        <f>_xll.qlPureAbcdFunctionValue($M$25,AB118)</f>
        <v>4.1117455033293319E-4</v>
      </c>
      <c r="AD118" s="70">
        <f t="shared" si="17"/>
        <v>2.2426970662215459E-5</v>
      </c>
    </row>
    <row r="119" spans="15:30" x14ac:dyDescent="0.2">
      <c r="O119" s="81">
        <v>6</v>
      </c>
      <c r="P119" s="67" t="str">
        <f>_xll.qlPeriodEquivalent(P118&amp;"+"&amp;O119&amp;"M")</f>
        <v>50Y6M</v>
      </c>
      <c r="Q119" s="68">
        <f>_xll.qlCalendarAdvance(Calendar,SettlementDate,P119,"f",,Trigger)</f>
        <v>60566</v>
      </c>
      <c r="R119" s="68">
        <f>_xll.qlInterestRateIndexValueDate(Index,Q119,Trigger)</f>
        <v>60568</v>
      </c>
      <c r="S119" s="68">
        <f>_xll.qlInterestRateIndexMaturity(Index,R119,Trigger)</f>
        <v>60750</v>
      </c>
      <c r="T119" s="69">
        <f>_xll.qlDayCounterYearFraction(DayCounter,R119,S119,,,Trigger)</f>
        <v>0.50555555555555554</v>
      </c>
      <c r="U119" s="70">
        <f>_xll.qlIndexFixing(Index,Q119,,AllTriggers)</f>
        <v>5.869042399841911E-3</v>
      </c>
      <c r="V119" s="71">
        <f>_xll.qlYieldTSDiscount(OisCurve,R119,,AllTriggers)</f>
        <v>0.72356210572433699</v>
      </c>
      <c r="W119" s="71">
        <f>_xll.qlYieldTSDiscount(OisCurve,S119,,AllTriggers)</f>
        <v>0.72156153274075652</v>
      </c>
      <c r="X119" s="70">
        <f t="shared" si="15"/>
        <v>5.484185548428876E-3</v>
      </c>
      <c r="Y119" s="70">
        <f>U119-X119</f>
        <v>3.8485685141303495E-4</v>
      </c>
      <c r="Z119" s="70" t="e">
        <f t="shared" ca="1" si="16"/>
        <v>#NAME?</v>
      </c>
      <c r="AA119" s="70" t="e">
        <f ca="1">(Z119-Y119)</f>
        <v>#NAME?</v>
      </c>
      <c r="AB119" s="69">
        <f>_xll.qlDayCounterYearFraction(DayCounter,SettlementDate,R119,,,Trigger)</f>
        <v>51.25</v>
      </c>
      <c r="AC119" s="70">
        <f>_xll.qlPureAbcdFunctionValue($M$25,AB119)</f>
        <v>4.1034137172440255E-4</v>
      </c>
      <c r="AD119" s="70">
        <f t="shared" si="17"/>
        <v>2.5484520311367601E-5</v>
      </c>
    </row>
    <row r="120" spans="15:30" x14ac:dyDescent="0.2">
      <c r="O120" s="81">
        <v>6</v>
      </c>
      <c r="P120" s="67" t="str">
        <f>_xll.qlPeriodEquivalent(P119&amp;"+"&amp;O120&amp;"M")</f>
        <v>51Y</v>
      </c>
      <c r="Q120" s="68">
        <f>_xll.qlCalendarAdvance(Calendar,SettlementDate,P120,"f",,Trigger)</f>
        <v>60748</v>
      </c>
      <c r="R120" s="68">
        <f>_xll.qlInterestRateIndexValueDate(Index,Q120,Trigger)</f>
        <v>60750</v>
      </c>
      <c r="S120" s="68">
        <f>_xll.qlInterestRateIndexMaturity(Index,R120,Trigger)</f>
        <v>60933</v>
      </c>
      <c r="T120" s="69">
        <f>_xll.qlDayCounterYearFraction(DayCounter,R120,S120,,,Trigger)</f>
        <v>0.5083333333333333</v>
      </c>
      <c r="U120" s="70">
        <f>_xll.qlIndexFixing(Index,Q120,,AllTriggers)</f>
        <v>5.9746833312836088E-3</v>
      </c>
      <c r="V120" s="71">
        <f>_xll.qlYieldTSDiscount(OisCurve,R120,,AllTriggers)</f>
        <v>0.72156153274075652</v>
      </c>
      <c r="W120" s="71">
        <f>_xll.qlYieldTSDiscount(OisCurve,S120,,AllTriggers)</f>
        <v>0.71951527302789375</v>
      </c>
      <c r="X120" s="70">
        <f t="shared" si="15"/>
        <v>5.594640022575907E-3</v>
      </c>
      <c r="Y120" s="70">
        <f>U120-X120</f>
        <v>3.8004330870770181E-4</v>
      </c>
      <c r="Z120" s="70" t="e">
        <f t="shared" ca="1" si="16"/>
        <v>#NAME?</v>
      </c>
      <c r="AA120" s="70" t="e">
        <f ca="1">(Z120-Y120)</f>
        <v>#NAME?</v>
      </c>
      <c r="AB120" s="69">
        <f>_xll.qlDayCounterYearFraction(DayCounter,SettlementDate,R120,,,Trigger)</f>
        <v>51.755555555555553</v>
      </c>
      <c r="AC120" s="70">
        <f>_xll.qlPureAbcdFunctionValue($M$25,AB120)</f>
        <v>4.0956789025652036E-4</v>
      </c>
      <c r="AD120" s="70">
        <f t="shared" si="17"/>
        <v>2.9524581548818552E-5</v>
      </c>
    </row>
    <row r="121" spans="15:30" x14ac:dyDescent="0.2">
      <c r="O121" s="81">
        <v>6</v>
      </c>
      <c r="P121" s="67" t="str">
        <f>_xll.qlPeriodEquivalent(P120&amp;"+"&amp;O121&amp;"M")</f>
        <v>51Y6M</v>
      </c>
      <c r="Q121" s="68">
        <f>_xll.qlCalendarAdvance(Calendar,SettlementDate,P121,"f",,Trigger)</f>
        <v>60930</v>
      </c>
      <c r="R121" s="68">
        <f>_xll.qlInterestRateIndexValueDate(Index,Q121,Trigger)</f>
        <v>60932</v>
      </c>
      <c r="S121" s="68">
        <f>_xll.qlInterestRateIndexMaturity(Index,R121,Trigger)</f>
        <v>61114</v>
      </c>
      <c r="T121" s="69">
        <f>_xll.qlDayCounterYearFraction(DayCounter,R121,S121,,,Trigger)</f>
        <v>0.50555555555555554</v>
      </c>
      <c r="U121" s="70">
        <f>_xll.qlIndexFixing(Index,Q121,,AllTriggers)</f>
        <v>6.0726442176639219E-3</v>
      </c>
      <c r="V121" s="71">
        <f>_xll.qlYieldTSDiscount(OisCurve,R121,,AllTriggers)</f>
        <v>0.71952654466462462</v>
      </c>
      <c r="W121" s="71">
        <f>_xll.qlYieldTSDiscount(OisCurve,S121,,AllTriggers)</f>
        <v>0.71745967227016094</v>
      </c>
      <c r="X121" s="70">
        <f t="shared" si="15"/>
        <v>5.6983258851049457E-3</v>
      </c>
      <c r="Y121" s="70">
        <f>U121-X121</f>
        <v>3.7431833255897624E-4</v>
      </c>
      <c r="Z121" s="70" t="e">
        <f t="shared" ca="1" si="16"/>
        <v>#NAME?</v>
      </c>
      <c r="AA121" s="70" t="e">
        <f ca="1">(Z121-Y121)</f>
        <v>#NAME?</v>
      </c>
      <c r="AB121" s="69">
        <f>_xll.qlDayCounterYearFraction(DayCounter,SettlementDate,R121,,,Trigger)</f>
        <v>52.261111111111113</v>
      </c>
      <c r="AC121" s="70">
        <f>_xll.qlPureAbcdFunctionValue($M$25,AB121)</f>
        <v>4.0884582749908859E-4</v>
      </c>
      <c r="AD121" s="70">
        <f t="shared" si="17"/>
        <v>3.4527494940112349E-5</v>
      </c>
    </row>
    <row r="122" spans="15:30" x14ac:dyDescent="0.2">
      <c r="O122" s="81">
        <v>6</v>
      </c>
      <c r="P122" s="67" t="str">
        <f>_xll.qlPeriodEquivalent(P121&amp;"+"&amp;O122&amp;"M")</f>
        <v>52Y</v>
      </c>
      <c r="Q122" s="68">
        <f>_xll.qlCalendarAdvance(Calendar,SettlementDate,P122,"f",,Trigger)</f>
        <v>61112</v>
      </c>
      <c r="R122" s="68">
        <f>_xll.qlInterestRateIndexValueDate(Index,Q122,Trigger)</f>
        <v>61114</v>
      </c>
      <c r="S122" s="68">
        <f>_xll.qlInterestRateIndexMaturity(Index,R122,Trigger)</f>
        <v>61297</v>
      </c>
      <c r="T122" s="69">
        <f>_xll.qlDayCounterYearFraction(DayCounter,R122,S122,,,Trigger)</f>
        <v>0.5083333333333333</v>
      </c>
      <c r="U122" s="70">
        <f>_xll.qlIndexFixing(Index,Q122,,AllTriggers)</f>
        <v>6.1641923661496182E-3</v>
      </c>
      <c r="V122" s="71">
        <f>_xll.qlYieldTSDiscount(OisCurve,R122,,AllTriggers)</f>
        <v>0.71745967227016094</v>
      </c>
      <c r="W122" s="71">
        <f>_xll.qlYieldTSDiscount(OisCurve,S122,,AllTriggers)</f>
        <v>0.71535183085586718</v>
      </c>
      <c r="X122" s="70">
        <f t="shared" si="15"/>
        <v>5.7965508651306947E-3</v>
      </c>
      <c r="Y122" s="70">
        <f>U122-X122</f>
        <v>3.6764150101892355E-4</v>
      </c>
      <c r="Z122" s="70" t="e">
        <f t="shared" ca="1" si="16"/>
        <v>#NAME?</v>
      </c>
      <c r="AA122" s="70" t="e">
        <f ca="1">(Z122-Y122)</f>
        <v>#NAME?</v>
      </c>
      <c r="AB122" s="69">
        <f>_xll.qlDayCounterYearFraction(DayCounter,SettlementDate,R122,,,Trigger)</f>
        <v>52.766666666666666</v>
      </c>
      <c r="AC122" s="70">
        <f>_xll.qlPureAbcdFunctionValue($M$25,AB122)</f>
        <v>4.0817184013464987E-4</v>
      </c>
      <c r="AD122" s="70">
        <f t="shared" si="17"/>
        <v>4.0530339115726324E-5</v>
      </c>
    </row>
    <row r="123" spans="15:30" x14ac:dyDescent="0.2">
      <c r="O123" s="81">
        <v>6</v>
      </c>
      <c r="P123" s="67" t="str">
        <f>_xll.qlPeriodEquivalent(P122&amp;"+"&amp;O123&amp;"M")</f>
        <v>52Y6M</v>
      </c>
      <c r="Q123" s="68">
        <f>_xll.qlCalendarAdvance(Calendar,SettlementDate,P123,"f",,Trigger)</f>
        <v>61294</v>
      </c>
      <c r="R123" s="68">
        <f>_xll.qlInterestRateIndexValueDate(Index,Q123,Trigger)</f>
        <v>61296</v>
      </c>
      <c r="S123" s="68">
        <f>_xll.qlInterestRateIndexMaturity(Index,R123,Trigger)</f>
        <v>61479</v>
      </c>
      <c r="T123" s="69">
        <f>_xll.qlDayCounterYearFraction(DayCounter,R123,S123,,,Trigger)</f>
        <v>0.5083333333333333</v>
      </c>
      <c r="U123" s="70">
        <f>_xll.qlIndexFixing(Index,Q123,,AllTriggers)</f>
        <v>6.2484019668231699E-3</v>
      </c>
      <c r="V123" s="71">
        <f>_xll.qlYieldTSDiscount(OisCurve,R123,,AllTriggers)</f>
        <v>0.7153634252356621</v>
      </c>
      <c r="W123" s="71">
        <f>_xll.qlYieldTSDiscount(OisCurve,S123,,AllTriggers)</f>
        <v>0.71322855584743927</v>
      </c>
      <c r="X123" s="70">
        <f t="shared" si="15"/>
        <v>5.8883551764259525E-3</v>
      </c>
      <c r="Y123" s="70">
        <f>U123-X123</f>
        <v>3.6004679039721744E-4</v>
      </c>
      <c r="Z123" s="70" t="e">
        <f t="shared" ca="1" si="16"/>
        <v>#NAME?</v>
      </c>
      <c r="AA123" s="70" t="e">
        <f ca="1">(Z123-Y123)</f>
        <v>#NAME?</v>
      </c>
      <c r="AB123" s="69">
        <f>_xll.qlDayCounterYearFraction(DayCounter,SettlementDate,R123,,,Trigger)</f>
        <v>53.272222222222226</v>
      </c>
      <c r="AC123" s="70">
        <f>_xll.qlPureAbcdFunctionValue($M$25,AB123)</f>
        <v>4.0754279567629085E-4</v>
      </c>
      <c r="AD123" s="70">
        <f t="shared" si="17"/>
        <v>4.749600527907341E-5</v>
      </c>
    </row>
    <row r="124" spans="15:30" x14ac:dyDescent="0.2">
      <c r="O124" s="81">
        <v>6</v>
      </c>
      <c r="P124" s="67" t="str">
        <f>_xll.qlPeriodEquivalent(P123&amp;"+"&amp;O124&amp;"M")</f>
        <v>53Y</v>
      </c>
      <c r="Q124" s="68">
        <f>_xll.qlCalendarAdvance(Calendar,SettlementDate,P124,"f",,Trigger)</f>
        <v>61477</v>
      </c>
      <c r="R124" s="68">
        <f>_xll.qlInterestRateIndexValueDate(Index,Q124,Trigger)</f>
        <v>61479</v>
      </c>
      <c r="S124" s="68">
        <f>_xll.qlInterestRateIndexMaturity(Index,R124,Trigger)</f>
        <v>61662</v>
      </c>
      <c r="T124" s="69">
        <f>_xll.qlDayCounterYearFraction(DayCounter,R124,S124,,,Trigger)</f>
        <v>0.5083333333333333</v>
      </c>
      <c r="U124" s="70">
        <f>_xll.qlIndexFixing(Index,Q124,,AllTriggers)</f>
        <v>6.3259850306967855E-3</v>
      </c>
      <c r="V124" s="71">
        <f>_xll.qlYieldTSDiscount(OisCurve,R124,,AllTriggers)</f>
        <v>0.71322855584743927</v>
      </c>
      <c r="W124" s="71">
        <f>_xll.qlYieldTSDiscount(OisCurve,S124,,AllTriggers)</f>
        <v>0.71106900840074327</v>
      </c>
      <c r="X124" s="70">
        <f t="shared" si="15"/>
        <v>5.9745116281034105E-3</v>
      </c>
      <c r="Y124" s="70">
        <f>U124-X124</f>
        <v>3.5147340259337502E-4</v>
      </c>
      <c r="Z124" s="70" t="e">
        <f t="shared" ca="1" si="16"/>
        <v>#NAME?</v>
      </c>
      <c r="AA124" s="70" t="e">
        <f ca="1">(Z124-Y124)</f>
        <v>#NAME?</v>
      </c>
      <c r="AB124" s="69">
        <f>_xll.qlDayCounterYearFraction(DayCounter,SettlementDate,R124,,,Trigger)</f>
        <v>53.780555555555559</v>
      </c>
      <c r="AC124" s="70">
        <f>_xll.qlPureAbcdFunctionValue($M$25,AB124)</f>
        <v>4.0695264517276507E-4</v>
      </c>
      <c r="AD124" s="70">
        <f t="shared" si="17"/>
        <v>5.5479242579390049E-5</v>
      </c>
    </row>
    <row r="125" spans="15:30" x14ac:dyDescent="0.2">
      <c r="O125" s="81">
        <v>6</v>
      </c>
      <c r="P125" s="67" t="str">
        <f>_xll.qlPeriodEquivalent(P124&amp;"+"&amp;O125&amp;"M")</f>
        <v>53Y6M</v>
      </c>
      <c r="Q125" s="68">
        <f>_xll.qlCalendarAdvance(Calendar,SettlementDate,P125,"f",,Trigger)</f>
        <v>61660</v>
      </c>
      <c r="R125" s="68">
        <f>_xll.qlInterestRateIndexValueDate(Index,Q125,Trigger)</f>
        <v>61662</v>
      </c>
      <c r="S125" s="68">
        <f>_xll.qlInterestRateIndexMaturity(Index,R125,Trigger)</f>
        <v>61844</v>
      </c>
      <c r="T125" s="69">
        <f>_xll.qlDayCounterYearFraction(DayCounter,R125,S125,,,Trigger)</f>
        <v>0.50555555555555554</v>
      </c>
      <c r="U125" s="70">
        <f>_xll.qlIndexFixing(Index,Q125,,AllTriggers)</f>
        <v>6.3962222129820469E-3</v>
      </c>
      <c r="V125" s="71">
        <f>_xll.qlYieldTSDiscount(OisCurve,R125,,AllTriggers)</f>
        <v>0.71106900840074327</v>
      </c>
      <c r="W125" s="71">
        <f>_xll.qlYieldTSDiscount(OisCurve,S125,,AllTriggers)</f>
        <v>0.70889924175637598</v>
      </c>
      <c r="X125" s="70">
        <f t="shared" si="15"/>
        <v>6.0542399496773943E-3</v>
      </c>
      <c r="Y125" s="70">
        <f>U125-X125</f>
        <v>3.4198226330465261E-4</v>
      </c>
      <c r="Z125" s="70" t="e">
        <f t="shared" ca="1" si="16"/>
        <v>#NAME?</v>
      </c>
      <c r="AA125" s="70" t="e">
        <f ca="1">(Z125-Y125)</f>
        <v>#NAME?</v>
      </c>
      <c r="AB125" s="69">
        <f>_xll.qlDayCounterYearFraction(DayCounter,SettlementDate,R125,,,Trigger)</f>
        <v>54.288888888888891</v>
      </c>
      <c r="AC125" s="70">
        <f>_xll.qlPureAbcdFunctionValue($M$25,AB125)</f>
        <v>4.0640217298489186E-4</v>
      </c>
      <c r="AD125" s="70">
        <f t="shared" si="17"/>
        <v>6.4419909680239252E-5</v>
      </c>
    </row>
    <row r="126" spans="15:30" x14ac:dyDescent="0.2">
      <c r="O126" s="81">
        <v>6</v>
      </c>
      <c r="P126" s="67" t="str">
        <f>_xll.qlPeriodEquivalent(P125&amp;"+"&amp;O126&amp;"M")</f>
        <v>54Y</v>
      </c>
      <c r="Q126" s="68">
        <f>_xll.qlCalendarAdvance(Calendar,SettlementDate,P126,"f",,Trigger)</f>
        <v>61842</v>
      </c>
      <c r="R126" s="68">
        <f>_xll.qlInterestRateIndexValueDate(Index,Q126,Trigger)</f>
        <v>61844</v>
      </c>
      <c r="S126" s="68">
        <f>_xll.qlInterestRateIndexMaturity(Index,R126,Trigger)</f>
        <v>62029</v>
      </c>
      <c r="T126" s="69">
        <f>_xll.qlDayCounterYearFraction(DayCounter,R126,S126,,,Trigger)</f>
        <v>0.51388888888888884</v>
      </c>
      <c r="U126" s="70">
        <f>_xll.qlIndexFixing(Index,Q126,,AllTriggers)</f>
        <v>6.4599312130452502E-3</v>
      </c>
      <c r="V126" s="71">
        <f>_xll.qlYieldTSDiscount(OisCurve,R126,,AllTriggers)</f>
        <v>0.70889924175637598</v>
      </c>
      <c r="W126" s="71">
        <f>_xll.qlYieldTSDiscount(OisCurve,S126,,AllTriggers)</f>
        <v>0.70667369795533086</v>
      </c>
      <c r="X126" s="70">
        <f t="shared" si="15"/>
        <v>6.1284125186763915E-3</v>
      </c>
      <c r="Y126" s="70">
        <f>U126-X126</f>
        <v>3.3151869436885868E-4</v>
      </c>
      <c r="Z126" s="70" t="e">
        <f t="shared" ca="1" si="16"/>
        <v>#NAME?</v>
      </c>
      <c r="AA126" s="70" t="e">
        <f ca="1">(Z126-Y126)</f>
        <v>#NAME?</v>
      </c>
      <c r="AB126" s="69">
        <f>_xll.qlDayCounterYearFraction(DayCounter,SettlementDate,R126,,,Trigger)</f>
        <v>54.794444444444444</v>
      </c>
      <c r="AC126" s="70">
        <f>_xll.qlPureAbcdFunctionValue($M$25,AB126)</f>
        <v>4.0589147372592526E-4</v>
      </c>
      <c r="AD126" s="70">
        <f t="shared" si="17"/>
        <v>7.4372779357066579E-5</v>
      </c>
    </row>
    <row r="127" spans="15:30" x14ac:dyDescent="0.2">
      <c r="O127" s="81">
        <v>6</v>
      </c>
      <c r="P127" s="67" t="str">
        <f>_xll.qlPeriodEquivalent(P126&amp;"+"&amp;O127&amp;"M")</f>
        <v>54Y6M</v>
      </c>
      <c r="Q127" s="68">
        <f>_xll.qlCalendarAdvance(Calendar,SettlementDate,P127,"f",,Trigger)</f>
        <v>62025</v>
      </c>
      <c r="R127" s="68">
        <f>_xll.qlInterestRateIndexValueDate(Index,Q127,Trigger)</f>
        <v>62029</v>
      </c>
      <c r="S127" s="68">
        <f>_xll.qlInterestRateIndexMaturity(Index,R127,Trigger)</f>
        <v>62211</v>
      </c>
      <c r="T127" s="69">
        <f>_xll.qlDayCounterYearFraction(DayCounter,R127,S127,,,Trigger)</f>
        <v>0.50555555555555554</v>
      </c>
      <c r="U127" s="70">
        <f>_xll.qlIndexFixing(Index,Q127,,AllTriggers)</f>
        <v>6.5161626120574957E-3</v>
      </c>
      <c r="V127" s="71">
        <f>_xll.qlYieldTSDiscount(OisCurve,R127,,AllTriggers)</f>
        <v>0.70667369795533086</v>
      </c>
      <c r="W127" s="71">
        <f>_xll.qlYieldTSDiscount(OisCurve,S127,,AllTriggers)</f>
        <v>0.70446697991153051</v>
      </c>
      <c r="X127" s="70">
        <f t="shared" si="15"/>
        <v>6.1960842940899236E-3</v>
      </c>
      <c r="Y127" s="70">
        <f>U127-X127</f>
        <v>3.2007831796757209E-4</v>
      </c>
      <c r="Z127" s="70" t="e">
        <f t="shared" ca="1" si="16"/>
        <v>#NAME?</v>
      </c>
      <c r="AA127" s="70" t="e">
        <f ca="1">(Z127-Y127)</f>
        <v>#NAME?</v>
      </c>
      <c r="AB127" s="69">
        <f>_xll.qlDayCounterYearFraction(DayCounter,SettlementDate,R127,,,Trigger)</f>
        <v>55.30833333333333</v>
      </c>
      <c r="AC127" s="70">
        <f>_xll.qlPureAbcdFunctionValue($M$25,AB127)</f>
        <v>4.0540744697041846E-4</v>
      </c>
      <c r="AD127" s="70">
        <f t="shared" si="17"/>
        <v>8.5329129002846365E-5</v>
      </c>
    </row>
    <row r="128" spans="15:30" x14ac:dyDescent="0.2">
      <c r="O128" s="81">
        <v>6</v>
      </c>
      <c r="P128" s="67" t="str">
        <f>_xll.qlPeriodEquivalent(P127&amp;"+"&amp;O128&amp;"M")</f>
        <v>55Y</v>
      </c>
      <c r="Q128" s="68">
        <f>_xll.qlCalendarAdvance(Calendar,SettlementDate,P128,"f",,Trigger)</f>
        <v>62207</v>
      </c>
      <c r="R128" s="68">
        <f>_xll.qlInterestRateIndexValueDate(Index,Q128,Trigger)</f>
        <v>62211</v>
      </c>
      <c r="S128" s="68">
        <f>_xll.qlInterestRateIndexMaturity(Index,R128,Trigger)</f>
        <v>62394</v>
      </c>
      <c r="T128" s="69">
        <f>_xll.qlDayCounterYearFraction(DayCounter,R128,S128,,,Trigger)</f>
        <v>0.5083333333333333</v>
      </c>
      <c r="U128" s="70">
        <f>_xll.qlIndexFixing(Index,Q128,,AllTriggers)</f>
        <v>6.5656015574474778E-3</v>
      </c>
      <c r="V128" s="71">
        <f>_xll.qlYieldTSDiscount(OisCurve,R128,,AllTriggers)</f>
        <v>0.70446697991153051</v>
      </c>
      <c r="W128" s="71">
        <f>_xll.qlYieldTSDiscount(OisCurve,S128,,AllTriggers)</f>
        <v>0.70223327371796274</v>
      </c>
      <c r="X128" s="70">
        <f t="shared" si="15"/>
        <v>6.2574308039109825E-3</v>
      </c>
      <c r="Y128" s="70">
        <f>U128-X128</f>
        <v>3.0817075353649533E-4</v>
      </c>
      <c r="Z128" s="70" t="e">
        <f t="shared" ca="1" si="16"/>
        <v>#NAME?</v>
      </c>
      <c r="AA128" s="70" t="e">
        <f ca="1">(Z128-Y128)</f>
        <v>#NAME?</v>
      </c>
      <c r="AB128" s="69">
        <f>_xll.qlDayCounterYearFraction(DayCounter,SettlementDate,R128,,,Trigger)</f>
        <v>55.81388888888889</v>
      </c>
      <c r="AC128" s="70">
        <f>_xll.qlPureAbcdFunctionValue($M$25,AB128)</f>
        <v>4.0496350746588148E-4</v>
      </c>
      <c r="AD128" s="70">
        <f t="shared" si="17"/>
        <v>9.6792753929386157E-5</v>
      </c>
    </row>
    <row r="129" spans="15:30" x14ac:dyDescent="0.2">
      <c r="O129" s="81">
        <v>6</v>
      </c>
      <c r="P129" s="67" t="str">
        <f>_xll.qlPeriodEquivalent(P128&amp;"+"&amp;O129&amp;"M")</f>
        <v>55Y6M</v>
      </c>
      <c r="Q129" s="68">
        <f>_xll.qlCalendarAdvance(Calendar,SettlementDate,P129,"f",,Trigger)</f>
        <v>62390</v>
      </c>
      <c r="R129" s="68">
        <f>_xll.qlInterestRateIndexValueDate(Index,Q129,Trigger)</f>
        <v>62394</v>
      </c>
      <c r="S129" s="68">
        <f>_xll.qlInterestRateIndexMaturity(Index,R129,Trigger)</f>
        <v>62576</v>
      </c>
      <c r="T129" s="69">
        <f>_xll.qlDayCounterYearFraction(DayCounter,R129,S129,,,Trigger)</f>
        <v>0.50555555555555554</v>
      </c>
      <c r="U129" s="70">
        <f>_xll.qlIndexFixing(Index,Q129,,AllTriggers)</f>
        <v>6.6096779882922818E-3</v>
      </c>
      <c r="V129" s="71">
        <f>_xll.qlYieldTSDiscount(OisCurve,R129,,AllTriggers)</f>
        <v>0.70223327371796274</v>
      </c>
      <c r="W129" s="71">
        <f>_xll.qlYieldTSDiscount(OisCurve,S129,,AllTriggers)</f>
        <v>0.69999933966646544</v>
      </c>
      <c r="X129" s="70">
        <f t="shared" si="15"/>
        <v>6.3125354567029725E-3</v>
      </c>
      <c r="Y129" s="70">
        <f>U129-X129</f>
        <v>2.9714253158930927E-4</v>
      </c>
      <c r="Z129" s="70" t="e">
        <f t="shared" ca="1" si="16"/>
        <v>#NAME?</v>
      </c>
      <c r="AA129" s="70" t="e">
        <f ca="1">(Z129-Y129)</f>
        <v>#NAME?</v>
      </c>
      <c r="AB129" s="69">
        <f>_xll.qlDayCounterYearFraction(DayCounter,SettlementDate,R129,,,Trigger)</f>
        <v>56.322222222222223</v>
      </c>
      <c r="AC129" s="70">
        <f>_xll.qlPureAbcdFunctionValue($M$25,AB129)</f>
        <v>4.0454722722130839E-4</v>
      </c>
      <c r="AD129" s="70">
        <f t="shared" si="17"/>
        <v>1.0740469563199912E-4</v>
      </c>
    </row>
    <row r="130" spans="15:30" x14ac:dyDescent="0.2">
      <c r="O130" s="81">
        <v>6</v>
      </c>
      <c r="P130" s="67" t="str">
        <f>_xll.qlPeriodEquivalent(P129&amp;"+"&amp;O130&amp;"M")</f>
        <v>56Y</v>
      </c>
      <c r="Q130" s="68">
        <f>_xll.qlCalendarAdvance(Calendar,SettlementDate,P130,"f",,Trigger)</f>
        <v>62572</v>
      </c>
      <c r="R130" s="68">
        <f>_xll.qlInterestRateIndexValueDate(Index,Q130,Trigger)</f>
        <v>62576</v>
      </c>
      <c r="S130" s="68">
        <f>_xll.qlInterestRateIndexMaturity(Index,R130,Trigger)</f>
        <v>62759</v>
      </c>
      <c r="T130" s="69">
        <f>_xll.qlDayCounterYearFraction(DayCounter,R130,S130,,,Trigger)</f>
        <v>0.5083333333333333</v>
      </c>
      <c r="U130" s="70">
        <f>_xll.qlIndexFixing(Index,Q130,,AllTriggers)</f>
        <v>6.6489583920180517E-3</v>
      </c>
      <c r="V130" s="71">
        <f>_xll.qlYieldTSDiscount(OisCurve,R130,,AllTriggers)</f>
        <v>0.69999933966646544</v>
      </c>
      <c r="W130" s="71">
        <f>_xll.qlYieldTSDiscount(OisCurve,S130,,AllTriggers)</f>
        <v>0.69774296715338413</v>
      </c>
      <c r="X130" s="70">
        <f t="shared" si="15"/>
        <v>6.3616056462931642E-3</v>
      </c>
      <c r="Y130" s="70">
        <f>U130-X130</f>
        <v>2.8735274572488749E-4</v>
      </c>
      <c r="Z130" s="70" t="e">
        <f t="shared" ca="1" si="16"/>
        <v>#NAME?</v>
      </c>
      <c r="AA130" s="70" t="e">
        <f ca="1">(Z130-Y130)</f>
        <v>#NAME?</v>
      </c>
      <c r="AB130" s="69">
        <f>_xll.qlDayCounterYearFraction(DayCounter,SettlementDate,R130,,,Trigger)</f>
        <v>56.827777777777776</v>
      </c>
      <c r="AC130" s="70">
        <f>_xll.qlPureAbcdFunctionValue($M$25,AB130)</f>
        <v>4.0416117568085013E-4</v>
      </c>
      <c r="AD130" s="70">
        <f t="shared" si="17"/>
        <v>1.1680842995596264E-4</v>
      </c>
    </row>
    <row r="131" spans="15:30" x14ac:dyDescent="0.2">
      <c r="O131" s="81">
        <v>6</v>
      </c>
      <c r="P131" s="67" t="str">
        <f>_xll.qlPeriodEquivalent(P130&amp;"+"&amp;O131&amp;"M")</f>
        <v>56Y6M</v>
      </c>
      <c r="Q131" s="68">
        <f>_xll.qlCalendarAdvance(Calendar,SettlementDate,P131,"f",,Trigger)</f>
        <v>62757</v>
      </c>
      <c r="R131" s="68">
        <f>_xll.qlInterestRateIndexValueDate(Index,Q131,Trigger)</f>
        <v>62759</v>
      </c>
      <c r="S131" s="68">
        <f>_xll.qlInterestRateIndexMaturity(Index,R131,Trigger)</f>
        <v>62942</v>
      </c>
      <c r="T131" s="69">
        <f>_xll.qlDayCounterYearFraction(DayCounter,R131,S131,,,Trigger)</f>
        <v>0.5083333333333333</v>
      </c>
      <c r="U131" s="70">
        <f>_xll.qlIndexFixing(Index,Q131,,AllTriggers)</f>
        <v>6.6833546236877246E-3</v>
      </c>
      <c r="V131" s="71">
        <f>_xll.qlYieldTSDiscount(OisCurve,R131,,AllTriggers)</f>
        <v>0.69774296715338413</v>
      </c>
      <c r="W131" s="71">
        <f>_xll.qlYieldTSDiscount(OisCurve,S131,,AllTriggers)</f>
        <v>0.6954787194403903</v>
      </c>
      <c r="X131" s="70">
        <f t="shared" si="15"/>
        <v>6.4045925080748077E-3</v>
      </c>
      <c r="Y131" s="70">
        <f>U131-X131</f>
        <v>2.7876211561291692E-4</v>
      </c>
      <c r="Z131" s="70" t="e">
        <f t="shared" ca="1" si="16"/>
        <v>#NAME?</v>
      </c>
      <c r="AA131" s="70" t="e">
        <f ca="1">(Z131-Y131)</f>
        <v>#NAME?</v>
      </c>
      <c r="AB131" s="69">
        <f>_xll.qlDayCounterYearFraction(DayCounter,SettlementDate,R131,,,Trigger)</f>
        <v>57.336111111111109</v>
      </c>
      <c r="AC131" s="70">
        <f>_xll.qlPureAbcdFunctionValue($M$25,AB131)</f>
        <v>4.0379924478384607E-4</v>
      </c>
      <c r="AD131" s="70">
        <f t="shared" si="17"/>
        <v>1.2503712917092915E-4</v>
      </c>
    </row>
    <row r="132" spans="15:30" x14ac:dyDescent="0.2">
      <c r="O132" s="81">
        <v>6</v>
      </c>
      <c r="P132" s="67" t="str">
        <f>_xll.qlPeriodEquivalent(P131&amp;"+"&amp;O132&amp;"M")</f>
        <v>57Y</v>
      </c>
      <c r="Q132" s="68">
        <f>_xll.qlCalendarAdvance(Calendar,SettlementDate,P132,"f",,Trigger)</f>
        <v>62939</v>
      </c>
      <c r="R132" s="68">
        <f>_xll.qlInterestRateIndexValueDate(Index,Q132,Trigger)</f>
        <v>62941</v>
      </c>
      <c r="S132" s="68">
        <f>_xll.qlInterestRateIndexMaturity(Index,R132,Trigger)</f>
        <v>63124</v>
      </c>
      <c r="T132" s="69">
        <f>_xll.qlDayCounterYearFraction(DayCounter,R132,S132,,,Trigger)</f>
        <v>0.5083333333333333</v>
      </c>
      <c r="U132" s="70">
        <f>_xll.qlIndexFixing(Index,Q132,,AllTriggers)</f>
        <v>6.7126630489062833E-3</v>
      </c>
      <c r="V132" s="71">
        <f>_xll.qlYieldTSDiscount(OisCurve,R132,,AllTriggers)</f>
        <v>0.69549110962298388</v>
      </c>
      <c r="W132" s="71">
        <f>_xll.qlYieldTSDiscount(OisCurve,S132,,AllTriggers)</f>
        <v>0.69322130388055059</v>
      </c>
      <c r="X132" s="70">
        <f t="shared" ref="X132:X135" si="18">(V132/W132-1)/T132</f>
        <v>6.4412210061398183E-3</v>
      </c>
      <c r="Y132" s="70">
        <f>U132-X132</f>
        <v>2.7144204276646506E-4</v>
      </c>
      <c r="Z132" s="70" t="e">
        <f t="shared" ref="Z132:Z135" ca="1" si="19">qlIntegralTenorBasisIntegrate($M$12,R132)</f>
        <v>#NAME?</v>
      </c>
      <c r="AA132" s="70" t="e">
        <f ca="1">(Z132-Y132)</f>
        <v>#NAME?</v>
      </c>
      <c r="AB132" s="69">
        <f>_xll.qlDayCounterYearFraction(DayCounter,SettlementDate,R132,,,Trigger)</f>
        <v>57.841666666666669</v>
      </c>
      <c r="AC132" s="70">
        <f>_xll.qlPureAbcdFunctionValue($M$25,AB132)</f>
        <v>4.0346365783853154E-4</v>
      </c>
      <c r="AD132" s="70">
        <f t="shared" ref="AD132:AD135" si="20">(AC132-Y132)</f>
        <v>1.3202161507206648E-4</v>
      </c>
    </row>
    <row r="133" spans="15:30" x14ac:dyDescent="0.2">
      <c r="O133" s="81">
        <v>6</v>
      </c>
      <c r="P133" s="67" t="str">
        <f>_xll.qlPeriodEquivalent(P132&amp;"+"&amp;O133&amp;"M")</f>
        <v>57Y6M</v>
      </c>
      <c r="Q133" s="68">
        <f>_xll.qlCalendarAdvance(Calendar,SettlementDate,P133,"f",,Trigger)</f>
        <v>63121</v>
      </c>
      <c r="R133" s="68">
        <f>_xll.qlInterestRateIndexValueDate(Index,Q133,Trigger)</f>
        <v>63123</v>
      </c>
      <c r="S133" s="68">
        <f>_xll.qlInterestRateIndexMaturity(Index,R133,Trigger)</f>
        <v>63305</v>
      </c>
      <c r="T133" s="69">
        <f>_xll.qlDayCounterYearFraction(DayCounter,R133,S133,,,Trigger)</f>
        <v>0.50555555555555554</v>
      </c>
      <c r="U133" s="70">
        <f>_xll.qlIndexFixing(Index,Q133,,AllTriggers)</f>
        <v>6.736963710500761E-3</v>
      </c>
      <c r="V133" s="71">
        <f>_xll.qlYieldTSDiscount(OisCurve,R133,,AllTriggers)</f>
        <v>0.69323371828927782</v>
      </c>
      <c r="W133" s="71">
        <f>_xll.qlYieldTSDiscount(OisCurve,S133,,AllTriggers)</f>
        <v>0.69097302092081381</v>
      </c>
      <c r="X133" s="70">
        <f t="shared" si="18"/>
        <v>6.4716116911758617E-3</v>
      </c>
      <c r="Y133" s="70">
        <f>U133-X133</f>
        <v>2.6535201932489927E-4</v>
      </c>
      <c r="Z133" s="70" t="e">
        <f t="shared" ca="1" si="19"/>
        <v>#NAME?</v>
      </c>
      <c r="AA133" s="70" t="e">
        <f ca="1">(Z133-Y133)</f>
        <v>#NAME?</v>
      </c>
      <c r="AB133" s="69">
        <f>_xll.qlDayCounterYearFraction(DayCounter,SettlementDate,R133,,,Trigger)</f>
        <v>58.347222222222221</v>
      </c>
      <c r="AC133" s="70">
        <f>_xll.qlPureAbcdFunctionValue($M$25,AB133)</f>
        <v>4.0315075481535623E-4</v>
      </c>
      <c r="AD133" s="70">
        <f t="shared" si="20"/>
        <v>1.3779873549045696E-4</v>
      </c>
    </row>
    <row r="134" spans="15:30" x14ac:dyDescent="0.2">
      <c r="O134" s="81">
        <v>6</v>
      </c>
      <c r="P134" s="67" t="str">
        <f>_xll.qlPeriodEquivalent(P133&amp;"+"&amp;O134&amp;"M")</f>
        <v>58Y</v>
      </c>
      <c r="Q134" s="68">
        <f>_xll.qlCalendarAdvance(Calendar,SettlementDate,P134,"f",,Trigger)</f>
        <v>63303</v>
      </c>
      <c r="R134" s="68">
        <f>_xll.qlInterestRateIndexValueDate(Index,Q134,Trigger)</f>
        <v>63305</v>
      </c>
      <c r="S134" s="68">
        <f>_xll.qlInterestRateIndexMaturity(Index,R134,Trigger)</f>
        <v>63488</v>
      </c>
      <c r="T134" s="69">
        <f>_xll.qlDayCounterYearFraction(DayCounter,R134,S134,,,Trigger)</f>
        <v>0.5083333333333333</v>
      </c>
      <c r="U134" s="70">
        <f>_xll.qlIndexFixing(Index,Q134,,AllTriggers)</f>
        <v>6.7566197896056519E-3</v>
      </c>
      <c r="V134" s="71">
        <f>_xll.qlYieldTSDiscount(OisCurve,R134,,AllTriggers)</f>
        <v>0.69097302092081381</v>
      </c>
      <c r="W134" s="71">
        <f>_xll.qlYieldTSDiscount(OisCurve,S134,,AllTriggers)</f>
        <v>0.68869879084973429</v>
      </c>
      <c r="X134" s="70">
        <f t="shared" si="18"/>
        <v>6.4961566380504245E-3</v>
      </c>
      <c r="Y134" s="70">
        <f>U134-X134</f>
        <v>2.6046315155522741E-4</v>
      </c>
      <c r="Z134" s="70" t="e">
        <f t="shared" ca="1" si="19"/>
        <v>#NAME?</v>
      </c>
      <c r="AA134" s="70" t="e">
        <f ca="1">(Z134-Y134)</f>
        <v>#NAME?</v>
      </c>
      <c r="AB134" s="69">
        <f>_xll.qlDayCounterYearFraction(DayCounter,SettlementDate,R134,,,Trigger)</f>
        <v>58.852777777777774</v>
      </c>
      <c r="AC134" s="70">
        <f>_xll.qlPureAbcdFunctionValue($M$25,AB134)</f>
        <v>4.0285902791111291E-4</v>
      </c>
      <c r="AD134" s="70">
        <f t="shared" si="20"/>
        <v>1.423958763558855E-4</v>
      </c>
    </row>
    <row r="135" spans="15:30" x14ac:dyDescent="0.2">
      <c r="O135" s="81">
        <v>6</v>
      </c>
      <c r="P135" s="67" t="str">
        <f>_xll.qlPeriodEquivalent(P134&amp;"+"&amp;O135&amp;"M")</f>
        <v>58Y6M</v>
      </c>
      <c r="Q135" s="75">
        <f>_xll.qlCalendarAdvance(Calendar,SettlementDate,P135,"f",,Trigger)</f>
        <v>63486</v>
      </c>
      <c r="R135" s="75">
        <f>_xll.qlInterestRateIndexValueDate(Index,Q135,Trigger)</f>
        <v>63488</v>
      </c>
      <c r="S135" s="75">
        <f>_xll.qlInterestRateIndexMaturity(Index,R135,Trigger)</f>
        <v>63670</v>
      </c>
      <c r="T135" s="76">
        <f>_xll.qlDayCounterYearFraction(DayCounter,R135,S135,,,Trigger)</f>
        <v>0.50555555555555554</v>
      </c>
      <c r="U135" s="77">
        <f>_xll.qlIndexFixing(Index,Q135,,AllTriggers)</f>
        <v>6.7712399247913599E-3</v>
      </c>
      <c r="V135" s="78">
        <f>_xll.qlYieldTSDiscount(OisCurve,R135,,AllTriggers)</f>
        <v>0.68869879084973429</v>
      </c>
      <c r="W135" s="78">
        <f>_xll.qlYieldTSDiscount(OisCurve,S135,,AllTriggers)</f>
        <v>0.68643806480026648</v>
      </c>
      <c r="X135" s="77">
        <f t="shared" si="18"/>
        <v>6.5144490689562377E-3</v>
      </c>
      <c r="Y135" s="77">
        <f>U135-X135</f>
        <v>2.5679085583512219E-4</v>
      </c>
      <c r="Z135" s="70" t="e">
        <f t="shared" ca="1" si="19"/>
        <v>#NAME?</v>
      </c>
      <c r="AA135" s="70" t="e">
        <f ca="1">(Z135-Y135)</f>
        <v>#NAME?</v>
      </c>
      <c r="AB135" s="69">
        <f>_xll.qlDayCounterYearFraction(DayCounter,SettlementDate,R135,,,Trigger)</f>
        <v>59.361111111111114</v>
      </c>
      <c r="AC135" s="70">
        <f>_xll.qlPureAbcdFunctionValue($M$25,AB135)</f>
        <v>4.0258562518692681E-4</v>
      </c>
      <c r="AD135" s="70">
        <f t="shared" si="20"/>
        <v>1.4579476935180463E-4</v>
      </c>
    </row>
    <row r="136" spans="15:30" x14ac:dyDescent="0.2">
      <c r="P136" s="86"/>
      <c r="Q136" s="87"/>
      <c r="R136" s="87"/>
      <c r="S136" s="87"/>
      <c r="T136" s="88"/>
      <c r="U136" s="89"/>
      <c r="V136" s="90"/>
      <c r="W136" s="90"/>
      <c r="X136" s="89"/>
      <c r="Y136" s="89"/>
      <c r="Z136" s="86"/>
      <c r="AA136" s="86"/>
      <c r="AB136" s="85"/>
      <c r="AC136" s="85"/>
      <c r="AD136" s="85"/>
    </row>
    <row r="137" spans="15:30" x14ac:dyDescent="0.2">
      <c r="P137" s="85"/>
      <c r="Q137" s="91"/>
      <c r="R137" s="91"/>
      <c r="S137" s="91"/>
      <c r="T137" s="92"/>
      <c r="U137" s="93"/>
      <c r="V137" s="94"/>
      <c r="W137" s="94"/>
      <c r="X137" s="93"/>
      <c r="Y137" s="93"/>
      <c r="Z137" s="85"/>
      <c r="AA137" s="85"/>
      <c r="AB137" s="85"/>
      <c r="AC137" s="85"/>
      <c r="AD137" s="85"/>
    </row>
    <row r="138" spans="15:30" x14ac:dyDescent="0.2">
      <c r="P138" s="85"/>
      <c r="Q138" s="91"/>
      <c r="R138" s="91"/>
      <c r="S138" s="91"/>
      <c r="T138" s="92"/>
      <c r="U138" s="93"/>
      <c r="V138" s="94"/>
      <c r="W138" s="94"/>
      <c r="X138" s="93"/>
      <c r="Y138" s="93"/>
      <c r="Z138" s="85"/>
      <c r="AA138" s="85"/>
      <c r="AB138" s="85"/>
      <c r="AC138" s="85"/>
      <c r="AD138" s="85"/>
    </row>
    <row r="139" spans="15:30" x14ac:dyDescent="0.2">
      <c r="P139" s="85"/>
      <c r="Q139" s="91"/>
      <c r="R139" s="91"/>
      <c r="S139" s="91"/>
      <c r="T139" s="92"/>
      <c r="U139" s="93"/>
      <c r="V139" s="94"/>
      <c r="W139" s="94"/>
      <c r="X139" s="93"/>
      <c r="Y139" s="93"/>
      <c r="Z139" s="85"/>
      <c r="AA139" s="85"/>
      <c r="AB139" s="85"/>
      <c r="AC139" s="85"/>
      <c r="AD139" s="85"/>
    </row>
    <row r="140" spans="15:30" x14ac:dyDescent="0.2">
      <c r="P140" s="85"/>
      <c r="Q140" s="91"/>
      <c r="R140" s="91"/>
      <c r="S140" s="91"/>
      <c r="T140" s="92"/>
      <c r="U140" s="93"/>
      <c r="V140" s="94"/>
      <c r="W140" s="94"/>
      <c r="X140" s="93"/>
      <c r="Y140" s="93"/>
      <c r="Z140" s="85"/>
      <c r="AA140" s="85"/>
      <c r="AB140" s="85"/>
      <c r="AC140" s="85"/>
      <c r="AD140" s="85"/>
    </row>
    <row r="141" spans="15:30" x14ac:dyDescent="0.2">
      <c r="P141" s="85"/>
      <c r="Q141" s="91"/>
      <c r="R141" s="91"/>
      <c r="S141" s="91"/>
      <c r="T141" s="92"/>
      <c r="U141" s="93"/>
      <c r="V141" s="94"/>
      <c r="W141" s="94"/>
      <c r="X141" s="93"/>
      <c r="Y141" s="93"/>
      <c r="Z141" s="85"/>
      <c r="AA141" s="85"/>
      <c r="AB141" s="85"/>
      <c r="AC141" s="85"/>
      <c r="AD141" s="85"/>
    </row>
    <row r="142" spans="15:30" x14ac:dyDescent="0.2">
      <c r="P142" s="85"/>
      <c r="Q142" s="91"/>
      <c r="R142" s="91"/>
      <c r="S142" s="91"/>
      <c r="T142" s="92"/>
      <c r="U142" s="93"/>
      <c r="V142" s="94"/>
      <c r="W142" s="94"/>
      <c r="X142" s="93"/>
      <c r="Y142" s="93"/>
      <c r="Z142" s="85"/>
      <c r="AA142" s="85"/>
      <c r="AB142" s="85"/>
      <c r="AC142" s="85"/>
      <c r="AD142" s="85"/>
    </row>
    <row r="143" spans="15:30" x14ac:dyDescent="0.2">
      <c r="P143" s="85"/>
      <c r="Q143" s="91"/>
      <c r="R143" s="91"/>
      <c r="S143" s="91"/>
      <c r="T143" s="92"/>
      <c r="U143" s="93"/>
      <c r="V143" s="94"/>
      <c r="W143" s="94"/>
      <c r="X143" s="93"/>
      <c r="Y143" s="93"/>
      <c r="Z143" s="85"/>
      <c r="AA143" s="85"/>
      <c r="AB143" s="85"/>
      <c r="AC143" s="85"/>
      <c r="AD143" s="85"/>
    </row>
    <row r="144" spans="15:30" x14ac:dyDescent="0.2">
      <c r="P144" s="85"/>
      <c r="Q144" s="91"/>
      <c r="R144" s="91"/>
      <c r="S144" s="91"/>
      <c r="T144" s="92"/>
      <c r="U144" s="93"/>
      <c r="V144" s="94"/>
      <c r="W144" s="94"/>
      <c r="X144" s="93"/>
      <c r="Y144" s="93"/>
      <c r="Z144" s="85"/>
      <c r="AA144" s="85"/>
      <c r="AB144" s="85"/>
      <c r="AC144" s="85"/>
      <c r="AD144" s="85"/>
    </row>
    <row r="145" spans="16:30" x14ac:dyDescent="0.2">
      <c r="P145" s="85"/>
      <c r="Q145" s="91"/>
      <c r="R145" s="91"/>
      <c r="S145" s="91"/>
      <c r="T145" s="92"/>
      <c r="U145" s="93"/>
      <c r="V145" s="94"/>
      <c r="W145" s="94"/>
      <c r="X145" s="93"/>
      <c r="Y145" s="93"/>
      <c r="Z145" s="85"/>
      <c r="AA145" s="85"/>
      <c r="AB145" s="85"/>
      <c r="AC145" s="85"/>
      <c r="AD145" s="85"/>
    </row>
    <row r="146" spans="16:30" x14ac:dyDescent="0.2">
      <c r="P146" s="85"/>
      <c r="Q146" s="91"/>
      <c r="R146" s="91"/>
      <c r="S146" s="91"/>
      <c r="T146" s="92"/>
      <c r="U146" s="93"/>
      <c r="V146" s="94"/>
      <c r="W146" s="94"/>
      <c r="X146" s="93"/>
      <c r="Y146" s="93"/>
      <c r="Z146" s="85"/>
      <c r="AA146" s="85"/>
      <c r="AB146" s="85"/>
      <c r="AC146" s="85"/>
      <c r="AD146" s="85"/>
    </row>
    <row r="147" spans="16:30" x14ac:dyDescent="0.2">
      <c r="P147" s="85"/>
      <c r="Q147" s="91"/>
      <c r="R147" s="91"/>
      <c r="S147" s="91"/>
      <c r="T147" s="92"/>
      <c r="U147" s="93"/>
      <c r="V147" s="94"/>
      <c r="W147" s="94"/>
      <c r="X147" s="93"/>
      <c r="Y147" s="93"/>
      <c r="Z147" s="85"/>
      <c r="AA147" s="85"/>
      <c r="AB147" s="85"/>
      <c r="AC147" s="85"/>
      <c r="AD147" s="85"/>
    </row>
    <row r="148" spans="16:30" x14ac:dyDescent="0.2">
      <c r="P148" s="85"/>
      <c r="Q148" s="91"/>
      <c r="R148" s="91"/>
      <c r="S148" s="91"/>
      <c r="T148" s="92"/>
      <c r="U148" s="93"/>
      <c r="V148" s="94"/>
      <c r="W148" s="94"/>
      <c r="X148" s="93"/>
      <c r="Y148" s="93"/>
      <c r="Z148" s="85"/>
      <c r="AA148" s="85"/>
      <c r="AB148" s="85"/>
      <c r="AC148" s="85"/>
      <c r="AD148" s="85"/>
    </row>
    <row r="149" spans="16:30" x14ac:dyDescent="0.2">
      <c r="P149" s="85"/>
      <c r="Q149" s="91"/>
      <c r="R149" s="91"/>
      <c r="S149" s="91"/>
      <c r="T149" s="92"/>
      <c r="U149" s="93"/>
      <c r="V149" s="94"/>
      <c r="W149" s="94"/>
      <c r="X149" s="93"/>
      <c r="Y149" s="93"/>
      <c r="Z149" s="85"/>
      <c r="AA149" s="85"/>
      <c r="AB149" s="85"/>
      <c r="AC149" s="85"/>
      <c r="AD149" s="85"/>
    </row>
    <row r="150" spans="16:30" x14ac:dyDescent="0.2">
      <c r="P150" s="85"/>
      <c r="Q150" s="91"/>
      <c r="R150" s="91"/>
      <c r="S150" s="91"/>
      <c r="T150" s="92"/>
      <c r="U150" s="93"/>
      <c r="V150" s="94"/>
      <c r="W150" s="94"/>
      <c r="X150" s="93"/>
      <c r="Y150" s="93"/>
      <c r="Z150" s="85"/>
      <c r="AA150" s="85"/>
      <c r="AB150" s="85"/>
      <c r="AC150" s="85"/>
      <c r="AD150" s="85"/>
    </row>
    <row r="151" spans="16:30" x14ac:dyDescent="0.2">
      <c r="P151" s="85"/>
      <c r="Q151" s="91"/>
      <c r="R151" s="91"/>
      <c r="S151" s="91"/>
      <c r="T151" s="92"/>
      <c r="U151" s="93"/>
      <c r="V151" s="94"/>
      <c r="W151" s="94"/>
      <c r="X151" s="93"/>
      <c r="Y151" s="93"/>
      <c r="Z151" s="85"/>
      <c r="AA151" s="85"/>
      <c r="AB151" s="85"/>
      <c r="AC151" s="85"/>
      <c r="AD151" s="85"/>
    </row>
    <row r="152" spans="16:30" x14ac:dyDescent="0.2">
      <c r="P152" s="85"/>
      <c r="Q152" s="91"/>
      <c r="R152" s="91"/>
      <c r="S152" s="91"/>
      <c r="T152" s="92"/>
      <c r="U152" s="93"/>
      <c r="V152" s="94"/>
      <c r="W152" s="94"/>
      <c r="X152" s="93"/>
      <c r="Y152" s="93"/>
      <c r="Z152" s="85"/>
      <c r="AA152" s="85"/>
      <c r="AB152" s="85"/>
      <c r="AC152" s="85"/>
      <c r="AD152" s="85"/>
    </row>
    <row r="153" spans="16:30" x14ac:dyDescent="0.2">
      <c r="P153" s="85"/>
      <c r="Q153" s="91"/>
      <c r="R153" s="91"/>
      <c r="S153" s="91"/>
      <c r="T153" s="92"/>
      <c r="U153" s="93"/>
      <c r="V153" s="94"/>
      <c r="W153" s="94"/>
      <c r="X153" s="93"/>
      <c r="Y153" s="93"/>
      <c r="Z153" s="85"/>
      <c r="AA153" s="85"/>
      <c r="AB153" s="85"/>
      <c r="AC153" s="85"/>
      <c r="AD153" s="85"/>
    </row>
    <row r="154" spans="16:30" x14ac:dyDescent="0.2">
      <c r="P154" s="85"/>
      <c r="Q154" s="91"/>
      <c r="R154" s="91"/>
      <c r="S154" s="91"/>
      <c r="T154" s="92"/>
      <c r="U154" s="93"/>
      <c r="V154" s="94"/>
      <c r="W154" s="94"/>
      <c r="X154" s="93"/>
      <c r="Y154" s="93"/>
      <c r="Z154" s="85"/>
      <c r="AA154" s="85"/>
      <c r="AB154" s="85"/>
      <c r="AC154" s="85"/>
      <c r="AD154" s="85"/>
    </row>
    <row r="155" spans="16:30" x14ac:dyDescent="0.2">
      <c r="P155" s="85"/>
      <c r="Q155" s="91"/>
      <c r="R155" s="91"/>
      <c r="S155" s="91"/>
      <c r="T155" s="92"/>
      <c r="U155" s="93"/>
      <c r="V155" s="94"/>
      <c r="W155" s="94"/>
      <c r="X155" s="93"/>
      <c r="Y155" s="93"/>
      <c r="Z155" s="85"/>
      <c r="AA155" s="85"/>
      <c r="AB155" s="85"/>
      <c r="AC155" s="85"/>
      <c r="AD155" s="85"/>
    </row>
    <row r="156" spans="16:30" x14ac:dyDescent="0.2">
      <c r="P156" s="85"/>
      <c r="Q156" s="91"/>
      <c r="R156" s="91"/>
      <c r="S156" s="91"/>
      <c r="T156" s="92"/>
      <c r="U156" s="93"/>
      <c r="V156" s="94"/>
      <c r="W156" s="94"/>
      <c r="X156" s="93"/>
      <c r="Y156" s="93"/>
      <c r="Z156" s="85"/>
      <c r="AA156" s="85"/>
      <c r="AB156" s="85"/>
      <c r="AC156" s="85"/>
      <c r="AD156" s="85"/>
    </row>
    <row r="157" spans="16:30" x14ac:dyDescent="0.2">
      <c r="P157" s="85"/>
      <c r="Q157" s="91"/>
      <c r="R157" s="91"/>
      <c r="S157" s="91"/>
      <c r="T157" s="92"/>
      <c r="U157" s="93"/>
      <c r="V157" s="94"/>
      <c r="W157" s="94"/>
      <c r="X157" s="93"/>
      <c r="Y157" s="93"/>
      <c r="Z157" s="85"/>
      <c r="AA157" s="85"/>
      <c r="AB157" s="85"/>
      <c r="AC157" s="85"/>
      <c r="AD157" s="85"/>
    </row>
    <row r="158" spans="16:30" x14ac:dyDescent="0.2">
      <c r="P158" s="85"/>
      <c r="Q158" s="91"/>
      <c r="R158" s="91"/>
      <c r="S158" s="91"/>
      <c r="T158" s="92"/>
      <c r="U158" s="93"/>
      <c r="V158" s="94"/>
      <c r="W158" s="94"/>
      <c r="X158" s="93"/>
      <c r="Y158" s="93"/>
      <c r="Z158" s="85"/>
      <c r="AA158" s="85"/>
      <c r="AB158" s="85"/>
      <c r="AC158" s="85"/>
      <c r="AD158" s="85"/>
    </row>
    <row r="159" spans="16:30" x14ac:dyDescent="0.2">
      <c r="P159" s="85"/>
      <c r="Q159" s="91"/>
      <c r="R159" s="91"/>
      <c r="S159" s="91"/>
      <c r="T159" s="92"/>
      <c r="U159" s="93"/>
      <c r="V159" s="94"/>
      <c r="W159" s="94"/>
      <c r="X159" s="93"/>
      <c r="Y159" s="93"/>
      <c r="Z159" s="85"/>
      <c r="AA159" s="85"/>
      <c r="AB159" s="85"/>
      <c r="AC159" s="85"/>
      <c r="AD159" s="85"/>
    </row>
    <row r="160" spans="16:30" x14ac:dyDescent="0.2">
      <c r="P160" s="85"/>
      <c r="Q160" s="91"/>
      <c r="R160" s="91"/>
      <c r="S160" s="91"/>
      <c r="T160" s="92"/>
      <c r="U160" s="93"/>
      <c r="V160" s="94"/>
      <c r="W160" s="94"/>
      <c r="X160" s="93"/>
      <c r="Y160" s="93"/>
      <c r="Z160" s="85"/>
      <c r="AA160" s="85"/>
      <c r="AB160" s="85"/>
      <c r="AC160" s="85"/>
      <c r="AD160" s="85"/>
    </row>
    <row r="161" spans="16:30" x14ac:dyDescent="0.2">
      <c r="P161" s="85"/>
      <c r="Q161" s="91"/>
      <c r="R161" s="91"/>
      <c r="S161" s="91"/>
      <c r="T161" s="92"/>
      <c r="U161" s="93"/>
      <c r="V161" s="94"/>
      <c r="W161" s="94"/>
      <c r="X161" s="93"/>
      <c r="Y161" s="93"/>
      <c r="Z161" s="85"/>
      <c r="AA161" s="85"/>
      <c r="AB161" s="85"/>
      <c r="AC161" s="85"/>
      <c r="AD161" s="85"/>
    </row>
    <row r="162" spans="16:30" x14ac:dyDescent="0.2">
      <c r="P162" s="85"/>
      <c r="Q162" s="91"/>
      <c r="R162" s="91"/>
      <c r="S162" s="91"/>
      <c r="T162" s="92"/>
      <c r="U162" s="93"/>
      <c r="V162" s="94"/>
      <c r="W162" s="94"/>
      <c r="X162" s="93"/>
      <c r="Y162" s="93"/>
      <c r="Z162" s="85"/>
      <c r="AA162" s="85"/>
      <c r="AB162" s="85"/>
      <c r="AC162" s="85"/>
      <c r="AD162" s="85"/>
    </row>
    <row r="163" spans="16:30" x14ac:dyDescent="0.2">
      <c r="P163" s="85"/>
      <c r="Q163" s="91"/>
      <c r="R163" s="91"/>
      <c r="S163" s="91"/>
      <c r="T163" s="92"/>
      <c r="U163" s="93"/>
      <c r="V163" s="94"/>
      <c r="W163" s="94"/>
      <c r="X163" s="93"/>
      <c r="Y163" s="93"/>
      <c r="Z163" s="85"/>
      <c r="AA163" s="85"/>
      <c r="AB163" s="85"/>
      <c r="AC163" s="85"/>
      <c r="AD163" s="85"/>
    </row>
    <row r="164" spans="16:30" x14ac:dyDescent="0.2">
      <c r="P164" s="85"/>
      <c r="Q164" s="91"/>
      <c r="R164" s="91"/>
      <c r="S164" s="91"/>
      <c r="T164" s="92"/>
      <c r="U164" s="93"/>
      <c r="V164" s="94"/>
      <c r="W164" s="94"/>
      <c r="X164" s="93"/>
      <c r="Y164" s="93"/>
      <c r="Z164" s="85"/>
      <c r="AA164" s="85"/>
      <c r="AB164" s="85"/>
      <c r="AC164" s="85"/>
      <c r="AD164" s="85"/>
    </row>
    <row r="165" spans="16:30" x14ac:dyDescent="0.2">
      <c r="P165" s="85"/>
      <c r="Q165" s="91"/>
      <c r="R165" s="91"/>
      <c r="S165" s="91"/>
      <c r="T165" s="92"/>
      <c r="U165" s="93"/>
      <c r="V165" s="94"/>
      <c r="W165" s="94"/>
      <c r="X165" s="93"/>
      <c r="Y165" s="93"/>
      <c r="Z165" s="85"/>
      <c r="AA165" s="85"/>
      <c r="AB165" s="85"/>
      <c r="AC165" s="85"/>
      <c r="AD165" s="85"/>
    </row>
    <row r="166" spans="16:30" x14ac:dyDescent="0.2">
      <c r="P166" s="85"/>
      <c r="Q166" s="91"/>
      <c r="R166" s="91"/>
      <c r="S166" s="91"/>
      <c r="T166" s="92"/>
      <c r="U166" s="93"/>
      <c r="V166" s="94"/>
      <c r="W166" s="94"/>
      <c r="X166" s="93"/>
      <c r="Y166" s="93"/>
      <c r="Z166" s="85"/>
      <c r="AA166" s="85"/>
      <c r="AB166" s="85"/>
      <c r="AC166" s="85"/>
      <c r="AD166" s="85"/>
    </row>
    <row r="167" spans="16:30" x14ac:dyDescent="0.2">
      <c r="P167" s="85"/>
      <c r="Q167" s="91"/>
      <c r="R167" s="91"/>
      <c r="S167" s="91"/>
      <c r="T167" s="92"/>
      <c r="U167" s="93"/>
      <c r="V167" s="94"/>
      <c r="W167" s="94"/>
      <c r="X167" s="93"/>
      <c r="Y167" s="93"/>
      <c r="Z167" s="85"/>
      <c r="AA167" s="85"/>
      <c r="AB167" s="85"/>
      <c r="AC167" s="85"/>
      <c r="AD167" s="85"/>
    </row>
    <row r="168" spans="16:30" x14ac:dyDescent="0.2">
      <c r="P168" s="85"/>
      <c r="Q168" s="91"/>
      <c r="R168" s="91"/>
      <c r="S168" s="91"/>
      <c r="T168" s="92"/>
      <c r="U168" s="93"/>
      <c r="V168" s="94"/>
      <c r="W168" s="94"/>
      <c r="X168" s="93"/>
      <c r="Y168" s="93"/>
      <c r="Z168" s="85"/>
      <c r="AA168" s="85"/>
      <c r="AB168" s="85"/>
      <c r="AC168" s="85"/>
      <c r="AD168" s="85"/>
    </row>
    <row r="169" spans="16:30" x14ac:dyDescent="0.2">
      <c r="P169" s="85"/>
      <c r="Q169" s="91"/>
      <c r="R169" s="91"/>
      <c r="S169" s="91"/>
      <c r="T169" s="92"/>
      <c r="U169" s="93"/>
      <c r="V169" s="94"/>
      <c r="W169" s="94"/>
      <c r="X169" s="93"/>
      <c r="Y169" s="93"/>
      <c r="Z169" s="85"/>
      <c r="AA169" s="85"/>
      <c r="AB169" s="85"/>
      <c r="AC169" s="85"/>
      <c r="AD169" s="85"/>
    </row>
    <row r="170" spans="16:30" x14ac:dyDescent="0.2">
      <c r="P170" s="85"/>
      <c r="Q170" s="91"/>
      <c r="R170" s="91"/>
      <c r="S170" s="91"/>
      <c r="T170" s="92"/>
      <c r="U170" s="93"/>
      <c r="V170" s="94"/>
      <c r="W170" s="94"/>
      <c r="X170" s="93"/>
      <c r="Y170" s="93"/>
      <c r="Z170" s="85"/>
      <c r="AA170" s="85"/>
      <c r="AB170" s="85"/>
      <c r="AC170" s="85"/>
      <c r="AD170" s="85"/>
    </row>
    <row r="171" spans="16:30" x14ac:dyDescent="0.2">
      <c r="P171" s="85"/>
      <c r="Q171" s="91"/>
      <c r="R171" s="91"/>
      <c r="S171" s="91"/>
      <c r="T171" s="92"/>
      <c r="U171" s="93"/>
      <c r="V171" s="94"/>
      <c r="W171" s="94"/>
      <c r="X171" s="93"/>
      <c r="Y171" s="93"/>
      <c r="Z171" s="85"/>
      <c r="AA171" s="85"/>
      <c r="AB171" s="85"/>
      <c r="AC171" s="85"/>
      <c r="AD171" s="85"/>
    </row>
    <row r="172" spans="16:30" x14ac:dyDescent="0.2">
      <c r="P172" s="85"/>
      <c r="Q172" s="91"/>
      <c r="R172" s="91"/>
      <c r="S172" s="91"/>
      <c r="T172" s="92"/>
      <c r="U172" s="93"/>
      <c r="V172" s="94"/>
      <c r="W172" s="94"/>
      <c r="X172" s="93"/>
      <c r="Y172" s="93"/>
      <c r="Z172" s="85"/>
      <c r="AA172" s="85"/>
      <c r="AB172" s="85"/>
      <c r="AC172" s="85"/>
      <c r="AD172" s="85"/>
    </row>
    <row r="173" spans="16:30" x14ac:dyDescent="0.2">
      <c r="P173" s="85"/>
      <c r="Q173" s="91"/>
      <c r="R173" s="91"/>
      <c r="S173" s="91"/>
      <c r="T173" s="92"/>
      <c r="U173" s="93"/>
      <c r="V173" s="94"/>
      <c r="W173" s="94"/>
      <c r="X173" s="93"/>
      <c r="Y173" s="93"/>
      <c r="Z173" s="85"/>
      <c r="AA173" s="85"/>
      <c r="AB173" s="85"/>
      <c r="AC173" s="85"/>
      <c r="AD173" s="85"/>
    </row>
    <row r="174" spans="16:30" x14ac:dyDescent="0.2">
      <c r="P174" s="85"/>
      <c r="Q174" s="91"/>
      <c r="R174" s="91"/>
      <c r="S174" s="91"/>
      <c r="T174" s="92"/>
      <c r="U174" s="93"/>
      <c r="V174" s="94"/>
      <c r="W174" s="94"/>
      <c r="X174" s="93"/>
      <c r="Y174" s="93"/>
      <c r="Z174" s="85"/>
      <c r="AA174" s="85"/>
      <c r="AB174" s="85"/>
      <c r="AC174" s="85"/>
      <c r="AD174" s="85"/>
    </row>
    <row r="175" spans="16:30" x14ac:dyDescent="0.2">
      <c r="P175" s="85"/>
      <c r="Q175" s="91"/>
      <c r="R175" s="91"/>
      <c r="S175" s="91"/>
      <c r="T175" s="92"/>
      <c r="U175" s="93"/>
      <c r="V175" s="94"/>
      <c r="W175" s="94"/>
      <c r="X175" s="93"/>
      <c r="Y175" s="93"/>
      <c r="Z175" s="85"/>
      <c r="AA175" s="85"/>
      <c r="AB175" s="85"/>
      <c r="AC175" s="85"/>
      <c r="AD175" s="85"/>
    </row>
    <row r="176" spans="16:30" x14ac:dyDescent="0.2">
      <c r="P176" s="85"/>
      <c r="Q176" s="91"/>
      <c r="R176" s="91"/>
      <c r="S176" s="91"/>
      <c r="T176" s="92"/>
      <c r="U176" s="93"/>
      <c r="V176" s="94"/>
      <c r="W176" s="94"/>
      <c r="X176" s="93"/>
      <c r="Y176" s="93"/>
      <c r="Z176" s="85"/>
      <c r="AA176" s="85"/>
      <c r="AB176" s="85"/>
      <c r="AC176" s="85"/>
      <c r="AD176" s="85"/>
    </row>
    <row r="177" spans="16:30" x14ac:dyDescent="0.2">
      <c r="P177" s="85"/>
      <c r="Q177" s="91"/>
      <c r="R177" s="91"/>
      <c r="S177" s="91"/>
      <c r="T177" s="92"/>
      <c r="U177" s="93"/>
      <c r="V177" s="94"/>
      <c r="W177" s="94"/>
      <c r="X177" s="93"/>
      <c r="Y177" s="93"/>
      <c r="Z177" s="85"/>
      <c r="AA177" s="85"/>
      <c r="AB177" s="85"/>
      <c r="AC177" s="85"/>
      <c r="AD177" s="85"/>
    </row>
    <row r="178" spans="16:30" x14ac:dyDescent="0.2">
      <c r="P178" s="85"/>
      <c r="Q178" s="91"/>
      <c r="R178" s="91"/>
      <c r="S178" s="91"/>
      <c r="T178" s="92"/>
      <c r="U178" s="93"/>
      <c r="V178" s="94"/>
      <c r="W178" s="94"/>
      <c r="X178" s="93"/>
      <c r="Y178" s="93"/>
      <c r="Z178" s="85"/>
      <c r="AA178" s="85"/>
      <c r="AB178" s="85"/>
      <c r="AC178" s="85"/>
      <c r="AD178" s="85"/>
    </row>
    <row r="179" spans="16:30" x14ac:dyDescent="0.2">
      <c r="P179" s="85"/>
      <c r="Q179" s="91"/>
      <c r="R179" s="91"/>
      <c r="S179" s="91"/>
      <c r="T179" s="92"/>
      <c r="U179" s="93"/>
      <c r="V179" s="94"/>
      <c r="W179" s="94"/>
      <c r="X179" s="93"/>
      <c r="Y179" s="93"/>
      <c r="Z179" s="85"/>
      <c r="AA179" s="85"/>
      <c r="AB179" s="85"/>
      <c r="AC179" s="85"/>
      <c r="AD179" s="85"/>
    </row>
    <row r="180" spans="16:30" x14ac:dyDescent="0.2">
      <c r="P180" s="85"/>
      <c r="Q180" s="91"/>
      <c r="R180" s="91"/>
      <c r="S180" s="91"/>
      <c r="T180" s="92"/>
      <c r="U180" s="93"/>
      <c r="V180" s="94"/>
      <c r="W180" s="94"/>
      <c r="X180" s="93"/>
      <c r="Y180" s="93"/>
      <c r="Z180" s="85"/>
      <c r="AA180" s="85"/>
      <c r="AB180" s="85"/>
      <c r="AC180" s="85"/>
      <c r="AD180" s="85"/>
    </row>
    <row r="181" spans="16:30" x14ac:dyDescent="0.2">
      <c r="P181" s="85"/>
      <c r="Q181" s="91"/>
      <c r="R181" s="91"/>
      <c r="S181" s="91"/>
      <c r="T181" s="92"/>
      <c r="U181" s="93"/>
      <c r="V181" s="94"/>
      <c r="W181" s="94"/>
      <c r="X181" s="93"/>
      <c r="Y181" s="93"/>
      <c r="Z181" s="85"/>
      <c r="AA181" s="85"/>
      <c r="AB181" s="85"/>
      <c r="AC181" s="85"/>
      <c r="AD181" s="85"/>
    </row>
    <row r="182" spans="16:30" x14ac:dyDescent="0.2">
      <c r="P182" s="85"/>
      <c r="Q182" s="91"/>
      <c r="R182" s="91"/>
      <c r="S182" s="91"/>
      <c r="T182" s="92"/>
      <c r="U182" s="93"/>
      <c r="V182" s="94"/>
      <c r="W182" s="94"/>
      <c r="X182" s="93"/>
      <c r="Y182" s="93"/>
      <c r="Z182" s="85"/>
      <c r="AA182" s="85"/>
      <c r="AB182" s="85"/>
      <c r="AC182" s="85"/>
      <c r="AD182" s="85"/>
    </row>
    <row r="183" spans="16:30" x14ac:dyDescent="0.2">
      <c r="P183" s="85"/>
      <c r="Q183" s="91"/>
      <c r="R183" s="91"/>
      <c r="S183" s="91"/>
      <c r="T183" s="92"/>
      <c r="U183" s="93"/>
      <c r="V183" s="94"/>
      <c r="W183" s="94"/>
      <c r="X183" s="93"/>
      <c r="Y183" s="93"/>
      <c r="Z183" s="85"/>
      <c r="AA183" s="85"/>
      <c r="AB183" s="85"/>
      <c r="AC183" s="85"/>
      <c r="AD183" s="85"/>
    </row>
    <row r="184" spans="16:30" x14ac:dyDescent="0.2">
      <c r="P184" s="85"/>
      <c r="Q184" s="91"/>
      <c r="R184" s="91"/>
      <c r="S184" s="91"/>
      <c r="T184" s="92"/>
      <c r="U184" s="93"/>
      <c r="V184" s="94"/>
      <c r="W184" s="94"/>
      <c r="X184" s="93"/>
      <c r="Y184" s="93"/>
      <c r="Z184" s="85"/>
      <c r="AA184" s="85"/>
      <c r="AB184" s="85"/>
      <c r="AC184" s="85"/>
      <c r="AD184" s="85"/>
    </row>
    <row r="185" spans="16:30" x14ac:dyDescent="0.2">
      <c r="P185" s="85"/>
      <c r="Q185" s="91"/>
      <c r="R185" s="91"/>
      <c r="S185" s="91"/>
      <c r="T185" s="92"/>
      <c r="U185" s="93"/>
      <c r="V185" s="94"/>
      <c r="W185" s="94"/>
      <c r="X185" s="93"/>
      <c r="Y185" s="93"/>
      <c r="Z185" s="85"/>
      <c r="AA185" s="85"/>
      <c r="AB185" s="85"/>
      <c r="AC185" s="85"/>
      <c r="AD185" s="85"/>
    </row>
    <row r="186" spans="16:30" x14ac:dyDescent="0.2">
      <c r="P186" s="85"/>
      <c r="Q186" s="91"/>
      <c r="R186" s="91"/>
      <c r="S186" s="91"/>
      <c r="T186" s="92"/>
      <c r="U186" s="93"/>
      <c r="V186" s="94"/>
      <c r="W186" s="94"/>
      <c r="X186" s="93"/>
      <c r="Y186" s="93"/>
      <c r="Z186" s="85"/>
      <c r="AA186" s="85"/>
      <c r="AB186" s="85"/>
      <c r="AC186" s="85"/>
      <c r="AD186" s="85"/>
    </row>
    <row r="187" spans="16:30" x14ac:dyDescent="0.2">
      <c r="P187" s="85"/>
      <c r="Q187" s="91"/>
      <c r="R187" s="91"/>
      <c r="S187" s="91"/>
      <c r="T187" s="92"/>
      <c r="U187" s="93"/>
      <c r="V187" s="94"/>
      <c r="W187" s="94"/>
      <c r="X187" s="93"/>
      <c r="Y187" s="93"/>
      <c r="Z187" s="85"/>
      <c r="AA187" s="85"/>
      <c r="AB187" s="85"/>
      <c r="AC187" s="85"/>
      <c r="AD187" s="85"/>
    </row>
    <row r="188" spans="16:30" x14ac:dyDescent="0.2">
      <c r="P188" s="85"/>
      <c r="Q188" s="91"/>
      <c r="R188" s="91"/>
      <c r="S188" s="91"/>
      <c r="T188" s="92"/>
      <c r="U188" s="93"/>
      <c r="V188" s="94"/>
      <c r="W188" s="94"/>
      <c r="X188" s="93"/>
      <c r="Y188" s="93"/>
      <c r="Z188" s="85"/>
      <c r="AA188" s="85"/>
      <c r="AB188" s="85"/>
      <c r="AC188" s="85"/>
      <c r="AD188" s="85"/>
    </row>
    <row r="189" spans="16:30" x14ac:dyDescent="0.2">
      <c r="P189" s="85"/>
      <c r="Q189" s="91"/>
      <c r="R189" s="91"/>
      <c r="S189" s="91"/>
      <c r="T189" s="92"/>
      <c r="U189" s="93"/>
      <c r="V189" s="94"/>
      <c r="W189" s="94"/>
      <c r="X189" s="93"/>
      <c r="Y189" s="93"/>
      <c r="Z189" s="85"/>
      <c r="AA189" s="85"/>
      <c r="AB189" s="85"/>
      <c r="AC189" s="85"/>
      <c r="AD189" s="85"/>
    </row>
    <row r="190" spans="16:30" x14ac:dyDescent="0.2">
      <c r="P190" s="85"/>
      <c r="Q190" s="91"/>
      <c r="R190" s="91"/>
      <c r="S190" s="91"/>
      <c r="T190" s="92"/>
      <c r="U190" s="93"/>
      <c r="V190" s="94"/>
      <c r="W190" s="94"/>
      <c r="X190" s="93"/>
      <c r="Y190" s="93"/>
      <c r="Z190" s="85"/>
      <c r="AA190" s="85"/>
      <c r="AB190" s="85"/>
      <c r="AC190" s="85"/>
      <c r="AD190" s="85"/>
    </row>
    <row r="191" spans="16:30" x14ac:dyDescent="0.2">
      <c r="P191" s="85"/>
      <c r="Q191" s="91"/>
      <c r="R191" s="91"/>
      <c r="S191" s="91"/>
      <c r="T191" s="92"/>
      <c r="U191" s="93"/>
      <c r="V191" s="94"/>
      <c r="W191" s="94"/>
      <c r="X191" s="93"/>
      <c r="Y191" s="93"/>
      <c r="Z191" s="85"/>
      <c r="AA191" s="85"/>
      <c r="AB191" s="85"/>
      <c r="AC191" s="85"/>
      <c r="AD191" s="85"/>
    </row>
    <row r="192" spans="16:30" x14ac:dyDescent="0.2">
      <c r="P192" s="85"/>
      <c r="Q192" s="91"/>
      <c r="R192" s="91"/>
      <c r="S192" s="91"/>
      <c r="T192" s="92"/>
      <c r="U192" s="93"/>
      <c r="V192" s="94"/>
      <c r="W192" s="94"/>
      <c r="X192" s="93"/>
      <c r="Y192" s="93"/>
      <c r="Z192" s="85"/>
      <c r="AA192" s="85"/>
      <c r="AB192" s="85"/>
      <c r="AC192" s="85"/>
      <c r="AD192" s="85"/>
    </row>
    <row r="193" spans="16:30" x14ac:dyDescent="0.2">
      <c r="P193" s="85"/>
      <c r="Q193" s="91"/>
      <c r="R193" s="91"/>
      <c r="S193" s="91"/>
      <c r="T193" s="92"/>
      <c r="U193" s="93"/>
      <c r="V193" s="94"/>
      <c r="W193" s="94"/>
      <c r="X193" s="93"/>
      <c r="Y193" s="93"/>
      <c r="Z193" s="85"/>
      <c r="AA193" s="85"/>
      <c r="AB193" s="85"/>
      <c r="AC193" s="85"/>
      <c r="AD193" s="85"/>
    </row>
    <row r="194" spans="16:30" x14ac:dyDescent="0.2">
      <c r="P194" s="85"/>
      <c r="Q194" s="91"/>
      <c r="R194" s="91"/>
      <c r="S194" s="91"/>
      <c r="T194" s="92"/>
      <c r="U194" s="93"/>
      <c r="V194" s="94"/>
      <c r="W194" s="94"/>
      <c r="X194" s="93"/>
      <c r="Y194" s="93"/>
      <c r="Z194" s="85"/>
      <c r="AA194" s="85"/>
      <c r="AB194" s="85"/>
      <c r="AC194" s="85"/>
      <c r="AD194" s="85"/>
    </row>
    <row r="195" spans="16:30" x14ac:dyDescent="0.2">
      <c r="P195" s="85"/>
      <c r="Q195" s="91"/>
      <c r="R195" s="91"/>
      <c r="S195" s="91"/>
      <c r="T195" s="92"/>
      <c r="U195" s="93"/>
      <c r="V195" s="94"/>
      <c r="W195" s="94"/>
      <c r="X195" s="93"/>
      <c r="Y195" s="93"/>
      <c r="Z195" s="85"/>
      <c r="AA195" s="85"/>
      <c r="AB195" s="85"/>
      <c r="AC195" s="85"/>
      <c r="AD195" s="85"/>
    </row>
    <row r="196" spans="16:30" x14ac:dyDescent="0.2">
      <c r="P196" s="85"/>
      <c r="Q196" s="91"/>
      <c r="R196" s="91"/>
      <c r="S196" s="91"/>
      <c r="T196" s="92"/>
      <c r="U196" s="93"/>
      <c r="V196" s="94"/>
      <c r="W196" s="94"/>
      <c r="X196" s="93"/>
      <c r="Y196" s="93"/>
      <c r="Z196" s="85"/>
      <c r="AA196" s="85"/>
      <c r="AB196" s="85"/>
      <c r="AC196" s="85"/>
      <c r="AD196" s="85"/>
    </row>
    <row r="197" spans="16:30" x14ac:dyDescent="0.2">
      <c r="P197" s="85"/>
      <c r="Q197" s="91"/>
      <c r="R197" s="91"/>
      <c r="S197" s="91"/>
      <c r="T197" s="92"/>
      <c r="U197" s="93"/>
      <c r="V197" s="94"/>
      <c r="W197" s="94"/>
      <c r="X197" s="93"/>
      <c r="Y197" s="93"/>
      <c r="Z197" s="85"/>
      <c r="AA197" s="85"/>
      <c r="AB197" s="85"/>
      <c r="AC197" s="85"/>
      <c r="AD197" s="85"/>
    </row>
    <row r="198" spans="16:30" x14ac:dyDescent="0.2">
      <c r="P198" s="85"/>
      <c r="Q198" s="91"/>
      <c r="R198" s="91"/>
      <c r="S198" s="91"/>
      <c r="T198" s="92"/>
      <c r="U198" s="93"/>
      <c r="V198" s="94"/>
      <c r="W198" s="94"/>
      <c r="X198" s="93"/>
      <c r="Y198" s="93"/>
      <c r="Z198" s="85"/>
      <c r="AA198" s="85"/>
      <c r="AB198" s="85"/>
      <c r="AC198" s="85"/>
      <c r="AD198" s="85"/>
    </row>
    <row r="199" spans="16:30" x14ac:dyDescent="0.2">
      <c r="P199" s="85"/>
      <c r="Q199" s="91"/>
      <c r="R199" s="91"/>
      <c r="S199" s="91"/>
      <c r="T199" s="92"/>
      <c r="U199" s="93"/>
      <c r="V199" s="94"/>
      <c r="W199" s="94"/>
      <c r="X199" s="93"/>
      <c r="Y199" s="93"/>
      <c r="Z199" s="85"/>
      <c r="AA199" s="85"/>
      <c r="AB199" s="85"/>
      <c r="AC199" s="85"/>
      <c r="AD199" s="85"/>
    </row>
    <row r="200" spans="16:30" x14ac:dyDescent="0.2">
      <c r="P200" s="85"/>
      <c r="Q200" s="91"/>
      <c r="R200" s="91"/>
      <c r="S200" s="91"/>
      <c r="T200" s="92"/>
      <c r="U200" s="93"/>
      <c r="V200" s="94"/>
      <c r="W200" s="94"/>
      <c r="X200" s="93"/>
      <c r="Y200" s="93"/>
      <c r="Z200" s="85"/>
      <c r="AA200" s="85"/>
      <c r="AB200" s="85"/>
      <c r="AC200" s="85"/>
      <c r="AD200" s="85"/>
    </row>
    <row r="201" spans="16:30" x14ac:dyDescent="0.2">
      <c r="P201" s="85"/>
      <c r="Q201" s="91"/>
      <c r="R201" s="91"/>
      <c r="S201" s="91"/>
      <c r="T201" s="92"/>
      <c r="U201" s="93"/>
      <c r="V201" s="94"/>
      <c r="W201" s="94"/>
      <c r="X201" s="93"/>
      <c r="Y201" s="93"/>
      <c r="Z201" s="85"/>
      <c r="AA201" s="85"/>
      <c r="AB201" s="85"/>
      <c r="AC201" s="85"/>
      <c r="AD201" s="85"/>
    </row>
    <row r="202" spans="16:30" x14ac:dyDescent="0.2">
      <c r="P202" s="85"/>
      <c r="Q202" s="91"/>
      <c r="R202" s="91"/>
      <c r="S202" s="91"/>
      <c r="T202" s="92"/>
      <c r="U202" s="93"/>
      <c r="V202" s="94"/>
      <c r="W202" s="94"/>
      <c r="X202" s="93"/>
      <c r="Y202" s="93"/>
      <c r="Z202" s="85"/>
      <c r="AA202" s="85"/>
      <c r="AB202" s="85"/>
      <c r="AC202" s="85"/>
      <c r="AD202" s="85"/>
    </row>
    <row r="203" spans="16:30" x14ac:dyDescent="0.2">
      <c r="P203" s="85"/>
      <c r="Q203" s="91"/>
      <c r="R203" s="91"/>
      <c r="S203" s="91"/>
      <c r="T203" s="92"/>
      <c r="U203" s="93"/>
      <c r="V203" s="94"/>
      <c r="W203" s="94"/>
      <c r="X203" s="93"/>
      <c r="Y203" s="93"/>
      <c r="Z203" s="85"/>
      <c r="AA203" s="85"/>
      <c r="AB203" s="85"/>
      <c r="AC203" s="85"/>
      <c r="AD203" s="85"/>
    </row>
    <row r="204" spans="16:30" x14ac:dyDescent="0.2">
      <c r="P204" s="85"/>
      <c r="Q204" s="91"/>
      <c r="R204" s="91"/>
      <c r="S204" s="91"/>
      <c r="T204" s="92"/>
      <c r="U204" s="93"/>
      <c r="V204" s="94"/>
      <c r="W204" s="94"/>
      <c r="X204" s="93"/>
      <c r="Y204" s="93"/>
      <c r="Z204" s="85"/>
      <c r="AA204" s="85"/>
      <c r="AB204" s="85"/>
      <c r="AC204" s="85"/>
      <c r="AD204" s="85"/>
    </row>
    <row r="205" spans="16:30" x14ac:dyDescent="0.2">
      <c r="P205" s="85"/>
      <c r="Q205" s="91"/>
      <c r="R205" s="91"/>
      <c r="S205" s="91"/>
      <c r="T205" s="92"/>
      <c r="U205" s="93"/>
      <c r="V205" s="94"/>
      <c r="W205" s="94"/>
      <c r="X205" s="93"/>
      <c r="Y205" s="93"/>
      <c r="Z205" s="85"/>
      <c r="AA205" s="85"/>
      <c r="AB205" s="85"/>
      <c r="AC205" s="85"/>
      <c r="AD205" s="85"/>
    </row>
    <row r="206" spans="16:30" x14ac:dyDescent="0.2">
      <c r="P206" s="85"/>
      <c r="Q206" s="91"/>
      <c r="R206" s="91"/>
      <c r="S206" s="91"/>
      <c r="T206" s="92"/>
      <c r="U206" s="93"/>
      <c r="V206" s="94"/>
      <c r="W206" s="94"/>
      <c r="X206" s="93"/>
      <c r="Y206" s="93"/>
      <c r="Z206" s="85"/>
      <c r="AA206" s="85"/>
      <c r="AB206" s="85"/>
      <c r="AC206" s="85"/>
      <c r="AD206" s="85"/>
    </row>
    <row r="207" spans="16:30" x14ac:dyDescent="0.2">
      <c r="P207" s="85"/>
      <c r="Q207" s="91"/>
      <c r="R207" s="91"/>
      <c r="S207" s="91"/>
      <c r="T207" s="92"/>
      <c r="U207" s="93"/>
      <c r="V207" s="94"/>
      <c r="W207" s="94"/>
      <c r="X207" s="93"/>
      <c r="Y207" s="93"/>
      <c r="Z207" s="85"/>
      <c r="AA207" s="85"/>
      <c r="AB207" s="85"/>
      <c r="AC207" s="85"/>
      <c r="AD207" s="85"/>
    </row>
    <row r="208" spans="16:30" x14ac:dyDescent="0.2">
      <c r="P208" s="85"/>
      <c r="Q208" s="91"/>
      <c r="R208" s="91"/>
      <c r="S208" s="91"/>
      <c r="T208" s="92"/>
      <c r="U208" s="93"/>
      <c r="V208" s="94"/>
      <c r="W208" s="94"/>
      <c r="X208" s="93"/>
      <c r="Y208" s="93"/>
      <c r="Z208" s="85"/>
      <c r="AA208" s="85"/>
      <c r="AB208" s="85"/>
      <c r="AC208" s="85"/>
      <c r="AD208" s="85"/>
    </row>
    <row r="209" spans="16:30" x14ac:dyDescent="0.2">
      <c r="P209" s="85"/>
      <c r="Q209" s="91"/>
      <c r="R209" s="91"/>
      <c r="S209" s="91"/>
      <c r="T209" s="92"/>
      <c r="U209" s="93"/>
      <c r="V209" s="94"/>
      <c r="W209" s="94"/>
      <c r="X209" s="93"/>
      <c r="Y209" s="93"/>
      <c r="Z209" s="85"/>
      <c r="AA209" s="85"/>
      <c r="AB209" s="85"/>
      <c r="AC209" s="85"/>
      <c r="AD209" s="85"/>
    </row>
    <row r="210" spans="16:30" x14ac:dyDescent="0.2">
      <c r="P210" s="85"/>
      <c r="Q210" s="91"/>
      <c r="R210" s="91"/>
      <c r="S210" s="91"/>
      <c r="T210" s="92"/>
      <c r="U210" s="93"/>
      <c r="V210" s="94"/>
      <c r="W210" s="94"/>
      <c r="X210" s="93"/>
      <c r="Y210" s="93"/>
      <c r="Z210" s="85"/>
      <c r="AA210" s="85"/>
      <c r="AB210" s="85"/>
      <c r="AC210" s="85"/>
      <c r="AD210" s="85"/>
    </row>
    <row r="211" spans="16:30" x14ac:dyDescent="0.2">
      <c r="P211" s="85"/>
      <c r="Q211" s="91"/>
      <c r="R211" s="91"/>
      <c r="S211" s="91"/>
      <c r="T211" s="92"/>
      <c r="U211" s="93"/>
      <c r="V211" s="94"/>
      <c r="W211" s="94"/>
      <c r="X211" s="93"/>
      <c r="Y211" s="93"/>
      <c r="Z211" s="85"/>
      <c r="AA211" s="85"/>
      <c r="AB211" s="85"/>
      <c r="AC211" s="85"/>
      <c r="AD211" s="85"/>
    </row>
    <row r="212" spans="16:30" x14ac:dyDescent="0.2">
      <c r="P212" s="85"/>
      <c r="Q212" s="91"/>
      <c r="R212" s="91"/>
      <c r="S212" s="91"/>
      <c r="T212" s="92"/>
      <c r="U212" s="93"/>
      <c r="V212" s="94"/>
      <c r="W212" s="94"/>
      <c r="X212" s="93"/>
      <c r="Y212" s="93"/>
      <c r="Z212" s="85"/>
      <c r="AA212" s="85"/>
      <c r="AB212" s="85"/>
      <c r="AC212" s="85"/>
      <c r="AD212" s="85"/>
    </row>
    <row r="213" spans="16:30" x14ac:dyDescent="0.2">
      <c r="P213" s="85"/>
      <c r="Q213" s="91"/>
      <c r="R213" s="91"/>
      <c r="S213" s="91"/>
      <c r="T213" s="92"/>
      <c r="U213" s="93"/>
      <c r="V213" s="94"/>
      <c r="W213" s="94"/>
      <c r="X213" s="93"/>
      <c r="Y213" s="93"/>
      <c r="Z213" s="85"/>
      <c r="AA213" s="85"/>
      <c r="AB213" s="85"/>
      <c r="AC213" s="85"/>
      <c r="AD213" s="85"/>
    </row>
    <row r="214" spans="16:30" x14ac:dyDescent="0.2">
      <c r="P214" s="85"/>
      <c r="Q214" s="91"/>
      <c r="R214" s="91"/>
      <c r="S214" s="91"/>
      <c r="T214" s="92"/>
      <c r="U214" s="93"/>
      <c r="V214" s="94"/>
      <c r="W214" s="94"/>
      <c r="X214" s="93"/>
      <c r="Y214" s="93"/>
      <c r="Z214" s="85"/>
      <c r="AA214" s="85"/>
      <c r="AB214" s="85"/>
      <c r="AC214" s="85"/>
      <c r="AD214" s="85"/>
    </row>
    <row r="215" spans="16:30" x14ac:dyDescent="0.2">
      <c r="P215" s="85"/>
      <c r="Q215" s="91"/>
      <c r="R215" s="91"/>
      <c r="S215" s="91"/>
      <c r="T215" s="92"/>
      <c r="U215" s="93"/>
      <c r="V215" s="94"/>
      <c r="W215" s="94"/>
      <c r="X215" s="93"/>
      <c r="Y215" s="93"/>
      <c r="Z215" s="85"/>
      <c r="AA215" s="85"/>
      <c r="AB215" s="85"/>
      <c r="AC215" s="85"/>
      <c r="AD215" s="85"/>
    </row>
    <row r="216" spans="16:30" x14ac:dyDescent="0.2">
      <c r="P216" s="85"/>
      <c r="Q216" s="91"/>
      <c r="R216" s="91"/>
      <c r="S216" s="91"/>
      <c r="T216" s="92"/>
      <c r="U216" s="93"/>
      <c r="V216" s="94"/>
      <c r="W216" s="94"/>
      <c r="X216" s="93"/>
      <c r="Y216" s="93"/>
      <c r="Z216" s="85"/>
      <c r="AA216" s="85"/>
      <c r="AB216" s="85"/>
      <c r="AC216" s="85"/>
      <c r="AD216" s="85"/>
    </row>
    <row r="217" spans="16:30" x14ac:dyDescent="0.2">
      <c r="P217" s="85"/>
      <c r="Q217" s="91"/>
      <c r="R217" s="91"/>
      <c r="S217" s="91"/>
      <c r="T217" s="92"/>
      <c r="U217" s="93"/>
      <c r="V217" s="94"/>
      <c r="W217" s="94"/>
      <c r="X217" s="93"/>
      <c r="Y217" s="93"/>
      <c r="Z217" s="85"/>
      <c r="AA217" s="85"/>
      <c r="AB217" s="85"/>
      <c r="AC217" s="85"/>
      <c r="AD217" s="85"/>
    </row>
    <row r="218" spans="16:30" x14ac:dyDescent="0.2">
      <c r="P218" s="85"/>
      <c r="Q218" s="91"/>
      <c r="R218" s="91"/>
      <c r="S218" s="91"/>
      <c r="T218" s="92"/>
      <c r="U218" s="93"/>
      <c r="V218" s="94"/>
      <c r="W218" s="94"/>
      <c r="X218" s="93"/>
      <c r="Y218" s="93"/>
      <c r="Z218" s="85"/>
      <c r="AA218" s="85"/>
      <c r="AB218" s="85"/>
      <c r="AC218" s="85"/>
      <c r="AD218" s="85"/>
    </row>
    <row r="219" spans="16:30" x14ac:dyDescent="0.2">
      <c r="P219" s="85"/>
      <c r="Q219" s="91"/>
      <c r="R219" s="91"/>
      <c r="S219" s="91"/>
      <c r="T219" s="92"/>
      <c r="U219" s="93"/>
      <c r="V219" s="94"/>
      <c r="W219" s="94"/>
      <c r="X219" s="93"/>
      <c r="Y219" s="93"/>
      <c r="Z219" s="85"/>
      <c r="AA219" s="85"/>
      <c r="AB219" s="85"/>
      <c r="AC219" s="85"/>
      <c r="AD219" s="85"/>
    </row>
    <row r="220" spans="16:30" x14ac:dyDescent="0.2">
      <c r="P220" s="85"/>
      <c r="Q220" s="91"/>
      <c r="R220" s="91"/>
      <c r="S220" s="91"/>
      <c r="T220" s="92"/>
      <c r="U220" s="93"/>
      <c r="V220" s="94"/>
      <c r="W220" s="94"/>
      <c r="X220" s="93"/>
      <c r="Y220" s="93"/>
      <c r="Z220" s="85"/>
      <c r="AA220" s="85"/>
      <c r="AB220" s="85"/>
      <c r="AC220" s="85"/>
      <c r="AD220" s="85"/>
    </row>
    <row r="221" spans="16:30" x14ac:dyDescent="0.2">
      <c r="P221" s="85"/>
      <c r="Q221" s="91"/>
      <c r="R221" s="91"/>
      <c r="S221" s="91"/>
      <c r="T221" s="92"/>
      <c r="U221" s="93"/>
      <c r="V221" s="94"/>
      <c r="W221" s="94"/>
      <c r="X221" s="93"/>
      <c r="Y221" s="93"/>
      <c r="Z221" s="85"/>
      <c r="AA221" s="85"/>
      <c r="AB221" s="85"/>
      <c r="AC221" s="85"/>
      <c r="AD221" s="85"/>
    </row>
    <row r="222" spans="16:30" x14ac:dyDescent="0.2">
      <c r="P222" s="85"/>
      <c r="Q222" s="91"/>
      <c r="R222" s="91"/>
      <c r="S222" s="91"/>
      <c r="T222" s="92"/>
      <c r="U222" s="93"/>
      <c r="V222" s="94"/>
      <c r="W222" s="94"/>
      <c r="X222" s="93"/>
      <c r="Y222" s="93"/>
      <c r="Z222" s="85"/>
      <c r="AA222" s="85"/>
      <c r="AB222" s="85"/>
      <c r="AC222" s="85"/>
      <c r="AD222" s="85"/>
    </row>
    <row r="223" spans="16:30" x14ac:dyDescent="0.2">
      <c r="P223" s="85"/>
      <c r="Q223" s="91"/>
      <c r="R223" s="91"/>
      <c r="S223" s="91"/>
      <c r="T223" s="92"/>
      <c r="U223" s="93"/>
      <c r="V223" s="94"/>
      <c r="W223" s="94"/>
      <c r="X223" s="93"/>
      <c r="Y223" s="93"/>
      <c r="Z223" s="85"/>
      <c r="AA223" s="85"/>
      <c r="AB223" s="85"/>
      <c r="AC223" s="85"/>
      <c r="AD223" s="85"/>
    </row>
    <row r="224" spans="16:30" x14ac:dyDescent="0.2">
      <c r="P224" s="85"/>
      <c r="Q224" s="91"/>
      <c r="R224" s="91"/>
      <c r="S224" s="91"/>
      <c r="T224" s="92"/>
      <c r="U224" s="93"/>
      <c r="V224" s="94"/>
      <c r="W224" s="94"/>
      <c r="X224" s="93"/>
      <c r="Y224" s="93"/>
      <c r="Z224" s="85"/>
      <c r="AA224" s="85"/>
      <c r="AB224" s="85"/>
      <c r="AC224" s="85"/>
      <c r="AD224" s="85"/>
    </row>
    <row r="225" spans="16:30" x14ac:dyDescent="0.2">
      <c r="P225" s="85"/>
      <c r="Q225" s="91"/>
      <c r="R225" s="91"/>
      <c r="S225" s="91"/>
      <c r="T225" s="92"/>
      <c r="U225" s="93"/>
      <c r="V225" s="94"/>
      <c r="W225" s="94"/>
      <c r="X225" s="93"/>
      <c r="Y225" s="93"/>
      <c r="Z225" s="85"/>
      <c r="AA225" s="85"/>
      <c r="AB225" s="85"/>
      <c r="AC225" s="85"/>
      <c r="AD225" s="85"/>
    </row>
    <row r="226" spans="16:30" x14ac:dyDescent="0.2">
      <c r="P226" s="85"/>
      <c r="Q226" s="91"/>
      <c r="R226" s="91"/>
      <c r="S226" s="91"/>
      <c r="T226" s="92"/>
      <c r="U226" s="93"/>
      <c r="V226" s="94"/>
      <c r="W226" s="94"/>
      <c r="X226" s="93"/>
      <c r="Y226" s="93"/>
      <c r="Z226" s="85"/>
      <c r="AA226" s="85"/>
      <c r="AB226" s="85"/>
      <c r="AC226" s="85"/>
      <c r="AD226" s="85"/>
    </row>
    <row r="227" spans="16:30" x14ac:dyDescent="0.2">
      <c r="P227" s="85"/>
      <c r="Q227" s="91"/>
      <c r="R227" s="91"/>
      <c r="S227" s="91"/>
      <c r="T227" s="92"/>
      <c r="U227" s="93"/>
      <c r="V227" s="94"/>
      <c r="W227" s="94"/>
      <c r="X227" s="93"/>
      <c r="Y227" s="93"/>
      <c r="Z227" s="85"/>
      <c r="AA227" s="85"/>
      <c r="AB227" s="85"/>
      <c r="AC227" s="85"/>
      <c r="AD227" s="85"/>
    </row>
    <row r="228" spans="16:30" x14ac:dyDescent="0.2">
      <c r="P228" s="85"/>
      <c r="Q228" s="91"/>
      <c r="R228" s="91"/>
      <c r="S228" s="91"/>
      <c r="T228" s="92"/>
      <c r="U228" s="93"/>
      <c r="V228" s="94"/>
      <c r="W228" s="94"/>
      <c r="X228" s="93"/>
      <c r="Y228" s="93"/>
      <c r="Z228" s="85"/>
      <c r="AA228" s="85"/>
      <c r="AB228" s="85"/>
      <c r="AC228" s="85"/>
      <c r="AD228" s="85"/>
    </row>
    <row r="229" spans="16:30" x14ac:dyDescent="0.2">
      <c r="P229" s="85"/>
      <c r="Q229" s="91"/>
      <c r="R229" s="91"/>
      <c r="S229" s="91"/>
      <c r="T229" s="92"/>
      <c r="U229" s="93"/>
      <c r="V229" s="94"/>
      <c r="W229" s="94"/>
      <c r="X229" s="93"/>
      <c r="Y229" s="93"/>
      <c r="Z229" s="85"/>
      <c r="AA229" s="85"/>
      <c r="AB229" s="85"/>
      <c r="AC229" s="85"/>
      <c r="AD229" s="85"/>
    </row>
    <row r="230" spans="16:30" x14ac:dyDescent="0.2">
      <c r="P230" s="85"/>
      <c r="Q230" s="91"/>
      <c r="R230" s="91"/>
      <c r="S230" s="91"/>
      <c r="T230" s="92"/>
      <c r="U230" s="93"/>
      <c r="V230" s="94"/>
      <c r="W230" s="94"/>
      <c r="X230" s="93"/>
      <c r="Y230" s="93"/>
      <c r="Z230" s="85"/>
      <c r="AA230" s="85"/>
      <c r="AB230" s="85"/>
      <c r="AC230" s="85"/>
      <c r="AD230" s="85"/>
    </row>
    <row r="231" spans="16:30" x14ac:dyDescent="0.2">
      <c r="P231" s="85"/>
      <c r="Q231" s="91"/>
      <c r="R231" s="91"/>
      <c r="S231" s="91"/>
      <c r="T231" s="92"/>
      <c r="U231" s="93"/>
      <c r="V231" s="94"/>
      <c r="W231" s="94"/>
      <c r="X231" s="93"/>
      <c r="Y231" s="93"/>
      <c r="Z231" s="85"/>
      <c r="AA231" s="85"/>
      <c r="AB231" s="85"/>
      <c r="AC231" s="85"/>
      <c r="AD231" s="85"/>
    </row>
    <row r="232" spans="16:30" x14ac:dyDescent="0.2">
      <c r="P232" s="85"/>
      <c r="Q232" s="91"/>
      <c r="R232" s="91"/>
      <c r="S232" s="91"/>
      <c r="T232" s="92"/>
      <c r="U232" s="93"/>
      <c r="V232" s="94"/>
      <c r="W232" s="94"/>
      <c r="X232" s="93"/>
      <c r="Y232" s="93"/>
      <c r="Z232" s="85"/>
      <c r="AA232" s="85"/>
      <c r="AB232" s="85"/>
      <c r="AC232" s="85"/>
      <c r="AD232" s="85"/>
    </row>
    <row r="233" spans="16:30" x14ac:dyDescent="0.2">
      <c r="P233" s="85"/>
      <c r="Q233" s="91"/>
      <c r="R233" s="91"/>
      <c r="S233" s="91"/>
      <c r="T233" s="92"/>
      <c r="U233" s="93"/>
      <c r="V233" s="94"/>
      <c r="W233" s="94"/>
      <c r="X233" s="93"/>
      <c r="Y233" s="93"/>
      <c r="Z233" s="85"/>
      <c r="AA233" s="85"/>
      <c r="AB233" s="85"/>
      <c r="AC233" s="85"/>
      <c r="AD233" s="85"/>
    </row>
    <row r="234" spans="16:30" x14ac:dyDescent="0.2">
      <c r="P234" s="85"/>
      <c r="Q234" s="91"/>
      <c r="R234" s="91"/>
      <c r="S234" s="91"/>
      <c r="T234" s="92"/>
      <c r="U234" s="93"/>
      <c r="V234" s="94"/>
      <c r="W234" s="94"/>
      <c r="X234" s="93"/>
      <c r="Y234" s="93"/>
      <c r="Z234" s="85"/>
      <c r="AA234" s="85"/>
      <c r="AB234" s="85"/>
      <c r="AC234" s="85"/>
      <c r="AD234" s="85"/>
    </row>
    <row r="235" spans="16:30" x14ac:dyDescent="0.2">
      <c r="P235" s="85"/>
      <c r="Q235" s="91"/>
      <c r="R235" s="91"/>
      <c r="S235" s="91"/>
      <c r="T235" s="92"/>
      <c r="U235" s="93"/>
      <c r="V235" s="94"/>
      <c r="W235" s="94"/>
      <c r="X235" s="93"/>
      <c r="Y235" s="93"/>
      <c r="Z235" s="85"/>
      <c r="AA235" s="85"/>
      <c r="AB235" s="85"/>
      <c r="AC235" s="85"/>
      <c r="AD235" s="85"/>
    </row>
    <row r="236" spans="16:30" x14ac:dyDescent="0.2">
      <c r="P236" s="85"/>
      <c r="Q236" s="91"/>
      <c r="R236" s="91"/>
      <c r="S236" s="91"/>
      <c r="T236" s="92"/>
      <c r="U236" s="93"/>
      <c r="V236" s="94"/>
      <c r="W236" s="94"/>
      <c r="X236" s="93"/>
      <c r="Y236" s="93"/>
      <c r="Z236" s="85"/>
      <c r="AA236" s="85"/>
      <c r="AB236" s="85"/>
      <c r="AC236" s="85"/>
      <c r="AD236" s="85"/>
    </row>
    <row r="237" spans="16:30" x14ac:dyDescent="0.2">
      <c r="P237" s="85"/>
      <c r="Q237" s="91"/>
      <c r="R237" s="91"/>
      <c r="S237" s="91"/>
      <c r="T237" s="92"/>
      <c r="U237" s="93"/>
      <c r="V237" s="94"/>
      <c r="W237" s="94"/>
      <c r="X237" s="93"/>
      <c r="Y237" s="93"/>
      <c r="Z237" s="85"/>
      <c r="AA237" s="85"/>
      <c r="AB237" s="85"/>
      <c r="AC237" s="85"/>
      <c r="AD237" s="85"/>
    </row>
    <row r="238" spans="16:30" x14ac:dyDescent="0.2">
      <c r="P238" s="85"/>
      <c r="Q238" s="91"/>
      <c r="R238" s="91"/>
      <c r="S238" s="91"/>
      <c r="T238" s="92"/>
      <c r="U238" s="93"/>
      <c r="V238" s="94"/>
      <c r="W238" s="94"/>
      <c r="X238" s="93"/>
      <c r="Y238" s="93"/>
      <c r="Z238" s="85"/>
      <c r="AA238" s="85"/>
      <c r="AB238" s="85"/>
      <c r="AC238" s="85"/>
      <c r="AD238" s="85"/>
    </row>
    <row r="239" spans="16:30" x14ac:dyDescent="0.2">
      <c r="P239" s="85"/>
      <c r="Q239" s="91"/>
      <c r="R239" s="91"/>
      <c r="S239" s="91"/>
      <c r="T239" s="92"/>
      <c r="U239" s="93"/>
      <c r="V239" s="94"/>
      <c r="W239" s="94"/>
      <c r="X239" s="93"/>
      <c r="Y239" s="93"/>
      <c r="Z239" s="85"/>
      <c r="AA239" s="85"/>
      <c r="AB239" s="85"/>
      <c r="AC239" s="85"/>
      <c r="AD239" s="85"/>
    </row>
    <row r="240" spans="16:30" x14ac:dyDescent="0.2">
      <c r="P240" s="85"/>
      <c r="Q240" s="91"/>
      <c r="R240" s="91"/>
      <c r="S240" s="91"/>
      <c r="T240" s="92"/>
      <c r="U240" s="93"/>
      <c r="V240" s="94"/>
      <c r="W240" s="94"/>
      <c r="X240" s="93"/>
      <c r="Y240" s="93"/>
      <c r="Z240" s="85"/>
      <c r="AA240" s="85"/>
      <c r="AB240" s="85"/>
      <c r="AC240" s="85"/>
      <c r="AD240" s="85"/>
    </row>
    <row r="241" spans="16:30" x14ac:dyDescent="0.2">
      <c r="P241" s="85"/>
      <c r="Q241" s="91"/>
      <c r="R241" s="91"/>
      <c r="S241" s="91"/>
      <c r="T241" s="92"/>
      <c r="U241" s="93"/>
      <c r="V241" s="94"/>
      <c r="W241" s="94"/>
      <c r="X241" s="93"/>
      <c r="Y241" s="93"/>
      <c r="Z241" s="85"/>
      <c r="AA241" s="85"/>
      <c r="AB241" s="85"/>
      <c r="AC241" s="85"/>
      <c r="AD241" s="85"/>
    </row>
    <row r="242" spans="16:30" x14ac:dyDescent="0.2">
      <c r="P242" s="85"/>
      <c r="Q242" s="91"/>
      <c r="R242" s="91"/>
      <c r="S242" s="91"/>
      <c r="T242" s="92"/>
      <c r="U242" s="93"/>
      <c r="V242" s="94"/>
      <c r="W242" s="94"/>
      <c r="X242" s="93"/>
      <c r="Y242" s="93"/>
      <c r="Z242" s="85"/>
      <c r="AA242" s="85"/>
      <c r="AB242" s="85"/>
      <c r="AC242" s="85"/>
      <c r="AD242" s="85"/>
    </row>
    <row r="243" spans="16:30" x14ac:dyDescent="0.2">
      <c r="P243" s="85"/>
      <c r="Q243" s="91"/>
      <c r="R243" s="91"/>
      <c r="S243" s="91"/>
      <c r="T243" s="92"/>
      <c r="U243" s="93"/>
      <c r="V243" s="94"/>
      <c r="W243" s="94"/>
      <c r="X243" s="93"/>
      <c r="Y243" s="93"/>
      <c r="Z243" s="85"/>
      <c r="AA243" s="85"/>
      <c r="AB243" s="85"/>
      <c r="AC243" s="85"/>
      <c r="AD243" s="85"/>
    </row>
    <row r="244" spans="16:30" x14ac:dyDescent="0.2">
      <c r="P244" s="85"/>
      <c r="Q244" s="91"/>
      <c r="R244" s="91"/>
      <c r="S244" s="91"/>
      <c r="T244" s="92"/>
      <c r="U244" s="93"/>
      <c r="V244" s="94"/>
      <c r="W244" s="94"/>
      <c r="X244" s="93"/>
      <c r="Y244" s="93"/>
      <c r="Z244" s="85"/>
      <c r="AA244" s="85"/>
      <c r="AB244" s="85"/>
      <c r="AC244" s="85"/>
      <c r="AD244" s="85"/>
    </row>
    <row r="245" spans="16:30" x14ac:dyDescent="0.2">
      <c r="P245" s="85"/>
      <c r="Q245" s="91"/>
      <c r="R245" s="91"/>
      <c r="S245" s="91"/>
      <c r="T245" s="92"/>
      <c r="U245" s="93"/>
      <c r="V245" s="94"/>
      <c r="W245" s="94"/>
      <c r="X245" s="93"/>
      <c r="Y245" s="93"/>
      <c r="Z245" s="85"/>
      <c r="AA245" s="85"/>
      <c r="AB245" s="85"/>
      <c r="AC245" s="85"/>
      <c r="AD245" s="85"/>
    </row>
    <row r="246" spans="16:30" x14ac:dyDescent="0.2">
      <c r="P246" s="85"/>
      <c r="Q246" s="91"/>
      <c r="R246" s="91"/>
      <c r="S246" s="91"/>
      <c r="T246" s="92"/>
      <c r="U246" s="93"/>
      <c r="V246" s="94"/>
      <c r="W246" s="94"/>
      <c r="X246" s="93"/>
      <c r="Y246" s="93"/>
      <c r="Z246" s="85"/>
      <c r="AA246" s="85"/>
      <c r="AB246" s="85"/>
      <c r="AC246" s="85"/>
      <c r="AD246" s="85"/>
    </row>
    <row r="247" spans="16:30" x14ac:dyDescent="0.2">
      <c r="P247" s="85"/>
      <c r="Q247" s="91"/>
      <c r="R247" s="91"/>
      <c r="S247" s="91"/>
      <c r="T247" s="92"/>
      <c r="U247" s="93"/>
      <c r="V247" s="94"/>
      <c r="W247" s="94"/>
      <c r="X247" s="93"/>
      <c r="Y247" s="93"/>
      <c r="Z247" s="85"/>
      <c r="AA247" s="85"/>
      <c r="AB247" s="85"/>
      <c r="AC247" s="85"/>
      <c r="AD247" s="85"/>
    </row>
    <row r="248" spans="16:30" x14ac:dyDescent="0.2">
      <c r="P248" s="85"/>
      <c r="Q248" s="91"/>
      <c r="R248" s="91"/>
      <c r="S248" s="91"/>
      <c r="T248" s="92"/>
      <c r="U248" s="93"/>
      <c r="V248" s="94"/>
      <c r="W248" s="94"/>
      <c r="X248" s="93"/>
      <c r="Y248" s="93"/>
      <c r="Z248" s="85"/>
      <c r="AA248" s="85"/>
      <c r="AB248" s="85"/>
      <c r="AC248" s="85"/>
      <c r="AD248" s="85"/>
    </row>
    <row r="249" spans="16:30" x14ac:dyDescent="0.2">
      <c r="P249" s="85"/>
      <c r="Q249" s="91"/>
      <c r="R249" s="91"/>
      <c r="S249" s="91"/>
      <c r="T249" s="92"/>
      <c r="U249" s="93"/>
      <c r="V249" s="94"/>
      <c r="W249" s="94"/>
      <c r="X249" s="93"/>
      <c r="Y249" s="93"/>
      <c r="Z249" s="85"/>
      <c r="AA249" s="85"/>
      <c r="AB249" s="85"/>
      <c r="AC249" s="85"/>
      <c r="AD249" s="85"/>
    </row>
    <row r="250" spans="16:30" x14ac:dyDescent="0.2">
      <c r="P250" s="85"/>
      <c r="Q250" s="91"/>
      <c r="R250" s="91"/>
      <c r="S250" s="91"/>
      <c r="T250" s="92"/>
      <c r="U250" s="93"/>
      <c r="V250" s="94"/>
      <c r="W250" s="94"/>
      <c r="X250" s="93"/>
      <c r="Y250" s="93"/>
      <c r="Z250" s="85"/>
      <c r="AA250" s="85"/>
      <c r="AB250" s="85"/>
      <c r="AC250" s="85"/>
      <c r="AD250" s="85"/>
    </row>
    <row r="251" spans="16:30" x14ac:dyDescent="0.2">
      <c r="P251" s="85"/>
      <c r="Q251" s="91"/>
      <c r="R251" s="91"/>
      <c r="S251" s="91"/>
      <c r="T251" s="92"/>
      <c r="U251" s="93"/>
      <c r="V251" s="94"/>
      <c r="W251" s="94"/>
      <c r="X251" s="93"/>
      <c r="Y251" s="93"/>
      <c r="Z251" s="85"/>
      <c r="AA251" s="85"/>
      <c r="AB251" s="85"/>
      <c r="AC251" s="85"/>
      <c r="AD251" s="85"/>
    </row>
    <row r="252" spans="16:30" x14ac:dyDescent="0.2">
      <c r="P252" s="85"/>
      <c r="Q252" s="91"/>
      <c r="R252" s="91"/>
      <c r="S252" s="91"/>
      <c r="T252" s="92"/>
      <c r="U252" s="93"/>
      <c r="V252" s="94"/>
      <c r="W252" s="94"/>
      <c r="X252" s="93"/>
      <c r="Y252" s="93"/>
      <c r="Z252" s="85"/>
      <c r="AA252" s="85"/>
      <c r="AB252" s="85"/>
      <c r="AC252" s="85"/>
      <c r="AD252" s="85"/>
    </row>
    <row r="253" spans="16:30" x14ac:dyDescent="0.2">
      <c r="P253" s="85"/>
      <c r="Q253" s="91"/>
      <c r="R253" s="91"/>
      <c r="S253" s="91"/>
      <c r="T253" s="92"/>
      <c r="U253" s="93"/>
      <c r="V253" s="94"/>
      <c r="W253" s="94"/>
      <c r="X253" s="93"/>
      <c r="Y253" s="93"/>
      <c r="Z253" s="85"/>
      <c r="AA253" s="85"/>
      <c r="AB253" s="85"/>
      <c r="AC253" s="85"/>
      <c r="AD253" s="85"/>
    </row>
    <row r="254" spans="16:30" x14ac:dyDescent="0.2">
      <c r="P254" s="85"/>
      <c r="Q254" s="91"/>
      <c r="R254" s="91"/>
      <c r="S254" s="91"/>
      <c r="T254" s="92"/>
      <c r="U254" s="93"/>
      <c r="V254" s="94"/>
      <c r="W254" s="94"/>
      <c r="X254" s="93"/>
      <c r="Y254" s="93"/>
      <c r="Z254" s="85"/>
      <c r="AA254" s="85"/>
      <c r="AB254" s="85"/>
      <c r="AC254" s="85"/>
      <c r="AD254" s="85"/>
    </row>
    <row r="255" spans="16:30" x14ac:dyDescent="0.2">
      <c r="P255" s="85"/>
      <c r="Q255" s="91"/>
      <c r="R255" s="91"/>
      <c r="S255" s="91"/>
      <c r="T255" s="92"/>
      <c r="U255" s="93"/>
      <c r="V255" s="94"/>
      <c r="W255" s="94"/>
      <c r="X255" s="93"/>
      <c r="Y255" s="93"/>
      <c r="Z255" s="85"/>
      <c r="AA255" s="85"/>
      <c r="AB255" s="85"/>
      <c r="AC255" s="85"/>
      <c r="AD255" s="85"/>
    </row>
    <row r="256" spans="16:30" x14ac:dyDescent="0.2">
      <c r="P256" s="85"/>
      <c r="Q256" s="91"/>
      <c r="R256" s="91"/>
      <c r="S256" s="91"/>
      <c r="T256" s="92"/>
      <c r="U256" s="93"/>
      <c r="V256" s="94"/>
      <c r="W256" s="94"/>
      <c r="X256" s="93"/>
      <c r="Y256" s="93"/>
      <c r="Z256" s="85"/>
      <c r="AA256" s="85"/>
      <c r="AB256" s="85"/>
      <c r="AC256" s="85"/>
      <c r="AD256" s="85"/>
    </row>
    <row r="257" spans="16:30" x14ac:dyDescent="0.2">
      <c r="P257" s="85"/>
      <c r="Q257" s="91"/>
      <c r="R257" s="91"/>
      <c r="S257" s="91"/>
      <c r="T257" s="92"/>
      <c r="U257" s="93"/>
      <c r="V257" s="94"/>
      <c r="W257" s="94"/>
      <c r="X257" s="93"/>
      <c r="Y257" s="93"/>
      <c r="Z257" s="85"/>
      <c r="AA257" s="85"/>
      <c r="AB257" s="85"/>
      <c r="AC257" s="85"/>
      <c r="AD257" s="85"/>
    </row>
    <row r="258" spans="16:30" x14ac:dyDescent="0.2">
      <c r="P258" s="85"/>
      <c r="Q258" s="91"/>
      <c r="R258" s="91"/>
      <c r="S258" s="91"/>
      <c r="T258" s="92"/>
      <c r="U258" s="93"/>
      <c r="V258" s="94"/>
      <c r="W258" s="94"/>
      <c r="X258" s="93"/>
      <c r="Y258" s="93"/>
      <c r="Z258" s="85"/>
      <c r="AA258" s="85"/>
      <c r="AB258" s="85"/>
      <c r="AC258" s="85"/>
      <c r="AD258" s="85"/>
    </row>
    <row r="259" spans="16:30" x14ac:dyDescent="0.2">
      <c r="P259" s="85"/>
      <c r="Q259" s="91"/>
      <c r="R259" s="91"/>
      <c r="S259" s="91"/>
      <c r="T259" s="92"/>
      <c r="U259" s="93"/>
      <c r="V259" s="94"/>
      <c r="W259" s="94"/>
      <c r="X259" s="93"/>
      <c r="Y259" s="93"/>
      <c r="Z259" s="85"/>
      <c r="AA259" s="85"/>
      <c r="AB259" s="85"/>
      <c r="AC259" s="85"/>
      <c r="AD259" s="85"/>
    </row>
    <row r="260" spans="16:30" x14ac:dyDescent="0.2">
      <c r="P260" s="85"/>
      <c r="Q260" s="91"/>
      <c r="R260" s="91"/>
      <c r="S260" s="91"/>
      <c r="T260" s="92"/>
      <c r="U260" s="93"/>
      <c r="V260" s="94"/>
      <c r="W260" s="94"/>
      <c r="X260" s="93"/>
      <c r="Y260" s="93"/>
      <c r="Z260" s="85"/>
      <c r="AA260" s="85"/>
      <c r="AB260" s="85"/>
      <c r="AC260" s="85"/>
      <c r="AD260" s="85"/>
    </row>
    <row r="261" spans="16:30" x14ac:dyDescent="0.2">
      <c r="P261" s="85"/>
      <c r="Q261" s="91"/>
      <c r="R261" s="91"/>
      <c r="S261" s="91"/>
      <c r="T261" s="92"/>
      <c r="U261" s="93"/>
      <c r="V261" s="94"/>
      <c r="W261" s="94"/>
      <c r="X261" s="93"/>
      <c r="Y261" s="93"/>
      <c r="Z261" s="85"/>
      <c r="AA261" s="85"/>
      <c r="AB261" s="85"/>
      <c r="AC261" s="85"/>
      <c r="AD261" s="85"/>
    </row>
    <row r="262" spans="16:30" x14ac:dyDescent="0.2">
      <c r="P262" s="85"/>
      <c r="Q262" s="91"/>
      <c r="R262" s="91"/>
      <c r="S262" s="91"/>
      <c r="T262" s="92"/>
      <c r="U262" s="93"/>
      <c r="V262" s="94"/>
      <c r="W262" s="94"/>
      <c r="X262" s="93"/>
      <c r="Y262" s="93"/>
      <c r="Z262" s="85"/>
      <c r="AA262" s="85"/>
      <c r="AB262" s="85"/>
      <c r="AC262" s="85"/>
      <c r="AD262" s="85"/>
    </row>
    <row r="263" spans="16:30" x14ac:dyDescent="0.2">
      <c r="P263" s="85"/>
      <c r="Q263" s="91"/>
      <c r="R263" s="91"/>
      <c r="S263" s="91"/>
      <c r="T263" s="92"/>
      <c r="U263" s="93"/>
      <c r="V263" s="94"/>
      <c r="W263" s="94"/>
      <c r="X263" s="93"/>
      <c r="Y263" s="93"/>
      <c r="Z263" s="85"/>
      <c r="AA263" s="85"/>
      <c r="AB263" s="85"/>
      <c r="AC263" s="85"/>
      <c r="AD263" s="85"/>
    </row>
    <row r="264" spans="16:30" x14ac:dyDescent="0.2">
      <c r="P264" s="85"/>
      <c r="Q264" s="91"/>
      <c r="R264" s="91"/>
      <c r="S264" s="91"/>
      <c r="T264" s="92"/>
      <c r="U264" s="93"/>
      <c r="V264" s="94"/>
      <c r="W264" s="94"/>
      <c r="X264" s="93"/>
      <c r="Y264" s="93"/>
      <c r="Z264" s="85"/>
      <c r="AA264" s="85"/>
      <c r="AB264" s="85"/>
      <c r="AC264" s="85"/>
      <c r="AD264" s="85"/>
    </row>
    <row r="265" spans="16:30" x14ac:dyDescent="0.2">
      <c r="P265" s="85"/>
      <c r="Q265" s="91"/>
      <c r="R265" s="91"/>
      <c r="S265" s="91"/>
      <c r="T265" s="92"/>
      <c r="U265" s="93"/>
      <c r="V265" s="94"/>
      <c r="W265" s="94"/>
      <c r="X265" s="93"/>
      <c r="Y265" s="93"/>
      <c r="Z265" s="85"/>
      <c r="AA265" s="85"/>
      <c r="AB265" s="85"/>
      <c r="AC265" s="85"/>
      <c r="AD265" s="85"/>
    </row>
    <row r="266" spans="16:30" x14ac:dyDescent="0.2">
      <c r="P266" s="85"/>
      <c r="Q266" s="91"/>
      <c r="R266" s="91"/>
      <c r="S266" s="91"/>
      <c r="T266" s="92"/>
      <c r="U266" s="93"/>
      <c r="V266" s="94"/>
      <c r="W266" s="94"/>
      <c r="X266" s="93"/>
      <c r="Y266" s="93"/>
      <c r="Z266" s="85"/>
      <c r="AA266" s="85"/>
      <c r="AB266" s="85"/>
      <c r="AC266" s="85"/>
      <c r="AD266" s="85"/>
    </row>
    <row r="267" spans="16:30" x14ac:dyDescent="0.2">
      <c r="P267" s="85"/>
      <c r="Q267" s="91"/>
      <c r="R267" s="91"/>
      <c r="S267" s="91"/>
      <c r="T267" s="92"/>
      <c r="U267" s="93"/>
      <c r="V267" s="94"/>
      <c r="W267" s="94"/>
      <c r="X267" s="93"/>
      <c r="Y267" s="93"/>
      <c r="Z267" s="85"/>
      <c r="AA267" s="85"/>
      <c r="AB267" s="85"/>
      <c r="AC267" s="85"/>
      <c r="AD267" s="85"/>
    </row>
    <row r="268" spans="16:30" x14ac:dyDescent="0.2">
      <c r="P268" s="85"/>
      <c r="Q268" s="91"/>
      <c r="R268" s="91"/>
      <c r="S268" s="91"/>
      <c r="T268" s="92"/>
      <c r="U268" s="93"/>
      <c r="V268" s="94"/>
      <c r="W268" s="94"/>
      <c r="X268" s="93"/>
      <c r="Y268" s="93"/>
      <c r="Z268" s="85"/>
      <c r="AA268" s="85"/>
      <c r="AB268" s="85"/>
      <c r="AC268" s="85"/>
      <c r="AD268" s="85"/>
    </row>
    <row r="269" spans="16:30" x14ac:dyDescent="0.2">
      <c r="P269" s="85"/>
      <c r="Q269" s="91"/>
      <c r="R269" s="91"/>
      <c r="S269" s="91"/>
      <c r="T269" s="92"/>
      <c r="U269" s="93"/>
      <c r="V269" s="94"/>
      <c r="W269" s="94"/>
      <c r="X269" s="93"/>
      <c r="Y269" s="93"/>
      <c r="Z269" s="85"/>
      <c r="AA269" s="85"/>
      <c r="AB269" s="85"/>
      <c r="AC269" s="85"/>
      <c r="AD269" s="85"/>
    </row>
    <row r="270" spans="16:30" x14ac:dyDescent="0.2">
      <c r="P270" s="85"/>
      <c r="Q270" s="91"/>
      <c r="R270" s="91"/>
      <c r="S270" s="91"/>
      <c r="T270" s="92"/>
      <c r="U270" s="93"/>
      <c r="V270" s="94"/>
      <c r="W270" s="94"/>
      <c r="X270" s="93"/>
      <c r="Y270" s="93"/>
      <c r="Z270" s="85"/>
      <c r="AA270" s="85"/>
      <c r="AB270" s="85"/>
      <c r="AC270" s="85"/>
      <c r="AD270" s="85"/>
    </row>
    <row r="271" spans="16:30" x14ac:dyDescent="0.2">
      <c r="P271" s="85"/>
      <c r="Q271" s="91"/>
      <c r="R271" s="91"/>
      <c r="S271" s="91"/>
      <c r="T271" s="92"/>
      <c r="U271" s="93"/>
      <c r="V271" s="94"/>
      <c r="W271" s="94"/>
      <c r="X271" s="93"/>
      <c r="Y271" s="93"/>
      <c r="Z271" s="85"/>
      <c r="AA271" s="85"/>
      <c r="AB271" s="85"/>
      <c r="AC271" s="85"/>
      <c r="AD271" s="85"/>
    </row>
    <row r="272" spans="16:30" x14ac:dyDescent="0.2">
      <c r="P272" s="85"/>
      <c r="Q272" s="91"/>
      <c r="R272" s="91"/>
      <c r="S272" s="91"/>
      <c r="T272" s="92"/>
      <c r="U272" s="93"/>
      <c r="V272" s="94"/>
      <c r="W272" s="94"/>
      <c r="X272" s="93"/>
      <c r="Y272" s="93"/>
      <c r="Z272" s="85"/>
      <c r="AA272" s="85"/>
      <c r="AB272" s="85"/>
      <c r="AC272" s="85"/>
      <c r="AD272" s="85"/>
    </row>
    <row r="273" spans="16:30" x14ac:dyDescent="0.2">
      <c r="P273" s="85"/>
      <c r="Q273" s="91"/>
      <c r="R273" s="91"/>
      <c r="S273" s="91"/>
      <c r="T273" s="92"/>
      <c r="U273" s="93"/>
      <c r="V273" s="94"/>
      <c r="W273" s="94"/>
      <c r="X273" s="93"/>
      <c r="Y273" s="93"/>
      <c r="Z273" s="85"/>
      <c r="AA273" s="85"/>
      <c r="AB273" s="85"/>
      <c r="AC273" s="85"/>
      <c r="AD273" s="85"/>
    </row>
    <row r="274" spans="16:30" x14ac:dyDescent="0.2">
      <c r="P274" s="85"/>
      <c r="Q274" s="91"/>
      <c r="R274" s="91"/>
      <c r="S274" s="91"/>
      <c r="T274" s="92"/>
      <c r="U274" s="93"/>
      <c r="V274" s="94"/>
      <c r="W274" s="94"/>
      <c r="X274" s="93"/>
      <c r="Y274" s="93"/>
      <c r="Z274" s="85"/>
      <c r="AA274" s="85"/>
      <c r="AB274" s="85"/>
      <c r="AC274" s="85"/>
      <c r="AD274" s="85"/>
    </row>
    <row r="275" spans="16:30" x14ac:dyDescent="0.2">
      <c r="P275" s="85"/>
      <c r="Q275" s="91"/>
      <c r="R275" s="91"/>
      <c r="S275" s="91"/>
      <c r="T275" s="92"/>
      <c r="U275" s="93"/>
      <c r="V275" s="94"/>
      <c r="W275" s="94"/>
      <c r="X275" s="93"/>
      <c r="Y275" s="93"/>
      <c r="Z275" s="85"/>
      <c r="AA275" s="85"/>
      <c r="AB275" s="85"/>
      <c r="AC275" s="85"/>
      <c r="AD275" s="85"/>
    </row>
    <row r="276" spans="16:30" x14ac:dyDescent="0.2">
      <c r="P276" s="85"/>
      <c r="Q276" s="91"/>
      <c r="R276" s="91"/>
      <c r="S276" s="91"/>
      <c r="T276" s="92"/>
      <c r="U276" s="93"/>
      <c r="V276" s="94"/>
      <c r="W276" s="94"/>
      <c r="X276" s="93"/>
      <c r="Y276" s="93"/>
      <c r="Z276" s="85"/>
      <c r="AA276" s="85"/>
      <c r="AB276" s="85"/>
      <c r="AC276" s="85"/>
      <c r="AD276" s="85"/>
    </row>
    <row r="277" spans="16:30" x14ac:dyDescent="0.2">
      <c r="P277" s="85"/>
      <c r="Q277" s="91"/>
      <c r="R277" s="91"/>
      <c r="S277" s="91"/>
      <c r="T277" s="92"/>
      <c r="U277" s="93"/>
      <c r="V277" s="94"/>
      <c r="W277" s="94"/>
      <c r="X277" s="93"/>
      <c r="Y277" s="93"/>
      <c r="Z277" s="85"/>
      <c r="AA277" s="85"/>
      <c r="AB277" s="85"/>
      <c r="AC277" s="85"/>
      <c r="AD277" s="85"/>
    </row>
    <row r="278" spans="16:30" x14ac:dyDescent="0.2">
      <c r="P278" s="85"/>
      <c r="Q278" s="91"/>
      <c r="R278" s="91"/>
      <c r="S278" s="91"/>
      <c r="T278" s="92"/>
      <c r="U278" s="93"/>
      <c r="V278" s="94"/>
      <c r="W278" s="94"/>
      <c r="X278" s="93"/>
      <c r="Y278" s="93"/>
      <c r="Z278" s="85"/>
      <c r="AA278" s="85"/>
      <c r="AB278" s="85"/>
      <c r="AC278" s="85"/>
      <c r="AD278" s="85"/>
    </row>
    <row r="279" spans="16:30" x14ac:dyDescent="0.2">
      <c r="P279" s="85"/>
      <c r="Q279" s="91"/>
      <c r="R279" s="91"/>
      <c r="S279" s="91"/>
      <c r="T279" s="92"/>
      <c r="U279" s="93"/>
      <c r="V279" s="94"/>
      <c r="W279" s="94"/>
      <c r="X279" s="93"/>
      <c r="Y279" s="93"/>
      <c r="Z279" s="85"/>
      <c r="AA279" s="85"/>
      <c r="AB279" s="85"/>
      <c r="AC279" s="85"/>
      <c r="AD279" s="85"/>
    </row>
    <row r="280" spans="16:30" x14ac:dyDescent="0.2">
      <c r="P280" s="85"/>
      <c r="Q280" s="91"/>
      <c r="R280" s="91"/>
      <c r="S280" s="91"/>
      <c r="T280" s="92"/>
      <c r="U280" s="93"/>
      <c r="V280" s="94"/>
      <c r="W280" s="94"/>
      <c r="X280" s="93"/>
      <c r="Y280" s="93"/>
      <c r="Z280" s="85"/>
      <c r="AA280" s="85"/>
      <c r="AB280" s="85"/>
      <c r="AC280" s="85"/>
      <c r="AD280" s="85"/>
    </row>
    <row r="281" spans="16:30" x14ac:dyDescent="0.2">
      <c r="P281" s="85"/>
      <c r="Q281" s="91"/>
      <c r="R281" s="91"/>
      <c r="S281" s="91"/>
      <c r="T281" s="92"/>
      <c r="U281" s="93"/>
      <c r="V281" s="94"/>
      <c r="W281" s="94"/>
      <c r="X281" s="93"/>
      <c r="Y281" s="93"/>
      <c r="Z281" s="85"/>
      <c r="AA281" s="85"/>
      <c r="AB281" s="85"/>
      <c r="AC281" s="85"/>
      <c r="AD281" s="85"/>
    </row>
    <row r="282" spans="16:30" x14ac:dyDescent="0.2">
      <c r="P282" s="85"/>
      <c r="Q282" s="91"/>
      <c r="R282" s="91"/>
      <c r="S282" s="91"/>
      <c r="T282" s="92"/>
      <c r="U282" s="93"/>
      <c r="V282" s="94"/>
      <c r="W282" s="94"/>
      <c r="X282" s="93"/>
      <c r="Y282" s="93"/>
      <c r="Z282" s="85"/>
      <c r="AA282" s="85"/>
      <c r="AB282" s="85"/>
      <c r="AC282" s="85"/>
      <c r="AD282" s="85"/>
    </row>
    <row r="283" spans="16:30" x14ac:dyDescent="0.2">
      <c r="P283" s="85"/>
      <c r="Q283" s="91"/>
      <c r="R283" s="91"/>
      <c r="S283" s="91"/>
      <c r="T283" s="92"/>
      <c r="U283" s="93"/>
      <c r="V283" s="94"/>
      <c r="W283" s="94"/>
      <c r="X283" s="93"/>
      <c r="Y283" s="93"/>
      <c r="Z283" s="85"/>
      <c r="AA283" s="85"/>
      <c r="AB283" s="85"/>
      <c r="AC283" s="85"/>
      <c r="AD283" s="85"/>
    </row>
    <row r="284" spans="16:30" x14ac:dyDescent="0.2">
      <c r="P284" s="85"/>
      <c r="Q284" s="91"/>
      <c r="R284" s="91"/>
      <c r="S284" s="91"/>
      <c r="T284" s="92"/>
      <c r="U284" s="93"/>
      <c r="V284" s="94"/>
      <c r="W284" s="94"/>
      <c r="X284" s="93"/>
      <c r="Y284" s="93"/>
      <c r="Z284" s="85"/>
      <c r="AA284" s="85"/>
      <c r="AB284" s="85"/>
      <c r="AC284" s="85"/>
      <c r="AD284" s="85"/>
    </row>
    <row r="285" spans="16:30" x14ac:dyDescent="0.2">
      <c r="P285" s="85"/>
      <c r="Q285" s="91"/>
      <c r="R285" s="91"/>
      <c r="S285" s="91"/>
      <c r="T285" s="92"/>
      <c r="U285" s="93"/>
      <c r="V285" s="94"/>
      <c r="W285" s="94"/>
      <c r="X285" s="93"/>
      <c r="Y285" s="93"/>
      <c r="Z285" s="85"/>
      <c r="AA285" s="85"/>
      <c r="AB285" s="85"/>
      <c r="AC285" s="85"/>
      <c r="AD285" s="85"/>
    </row>
    <row r="286" spans="16:30" x14ac:dyDescent="0.2">
      <c r="P286" s="85"/>
      <c r="Q286" s="91"/>
      <c r="R286" s="91"/>
      <c r="S286" s="91"/>
      <c r="T286" s="92"/>
      <c r="U286" s="93"/>
      <c r="V286" s="94"/>
      <c r="W286" s="94"/>
      <c r="X286" s="93"/>
      <c r="Y286" s="93"/>
      <c r="Z286" s="85"/>
      <c r="AA286" s="85"/>
      <c r="AB286" s="85"/>
      <c r="AC286" s="85"/>
      <c r="AD286" s="85"/>
    </row>
    <row r="287" spans="16:30" x14ac:dyDescent="0.2">
      <c r="P287" s="85"/>
      <c r="Q287" s="91"/>
      <c r="R287" s="91"/>
      <c r="S287" s="91"/>
      <c r="T287" s="92"/>
      <c r="U287" s="93"/>
      <c r="V287" s="94"/>
      <c r="W287" s="94"/>
      <c r="X287" s="93"/>
      <c r="Y287" s="93"/>
      <c r="Z287" s="85"/>
      <c r="AA287" s="85"/>
      <c r="AB287" s="85"/>
      <c r="AC287" s="85"/>
      <c r="AD287" s="85"/>
    </row>
    <row r="288" spans="16:30" x14ac:dyDescent="0.2">
      <c r="P288" s="85"/>
      <c r="Q288" s="91"/>
      <c r="R288" s="91"/>
      <c r="S288" s="91"/>
      <c r="T288" s="92"/>
      <c r="U288" s="93"/>
      <c r="V288" s="94"/>
      <c r="W288" s="94"/>
      <c r="X288" s="93"/>
      <c r="Y288" s="93"/>
      <c r="Z288" s="85"/>
      <c r="AA288" s="85"/>
      <c r="AB288" s="85"/>
      <c r="AC288" s="85"/>
      <c r="AD288" s="85"/>
    </row>
    <row r="289" spans="16:30" x14ac:dyDescent="0.2">
      <c r="P289" s="85"/>
      <c r="Q289" s="91"/>
      <c r="R289" s="91"/>
      <c r="S289" s="91"/>
      <c r="T289" s="92"/>
      <c r="U289" s="93"/>
      <c r="V289" s="94"/>
      <c r="W289" s="94"/>
      <c r="X289" s="93"/>
      <c r="Y289" s="93"/>
      <c r="Z289" s="85"/>
      <c r="AA289" s="85"/>
      <c r="AB289" s="85"/>
      <c r="AC289" s="85"/>
      <c r="AD289" s="85"/>
    </row>
    <row r="290" spans="16:30" x14ac:dyDescent="0.2">
      <c r="P290" s="85"/>
      <c r="Q290" s="91"/>
      <c r="R290" s="91"/>
      <c r="S290" s="91"/>
      <c r="T290" s="92"/>
      <c r="U290" s="93"/>
      <c r="V290" s="94"/>
      <c r="W290" s="94"/>
      <c r="X290" s="93"/>
      <c r="Y290" s="93"/>
      <c r="Z290" s="85"/>
      <c r="AA290" s="85"/>
      <c r="AB290" s="85"/>
      <c r="AC290" s="85"/>
      <c r="AD290" s="85"/>
    </row>
    <row r="291" spans="16:30" x14ac:dyDescent="0.2">
      <c r="P291" s="85"/>
      <c r="Q291" s="91"/>
      <c r="R291" s="91"/>
      <c r="S291" s="91"/>
      <c r="T291" s="92"/>
      <c r="U291" s="93"/>
      <c r="V291" s="94"/>
      <c r="W291" s="94"/>
      <c r="X291" s="93"/>
      <c r="Y291" s="93"/>
      <c r="Z291" s="85"/>
      <c r="AA291" s="85"/>
      <c r="AB291" s="85"/>
      <c r="AC291" s="85"/>
      <c r="AD291" s="85"/>
    </row>
    <row r="292" spans="16:30" x14ac:dyDescent="0.2">
      <c r="P292" s="85"/>
      <c r="Q292" s="91"/>
      <c r="R292" s="91"/>
      <c r="S292" s="91"/>
      <c r="T292" s="92"/>
      <c r="U292" s="93"/>
      <c r="V292" s="94"/>
      <c r="W292" s="94"/>
      <c r="X292" s="93"/>
      <c r="Y292" s="93"/>
      <c r="Z292" s="85"/>
      <c r="AA292" s="85"/>
      <c r="AB292" s="85"/>
      <c r="AC292" s="85"/>
      <c r="AD292" s="85"/>
    </row>
    <row r="293" spans="16:30" x14ac:dyDescent="0.2">
      <c r="P293" s="85"/>
      <c r="Q293" s="91"/>
      <c r="R293" s="91"/>
      <c r="S293" s="91"/>
      <c r="T293" s="92"/>
      <c r="U293" s="93"/>
      <c r="V293" s="94"/>
      <c r="W293" s="94"/>
      <c r="X293" s="93"/>
      <c r="Y293" s="93"/>
      <c r="Z293" s="85"/>
      <c r="AA293" s="85"/>
      <c r="AB293" s="85"/>
      <c r="AC293" s="85"/>
      <c r="AD293" s="85"/>
    </row>
    <row r="294" spans="16:30" x14ac:dyDescent="0.2">
      <c r="P294" s="85"/>
      <c r="Q294" s="91"/>
      <c r="R294" s="91"/>
      <c r="S294" s="91"/>
      <c r="T294" s="92"/>
      <c r="U294" s="93"/>
      <c r="V294" s="94"/>
      <c r="W294" s="94"/>
      <c r="X294" s="93"/>
      <c r="Y294" s="93"/>
      <c r="Z294" s="85"/>
      <c r="AA294" s="85"/>
      <c r="AB294" s="85"/>
      <c r="AC294" s="85"/>
      <c r="AD294" s="85"/>
    </row>
    <row r="295" spans="16:30" x14ac:dyDescent="0.2">
      <c r="P295" s="85"/>
      <c r="Q295" s="91"/>
      <c r="R295" s="91"/>
      <c r="S295" s="91"/>
      <c r="T295" s="92"/>
      <c r="U295" s="93"/>
      <c r="V295" s="94"/>
      <c r="W295" s="94"/>
      <c r="X295" s="93"/>
      <c r="Y295" s="93"/>
      <c r="Z295" s="85"/>
      <c r="AA295" s="85"/>
      <c r="AB295" s="85"/>
      <c r="AC295" s="85"/>
      <c r="AD295" s="85"/>
    </row>
    <row r="296" spans="16:30" x14ac:dyDescent="0.2">
      <c r="P296" s="85"/>
      <c r="Q296" s="91"/>
      <c r="R296" s="91"/>
      <c r="S296" s="91"/>
      <c r="T296" s="92"/>
      <c r="U296" s="93"/>
      <c r="V296" s="94"/>
      <c r="W296" s="94"/>
      <c r="X296" s="93"/>
      <c r="Y296" s="93"/>
      <c r="Z296" s="85"/>
      <c r="AA296" s="85"/>
      <c r="AB296" s="85"/>
      <c r="AC296" s="85"/>
      <c r="AD296" s="85"/>
    </row>
    <row r="297" spans="16:30" x14ac:dyDescent="0.2">
      <c r="P297" s="85"/>
      <c r="Q297" s="91"/>
      <c r="R297" s="91"/>
      <c r="S297" s="91"/>
      <c r="T297" s="92"/>
      <c r="U297" s="93"/>
      <c r="V297" s="94"/>
      <c r="W297" s="94"/>
      <c r="X297" s="93"/>
      <c r="Y297" s="93"/>
      <c r="Z297" s="85"/>
      <c r="AA297" s="85"/>
      <c r="AB297" s="85"/>
      <c r="AC297" s="85"/>
      <c r="AD297" s="85"/>
    </row>
    <row r="298" spans="16:30" x14ac:dyDescent="0.2">
      <c r="P298" s="85"/>
      <c r="Q298" s="91"/>
      <c r="R298" s="91"/>
      <c r="S298" s="91"/>
      <c r="T298" s="92"/>
      <c r="U298" s="93"/>
      <c r="V298" s="94"/>
      <c r="W298" s="94"/>
      <c r="X298" s="93"/>
      <c r="Y298" s="93"/>
      <c r="Z298" s="85"/>
      <c r="AA298" s="85"/>
      <c r="AB298" s="85"/>
      <c r="AC298" s="85"/>
      <c r="AD298" s="85"/>
    </row>
    <row r="299" spans="16:30" x14ac:dyDescent="0.2">
      <c r="P299" s="85"/>
      <c r="Q299" s="91"/>
      <c r="R299" s="91"/>
      <c r="S299" s="91"/>
      <c r="T299" s="92"/>
      <c r="U299" s="93"/>
      <c r="V299" s="94"/>
      <c r="W299" s="94"/>
      <c r="X299" s="93"/>
      <c r="Y299" s="93"/>
      <c r="Z299" s="85"/>
      <c r="AA299" s="85"/>
      <c r="AB299" s="85"/>
      <c r="AC299" s="85"/>
      <c r="AD299" s="85"/>
    </row>
    <row r="300" spans="16:30" x14ac:dyDescent="0.2">
      <c r="P300" s="85"/>
      <c r="Q300" s="91"/>
      <c r="R300" s="91"/>
      <c r="S300" s="91"/>
      <c r="T300" s="92"/>
      <c r="U300" s="93"/>
      <c r="V300" s="94"/>
      <c r="W300" s="94"/>
      <c r="X300" s="93"/>
      <c r="Y300" s="93"/>
      <c r="Z300" s="85"/>
      <c r="AA300" s="85"/>
      <c r="AB300" s="85"/>
      <c r="AC300" s="85"/>
      <c r="AD300" s="85"/>
    </row>
    <row r="301" spans="16:30" x14ac:dyDescent="0.2">
      <c r="P301" s="85"/>
      <c r="Q301" s="91"/>
      <c r="R301" s="91"/>
      <c r="S301" s="91"/>
      <c r="T301" s="92"/>
      <c r="U301" s="93"/>
      <c r="V301" s="94"/>
      <c r="W301" s="94"/>
      <c r="X301" s="93"/>
      <c r="Y301" s="93"/>
      <c r="Z301" s="85"/>
      <c r="AA301" s="85"/>
      <c r="AB301" s="85"/>
      <c r="AC301" s="85"/>
      <c r="AD301" s="85"/>
    </row>
    <row r="302" spans="16:30" x14ac:dyDescent="0.2">
      <c r="P302" s="85"/>
      <c r="Q302" s="91"/>
      <c r="R302" s="91"/>
      <c r="S302" s="91"/>
      <c r="T302" s="92"/>
      <c r="U302" s="93"/>
      <c r="V302" s="94"/>
      <c r="W302" s="94"/>
      <c r="X302" s="93"/>
      <c r="Y302" s="93"/>
      <c r="Z302" s="85"/>
      <c r="AA302" s="85"/>
      <c r="AB302" s="85"/>
      <c r="AC302" s="85"/>
      <c r="AD302" s="85"/>
    </row>
    <row r="303" spans="16:30" x14ac:dyDescent="0.2">
      <c r="P303" s="85"/>
      <c r="Q303" s="91"/>
      <c r="R303" s="91"/>
      <c r="S303" s="91"/>
      <c r="T303" s="92"/>
      <c r="U303" s="93"/>
      <c r="V303" s="94"/>
      <c r="W303" s="94"/>
      <c r="X303" s="93"/>
      <c r="Y303" s="93"/>
      <c r="Z303" s="85"/>
      <c r="AA303" s="85"/>
      <c r="AB303" s="85"/>
      <c r="AC303" s="85"/>
      <c r="AD303" s="85"/>
    </row>
    <row r="304" spans="16:30" x14ac:dyDescent="0.2">
      <c r="P304" s="85"/>
      <c r="Q304" s="91"/>
      <c r="R304" s="91"/>
      <c r="S304" s="91"/>
      <c r="T304" s="92"/>
      <c r="U304" s="93"/>
      <c r="V304" s="94"/>
      <c r="W304" s="94"/>
      <c r="X304" s="93"/>
      <c r="Y304" s="93"/>
      <c r="Z304" s="85"/>
      <c r="AA304" s="85"/>
      <c r="AB304" s="85"/>
      <c r="AC304" s="85"/>
      <c r="AD304" s="85"/>
    </row>
    <row r="305" spans="16:30" x14ac:dyDescent="0.2">
      <c r="P305" s="85"/>
      <c r="Q305" s="91"/>
      <c r="R305" s="91"/>
      <c r="S305" s="91"/>
      <c r="T305" s="92"/>
      <c r="U305" s="93"/>
      <c r="V305" s="94"/>
      <c r="W305" s="94"/>
      <c r="X305" s="93"/>
      <c r="Y305" s="93"/>
      <c r="Z305" s="85"/>
      <c r="AA305" s="85"/>
      <c r="AB305" s="85"/>
      <c r="AC305" s="85"/>
      <c r="AD305" s="85"/>
    </row>
    <row r="306" spans="16:30" x14ac:dyDescent="0.2">
      <c r="P306" s="85"/>
      <c r="Q306" s="91"/>
      <c r="R306" s="91"/>
      <c r="S306" s="91"/>
      <c r="T306" s="92"/>
      <c r="U306" s="93"/>
      <c r="V306" s="94"/>
      <c r="W306" s="94"/>
      <c r="X306" s="93"/>
      <c r="Y306" s="93"/>
      <c r="Z306" s="85"/>
      <c r="AA306" s="85"/>
      <c r="AB306" s="85"/>
      <c r="AC306" s="85"/>
      <c r="AD306" s="85"/>
    </row>
    <row r="307" spans="16:30" x14ac:dyDescent="0.2">
      <c r="P307" s="85"/>
      <c r="Q307" s="91"/>
      <c r="R307" s="91"/>
      <c r="S307" s="91"/>
      <c r="T307" s="92"/>
      <c r="U307" s="93"/>
      <c r="V307" s="94"/>
      <c r="W307" s="94"/>
      <c r="X307" s="93"/>
      <c r="Y307" s="93"/>
      <c r="Z307" s="85"/>
      <c r="AA307" s="85"/>
      <c r="AB307" s="85"/>
      <c r="AC307" s="85"/>
      <c r="AD307" s="85"/>
    </row>
    <row r="308" spans="16:30" x14ac:dyDescent="0.2">
      <c r="P308" s="85"/>
      <c r="Q308" s="91"/>
      <c r="R308" s="91"/>
      <c r="S308" s="91"/>
      <c r="T308" s="92"/>
      <c r="U308" s="93"/>
      <c r="V308" s="94"/>
      <c r="W308" s="94"/>
      <c r="X308" s="93"/>
      <c r="Y308" s="93"/>
      <c r="Z308" s="85"/>
      <c r="AA308" s="85"/>
      <c r="AB308" s="85"/>
      <c r="AC308" s="85"/>
      <c r="AD308" s="85"/>
    </row>
    <row r="309" spans="16:30" x14ac:dyDescent="0.2">
      <c r="P309" s="85"/>
      <c r="Q309" s="91"/>
      <c r="R309" s="91"/>
      <c r="S309" s="91"/>
      <c r="T309" s="92"/>
      <c r="U309" s="93"/>
      <c r="V309" s="94"/>
      <c r="W309" s="94"/>
      <c r="X309" s="93"/>
      <c r="Y309" s="93"/>
      <c r="Z309" s="85"/>
      <c r="AA309" s="85"/>
      <c r="AB309" s="85"/>
      <c r="AC309" s="85"/>
      <c r="AD309" s="85"/>
    </row>
    <row r="310" spans="16:30" x14ac:dyDescent="0.2">
      <c r="P310" s="85"/>
      <c r="Q310" s="91"/>
      <c r="R310" s="91"/>
      <c r="S310" s="91"/>
      <c r="T310" s="92"/>
      <c r="U310" s="93"/>
      <c r="V310" s="94"/>
      <c r="W310" s="94"/>
      <c r="X310" s="93"/>
      <c r="Y310" s="93"/>
      <c r="Z310" s="85"/>
      <c r="AA310" s="85"/>
      <c r="AB310" s="85"/>
      <c r="AC310" s="85"/>
      <c r="AD310" s="85"/>
    </row>
    <row r="311" spans="16:30" x14ac:dyDescent="0.2">
      <c r="P311" s="85"/>
      <c r="Q311" s="91"/>
      <c r="R311" s="91"/>
      <c r="S311" s="91"/>
      <c r="T311" s="92"/>
      <c r="U311" s="93"/>
      <c r="V311" s="94"/>
      <c r="W311" s="94"/>
      <c r="X311" s="93"/>
      <c r="Y311" s="93"/>
      <c r="Z311" s="85"/>
      <c r="AA311" s="85"/>
      <c r="AB311" s="85"/>
      <c r="AC311" s="85"/>
      <c r="AD311" s="85"/>
    </row>
    <row r="312" spans="16:30" x14ac:dyDescent="0.2">
      <c r="P312" s="85"/>
      <c r="Q312" s="91"/>
      <c r="R312" s="91"/>
      <c r="S312" s="91"/>
      <c r="T312" s="92"/>
      <c r="U312" s="93"/>
      <c r="V312" s="94"/>
      <c r="W312" s="94"/>
      <c r="X312" s="93"/>
      <c r="Y312" s="93"/>
      <c r="Z312" s="85"/>
      <c r="AA312" s="85"/>
      <c r="AB312" s="85"/>
      <c r="AC312" s="85"/>
      <c r="AD312" s="85"/>
    </row>
    <row r="313" spans="16:30" x14ac:dyDescent="0.2">
      <c r="P313" s="85"/>
      <c r="Q313" s="91"/>
      <c r="R313" s="91"/>
      <c r="S313" s="91"/>
      <c r="T313" s="92"/>
      <c r="U313" s="93"/>
      <c r="V313" s="94"/>
      <c r="W313" s="94"/>
      <c r="X313" s="93"/>
      <c r="Y313" s="93"/>
      <c r="Z313" s="85"/>
      <c r="AA313" s="85"/>
      <c r="AB313" s="85"/>
      <c r="AC313" s="85"/>
      <c r="AD313" s="85"/>
    </row>
    <row r="314" spans="16:30" x14ac:dyDescent="0.2">
      <c r="P314" s="85"/>
      <c r="Q314" s="91"/>
      <c r="R314" s="91"/>
      <c r="S314" s="91"/>
      <c r="T314" s="92"/>
      <c r="U314" s="93"/>
      <c r="V314" s="94"/>
      <c r="W314" s="94"/>
      <c r="X314" s="93"/>
      <c r="Y314" s="93"/>
      <c r="Z314" s="85"/>
      <c r="AA314" s="85"/>
      <c r="AB314" s="85"/>
      <c r="AC314" s="85"/>
      <c r="AD314" s="85"/>
    </row>
    <row r="315" spans="16:30" x14ac:dyDescent="0.2">
      <c r="P315" s="85"/>
      <c r="Q315" s="91"/>
      <c r="R315" s="91"/>
      <c r="S315" s="91"/>
      <c r="T315" s="92"/>
      <c r="U315" s="93"/>
      <c r="V315" s="94"/>
      <c r="W315" s="94"/>
      <c r="X315" s="93"/>
      <c r="Y315" s="93"/>
      <c r="Z315" s="85"/>
      <c r="AA315" s="85"/>
      <c r="AB315" s="85"/>
      <c r="AC315" s="85"/>
      <c r="AD315" s="85"/>
    </row>
    <row r="316" spans="16:30" x14ac:dyDescent="0.2">
      <c r="P316" s="85"/>
      <c r="Q316" s="91"/>
      <c r="R316" s="91"/>
      <c r="S316" s="91"/>
      <c r="T316" s="92"/>
      <c r="U316" s="93"/>
      <c r="V316" s="94"/>
      <c r="W316" s="94"/>
      <c r="X316" s="93"/>
      <c r="Y316" s="93"/>
      <c r="Z316" s="85"/>
      <c r="AA316" s="85"/>
      <c r="AB316" s="85"/>
      <c r="AC316" s="85"/>
      <c r="AD316" s="85"/>
    </row>
    <row r="317" spans="16:30" x14ac:dyDescent="0.2">
      <c r="P317" s="85"/>
      <c r="Q317" s="91"/>
      <c r="R317" s="91"/>
      <c r="S317" s="91"/>
      <c r="T317" s="92"/>
      <c r="U317" s="93"/>
      <c r="V317" s="94"/>
      <c r="W317" s="94"/>
      <c r="X317" s="93"/>
      <c r="Y317" s="93"/>
      <c r="Z317" s="85"/>
      <c r="AA317" s="85"/>
      <c r="AB317" s="85"/>
      <c r="AC317" s="85"/>
      <c r="AD317" s="85"/>
    </row>
    <row r="318" spans="16:30" x14ac:dyDescent="0.2">
      <c r="P318" s="85"/>
      <c r="Q318" s="91"/>
      <c r="R318" s="91"/>
      <c r="S318" s="91"/>
      <c r="T318" s="92"/>
      <c r="U318" s="93"/>
      <c r="V318" s="94"/>
      <c r="W318" s="94"/>
      <c r="X318" s="93"/>
      <c r="Y318" s="93"/>
      <c r="Z318" s="85"/>
      <c r="AA318" s="85"/>
      <c r="AB318" s="85"/>
      <c r="AC318" s="85"/>
      <c r="AD318" s="85"/>
    </row>
    <row r="319" spans="16:30" x14ac:dyDescent="0.2">
      <c r="P319" s="85"/>
      <c r="Q319" s="91"/>
      <c r="R319" s="91"/>
      <c r="S319" s="91"/>
      <c r="T319" s="92"/>
      <c r="U319" s="93"/>
      <c r="V319" s="94"/>
      <c r="W319" s="94"/>
      <c r="X319" s="93"/>
      <c r="Y319" s="93"/>
      <c r="Z319" s="85"/>
      <c r="AA319" s="85"/>
      <c r="AB319" s="85"/>
      <c r="AC319" s="85"/>
      <c r="AD319" s="85"/>
    </row>
    <row r="320" spans="16:30" x14ac:dyDescent="0.2">
      <c r="P320" s="85"/>
      <c r="Q320" s="91"/>
      <c r="R320" s="91"/>
      <c r="S320" s="91"/>
      <c r="T320" s="92"/>
      <c r="U320" s="93"/>
      <c r="V320" s="94"/>
      <c r="W320" s="94"/>
      <c r="X320" s="93"/>
      <c r="Y320" s="93"/>
      <c r="Z320" s="85"/>
      <c r="AA320" s="85"/>
      <c r="AB320" s="85"/>
      <c r="AC320" s="85"/>
      <c r="AD320" s="85"/>
    </row>
    <row r="321" spans="16:30" x14ac:dyDescent="0.2">
      <c r="P321" s="85"/>
      <c r="Q321" s="91"/>
      <c r="R321" s="91"/>
      <c r="S321" s="91"/>
      <c r="T321" s="92"/>
      <c r="U321" s="93"/>
      <c r="V321" s="94"/>
      <c r="W321" s="94"/>
      <c r="X321" s="93"/>
      <c r="Y321" s="93"/>
      <c r="Z321" s="85"/>
      <c r="AA321" s="85"/>
      <c r="AB321" s="85"/>
      <c r="AC321" s="85"/>
      <c r="AD321" s="85"/>
    </row>
    <row r="322" spans="16:30" x14ac:dyDescent="0.2">
      <c r="P322" s="85"/>
      <c r="Q322" s="91"/>
      <c r="R322" s="91"/>
      <c r="S322" s="91"/>
      <c r="T322" s="92"/>
      <c r="U322" s="93"/>
      <c r="V322" s="94"/>
      <c r="W322" s="94"/>
      <c r="X322" s="93"/>
      <c r="Y322" s="93"/>
      <c r="Z322" s="85"/>
      <c r="AA322" s="85"/>
      <c r="AB322" s="85"/>
      <c r="AC322" s="85"/>
      <c r="AD322" s="85"/>
    </row>
    <row r="323" spans="16:30" x14ac:dyDescent="0.2">
      <c r="P323" s="85"/>
      <c r="Q323" s="91"/>
      <c r="R323" s="91"/>
      <c r="S323" s="91"/>
      <c r="T323" s="92"/>
      <c r="U323" s="93"/>
      <c r="V323" s="94"/>
      <c r="W323" s="94"/>
      <c r="X323" s="93"/>
      <c r="Y323" s="93"/>
      <c r="Z323" s="85"/>
      <c r="AA323" s="85"/>
      <c r="AB323" s="85"/>
      <c r="AC323" s="85"/>
      <c r="AD323" s="85"/>
    </row>
    <row r="324" spans="16:30" x14ac:dyDescent="0.2">
      <c r="P324" s="85"/>
      <c r="Q324" s="91"/>
      <c r="R324" s="91"/>
      <c r="S324" s="91"/>
      <c r="T324" s="92"/>
      <c r="U324" s="93"/>
      <c r="V324" s="94"/>
      <c r="W324" s="94"/>
      <c r="X324" s="93"/>
      <c r="Y324" s="93"/>
      <c r="Z324" s="85"/>
      <c r="AA324" s="85"/>
      <c r="AB324" s="85"/>
      <c r="AC324" s="85"/>
      <c r="AD324" s="85"/>
    </row>
    <row r="325" spans="16:30" x14ac:dyDescent="0.2">
      <c r="P325" s="85"/>
      <c r="Q325" s="91"/>
      <c r="R325" s="91"/>
      <c r="S325" s="91"/>
      <c r="T325" s="92"/>
      <c r="U325" s="93"/>
      <c r="V325" s="94"/>
      <c r="W325" s="94"/>
      <c r="X325" s="93"/>
      <c r="Y325" s="93"/>
      <c r="Z325" s="85"/>
      <c r="AA325" s="85"/>
      <c r="AB325" s="85"/>
      <c r="AC325" s="85"/>
      <c r="AD325" s="85"/>
    </row>
    <row r="326" spans="16:30" x14ac:dyDescent="0.2">
      <c r="P326" s="85"/>
      <c r="Q326" s="91"/>
      <c r="R326" s="91"/>
      <c r="S326" s="91"/>
      <c r="T326" s="92"/>
      <c r="U326" s="93"/>
      <c r="V326" s="94"/>
      <c r="W326" s="94"/>
      <c r="X326" s="93"/>
      <c r="Y326" s="93"/>
      <c r="Z326" s="85"/>
      <c r="AA326" s="85"/>
      <c r="AB326" s="85"/>
      <c r="AC326" s="85"/>
      <c r="AD326" s="85"/>
    </row>
    <row r="327" spans="16:30" x14ac:dyDescent="0.2">
      <c r="P327" s="85"/>
      <c r="Q327" s="91"/>
      <c r="R327" s="91"/>
      <c r="S327" s="91"/>
      <c r="T327" s="92"/>
      <c r="U327" s="93"/>
      <c r="V327" s="94"/>
      <c r="W327" s="94"/>
      <c r="X327" s="93"/>
      <c r="Y327" s="93"/>
      <c r="Z327" s="85"/>
      <c r="AA327" s="85"/>
      <c r="AB327" s="85"/>
      <c r="AC327" s="85"/>
      <c r="AD327" s="85"/>
    </row>
    <row r="328" spans="16:30" x14ac:dyDescent="0.2">
      <c r="P328" s="85"/>
      <c r="Q328" s="91"/>
      <c r="R328" s="91"/>
      <c r="S328" s="91"/>
      <c r="T328" s="92"/>
      <c r="U328" s="93"/>
      <c r="V328" s="94"/>
      <c r="W328" s="94"/>
      <c r="X328" s="93"/>
      <c r="Y328" s="93"/>
      <c r="Z328" s="85"/>
      <c r="AA328" s="85"/>
      <c r="AB328" s="85"/>
      <c r="AC328" s="85"/>
      <c r="AD328" s="85"/>
    </row>
    <row r="329" spans="16:30" x14ac:dyDescent="0.2">
      <c r="P329" s="85"/>
      <c r="Q329" s="91"/>
      <c r="R329" s="91"/>
      <c r="S329" s="91"/>
      <c r="T329" s="92"/>
      <c r="U329" s="93"/>
      <c r="V329" s="94"/>
      <c r="W329" s="94"/>
      <c r="X329" s="93"/>
      <c r="Y329" s="93"/>
      <c r="Z329" s="85"/>
      <c r="AA329" s="85"/>
      <c r="AB329" s="85"/>
      <c r="AC329" s="85"/>
      <c r="AD329" s="85"/>
    </row>
    <row r="330" spans="16:30" x14ac:dyDescent="0.2">
      <c r="P330" s="85"/>
      <c r="Q330" s="91"/>
      <c r="R330" s="91"/>
      <c r="S330" s="91"/>
      <c r="T330" s="92"/>
      <c r="U330" s="93"/>
      <c r="V330" s="94"/>
      <c r="W330" s="94"/>
      <c r="X330" s="93"/>
      <c r="Y330" s="93"/>
      <c r="Z330" s="85"/>
      <c r="AA330" s="85"/>
      <c r="AB330" s="85"/>
      <c r="AC330" s="85"/>
      <c r="AD330" s="85"/>
    </row>
    <row r="331" spans="16:30" x14ac:dyDescent="0.2">
      <c r="P331" s="85"/>
      <c r="Q331" s="91"/>
      <c r="R331" s="91"/>
      <c r="S331" s="91"/>
      <c r="T331" s="92"/>
      <c r="U331" s="93"/>
      <c r="V331" s="94"/>
      <c r="W331" s="94"/>
      <c r="X331" s="93"/>
      <c r="Y331" s="93"/>
      <c r="Z331" s="85"/>
      <c r="AA331" s="85"/>
      <c r="AB331" s="85"/>
      <c r="AC331" s="85"/>
      <c r="AD331" s="85"/>
    </row>
    <row r="332" spans="16:30" x14ac:dyDescent="0.2">
      <c r="P332" s="85"/>
      <c r="Q332" s="91"/>
      <c r="R332" s="91"/>
      <c r="S332" s="91"/>
      <c r="T332" s="92"/>
      <c r="U332" s="93"/>
      <c r="V332" s="94"/>
      <c r="W332" s="94"/>
      <c r="X332" s="93"/>
      <c r="Y332" s="93"/>
      <c r="Z332" s="85"/>
      <c r="AA332" s="85"/>
      <c r="AB332" s="85"/>
      <c r="AC332" s="85"/>
      <c r="AD332" s="85"/>
    </row>
    <row r="333" spans="16:30" x14ac:dyDescent="0.2">
      <c r="P333" s="85"/>
      <c r="Q333" s="91"/>
      <c r="R333" s="91"/>
      <c r="S333" s="91"/>
      <c r="T333" s="92"/>
      <c r="U333" s="93"/>
      <c r="V333" s="94"/>
      <c r="W333" s="94"/>
      <c r="X333" s="93"/>
      <c r="Y333" s="93"/>
      <c r="Z333" s="85"/>
      <c r="AA333" s="85"/>
      <c r="AB333" s="85"/>
      <c r="AC333" s="85"/>
      <c r="AD333" s="85"/>
    </row>
    <row r="334" spans="16:30" x14ac:dyDescent="0.2">
      <c r="P334" s="85"/>
      <c r="Q334" s="91"/>
      <c r="R334" s="91"/>
      <c r="S334" s="91"/>
      <c r="T334" s="92"/>
      <c r="U334" s="93"/>
      <c r="V334" s="94"/>
      <c r="W334" s="94"/>
      <c r="X334" s="93"/>
      <c r="Y334" s="93"/>
      <c r="Z334" s="85"/>
      <c r="AA334" s="85"/>
      <c r="AB334" s="85"/>
      <c r="AC334" s="85"/>
      <c r="AD334" s="85"/>
    </row>
    <row r="335" spans="16:30" x14ac:dyDescent="0.2">
      <c r="P335" s="85"/>
      <c r="Q335" s="91"/>
      <c r="R335" s="91"/>
      <c r="S335" s="91"/>
      <c r="T335" s="92"/>
      <c r="U335" s="93"/>
      <c r="V335" s="94"/>
      <c r="W335" s="94"/>
      <c r="X335" s="93"/>
      <c r="Y335" s="93"/>
      <c r="Z335" s="85"/>
      <c r="AA335" s="85"/>
      <c r="AB335" s="85"/>
      <c r="AC335" s="85"/>
      <c r="AD335" s="85"/>
    </row>
    <row r="336" spans="16:30" x14ac:dyDescent="0.2">
      <c r="P336" s="85"/>
      <c r="Q336" s="91"/>
      <c r="R336" s="91"/>
      <c r="S336" s="91"/>
      <c r="T336" s="92"/>
      <c r="U336" s="93"/>
      <c r="V336" s="94"/>
      <c r="W336" s="94"/>
      <c r="X336" s="93"/>
      <c r="Y336" s="93"/>
      <c r="Z336" s="85"/>
      <c r="AA336" s="85"/>
      <c r="AB336" s="85"/>
      <c r="AC336" s="85"/>
      <c r="AD336" s="85"/>
    </row>
    <row r="337" spans="16:30" x14ac:dyDescent="0.2">
      <c r="P337" s="85"/>
      <c r="Q337" s="91"/>
      <c r="R337" s="91"/>
      <c r="S337" s="91"/>
      <c r="T337" s="92"/>
      <c r="U337" s="93"/>
      <c r="V337" s="94"/>
      <c r="W337" s="94"/>
      <c r="X337" s="93"/>
      <c r="Y337" s="93"/>
      <c r="Z337" s="85"/>
      <c r="AA337" s="85"/>
      <c r="AB337" s="85"/>
      <c r="AC337" s="85"/>
      <c r="AD337" s="85"/>
    </row>
    <row r="338" spans="16:30" x14ac:dyDescent="0.2">
      <c r="P338" s="85"/>
      <c r="Q338" s="91"/>
      <c r="R338" s="91"/>
      <c r="S338" s="91"/>
      <c r="T338" s="92"/>
      <c r="U338" s="93"/>
      <c r="V338" s="94"/>
      <c r="W338" s="94"/>
      <c r="X338" s="93"/>
      <c r="Y338" s="93"/>
      <c r="Z338" s="85"/>
      <c r="AA338" s="85"/>
      <c r="AB338" s="85"/>
      <c r="AC338" s="85"/>
      <c r="AD338" s="85"/>
    </row>
    <row r="339" spans="16:30" x14ac:dyDescent="0.2">
      <c r="P339" s="85"/>
      <c r="Q339" s="91"/>
      <c r="R339" s="91"/>
      <c r="S339" s="91"/>
      <c r="T339" s="92"/>
      <c r="U339" s="93"/>
      <c r="V339" s="94"/>
      <c r="W339" s="94"/>
      <c r="X339" s="93"/>
      <c r="Y339" s="93"/>
      <c r="Z339" s="85"/>
      <c r="AA339" s="85"/>
      <c r="AB339" s="85"/>
      <c r="AC339" s="85"/>
      <c r="AD339" s="85"/>
    </row>
    <row r="340" spans="16:30" x14ac:dyDescent="0.2">
      <c r="P340" s="85"/>
      <c r="Q340" s="91"/>
      <c r="R340" s="91"/>
      <c r="S340" s="91"/>
      <c r="T340" s="92"/>
      <c r="U340" s="93"/>
      <c r="V340" s="94"/>
      <c r="W340" s="94"/>
      <c r="X340" s="93"/>
      <c r="Y340" s="93"/>
      <c r="Z340" s="85"/>
      <c r="AA340" s="85"/>
      <c r="AB340" s="85"/>
      <c r="AC340" s="85"/>
      <c r="AD340" s="85"/>
    </row>
    <row r="341" spans="16:30" x14ac:dyDescent="0.2">
      <c r="P341" s="85"/>
      <c r="Q341" s="91"/>
      <c r="R341" s="91"/>
      <c r="S341" s="91"/>
      <c r="T341" s="92"/>
      <c r="U341" s="93"/>
      <c r="V341" s="94"/>
      <c r="W341" s="94"/>
      <c r="X341" s="93"/>
      <c r="Y341" s="93"/>
      <c r="Z341" s="85"/>
      <c r="AA341" s="85"/>
      <c r="AB341" s="85"/>
      <c r="AC341" s="85"/>
      <c r="AD341" s="85"/>
    </row>
    <row r="342" spans="16:30" x14ac:dyDescent="0.2">
      <c r="P342" s="85"/>
      <c r="Q342" s="91"/>
      <c r="R342" s="91"/>
      <c r="S342" s="91"/>
      <c r="T342" s="92"/>
      <c r="U342" s="93"/>
      <c r="V342" s="94"/>
      <c r="W342" s="94"/>
      <c r="X342" s="93"/>
      <c r="Y342" s="93"/>
      <c r="Z342" s="85"/>
      <c r="AA342" s="85"/>
      <c r="AB342" s="85"/>
      <c r="AC342" s="85"/>
      <c r="AD342" s="85"/>
    </row>
    <row r="343" spans="16:30" x14ac:dyDescent="0.2">
      <c r="P343" s="85"/>
      <c r="Q343" s="91"/>
      <c r="R343" s="91"/>
      <c r="S343" s="91"/>
      <c r="T343" s="92"/>
      <c r="U343" s="93"/>
      <c r="V343" s="94"/>
      <c r="W343" s="94"/>
      <c r="X343" s="93"/>
      <c r="Y343" s="93"/>
      <c r="Z343" s="85"/>
      <c r="AA343" s="85"/>
      <c r="AB343" s="85"/>
      <c r="AC343" s="85"/>
      <c r="AD343" s="85"/>
    </row>
    <row r="344" spans="16:30" x14ac:dyDescent="0.2">
      <c r="P344" s="85"/>
      <c r="Q344" s="91"/>
      <c r="R344" s="91"/>
      <c r="S344" s="91"/>
      <c r="T344" s="92"/>
      <c r="U344" s="93"/>
      <c r="V344" s="94"/>
      <c r="W344" s="94"/>
      <c r="X344" s="93"/>
      <c r="Y344" s="93"/>
      <c r="Z344" s="85"/>
      <c r="AA344" s="85"/>
      <c r="AB344" s="85"/>
      <c r="AC344" s="85"/>
      <c r="AD344" s="85"/>
    </row>
    <row r="345" spans="16:30" x14ac:dyDescent="0.2">
      <c r="P345" s="85"/>
      <c r="Q345" s="91"/>
      <c r="R345" s="91"/>
      <c r="S345" s="91"/>
      <c r="T345" s="92"/>
      <c r="U345" s="93"/>
      <c r="V345" s="94"/>
      <c r="W345" s="94"/>
      <c r="X345" s="93"/>
      <c r="Y345" s="93"/>
      <c r="Z345" s="85"/>
      <c r="AA345" s="85"/>
      <c r="AB345" s="85"/>
      <c r="AC345" s="85"/>
      <c r="AD345" s="85"/>
    </row>
    <row r="346" spans="16:30" x14ac:dyDescent="0.2">
      <c r="P346" s="85"/>
      <c r="Q346" s="91"/>
      <c r="R346" s="91"/>
      <c r="S346" s="91"/>
      <c r="T346" s="92"/>
      <c r="U346" s="93"/>
      <c r="V346" s="94"/>
      <c r="W346" s="94"/>
      <c r="X346" s="93"/>
      <c r="Y346" s="93"/>
      <c r="Z346" s="85"/>
      <c r="AA346" s="85"/>
      <c r="AB346" s="85"/>
      <c r="AC346" s="85"/>
      <c r="AD346" s="85"/>
    </row>
    <row r="347" spans="16:30" x14ac:dyDescent="0.2">
      <c r="P347" s="85"/>
      <c r="Q347" s="91"/>
      <c r="R347" s="91"/>
      <c r="S347" s="91"/>
      <c r="T347" s="92"/>
      <c r="U347" s="93"/>
      <c r="V347" s="94"/>
      <c r="W347" s="94"/>
      <c r="X347" s="93"/>
      <c r="Y347" s="93"/>
      <c r="Z347" s="85"/>
      <c r="AA347" s="85"/>
      <c r="AB347" s="85"/>
      <c r="AC347" s="85"/>
      <c r="AD347" s="85"/>
    </row>
    <row r="348" spans="16:30" x14ac:dyDescent="0.2">
      <c r="P348" s="85"/>
      <c r="Q348" s="91"/>
      <c r="R348" s="91"/>
      <c r="S348" s="91"/>
      <c r="T348" s="92"/>
      <c r="U348" s="93"/>
      <c r="V348" s="94"/>
      <c r="W348" s="94"/>
      <c r="X348" s="93"/>
      <c r="Y348" s="93"/>
      <c r="Z348" s="85"/>
      <c r="AA348" s="85"/>
      <c r="AB348" s="85"/>
      <c r="AC348" s="85"/>
      <c r="AD348" s="85"/>
    </row>
    <row r="349" spans="16:30" x14ac:dyDescent="0.2">
      <c r="P349" s="85"/>
      <c r="Q349" s="91"/>
      <c r="R349" s="91"/>
      <c r="S349" s="91"/>
      <c r="T349" s="92"/>
      <c r="U349" s="93"/>
      <c r="V349" s="94"/>
      <c r="W349" s="94"/>
      <c r="X349" s="93"/>
      <c r="Y349" s="93"/>
      <c r="Z349" s="85"/>
      <c r="AA349" s="85"/>
      <c r="AB349" s="85"/>
      <c r="AC349" s="85"/>
      <c r="AD349" s="85"/>
    </row>
    <row r="350" spans="16:30" x14ac:dyDescent="0.2">
      <c r="P350" s="85"/>
      <c r="Q350" s="91"/>
      <c r="R350" s="91"/>
      <c r="S350" s="91"/>
      <c r="T350" s="92"/>
      <c r="U350" s="93"/>
      <c r="V350" s="94"/>
      <c r="W350" s="94"/>
      <c r="X350" s="93"/>
      <c r="Y350" s="93"/>
      <c r="Z350" s="85"/>
      <c r="AA350" s="85"/>
      <c r="AB350" s="85"/>
      <c r="AC350" s="85"/>
      <c r="AD350" s="85"/>
    </row>
    <row r="351" spans="16:30" x14ac:dyDescent="0.2">
      <c r="P351" s="85"/>
      <c r="Q351" s="91"/>
      <c r="R351" s="91"/>
      <c r="S351" s="91"/>
      <c r="T351" s="92"/>
      <c r="U351" s="93"/>
      <c r="V351" s="94"/>
      <c r="W351" s="94"/>
      <c r="X351" s="93"/>
      <c r="Y351" s="93"/>
      <c r="Z351" s="85"/>
      <c r="AA351" s="85"/>
      <c r="AB351" s="85"/>
      <c r="AC351" s="85"/>
      <c r="AD351" s="85"/>
    </row>
    <row r="352" spans="16:30" x14ac:dyDescent="0.2">
      <c r="P352" s="85"/>
      <c r="Q352" s="91"/>
      <c r="R352" s="91"/>
      <c r="S352" s="91"/>
      <c r="T352" s="92"/>
      <c r="U352" s="93"/>
      <c r="V352" s="94"/>
      <c r="W352" s="94"/>
      <c r="X352" s="93"/>
      <c r="Y352" s="93"/>
      <c r="Z352" s="85"/>
      <c r="AA352" s="85"/>
      <c r="AB352" s="85"/>
      <c r="AC352" s="85"/>
      <c r="AD352" s="85"/>
    </row>
    <row r="353" spans="16:30" x14ac:dyDescent="0.2">
      <c r="P353" s="85"/>
      <c r="Q353" s="91"/>
      <c r="R353" s="91"/>
      <c r="S353" s="91"/>
      <c r="T353" s="92"/>
      <c r="U353" s="93"/>
      <c r="V353" s="94"/>
      <c r="W353" s="94"/>
      <c r="X353" s="93"/>
      <c r="Y353" s="93"/>
      <c r="Z353" s="85"/>
      <c r="AA353" s="85"/>
      <c r="AB353" s="85"/>
      <c r="AC353" s="85"/>
      <c r="AD353" s="85"/>
    </row>
    <row r="354" spans="16:30" x14ac:dyDescent="0.2">
      <c r="P354" s="85"/>
      <c r="Q354" s="91"/>
      <c r="R354" s="91"/>
      <c r="S354" s="91"/>
      <c r="T354" s="92"/>
      <c r="U354" s="93"/>
      <c r="V354" s="94"/>
      <c r="W354" s="94"/>
      <c r="X354" s="93"/>
      <c r="Y354" s="93"/>
      <c r="Z354" s="85"/>
      <c r="AA354" s="85"/>
      <c r="AB354" s="85"/>
      <c r="AC354" s="85"/>
      <c r="AD354" s="85"/>
    </row>
    <row r="355" spans="16:30" x14ac:dyDescent="0.2">
      <c r="P355" s="85"/>
      <c r="Q355" s="91"/>
      <c r="R355" s="91"/>
      <c r="S355" s="91"/>
      <c r="T355" s="92"/>
      <c r="U355" s="93"/>
      <c r="V355" s="94"/>
      <c r="W355" s="94"/>
      <c r="X355" s="93"/>
      <c r="Y355" s="93"/>
      <c r="Z355" s="85"/>
      <c r="AA355" s="85"/>
      <c r="AB355" s="85"/>
      <c r="AC355" s="85"/>
      <c r="AD355" s="85"/>
    </row>
    <row r="356" spans="16:30" x14ac:dyDescent="0.2">
      <c r="P356" s="85"/>
      <c r="Q356" s="91"/>
      <c r="R356" s="91"/>
      <c r="S356" s="91"/>
      <c r="T356" s="92"/>
      <c r="U356" s="93"/>
      <c r="V356" s="94"/>
      <c r="W356" s="94"/>
      <c r="X356" s="93"/>
      <c r="Y356" s="93"/>
      <c r="Z356" s="85"/>
      <c r="AA356" s="85"/>
      <c r="AB356" s="85"/>
      <c r="AC356" s="85"/>
      <c r="AD356" s="85"/>
    </row>
    <row r="357" spans="16:30" x14ac:dyDescent="0.2">
      <c r="P357" s="85"/>
      <c r="Q357" s="91"/>
      <c r="R357" s="91"/>
      <c r="S357" s="91"/>
      <c r="T357" s="92"/>
      <c r="U357" s="93"/>
      <c r="V357" s="94"/>
      <c r="W357" s="94"/>
      <c r="X357" s="93"/>
      <c r="Y357" s="93"/>
      <c r="Z357" s="85"/>
      <c r="AA357" s="85"/>
      <c r="AB357" s="85"/>
      <c r="AC357" s="85"/>
      <c r="AD357" s="85"/>
    </row>
    <row r="358" spans="16:30" x14ac:dyDescent="0.2">
      <c r="P358" s="85"/>
      <c r="Q358" s="91"/>
      <c r="R358" s="91"/>
      <c r="S358" s="91"/>
      <c r="T358" s="92"/>
      <c r="U358" s="93"/>
      <c r="V358" s="94"/>
      <c r="W358" s="94"/>
      <c r="X358" s="93"/>
      <c r="Y358" s="93"/>
      <c r="Z358" s="85"/>
      <c r="AA358" s="85"/>
      <c r="AB358" s="85"/>
      <c r="AC358" s="85"/>
      <c r="AD358" s="85"/>
    </row>
    <row r="359" spans="16:30" x14ac:dyDescent="0.2">
      <c r="P359" s="85"/>
      <c r="Q359" s="91"/>
      <c r="R359" s="91"/>
      <c r="S359" s="91"/>
      <c r="T359" s="92"/>
      <c r="U359" s="93"/>
      <c r="V359" s="94"/>
      <c r="W359" s="94"/>
      <c r="X359" s="93"/>
      <c r="Y359" s="93"/>
      <c r="Z359" s="85"/>
      <c r="AA359" s="85"/>
      <c r="AB359" s="85"/>
      <c r="AC359" s="85"/>
      <c r="AD359" s="85"/>
    </row>
    <row r="360" spans="16:30" x14ac:dyDescent="0.2">
      <c r="P360" s="85"/>
      <c r="Q360" s="91"/>
      <c r="R360" s="91"/>
      <c r="S360" s="91"/>
      <c r="T360" s="92"/>
      <c r="U360" s="93"/>
      <c r="V360" s="94"/>
      <c r="W360" s="94"/>
      <c r="X360" s="93"/>
      <c r="Y360" s="93"/>
      <c r="Z360" s="85"/>
      <c r="AA360" s="85"/>
      <c r="AB360" s="85"/>
      <c r="AC360" s="85"/>
      <c r="AD360" s="85"/>
    </row>
    <row r="361" spans="16:30" x14ac:dyDescent="0.2">
      <c r="P361" s="85"/>
      <c r="Q361" s="91"/>
      <c r="R361" s="91"/>
      <c r="S361" s="91"/>
      <c r="T361" s="92"/>
      <c r="U361" s="93"/>
      <c r="V361" s="94"/>
      <c r="W361" s="94"/>
      <c r="X361" s="93"/>
      <c r="Y361" s="93"/>
      <c r="Z361" s="85"/>
      <c r="AA361" s="85"/>
      <c r="AB361" s="85"/>
      <c r="AC361" s="85"/>
      <c r="AD361" s="85"/>
    </row>
    <row r="362" spans="16:30" x14ac:dyDescent="0.2">
      <c r="P362" s="85"/>
      <c r="Q362" s="91"/>
      <c r="R362" s="91"/>
      <c r="S362" s="91"/>
      <c r="T362" s="92"/>
      <c r="U362" s="93"/>
      <c r="V362" s="94"/>
      <c r="W362" s="94"/>
      <c r="X362" s="93"/>
      <c r="Y362" s="93"/>
      <c r="Z362" s="85"/>
      <c r="AA362" s="85"/>
      <c r="AB362" s="85"/>
      <c r="AC362" s="85"/>
      <c r="AD362" s="85"/>
    </row>
    <row r="363" spans="16:30" x14ac:dyDescent="0.2">
      <c r="P363" s="85"/>
      <c r="Q363" s="91"/>
      <c r="R363" s="91"/>
      <c r="S363" s="91"/>
      <c r="T363" s="92"/>
      <c r="U363" s="93"/>
      <c r="V363" s="94"/>
      <c r="W363" s="94"/>
      <c r="X363" s="93"/>
      <c r="Y363" s="93"/>
      <c r="Z363" s="85"/>
      <c r="AA363" s="85"/>
      <c r="AB363" s="85"/>
      <c r="AC363" s="85"/>
      <c r="AD363" s="85"/>
    </row>
    <row r="364" spans="16:30" x14ac:dyDescent="0.2">
      <c r="P364" s="85"/>
      <c r="Q364" s="91"/>
      <c r="R364" s="91"/>
      <c r="S364" s="91"/>
      <c r="T364" s="92"/>
      <c r="U364" s="93"/>
      <c r="V364" s="94"/>
      <c r="W364" s="94"/>
      <c r="X364" s="93"/>
      <c r="Y364" s="93"/>
      <c r="Z364" s="85"/>
      <c r="AA364" s="85"/>
      <c r="AB364" s="85"/>
      <c r="AC364" s="85"/>
      <c r="AD364" s="85"/>
    </row>
    <row r="365" spans="16:30" x14ac:dyDescent="0.2">
      <c r="P365" s="85"/>
      <c r="Q365" s="91"/>
      <c r="R365" s="91"/>
      <c r="S365" s="91"/>
      <c r="T365" s="92"/>
      <c r="U365" s="93"/>
      <c r="V365" s="94"/>
      <c r="W365" s="94"/>
      <c r="X365" s="93"/>
      <c r="Y365" s="93"/>
      <c r="Z365" s="85"/>
      <c r="AA365" s="85"/>
      <c r="AB365" s="85"/>
      <c r="AC365" s="85"/>
      <c r="AD365" s="85"/>
    </row>
    <row r="366" spans="16:30" x14ac:dyDescent="0.2">
      <c r="P366" s="85"/>
      <c r="Q366" s="91"/>
      <c r="R366" s="91"/>
      <c r="S366" s="91"/>
      <c r="T366" s="92"/>
      <c r="U366" s="93"/>
      <c r="V366" s="94"/>
      <c r="W366" s="94"/>
      <c r="X366" s="93"/>
      <c r="Y366" s="93"/>
      <c r="Z366" s="85"/>
      <c r="AA366" s="85"/>
      <c r="AB366" s="85"/>
      <c r="AC366" s="85"/>
      <c r="AD366" s="85"/>
    </row>
    <row r="367" spans="16:30" x14ac:dyDescent="0.2">
      <c r="P367" s="85"/>
      <c r="Q367" s="91"/>
      <c r="R367" s="91"/>
      <c r="S367" s="91"/>
      <c r="T367" s="92"/>
      <c r="U367" s="93"/>
      <c r="V367" s="94"/>
      <c r="W367" s="94"/>
      <c r="X367" s="93"/>
      <c r="Y367" s="93"/>
      <c r="Z367" s="85"/>
      <c r="AA367" s="85"/>
      <c r="AB367" s="85"/>
      <c r="AC367" s="85"/>
      <c r="AD367" s="85"/>
    </row>
    <row r="368" spans="16:30" x14ac:dyDescent="0.2">
      <c r="P368" s="85"/>
      <c r="Q368" s="91"/>
      <c r="R368" s="91"/>
      <c r="S368" s="91"/>
      <c r="T368" s="92"/>
      <c r="U368" s="93"/>
      <c r="V368" s="94"/>
      <c r="W368" s="94"/>
      <c r="X368" s="93"/>
      <c r="Y368" s="93"/>
      <c r="Z368" s="85"/>
      <c r="AA368" s="85"/>
      <c r="AB368" s="85"/>
      <c r="AC368" s="85"/>
      <c r="AD368" s="85"/>
    </row>
    <row r="369" spans="16:30" x14ac:dyDescent="0.2">
      <c r="P369" s="85"/>
      <c r="Q369" s="91"/>
      <c r="R369" s="91"/>
      <c r="S369" s="91"/>
      <c r="T369" s="92"/>
      <c r="U369" s="93"/>
      <c r="V369" s="94"/>
      <c r="W369" s="94"/>
      <c r="X369" s="93"/>
      <c r="Y369" s="93"/>
      <c r="Z369" s="85"/>
      <c r="AA369" s="85"/>
      <c r="AB369" s="85"/>
      <c r="AC369" s="85"/>
      <c r="AD369" s="85"/>
    </row>
    <row r="370" spans="16:30" x14ac:dyDescent="0.2">
      <c r="P370" s="85"/>
      <c r="Q370" s="91"/>
      <c r="R370" s="91"/>
      <c r="S370" s="91"/>
      <c r="T370" s="92"/>
      <c r="U370" s="93"/>
      <c r="V370" s="94"/>
      <c r="W370" s="94"/>
      <c r="X370" s="93"/>
      <c r="Y370" s="93"/>
      <c r="Z370" s="85"/>
      <c r="AA370" s="85"/>
      <c r="AB370" s="85"/>
      <c r="AC370" s="85"/>
      <c r="AD370" s="85"/>
    </row>
    <row r="371" spans="16:30" x14ac:dyDescent="0.2">
      <c r="P371" s="85"/>
      <c r="Q371" s="91"/>
      <c r="R371" s="91"/>
      <c r="S371" s="91"/>
      <c r="T371" s="92"/>
      <c r="U371" s="93"/>
      <c r="V371" s="94"/>
      <c r="W371" s="94"/>
      <c r="X371" s="93"/>
      <c r="Y371" s="93"/>
      <c r="Z371" s="85"/>
      <c r="AA371" s="85"/>
      <c r="AB371" s="85"/>
      <c r="AC371" s="85"/>
      <c r="AD371" s="85"/>
    </row>
    <row r="372" spans="16:30" x14ac:dyDescent="0.2">
      <c r="P372" s="85"/>
      <c r="Q372" s="91"/>
      <c r="R372" s="91"/>
      <c r="S372" s="91"/>
      <c r="T372" s="92"/>
      <c r="U372" s="93"/>
      <c r="V372" s="94"/>
      <c r="W372" s="94"/>
      <c r="X372" s="93"/>
      <c r="Y372" s="93"/>
      <c r="Z372" s="85"/>
      <c r="AA372" s="85"/>
      <c r="AB372" s="85"/>
      <c r="AC372" s="85"/>
      <c r="AD372" s="85"/>
    </row>
    <row r="373" spans="16:30" x14ac:dyDescent="0.2">
      <c r="P373" s="85"/>
      <c r="Q373" s="91"/>
      <c r="R373" s="91"/>
      <c r="S373" s="91"/>
      <c r="T373" s="92"/>
      <c r="U373" s="93"/>
      <c r="V373" s="94"/>
      <c r="W373" s="94"/>
      <c r="X373" s="93"/>
      <c r="Y373" s="93"/>
      <c r="Z373" s="85"/>
      <c r="AA373" s="85"/>
      <c r="AB373" s="85"/>
      <c r="AC373" s="85"/>
      <c r="AD373" s="85"/>
    </row>
    <row r="374" spans="16:30" x14ac:dyDescent="0.2">
      <c r="P374" s="85"/>
      <c r="Q374" s="91"/>
      <c r="R374" s="91"/>
      <c r="S374" s="91"/>
      <c r="T374" s="92"/>
      <c r="U374" s="93"/>
      <c r="V374" s="94"/>
      <c r="W374" s="94"/>
      <c r="X374" s="93"/>
      <c r="Y374" s="93"/>
      <c r="Z374" s="85"/>
      <c r="AA374" s="85"/>
      <c r="AB374" s="85"/>
      <c r="AC374" s="85"/>
      <c r="AD374" s="85"/>
    </row>
    <row r="375" spans="16:30" x14ac:dyDescent="0.2">
      <c r="P375" s="85"/>
      <c r="Q375" s="91"/>
      <c r="R375" s="91"/>
      <c r="S375" s="91"/>
      <c r="T375" s="92"/>
      <c r="U375" s="93"/>
      <c r="V375" s="94"/>
      <c r="W375" s="94"/>
      <c r="X375" s="93"/>
      <c r="Y375" s="93"/>
      <c r="Z375" s="85"/>
      <c r="AA375" s="85"/>
      <c r="AB375" s="85"/>
      <c r="AC375" s="85"/>
      <c r="AD375" s="85"/>
    </row>
    <row r="376" spans="16:30" x14ac:dyDescent="0.2">
      <c r="P376" s="85"/>
      <c r="Q376" s="91"/>
      <c r="R376" s="91"/>
      <c r="S376" s="91"/>
      <c r="T376" s="92"/>
      <c r="U376" s="93"/>
      <c r="V376" s="94"/>
      <c r="W376" s="94"/>
      <c r="X376" s="93"/>
      <c r="Y376" s="93"/>
      <c r="Z376" s="85"/>
      <c r="AA376" s="85"/>
      <c r="AB376" s="85"/>
      <c r="AC376" s="85"/>
      <c r="AD376" s="85"/>
    </row>
    <row r="377" spans="16:30" x14ac:dyDescent="0.2">
      <c r="P377" s="85"/>
      <c r="Q377" s="91"/>
      <c r="R377" s="91"/>
      <c r="S377" s="91"/>
      <c r="T377" s="92"/>
      <c r="U377" s="93"/>
      <c r="V377" s="94"/>
      <c r="W377" s="94"/>
      <c r="X377" s="93"/>
      <c r="Y377" s="93"/>
      <c r="Z377" s="85"/>
      <c r="AA377" s="85"/>
      <c r="AB377" s="85"/>
      <c r="AC377" s="85"/>
      <c r="AD377" s="85"/>
    </row>
    <row r="378" spans="16:30" x14ac:dyDescent="0.2">
      <c r="P378" s="85"/>
      <c r="Q378" s="91"/>
      <c r="R378" s="91"/>
      <c r="S378" s="91"/>
      <c r="T378" s="92"/>
      <c r="U378" s="93"/>
      <c r="V378" s="94"/>
      <c r="W378" s="94"/>
      <c r="X378" s="93"/>
      <c r="Y378" s="93"/>
      <c r="Z378" s="85"/>
      <c r="AA378" s="85"/>
      <c r="AB378" s="85"/>
      <c r="AC378" s="85"/>
      <c r="AD378" s="85"/>
    </row>
    <row r="379" spans="16:30" x14ac:dyDescent="0.2">
      <c r="P379" s="85"/>
      <c r="Q379" s="91"/>
      <c r="R379" s="91"/>
      <c r="S379" s="91"/>
      <c r="T379" s="92"/>
      <c r="U379" s="93"/>
      <c r="V379" s="94"/>
      <c r="W379" s="94"/>
      <c r="X379" s="93"/>
      <c r="Y379" s="93"/>
      <c r="Z379" s="85"/>
      <c r="AA379" s="85"/>
      <c r="AB379" s="85"/>
      <c r="AC379" s="85"/>
      <c r="AD379" s="85"/>
    </row>
    <row r="380" spans="16:30" x14ac:dyDescent="0.2">
      <c r="P380" s="85"/>
      <c r="Q380" s="91"/>
      <c r="R380" s="91"/>
      <c r="S380" s="91"/>
      <c r="T380" s="92"/>
      <c r="U380" s="93"/>
      <c r="V380" s="94"/>
      <c r="W380" s="94"/>
      <c r="X380" s="93"/>
      <c r="Y380" s="93"/>
      <c r="Z380" s="85"/>
      <c r="AA380" s="85"/>
      <c r="AB380" s="85"/>
      <c r="AC380" s="85"/>
      <c r="AD380" s="85"/>
    </row>
    <row r="381" spans="16:30" x14ac:dyDescent="0.2">
      <c r="P381" s="85"/>
      <c r="Q381" s="91"/>
      <c r="R381" s="91"/>
      <c r="S381" s="91"/>
      <c r="T381" s="92"/>
      <c r="U381" s="93"/>
      <c r="V381" s="94"/>
      <c r="W381" s="94"/>
      <c r="X381" s="93"/>
      <c r="Y381" s="93"/>
      <c r="Z381" s="85"/>
      <c r="AA381" s="85"/>
      <c r="AB381" s="85"/>
      <c r="AC381" s="85"/>
      <c r="AD381" s="85"/>
    </row>
    <row r="382" spans="16:30" x14ac:dyDescent="0.2">
      <c r="P382" s="85"/>
      <c r="Q382" s="91"/>
      <c r="R382" s="91"/>
      <c r="S382" s="91"/>
      <c r="T382" s="92"/>
      <c r="U382" s="93"/>
      <c r="V382" s="94"/>
      <c r="W382" s="94"/>
      <c r="X382" s="93"/>
      <c r="Y382" s="93"/>
      <c r="Z382" s="85"/>
      <c r="AA382" s="85"/>
      <c r="AB382" s="85"/>
      <c r="AC382" s="85"/>
      <c r="AD382" s="85"/>
    </row>
    <row r="383" spans="16:30" x14ac:dyDescent="0.2">
      <c r="P383" s="85"/>
      <c r="Q383" s="91"/>
      <c r="R383" s="91"/>
      <c r="S383" s="91"/>
      <c r="T383" s="92"/>
      <c r="U383" s="93"/>
      <c r="V383" s="94"/>
      <c r="W383" s="94"/>
      <c r="X383" s="93"/>
      <c r="Y383" s="93"/>
      <c r="Z383" s="85"/>
      <c r="AA383" s="85"/>
      <c r="AB383" s="85"/>
      <c r="AC383" s="85"/>
      <c r="AD383" s="85"/>
    </row>
    <row r="384" spans="16:30" x14ac:dyDescent="0.2">
      <c r="P384" s="85"/>
      <c r="Q384" s="91"/>
      <c r="R384" s="91"/>
      <c r="S384" s="91"/>
      <c r="T384" s="92"/>
      <c r="U384" s="93"/>
      <c r="V384" s="94"/>
      <c r="W384" s="94"/>
      <c r="X384" s="93"/>
      <c r="Y384" s="93"/>
      <c r="Z384" s="85"/>
      <c r="AA384" s="85"/>
      <c r="AB384" s="85"/>
      <c r="AC384" s="85"/>
      <c r="AD384" s="85"/>
    </row>
    <row r="385" spans="16:30" x14ac:dyDescent="0.2">
      <c r="P385" s="85"/>
      <c r="Q385" s="91"/>
      <c r="R385" s="91"/>
      <c r="S385" s="91"/>
      <c r="T385" s="92"/>
      <c r="U385" s="93"/>
      <c r="V385" s="94"/>
      <c r="W385" s="94"/>
      <c r="X385" s="93"/>
      <c r="Y385" s="93"/>
      <c r="Z385" s="85"/>
      <c r="AA385" s="85"/>
      <c r="AB385" s="85"/>
      <c r="AC385" s="85"/>
      <c r="AD385" s="85"/>
    </row>
    <row r="386" spans="16:30" x14ac:dyDescent="0.2">
      <c r="P386" s="85"/>
      <c r="Q386" s="91"/>
      <c r="R386" s="91"/>
      <c r="S386" s="91"/>
      <c r="T386" s="92"/>
      <c r="U386" s="93"/>
      <c r="V386" s="94"/>
      <c r="W386" s="94"/>
      <c r="X386" s="93"/>
      <c r="Y386" s="93"/>
      <c r="Z386" s="85"/>
      <c r="AA386" s="85"/>
      <c r="AB386" s="85"/>
      <c r="AC386" s="85"/>
      <c r="AD386" s="85"/>
    </row>
    <row r="387" spans="16:30" x14ac:dyDescent="0.2">
      <c r="P387" s="85"/>
      <c r="Q387" s="91"/>
      <c r="R387" s="91"/>
      <c r="S387" s="91"/>
      <c r="T387" s="92"/>
      <c r="U387" s="93"/>
      <c r="V387" s="94"/>
      <c r="W387" s="94"/>
      <c r="X387" s="93"/>
      <c r="Y387" s="93"/>
      <c r="Z387" s="85"/>
      <c r="AA387" s="85"/>
      <c r="AB387" s="85"/>
      <c r="AC387" s="85"/>
      <c r="AD387" s="85"/>
    </row>
    <row r="388" spans="16:30" x14ac:dyDescent="0.2">
      <c r="P388" s="85"/>
      <c r="Q388" s="91"/>
      <c r="R388" s="91"/>
      <c r="S388" s="91"/>
      <c r="T388" s="92"/>
      <c r="U388" s="93"/>
      <c r="V388" s="94"/>
      <c r="W388" s="94"/>
      <c r="X388" s="93"/>
      <c r="Y388" s="93"/>
      <c r="Z388" s="85"/>
      <c r="AA388" s="85"/>
      <c r="AB388" s="85"/>
      <c r="AC388" s="85"/>
      <c r="AD388" s="85"/>
    </row>
    <row r="389" spans="16:30" x14ac:dyDescent="0.2">
      <c r="P389" s="85"/>
      <c r="Q389" s="91"/>
      <c r="R389" s="91"/>
      <c r="S389" s="91"/>
      <c r="T389" s="92"/>
      <c r="U389" s="93"/>
      <c r="V389" s="94"/>
      <c r="W389" s="94"/>
      <c r="X389" s="93"/>
      <c r="Y389" s="93"/>
      <c r="Z389" s="85"/>
      <c r="AA389" s="85"/>
      <c r="AB389" s="85"/>
      <c r="AC389" s="85"/>
      <c r="AD389" s="85"/>
    </row>
    <row r="390" spans="16:30" x14ac:dyDescent="0.2">
      <c r="P390" s="85"/>
      <c r="Q390" s="91"/>
      <c r="R390" s="91"/>
      <c r="S390" s="91"/>
      <c r="T390" s="92"/>
      <c r="U390" s="93"/>
      <c r="V390" s="94"/>
      <c r="W390" s="94"/>
      <c r="X390" s="93"/>
      <c r="Y390" s="93"/>
      <c r="Z390" s="85"/>
      <c r="AA390" s="85"/>
      <c r="AB390" s="85"/>
      <c r="AC390" s="85"/>
      <c r="AD390" s="85"/>
    </row>
    <row r="391" spans="16:30" x14ac:dyDescent="0.2">
      <c r="P391" s="85"/>
      <c r="Q391" s="91"/>
      <c r="R391" s="91"/>
      <c r="S391" s="91"/>
      <c r="T391" s="92"/>
      <c r="U391" s="93"/>
      <c r="V391" s="94"/>
      <c r="W391" s="94"/>
      <c r="X391" s="93"/>
      <c r="Y391" s="93"/>
      <c r="Z391" s="85"/>
      <c r="AA391" s="85"/>
      <c r="AB391" s="85"/>
      <c r="AC391" s="85"/>
      <c r="AD391" s="85"/>
    </row>
    <row r="392" spans="16:30" x14ac:dyDescent="0.2">
      <c r="P392" s="85"/>
      <c r="Q392" s="91"/>
      <c r="R392" s="91"/>
      <c r="S392" s="91"/>
      <c r="T392" s="92"/>
      <c r="U392" s="93"/>
      <c r="V392" s="94"/>
      <c r="W392" s="94"/>
      <c r="X392" s="93"/>
      <c r="Y392" s="93"/>
      <c r="Z392" s="85"/>
      <c r="AA392" s="85"/>
      <c r="AB392" s="85"/>
      <c r="AC392" s="85"/>
      <c r="AD392" s="85"/>
    </row>
    <row r="393" spans="16:30" x14ac:dyDescent="0.2">
      <c r="P393" s="85"/>
      <c r="Q393" s="91"/>
      <c r="R393" s="91"/>
      <c r="S393" s="91"/>
      <c r="T393" s="92"/>
      <c r="U393" s="93"/>
      <c r="V393" s="94"/>
      <c r="W393" s="94"/>
      <c r="X393" s="93"/>
      <c r="Y393" s="93"/>
      <c r="Z393" s="85"/>
      <c r="AA393" s="85"/>
      <c r="AB393" s="85"/>
      <c r="AC393" s="85"/>
      <c r="AD393" s="85"/>
    </row>
    <row r="394" spans="16:30" x14ac:dyDescent="0.2">
      <c r="P394" s="85"/>
      <c r="Q394" s="91"/>
      <c r="R394" s="91"/>
      <c r="S394" s="91"/>
      <c r="T394" s="92"/>
      <c r="U394" s="93"/>
      <c r="V394" s="94"/>
      <c r="W394" s="94"/>
      <c r="X394" s="93"/>
      <c r="Y394" s="93"/>
      <c r="Z394" s="85"/>
      <c r="AA394" s="85"/>
      <c r="AB394" s="85"/>
      <c r="AC394" s="85"/>
      <c r="AD394" s="85"/>
    </row>
    <row r="395" spans="16:30" x14ac:dyDescent="0.2">
      <c r="P395" s="85"/>
      <c r="Q395" s="91"/>
      <c r="R395" s="91"/>
      <c r="S395" s="91"/>
      <c r="T395" s="92"/>
      <c r="U395" s="93"/>
      <c r="V395" s="94"/>
      <c r="W395" s="94"/>
      <c r="X395" s="93"/>
      <c r="Y395" s="93"/>
      <c r="Z395" s="85"/>
      <c r="AA395" s="85"/>
      <c r="AB395" s="85"/>
      <c r="AC395" s="85"/>
      <c r="AD395" s="85"/>
    </row>
    <row r="396" spans="16:30" x14ac:dyDescent="0.2">
      <c r="P396" s="85"/>
      <c r="Q396" s="91"/>
      <c r="R396" s="91"/>
      <c r="S396" s="91"/>
      <c r="T396" s="92"/>
      <c r="U396" s="93"/>
      <c r="V396" s="94"/>
      <c r="W396" s="94"/>
      <c r="X396" s="93"/>
      <c r="Y396" s="93"/>
      <c r="Z396" s="85"/>
      <c r="AA396" s="85"/>
      <c r="AB396" s="85"/>
      <c r="AC396" s="85"/>
      <c r="AD396" s="85"/>
    </row>
    <row r="397" spans="16:30" x14ac:dyDescent="0.2">
      <c r="P397" s="85"/>
      <c r="Q397" s="91"/>
      <c r="R397" s="91"/>
      <c r="S397" s="91"/>
      <c r="T397" s="92"/>
      <c r="U397" s="93"/>
      <c r="V397" s="94"/>
      <c r="W397" s="94"/>
      <c r="X397" s="93"/>
      <c r="Y397" s="93"/>
      <c r="Z397" s="85"/>
      <c r="AA397" s="85"/>
      <c r="AB397" s="85"/>
      <c r="AC397" s="85"/>
      <c r="AD397" s="85"/>
    </row>
    <row r="398" spans="16:30" x14ac:dyDescent="0.2">
      <c r="P398" s="85"/>
      <c r="Q398" s="91"/>
      <c r="R398" s="91"/>
      <c r="S398" s="91"/>
      <c r="T398" s="92"/>
      <c r="U398" s="93"/>
      <c r="V398" s="94"/>
      <c r="W398" s="94"/>
      <c r="X398" s="93"/>
      <c r="Y398" s="93"/>
      <c r="Z398" s="85"/>
      <c r="AA398" s="85"/>
      <c r="AB398" s="85"/>
      <c r="AC398" s="85"/>
      <c r="AD398" s="85"/>
    </row>
    <row r="399" spans="16:30" x14ac:dyDescent="0.2">
      <c r="P399" s="85"/>
      <c r="Q399" s="91"/>
      <c r="R399" s="91"/>
      <c r="S399" s="91"/>
      <c r="T399" s="92"/>
      <c r="U399" s="93"/>
      <c r="V399" s="94"/>
      <c r="W399" s="94"/>
      <c r="X399" s="93"/>
      <c r="Y399" s="93"/>
      <c r="Z399" s="85"/>
      <c r="AA399" s="85"/>
      <c r="AB399" s="85"/>
      <c r="AC399" s="85"/>
      <c r="AD399" s="85"/>
    </row>
    <row r="400" spans="16:30" x14ac:dyDescent="0.2">
      <c r="P400" s="85"/>
      <c r="Q400" s="91"/>
      <c r="R400" s="91"/>
      <c r="S400" s="91"/>
      <c r="T400" s="92"/>
      <c r="U400" s="93"/>
      <c r="V400" s="94"/>
      <c r="W400" s="94"/>
      <c r="X400" s="93"/>
      <c r="Y400" s="93"/>
      <c r="Z400" s="85"/>
      <c r="AA400" s="85"/>
      <c r="AB400" s="85"/>
      <c r="AC400" s="85"/>
      <c r="AD400" s="85"/>
    </row>
    <row r="401" spans="16:30" x14ac:dyDescent="0.2">
      <c r="P401" s="85"/>
      <c r="Q401" s="91"/>
      <c r="R401" s="91"/>
      <c r="S401" s="91"/>
      <c r="T401" s="92"/>
      <c r="U401" s="93"/>
      <c r="V401" s="94"/>
      <c r="W401" s="94"/>
      <c r="X401" s="93"/>
      <c r="Y401" s="93"/>
      <c r="Z401" s="85"/>
      <c r="AA401" s="85"/>
      <c r="AB401" s="85"/>
      <c r="AC401" s="85"/>
      <c r="AD401" s="85"/>
    </row>
    <row r="402" spans="16:30" x14ac:dyDescent="0.2">
      <c r="P402" s="85"/>
      <c r="Q402" s="91"/>
      <c r="R402" s="91"/>
      <c r="S402" s="91"/>
      <c r="T402" s="92"/>
      <c r="U402" s="93"/>
      <c r="V402" s="94"/>
      <c r="W402" s="94"/>
      <c r="X402" s="93"/>
      <c r="Y402" s="93"/>
      <c r="Z402" s="85"/>
      <c r="AA402" s="85"/>
      <c r="AB402" s="85"/>
      <c r="AC402" s="85"/>
      <c r="AD402" s="85"/>
    </row>
    <row r="403" spans="16:30" x14ac:dyDescent="0.2">
      <c r="P403" s="85"/>
      <c r="Q403" s="91"/>
      <c r="R403" s="91"/>
      <c r="S403" s="91"/>
      <c r="T403" s="92"/>
      <c r="U403" s="93"/>
      <c r="V403" s="94"/>
      <c r="W403" s="94"/>
      <c r="X403" s="93"/>
      <c r="Y403" s="93"/>
      <c r="Z403" s="85"/>
      <c r="AA403" s="85"/>
      <c r="AB403" s="85"/>
      <c r="AC403" s="85"/>
      <c r="AD403" s="85"/>
    </row>
    <row r="404" spans="16:30" x14ac:dyDescent="0.2">
      <c r="P404" s="85"/>
      <c r="Q404" s="91"/>
      <c r="R404" s="91"/>
      <c r="S404" s="91"/>
      <c r="T404" s="92"/>
      <c r="U404" s="93"/>
      <c r="V404" s="94"/>
      <c r="W404" s="94"/>
      <c r="X404" s="93"/>
      <c r="Y404" s="93"/>
      <c r="Z404" s="85"/>
      <c r="AA404" s="85"/>
      <c r="AB404" s="85"/>
      <c r="AC404" s="85"/>
      <c r="AD404" s="85"/>
    </row>
    <row r="405" spans="16:30" x14ac:dyDescent="0.2">
      <c r="P405" s="85"/>
      <c r="Q405" s="91"/>
      <c r="R405" s="91"/>
      <c r="S405" s="91"/>
      <c r="T405" s="92"/>
      <c r="U405" s="93"/>
      <c r="V405" s="94"/>
      <c r="W405" s="94"/>
      <c r="X405" s="93"/>
      <c r="Y405" s="93"/>
      <c r="Z405" s="85"/>
      <c r="AA405" s="85"/>
      <c r="AB405" s="85"/>
      <c r="AC405" s="85"/>
      <c r="AD405" s="85"/>
    </row>
    <row r="406" spans="16:30" x14ac:dyDescent="0.2">
      <c r="P406" s="85"/>
      <c r="Q406" s="91"/>
      <c r="R406" s="91"/>
      <c r="S406" s="91"/>
      <c r="T406" s="92"/>
      <c r="U406" s="93"/>
      <c r="V406" s="94"/>
      <c r="W406" s="94"/>
      <c r="X406" s="93"/>
      <c r="Y406" s="93"/>
      <c r="Z406" s="85"/>
      <c r="AA406" s="85"/>
      <c r="AB406" s="85"/>
      <c r="AC406" s="85"/>
      <c r="AD406" s="85"/>
    </row>
    <row r="407" spans="16:30" x14ac:dyDescent="0.2">
      <c r="P407" s="85"/>
      <c r="Q407" s="91"/>
      <c r="R407" s="91"/>
      <c r="S407" s="91"/>
      <c r="T407" s="92"/>
      <c r="U407" s="93"/>
      <c r="V407" s="94"/>
      <c r="W407" s="94"/>
      <c r="X407" s="93"/>
      <c r="Y407" s="93"/>
      <c r="Z407" s="85"/>
      <c r="AA407" s="85"/>
      <c r="AB407" s="85"/>
      <c r="AC407" s="85"/>
      <c r="AD407" s="85"/>
    </row>
    <row r="408" spans="16:30" x14ac:dyDescent="0.2">
      <c r="P408" s="85"/>
      <c r="Q408" s="91"/>
      <c r="R408" s="91"/>
      <c r="S408" s="91"/>
      <c r="T408" s="92"/>
      <c r="U408" s="93"/>
      <c r="V408" s="94"/>
      <c r="W408" s="94"/>
      <c r="X408" s="93"/>
      <c r="Y408" s="93"/>
      <c r="Z408" s="85"/>
      <c r="AA408" s="85"/>
      <c r="AB408" s="85"/>
      <c r="AC408" s="85"/>
      <c r="AD408" s="85"/>
    </row>
    <row r="409" spans="16:30" x14ac:dyDescent="0.2">
      <c r="P409" s="85"/>
      <c r="Q409" s="91"/>
      <c r="R409" s="91"/>
      <c r="S409" s="91"/>
      <c r="T409" s="92"/>
      <c r="U409" s="93"/>
      <c r="V409" s="94"/>
      <c r="W409" s="94"/>
      <c r="X409" s="93"/>
      <c r="Y409" s="93"/>
      <c r="Z409" s="85"/>
      <c r="AA409" s="85"/>
      <c r="AB409" s="85"/>
      <c r="AC409" s="85"/>
      <c r="AD409" s="85"/>
    </row>
    <row r="410" spans="16:30" x14ac:dyDescent="0.2">
      <c r="P410" s="85"/>
      <c r="Q410" s="91"/>
      <c r="R410" s="91"/>
      <c r="S410" s="91"/>
      <c r="T410" s="92"/>
      <c r="U410" s="93"/>
      <c r="V410" s="94"/>
      <c r="W410" s="94"/>
      <c r="X410" s="93"/>
      <c r="Y410" s="93"/>
      <c r="Z410" s="85"/>
      <c r="AA410" s="85"/>
      <c r="AB410" s="85"/>
      <c r="AC410" s="85"/>
      <c r="AD410" s="85"/>
    </row>
    <row r="411" spans="16:30" x14ac:dyDescent="0.2">
      <c r="P411" s="85"/>
      <c r="Q411" s="91"/>
      <c r="R411" s="91"/>
      <c r="S411" s="91"/>
      <c r="T411" s="92"/>
      <c r="U411" s="93"/>
      <c r="V411" s="94"/>
      <c r="W411" s="94"/>
      <c r="X411" s="93"/>
      <c r="Y411" s="93"/>
      <c r="Z411" s="85"/>
      <c r="AA411" s="85"/>
      <c r="AB411" s="85"/>
      <c r="AC411" s="85"/>
      <c r="AD411" s="85"/>
    </row>
    <row r="412" spans="16:30" x14ac:dyDescent="0.2">
      <c r="P412" s="85"/>
      <c r="Q412" s="91"/>
      <c r="R412" s="91"/>
      <c r="S412" s="91"/>
      <c r="T412" s="92"/>
      <c r="U412" s="93"/>
      <c r="V412" s="94"/>
      <c r="W412" s="94"/>
      <c r="X412" s="93"/>
      <c r="Y412" s="93"/>
      <c r="Z412" s="85"/>
      <c r="AA412" s="85"/>
      <c r="AB412" s="85"/>
      <c r="AC412" s="85"/>
      <c r="AD412" s="85"/>
    </row>
    <row r="413" spans="16:30" x14ac:dyDescent="0.2">
      <c r="P413" s="85"/>
      <c r="Q413" s="91"/>
      <c r="R413" s="91"/>
      <c r="S413" s="91"/>
      <c r="T413" s="92"/>
      <c r="U413" s="93"/>
      <c r="V413" s="94"/>
      <c r="W413" s="94"/>
      <c r="X413" s="93"/>
      <c r="Y413" s="93"/>
      <c r="Z413" s="85"/>
      <c r="AA413" s="85"/>
      <c r="AB413" s="85"/>
      <c r="AC413" s="85"/>
      <c r="AD413" s="85"/>
    </row>
    <row r="414" spans="16:30" x14ac:dyDescent="0.2">
      <c r="P414" s="85"/>
      <c r="Q414" s="91"/>
      <c r="R414" s="91"/>
      <c r="S414" s="91"/>
      <c r="T414" s="92"/>
      <c r="U414" s="93"/>
      <c r="V414" s="94"/>
      <c r="W414" s="94"/>
      <c r="X414" s="93"/>
      <c r="Y414" s="93"/>
      <c r="Z414" s="85"/>
      <c r="AA414" s="85"/>
      <c r="AB414" s="85"/>
      <c r="AC414" s="85"/>
      <c r="AD414" s="85"/>
    </row>
    <row r="415" spans="16:30" x14ac:dyDescent="0.2">
      <c r="P415" s="85"/>
      <c r="Q415" s="91"/>
      <c r="R415" s="91"/>
      <c r="S415" s="91"/>
      <c r="T415" s="92"/>
      <c r="U415" s="93"/>
      <c r="V415" s="94"/>
      <c r="W415" s="94"/>
      <c r="X415" s="93"/>
      <c r="Y415" s="93"/>
      <c r="Z415" s="85"/>
      <c r="AA415" s="85"/>
      <c r="AB415" s="85"/>
      <c r="AC415" s="85"/>
      <c r="AD415" s="85"/>
    </row>
    <row r="416" spans="16:30" x14ac:dyDescent="0.2">
      <c r="P416" s="85"/>
      <c r="Q416" s="91"/>
      <c r="R416" s="91"/>
      <c r="S416" s="91"/>
      <c r="T416" s="92"/>
      <c r="U416" s="93"/>
      <c r="V416" s="94"/>
      <c r="W416" s="94"/>
      <c r="X416" s="93"/>
      <c r="Y416" s="93"/>
      <c r="Z416" s="85"/>
      <c r="AA416" s="85"/>
      <c r="AB416" s="85"/>
      <c r="AC416" s="85"/>
      <c r="AD416" s="85"/>
    </row>
    <row r="417" spans="16:30" x14ac:dyDescent="0.2">
      <c r="P417" s="85"/>
      <c r="Q417" s="91"/>
      <c r="R417" s="91"/>
      <c r="S417" s="91"/>
      <c r="T417" s="92"/>
      <c r="U417" s="93"/>
      <c r="V417" s="94"/>
      <c r="W417" s="94"/>
      <c r="X417" s="93"/>
      <c r="Y417" s="93"/>
      <c r="Z417" s="85"/>
      <c r="AA417" s="85"/>
      <c r="AB417" s="85"/>
      <c r="AC417" s="85"/>
      <c r="AD417" s="85"/>
    </row>
    <row r="418" spans="16:30" x14ac:dyDescent="0.2">
      <c r="P418" s="85"/>
      <c r="Q418" s="91"/>
      <c r="R418" s="91"/>
      <c r="S418" s="91"/>
      <c r="T418" s="92"/>
      <c r="U418" s="93"/>
      <c r="V418" s="94"/>
      <c r="W418" s="94"/>
      <c r="X418" s="93"/>
      <c r="Y418" s="93"/>
      <c r="Z418" s="85"/>
      <c r="AA418" s="85"/>
      <c r="AB418" s="85"/>
      <c r="AC418" s="85"/>
      <c r="AD418" s="85"/>
    </row>
    <row r="419" spans="16:30" x14ac:dyDescent="0.2">
      <c r="P419" s="85"/>
      <c r="Q419" s="91"/>
      <c r="R419" s="91"/>
      <c r="S419" s="91"/>
      <c r="T419" s="92"/>
      <c r="U419" s="93"/>
      <c r="V419" s="94"/>
      <c r="W419" s="94"/>
      <c r="X419" s="93"/>
      <c r="Y419" s="93"/>
      <c r="Z419" s="85"/>
      <c r="AA419" s="85"/>
      <c r="AB419" s="85"/>
      <c r="AC419" s="85"/>
      <c r="AD419" s="85"/>
    </row>
    <row r="420" spans="16:30" x14ac:dyDescent="0.2">
      <c r="P420" s="85"/>
      <c r="Q420" s="91"/>
      <c r="R420" s="91"/>
      <c r="S420" s="91"/>
      <c r="T420" s="92"/>
      <c r="U420" s="93"/>
      <c r="V420" s="94"/>
      <c r="W420" s="94"/>
      <c r="X420" s="93"/>
      <c r="Y420" s="93"/>
      <c r="Z420" s="85"/>
      <c r="AA420" s="85"/>
      <c r="AB420" s="85"/>
      <c r="AC420" s="85"/>
      <c r="AD420" s="85"/>
    </row>
    <row r="421" spans="16:30" x14ac:dyDescent="0.2">
      <c r="P421" s="85"/>
      <c r="Q421" s="91"/>
      <c r="R421" s="91"/>
      <c r="S421" s="91"/>
      <c r="T421" s="92"/>
      <c r="U421" s="93"/>
      <c r="V421" s="94"/>
      <c r="W421" s="94"/>
      <c r="X421" s="93"/>
      <c r="Y421" s="93"/>
      <c r="Z421" s="85"/>
      <c r="AA421" s="85"/>
      <c r="AB421" s="85"/>
      <c r="AC421" s="85"/>
      <c r="AD421" s="85"/>
    </row>
    <row r="422" spans="16:30" x14ac:dyDescent="0.2">
      <c r="P422" s="85"/>
      <c r="Q422" s="91"/>
      <c r="R422" s="91"/>
      <c r="S422" s="91"/>
      <c r="T422" s="92"/>
      <c r="U422" s="93"/>
      <c r="V422" s="94"/>
      <c r="W422" s="94"/>
      <c r="X422" s="93"/>
      <c r="Y422" s="93"/>
      <c r="Z422" s="85"/>
      <c r="AA422" s="85"/>
      <c r="AB422" s="85"/>
      <c r="AC422" s="85"/>
      <c r="AD422" s="85"/>
    </row>
    <row r="423" spans="16:30" x14ac:dyDescent="0.2">
      <c r="P423" s="85"/>
      <c r="Q423" s="91"/>
      <c r="R423" s="91"/>
      <c r="S423" s="91"/>
      <c r="T423" s="92"/>
      <c r="U423" s="93"/>
      <c r="V423" s="94"/>
      <c r="W423" s="94"/>
      <c r="X423" s="93"/>
      <c r="Y423" s="93"/>
      <c r="Z423" s="85"/>
      <c r="AA423" s="85"/>
      <c r="AB423" s="85"/>
      <c r="AC423" s="85"/>
      <c r="AD423" s="85"/>
    </row>
    <row r="424" spans="16:30" x14ac:dyDescent="0.2">
      <c r="P424" s="85"/>
      <c r="Q424" s="91"/>
      <c r="R424" s="91"/>
      <c r="S424" s="91"/>
      <c r="T424" s="92"/>
      <c r="U424" s="93"/>
      <c r="V424" s="94"/>
      <c r="W424" s="94"/>
      <c r="X424" s="93"/>
      <c r="Y424" s="93"/>
      <c r="Z424" s="85"/>
      <c r="AA424" s="85"/>
      <c r="AB424" s="85"/>
      <c r="AC424" s="85"/>
      <c r="AD424" s="85"/>
    </row>
    <row r="425" spans="16:30" x14ac:dyDescent="0.2">
      <c r="P425" s="85"/>
      <c r="Q425" s="91"/>
      <c r="R425" s="91"/>
      <c r="S425" s="91"/>
      <c r="T425" s="92"/>
      <c r="U425" s="93"/>
      <c r="V425" s="94"/>
      <c r="W425" s="94"/>
      <c r="X425" s="93"/>
      <c r="Y425" s="93"/>
      <c r="Z425" s="85"/>
      <c r="AA425" s="85"/>
      <c r="AB425" s="85"/>
      <c r="AC425" s="85"/>
      <c r="AD425" s="85"/>
    </row>
    <row r="426" spans="16:30" x14ac:dyDescent="0.2">
      <c r="P426" s="85"/>
      <c r="Q426" s="91"/>
      <c r="R426" s="91"/>
      <c r="S426" s="91"/>
      <c r="T426" s="92"/>
      <c r="U426" s="93"/>
      <c r="V426" s="94"/>
      <c r="W426" s="94"/>
      <c r="X426" s="93"/>
      <c r="Y426" s="93"/>
      <c r="Z426" s="85"/>
      <c r="AA426" s="85"/>
      <c r="AB426" s="85"/>
      <c r="AC426" s="85"/>
      <c r="AD426" s="85"/>
    </row>
    <row r="427" spans="16:30" x14ac:dyDescent="0.2">
      <c r="P427" s="85"/>
      <c r="Q427" s="91"/>
      <c r="R427" s="91"/>
      <c r="S427" s="91"/>
      <c r="T427" s="92"/>
      <c r="U427" s="93"/>
      <c r="V427" s="94"/>
      <c r="W427" s="94"/>
      <c r="X427" s="93"/>
      <c r="Y427" s="93"/>
      <c r="Z427" s="85"/>
      <c r="AA427" s="85"/>
      <c r="AB427" s="85"/>
      <c r="AC427" s="85"/>
      <c r="AD427" s="85"/>
    </row>
    <row r="428" spans="16:30" x14ac:dyDescent="0.2">
      <c r="P428" s="85"/>
      <c r="Q428" s="91"/>
      <c r="R428" s="91"/>
      <c r="S428" s="91"/>
      <c r="T428" s="92"/>
      <c r="U428" s="93"/>
      <c r="V428" s="94"/>
      <c r="W428" s="94"/>
      <c r="X428" s="93"/>
      <c r="Y428" s="93"/>
      <c r="Z428" s="85"/>
      <c r="AA428" s="85"/>
      <c r="AB428" s="85"/>
      <c r="AC428" s="85"/>
      <c r="AD428" s="85"/>
    </row>
    <row r="429" spans="16:30" x14ac:dyDescent="0.2">
      <c r="P429" s="85"/>
      <c r="Q429" s="91"/>
      <c r="R429" s="91"/>
      <c r="S429" s="91"/>
      <c r="T429" s="92"/>
      <c r="U429" s="93"/>
      <c r="V429" s="94"/>
      <c r="W429" s="94"/>
      <c r="X429" s="93"/>
      <c r="Y429" s="93"/>
      <c r="Z429" s="85"/>
      <c r="AA429" s="85"/>
      <c r="AB429" s="85"/>
      <c r="AC429" s="85"/>
      <c r="AD429" s="85"/>
    </row>
    <row r="430" spans="16:30" x14ac:dyDescent="0.2">
      <c r="P430" s="85"/>
      <c r="Q430" s="91"/>
      <c r="R430" s="91"/>
      <c r="S430" s="91"/>
      <c r="T430" s="92"/>
      <c r="U430" s="93"/>
      <c r="V430" s="94"/>
      <c r="W430" s="94"/>
      <c r="X430" s="93"/>
      <c r="Y430" s="93"/>
      <c r="Z430" s="85"/>
      <c r="AA430" s="85"/>
      <c r="AB430" s="85"/>
      <c r="AC430" s="85"/>
      <c r="AD430" s="85"/>
    </row>
    <row r="431" spans="16:30" x14ac:dyDescent="0.2">
      <c r="P431" s="85"/>
      <c r="Q431" s="91"/>
      <c r="R431" s="91"/>
      <c r="S431" s="91"/>
      <c r="T431" s="92"/>
      <c r="U431" s="93"/>
      <c r="V431" s="94"/>
      <c r="W431" s="94"/>
      <c r="X431" s="93"/>
      <c r="Y431" s="93"/>
      <c r="Z431" s="85"/>
      <c r="AA431" s="85"/>
      <c r="AB431" s="85"/>
      <c r="AC431" s="85"/>
      <c r="AD431" s="85"/>
    </row>
    <row r="432" spans="16:30" x14ac:dyDescent="0.2">
      <c r="P432" s="85"/>
      <c r="Q432" s="91"/>
      <c r="R432" s="91"/>
      <c r="S432" s="91"/>
      <c r="T432" s="92"/>
      <c r="U432" s="93"/>
      <c r="V432" s="94"/>
      <c r="W432" s="94"/>
      <c r="X432" s="93"/>
      <c r="Y432" s="93"/>
      <c r="Z432" s="85"/>
      <c r="AA432" s="85"/>
      <c r="AB432" s="85"/>
      <c r="AC432" s="85"/>
      <c r="AD432" s="85"/>
    </row>
    <row r="433" spans="16:30" x14ac:dyDescent="0.2">
      <c r="P433" s="85"/>
      <c r="Q433" s="91"/>
      <c r="R433" s="91"/>
      <c r="S433" s="91"/>
      <c r="T433" s="92"/>
      <c r="U433" s="93"/>
      <c r="V433" s="94"/>
      <c r="W433" s="94"/>
      <c r="X433" s="93"/>
      <c r="Y433" s="93"/>
      <c r="Z433" s="85"/>
      <c r="AA433" s="85"/>
      <c r="AB433" s="85"/>
      <c r="AC433" s="85"/>
      <c r="AD433" s="85"/>
    </row>
    <row r="434" spans="16:30" x14ac:dyDescent="0.2">
      <c r="P434" s="85"/>
      <c r="Q434" s="91"/>
      <c r="R434" s="91"/>
      <c r="S434" s="91"/>
      <c r="T434" s="92"/>
      <c r="U434" s="93"/>
      <c r="V434" s="94"/>
      <c r="W434" s="94"/>
      <c r="X434" s="93"/>
      <c r="Y434" s="93"/>
      <c r="Z434" s="85"/>
      <c r="AA434" s="85"/>
      <c r="AB434" s="85"/>
      <c r="AC434" s="85"/>
      <c r="AD434" s="85"/>
    </row>
    <row r="435" spans="16:30" x14ac:dyDescent="0.2">
      <c r="P435" s="85"/>
      <c r="Q435" s="91"/>
      <c r="R435" s="91"/>
      <c r="S435" s="91"/>
      <c r="T435" s="92"/>
      <c r="U435" s="93"/>
      <c r="V435" s="94"/>
      <c r="W435" s="94"/>
      <c r="X435" s="93"/>
      <c r="Y435" s="93"/>
      <c r="Z435" s="85"/>
      <c r="AA435" s="85"/>
      <c r="AB435" s="85"/>
      <c r="AC435" s="85"/>
      <c r="AD435" s="85"/>
    </row>
    <row r="436" spans="16:30" x14ac:dyDescent="0.2">
      <c r="P436" s="85"/>
      <c r="Q436" s="91"/>
      <c r="R436" s="91"/>
      <c r="S436" s="91"/>
      <c r="T436" s="92"/>
      <c r="U436" s="93"/>
      <c r="V436" s="94"/>
      <c r="W436" s="94"/>
      <c r="X436" s="93"/>
      <c r="Y436" s="93"/>
      <c r="Z436" s="85"/>
      <c r="AA436" s="85"/>
      <c r="AB436" s="85"/>
      <c r="AC436" s="85"/>
      <c r="AD436" s="85"/>
    </row>
    <row r="437" spans="16:30" x14ac:dyDescent="0.2">
      <c r="P437" s="85"/>
      <c r="Q437" s="91"/>
      <c r="R437" s="91"/>
      <c r="S437" s="91"/>
      <c r="T437" s="92"/>
      <c r="U437" s="93"/>
      <c r="V437" s="94"/>
      <c r="W437" s="94"/>
      <c r="X437" s="93"/>
      <c r="Y437" s="93"/>
      <c r="Z437" s="85"/>
      <c r="AA437" s="85"/>
      <c r="AB437" s="85"/>
      <c r="AC437" s="85"/>
      <c r="AD437" s="85"/>
    </row>
    <row r="438" spans="16:30" x14ac:dyDescent="0.2">
      <c r="P438" s="85"/>
      <c r="Q438" s="91"/>
      <c r="R438" s="91"/>
      <c r="S438" s="91"/>
      <c r="T438" s="92"/>
      <c r="U438" s="93"/>
      <c r="V438" s="94"/>
      <c r="W438" s="94"/>
      <c r="X438" s="93"/>
      <c r="Y438" s="93"/>
      <c r="Z438" s="85"/>
      <c r="AA438" s="85"/>
      <c r="AB438" s="85"/>
      <c r="AC438" s="85"/>
      <c r="AD438" s="85"/>
    </row>
    <row r="439" spans="16:30" x14ac:dyDescent="0.2">
      <c r="P439" s="85"/>
      <c r="Q439" s="91"/>
      <c r="R439" s="91"/>
      <c r="S439" s="91"/>
      <c r="T439" s="92"/>
      <c r="U439" s="93"/>
      <c r="V439" s="94"/>
      <c r="W439" s="94"/>
      <c r="X439" s="93"/>
      <c r="Y439" s="93"/>
      <c r="Z439" s="85"/>
      <c r="AA439" s="85"/>
      <c r="AB439" s="85"/>
      <c r="AC439" s="85"/>
      <c r="AD439" s="85"/>
    </row>
    <row r="440" spans="16:30" x14ac:dyDescent="0.2">
      <c r="P440" s="85"/>
      <c r="Q440" s="91"/>
      <c r="R440" s="91"/>
      <c r="S440" s="91"/>
      <c r="T440" s="92"/>
      <c r="U440" s="93"/>
      <c r="V440" s="94"/>
      <c r="W440" s="94"/>
      <c r="X440" s="93"/>
      <c r="Y440" s="93"/>
      <c r="Z440" s="85"/>
      <c r="AA440" s="85"/>
      <c r="AB440" s="85"/>
      <c r="AC440" s="85"/>
      <c r="AD440" s="85"/>
    </row>
    <row r="441" spans="16:30" x14ac:dyDescent="0.2">
      <c r="P441" s="85"/>
      <c r="Q441" s="91"/>
      <c r="R441" s="91"/>
      <c r="S441" s="91"/>
      <c r="T441" s="92"/>
      <c r="U441" s="93"/>
      <c r="V441" s="94"/>
      <c r="W441" s="94"/>
      <c r="X441" s="93"/>
      <c r="Y441" s="93"/>
      <c r="Z441" s="85"/>
      <c r="AA441" s="85"/>
      <c r="AB441" s="85"/>
      <c r="AC441" s="85"/>
      <c r="AD441" s="85"/>
    </row>
    <row r="442" spans="16:30" x14ac:dyDescent="0.2">
      <c r="P442" s="85"/>
      <c r="Q442" s="91"/>
      <c r="R442" s="91"/>
      <c r="S442" s="91"/>
      <c r="T442" s="92"/>
      <c r="U442" s="93"/>
      <c r="V442" s="94"/>
      <c r="W442" s="94"/>
      <c r="X442" s="93"/>
      <c r="Y442" s="93"/>
      <c r="Z442" s="85"/>
      <c r="AA442" s="85"/>
      <c r="AB442" s="85"/>
      <c r="AC442" s="85"/>
      <c r="AD442" s="85"/>
    </row>
    <row r="443" spans="16:30" x14ac:dyDescent="0.2">
      <c r="P443" s="85"/>
      <c r="Q443" s="91"/>
      <c r="R443" s="91"/>
      <c r="S443" s="91"/>
      <c r="T443" s="92"/>
      <c r="U443" s="93"/>
      <c r="V443" s="94"/>
      <c r="W443" s="94"/>
      <c r="X443" s="93"/>
      <c r="Y443" s="93"/>
      <c r="Z443" s="85"/>
      <c r="AA443" s="85"/>
      <c r="AB443" s="85"/>
      <c r="AC443" s="85"/>
      <c r="AD443" s="85"/>
    </row>
    <row r="444" spans="16:30" x14ac:dyDescent="0.2">
      <c r="P444" s="85"/>
      <c r="Q444" s="91"/>
      <c r="R444" s="91"/>
      <c r="S444" s="91"/>
      <c r="T444" s="92"/>
      <c r="U444" s="93"/>
      <c r="V444" s="94"/>
      <c r="W444" s="94"/>
      <c r="X444" s="93"/>
      <c r="Y444" s="93"/>
      <c r="Z444" s="85"/>
      <c r="AA444" s="85"/>
      <c r="AB444" s="85"/>
      <c r="AC444" s="85"/>
      <c r="AD444" s="85"/>
    </row>
    <row r="445" spans="16:30" x14ac:dyDescent="0.2">
      <c r="P445" s="85"/>
      <c r="Q445" s="91"/>
      <c r="R445" s="91"/>
      <c r="S445" s="91"/>
      <c r="T445" s="92"/>
      <c r="U445" s="93"/>
      <c r="V445" s="94"/>
      <c r="W445" s="94"/>
      <c r="X445" s="93"/>
      <c r="Y445" s="93"/>
      <c r="Z445" s="85"/>
      <c r="AA445" s="85"/>
      <c r="AB445" s="85"/>
      <c r="AC445" s="85"/>
      <c r="AD445" s="85"/>
    </row>
    <row r="446" spans="16:30" x14ac:dyDescent="0.2">
      <c r="P446" s="85"/>
      <c r="Q446" s="91"/>
      <c r="R446" s="91"/>
      <c r="S446" s="91"/>
      <c r="T446" s="92"/>
      <c r="U446" s="93"/>
      <c r="V446" s="94"/>
      <c r="W446" s="94"/>
      <c r="X446" s="93"/>
      <c r="Y446" s="93"/>
      <c r="Z446" s="85"/>
      <c r="AA446" s="85"/>
      <c r="AB446" s="85"/>
      <c r="AC446" s="85"/>
      <c r="AD446" s="85"/>
    </row>
    <row r="447" spans="16:30" x14ac:dyDescent="0.2">
      <c r="P447" s="85"/>
      <c r="Q447" s="91"/>
      <c r="R447" s="91"/>
      <c r="S447" s="91"/>
      <c r="T447" s="92"/>
      <c r="U447" s="93"/>
      <c r="V447" s="94"/>
      <c r="W447" s="94"/>
      <c r="X447" s="93"/>
      <c r="Y447" s="93"/>
      <c r="Z447" s="85"/>
      <c r="AA447" s="85"/>
      <c r="AB447" s="85"/>
      <c r="AC447" s="85"/>
      <c r="AD447" s="85"/>
    </row>
    <row r="448" spans="16:30" x14ac:dyDescent="0.2">
      <c r="P448" s="85"/>
      <c r="Q448" s="91"/>
      <c r="R448" s="91"/>
      <c r="S448" s="91"/>
      <c r="T448" s="92"/>
      <c r="U448" s="93"/>
      <c r="V448" s="94"/>
      <c r="W448" s="94"/>
      <c r="X448" s="93"/>
      <c r="Y448" s="93"/>
      <c r="Z448" s="85"/>
      <c r="AA448" s="85"/>
      <c r="AB448" s="85"/>
      <c r="AC448" s="85"/>
      <c r="AD448" s="85"/>
    </row>
    <row r="449" spans="16:30" x14ac:dyDescent="0.2">
      <c r="P449" s="85"/>
      <c r="Q449" s="91"/>
      <c r="R449" s="91"/>
      <c r="S449" s="91"/>
      <c r="T449" s="92"/>
      <c r="U449" s="93"/>
      <c r="V449" s="94"/>
      <c r="W449" s="94"/>
      <c r="X449" s="93"/>
      <c r="Y449" s="93"/>
      <c r="Z449" s="85"/>
      <c r="AA449" s="85"/>
      <c r="AB449" s="85"/>
      <c r="AC449" s="85"/>
      <c r="AD449" s="85"/>
    </row>
    <row r="450" spans="16:30" x14ac:dyDescent="0.2">
      <c r="P450" s="85"/>
      <c r="Q450" s="91"/>
      <c r="R450" s="91"/>
      <c r="S450" s="91"/>
      <c r="T450" s="92"/>
      <c r="U450" s="93"/>
      <c r="V450" s="94"/>
      <c r="W450" s="94"/>
      <c r="X450" s="93"/>
      <c r="Y450" s="93"/>
      <c r="Z450" s="85"/>
      <c r="AA450" s="85"/>
      <c r="AB450" s="85"/>
      <c r="AC450" s="85"/>
      <c r="AD450" s="85"/>
    </row>
    <row r="451" spans="16:30" x14ac:dyDescent="0.2">
      <c r="P451" s="85"/>
      <c r="Q451" s="91"/>
      <c r="R451" s="91"/>
      <c r="S451" s="91"/>
      <c r="T451" s="92"/>
      <c r="U451" s="93"/>
      <c r="V451" s="94"/>
      <c r="W451" s="94"/>
      <c r="X451" s="93"/>
      <c r="Y451" s="93"/>
      <c r="Z451" s="85"/>
      <c r="AA451" s="85"/>
      <c r="AB451" s="85"/>
      <c r="AC451" s="85"/>
      <c r="AD451" s="85"/>
    </row>
    <row r="452" spans="16:30" x14ac:dyDescent="0.2">
      <c r="P452" s="85"/>
      <c r="Q452" s="91"/>
      <c r="R452" s="91"/>
      <c r="S452" s="91"/>
      <c r="T452" s="92"/>
      <c r="U452" s="93"/>
      <c r="V452" s="94"/>
      <c r="W452" s="94"/>
      <c r="X452" s="93"/>
      <c r="Y452" s="93"/>
      <c r="Z452" s="85"/>
      <c r="AA452" s="85"/>
      <c r="AB452" s="85"/>
      <c r="AC452" s="85"/>
      <c r="AD452" s="85"/>
    </row>
    <row r="453" spans="16:30" x14ac:dyDescent="0.2">
      <c r="P453" s="85"/>
      <c r="Q453" s="91"/>
      <c r="R453" s="91"/>
      <c r="S453" s="91"/>
      <c r="T453" s="92"/>
      <c r="U453" s="93"/>
      <c r="V453" s="94"/>
      <c r="W453" s="94"/>
      <c r="X453" s="93"/>
      <c r="Y453" s="93"/>
      <c r="Z453" s="85"/>
      <c r="AA453" s="85"/>
      <c r="AB453" s="85"/>
      <c r="AC453" s="85"/>
      <c r="AD453" s="85"/>
    </row>
    <row r="454" spans="16:30" x14ac:dyDescent="0.2">
      <c r="P454" s="85"/>
      <c r="Q454" s="91"/>
      <c r="R454" s="91"/>
      <c r="S454" s="91"/>
      <c r="T454" s="92"/>
      <c r="U454" s="93"/>
      <c r="V454" s="94"/>
      <c r="W454" s="94"/>
      <c r="X454" s="93"/>
      <c r="Y454" s="93"/>
      <c r="Z454" s="85"/>
      <c r="AA454" s="85"/>
      <c r="AB454" s="85"/>
      <c r="AC454" s="85"/>
      <c r="AD454" s="85"/>
    </row>
    <row r="455" spans="16:30" x14ac:dyDescent="0.2">
      <c r="P455" s="85"/>
      <c r="Q455" s="91"/>
      <c r="R455" s="91"/>
      <c r="S455" s="91"/>
      <c r="T455" s="92"/>
      <c r="U455" s="93"/>
      <c r="V455" s="94"/>
      <c r="W455" s="94"/>
      <c r="X455" s="93"/>
      <c r="Y455" s="93"/>
      <c r="Z455" s="85"/>
      <c r="AA455" s="85"/>
      <c r="AB455" s="85"/>
      <c r="AC455" s="85"/>
      <c r="AD455" s="85"/>
    </row>
    <row r="456" spans="16:30" x14ac:dyDescent="0.2">
      <c r="P456" s="85"/>
      <c r="Q456" s="91"/>
      <c r="R456" s="91"/>
      <c r="S456" s="91"/>
      <c r="T456" s="92"/>
      <c r="U456" s="93"/>
      <c r="V456" s="94"/>
      <c r="W456" s="94"/>
      <c r="X456" s="93"/>
      <c r="Y456" s="93"/>
      <c r="Z456" s="85"/>
      <c r="AA456" s="85"/>
      <c r="AB456" s="85"/>
      <c r="AC456" s="85"/>
      <c r="AD456" s="85"/>
    </row>
    <row r="457" spans="16:30" x14ac:dyDescent="0.2">
      <c r="P457" s="85"/>
      <c r="Q457" s="91"/>
      <c r="R457" s="91"/>
      <c r="S457" s="91"/>
      <c r="T457" s="92"/>
      <c r="U457" s="93"/>
      <c r="V457" s="94"/>
      <c r="W457" s="94"/>
      <c r="X457" s="93"/>
      <c r="Y457" s="93"/>
      <c r="Z457" s="85"/>
      <c r="AA457" s="85"/>
      <c r="AB457" s="85"/>
      <c r="AC457" s="85"/>
      <c r="AD457" s="85"/>
    </row>
    <row r="458" spans="16:30" x14ac:dyDescent="0.2">
      <c r="P458" s="85"/>
      <c r="Q458" s="91"/>
      <c r="R458" s="91"/>
      <c r="S458" s="91"/>
      <c r="T458" s="92"/>
      <c r="U458" s="93"/>
      <c r="V458" s="94"/>
      <c r="W458" s="94"/>
      <c r="X458" s="93"/>
      <c r="Y458" s="93"/>
      <c r="Z458" s="85"/>
      <c r="AA458" s="85"/>
      <c r="AB458" s="85"/>
      <c r="AC458" s="85"/>
      <c r="AD458" s="85"/>
    </row>
    <row r="459" spans="16:30" x14ac:dyDescent="0.2">
      <c r="P459" s="85"/>
      <c r="Q459" s="91"/>
      <c r="R459" s="91"/>
      <c r="S459" s="91"/>
      <c r="T459" s="92"/>
      <c r="U459" s="93"/>
      <c r="V459" s="94"/>
      <c r="W459" s="94"/>
      <c r="X459" s="93"/>
      <c r="Y459" s="93"/>
      <c r="Z459" s="85"/>
      <c r="AA459" s="85"/>
      <c r="AB459" s="85"/>
      <c r="AC459" s="85"/>
      <c r="AD459" s="85"/>
    </row>
    <row r="460" spans="16:30" x14ac:dyDescent="0.2">
      <c r="P460" s="85"/>
      <c r="Q460" s="91"/>
      <c r="R460" s="91"/>
      <c r="S460" s="91"/>
      <c r="T460" s="92"/>
      <c r="U460" s="93"/>
      <c r="V460" s="94"/>
      <c r="W460" s="94"/>
      <c r="X460" s="93"/>
      <c r="Y460" s="93"/>
      <c r="Z460" s="85"/>
      <c r="AA460" s="85"/>
      <c r="AB460" s="85"/>
      <c r="AC460" s="85"/>
      <c r="AD460" s="85"/>
    </row>
    <row r="461" spans="16:30" x14ac:dyDescent="0.2">
      <c r="P461" s="85"/>
      <c r="Q461" s="91"/>
      <c r="R461" s="91"/>
      <c r="S461" s="91"/>
      <c r="T461" s="92"/>
      <c r="U461" s="93"/>
      <c r="V461" s="94"/>
      <c r="W461" s="94"/>
      <c r="X461" s="93"/>
      <c r="Y461" s="93"/>
      <c r="Z461" s="85"/>
      <c r="AA461" s="85"/>
      <c r="AB461" s="85"/>
      <c r="AC461" s="85"/>
      <c r="AD461" s="85"/>
    </row>
    <row r="462" spans="16:30" x14ac:dyDescent="0.2">
      <c r="P462" s="85"/>
      <c r="Q462" s="91"/>
      <c r="R462" s="91"/>
      <c r="S462" s="91"/>
      <c r="T462" s="92"/>
      <c r="U462" s="93"/>
      <c r="V462" s="94"/>
      <c r="W462" s="94"/>
      <c r="X462" s="93"/>
      <c r="Y462" s="93"/>
      <c r="Z462" s="85"/>
      <c r="AA462" s="85"/>
      <c r="AB462" s="85"/>
      <c r="AC462" s="85"/>
      <c r="AD462" s="85"/>
    </row>
    <row r="463" spans="16:30" x14ac:dyDescent="0.2">
      <c r="P463" s="85"/>
      <c r="Q463" s="91"/>
      <c r="R463" s="91"/>
      <c r="S463" s="91"/>
      <c r="T463" s="92"/>
      <c r="U463" s="93"/>
      <c r="V463" s="94"/>
      <c r="W463" s="94"/>
      <c r="X463" s="93"/>
      <c r="Y463" s="93"/>
      <c r="Z463" s="85"/>
      <c r="AA463" s="85"/>
      <c r="AB463" s="85"/>
      <c r="AC463" s="85"/>
      <c r="AD463" s="85"/>
    </row>
    <row r="464" spans="16:30" x14ac:dyDescent="0.2">
      <c r="P464" s="85"/>
      <c r="Q464" s="91"/>
      <c r="R464" s="91"/>
      <c r="S464" s="91"/>
      <c r="T464" s="92"/>
      <c r="U464" s="93"/>
      <c r="V464" s="94"/>
      <c r="W464" s="94"/>
      <c r="X464" s="93"/>
      <c r="Y464" s="93"/>
      <c r="Z464" s="85"/>
      <c r="AA464" s="85"/>
      <c r="AB464" s="85"/>
      <c r="AC464" s="85"/>
      <c r="AD464" s="85"/>
    </row>
    <row r="465" spans="16:30" x14ac:dyDescent="0.2">
      <c r="P465" s="85"/>
      <c r="Q465" s="91"/>
      <c r="R465" s="91"/>
      <c r="S465" s="91"/>
      <c r="T465" s="92"/>
      <c r="U465" s="93"/>
      <c r="V465" s="94"/>
      <c r="W465" s="94"/>
      <c r="X465" s="93"/>
      <c r="Y465" s="93"/>
      <c r="Z465" s="85"/>
      <c r="AA465" s="85"/>
      <c r="AB465" s="85"/>
      <c r="AC465" s="85"/>
      <c r="AD465" s="85"/>
    </row>
    <row r="466" spans="16:30" x14ac:dyDescent="0.2">
      <c r="P466" s="85"/>
      <c r="Q466" s="91"/>
      <c r="R466" s="91"/>
      <c r="S466" s="91"/>
      <c r="T466" s="92"/>
      <c r="U466" s="93"/>
      <c r="V466" s="94"/>
      <c r="W466" s="94"/>
      <c r="X466" s="93"/>
      <c r="Y466" s="93"/>
      <c r="Z466" s="85"/>
      <c r="AA466" s="85"/>
      <c r="AB466" s="85"/>
      <c r="AC466" s="85"/>
      <c r="AD466" s="85"/>
    </row>
    <row r="467" spans="16:30" x14ac:dyDescent="0.2">
      <c r="P467" s="85"/>
      <c r="Q467" s="91"/>
      <c r="R467" s="91"/>
      <c r="S467" s="91"/>
      <c r="T467" s="92"/>
      <c r="U467" s="93"/>
      <c r="V467" s="94"/>
      <c r="W467" s="94"/>
      <c r="X467" s="93"/>
      <c r="Y467" s="93"/>
      <c r="Z467" s="85"/>
      <c r="AA467" s="85"/>
      <c r="AB467" s="85"/>
      <c r="AC467" s="85"/>
      <c r="AD467" s="85"/>
    </row>
    <row r="468" spans="16:30" x14ac:dyDescent="0.2">
      <c r="P468" s="85"/>
      <c r="Q468" s="91"/>
      <c r="R468" s="91"/>
      <c r="S468" s="91"/>
      <c r="T468" s="92"/>
      <c r="U468" s="93"/>
      <c r="V468" s="94"/>
      <c r="W468" s="94"/>
      <c r="X468" s="93"/>
      <c r="Y468" s="93"/>
      <c r="Z468" s="85"/>
      <c r="AA468" s="85"/>
      <c r="AB468" s="85"/>
      <c r="AC468" s="85"/>
      <c r="AD468" s="85"/>
    </row>
    <row r="469" spans="16:30" x14ac:dyDescent="0.2">
      <c r="P469" s="85"/>
      <c r="Q469" s="91"/>
      <c r="R469" s="91"/>
      <c r="S469" s="91"/>
      <c r="T469" s="92"/>
      <c r="U469" s="93"/>
      <c r="V469" s="94"/>
      <c r="W469" s="94"/>
      <c r="X469" s="93"/>
      <c r="Y469" s="93"/>
      <c r="Z469" s="85"/>
      <c r="AA469" s="85"/>
      <c r="AB469" s="85"/>
      <c r="AC469" s="85"/>
      <c r="AD469" s="85"/>
    </row>
    <row r="470" spans="16:30" x14ac:dyDescent="0.2">
      <c r="P470" s="85"/>
      <c r="Q470" s="91"/>
      <c r="R470" s="91"/>
      <c r="S470" s="91"/>
      <c r="T470" s="92"/>
      <c r="U470" s="93"/>
      <c r="V470" s="94"/>
      <c r="W470" s="94"/>
      <c r="X470" s="93"/>
      <c r="Y470" s="93"/>
      <c r="Z470" s="85"/>
      <c r="AA470" s="85"/>
      <c r="AB470" s="85"/>
      <c r="AC470" s="85"/>
      <c r="AD470" s="85"/>
    </row>
    <row r="471" spans="16:30" x14ac:dyDescent="0.2">
      <c r="P471" s="85"/>
      <c r="Q471" s="91"/>
      <c r="R471" s="91"/>
      <c r="S471" s="91"/>
      <c r="T471" s="92"/>
      <c r="U471" s="93"/>
      <c r="V471" s="94"/>
      <c r="W471" s="94"/>
      <c r="X471" s="93"/>
      <c r="Y471" s="93"/>
      <c r="Z471" s="85"/>
      <c r="AA471" s="85"/>
      <c r="AB471" s="85"/>
      <c r="AC471" s="85"/>
      <c r="AD471" s="85"/>
    </row>
    <row r="472" spans="16:30" x14ac:dyDescent="0.2">
      <c r="P472" s="85"/>
      <c r="Q472" s="91"/>
      <c r="R472" s="91"/>
      <c r="S472" s="91"/>
      <c r="T472" s="92"/>
      <c r="U472" s="93"/>
      <c r="V472" s="94"/>
      <c r="W472" s="94"/>
      <c r="X472" s="93"/>
      <c r="Y472" s="93"/>
      <c r="Z472" s="85"/>
      <c r="AA472" s="85"/>
      <c r="AB472" s="85"/>
      <c r="AC472" s="85"/>
      <c r="AD472" s="85"/>
    </row>
    <row r="473" spans="16:30" x14ac:dyDescent="0.2">
      <c r="P473" s="85"/>
      <c r="Q473" s="91"/>
      <c r="R473" s="91"/>
      <c r="S473" s="91"/>
      <c r="T473" s="92"/>
      <c r="U473" s="93"/>
      <c r="V473" s="94"/>
      <c r="W473" s="94"/>
      <c r="X473" s="93"/>
      <c r="Y473" s="93"/>
      <c r="Z473" s="85"/>
      <c r="AA473" s="85"/>
      <c r="AB473" s="85"/>
      <c r="AC473" s="85"/>
      <c r="AD473" s="85"/>
    </row>
    <row r="474" spans="16:30" x14ac:dyDescent="0.2">
      <c r="P474" s="85"/>
      <c r="Q474" s="91"/>
      <c r="R474" s="91"/>
      <c r="S474" s="91"/>
      <c r="T474" s="92"/>
      <c r="U474" s="93"/>
      <c r="V474" s="94"/>
      <c r="W474" s="94"/>
      <c r="X474" s="93"/>
      <c r="Y474" s="93"/>
      <c r="Z474" s="85"/>
      <c r="AA474" s="85"/>
      <c r="AB474" s="85"/>
      <c r="AC474" s="85"/>
      <c r="AD474" s="85"/>
    </row>
    <row r="475" spans="16:30" x14ac:dyDescent="0.2">
      <c r="P475" s="85"/>
      <c r="Q475" s="91"/>
      <c r="R475" s="91"/>
      <c r="S475" s="91"/>
      <c r="T475" s="92"/>
      <c r="U475" s="93"/>
      <c r="V475" s="94"/>
      <c r="W475" s="94"/>
      <c r="X475" s="93"/>
      <c r="Y475" s="93"/>
      <c r="Z475" s="85"/>
      <c r="AA475" s="85"/>
      <c r="AB475" s="85"/>
      <c r="AC475" s="85"/>
      <c r="AD475" s="85"/>
    </row>
    <row r="476" spans="16:30" x14ac:dyDescent="0.2">
      <c r="P476" s="85"/>
      <c r="Q476" s="91"/>
      <c r="R476" s="91"/>
      <c r="S476" s="91"/>
      <c r="T476" s="92"/>
      <c r="U476" s="93"/>
      <c r="V476" s="94"/>
      <c r="W476" s="94"/>
      <c r="X476" s="93"/>
      <c r="Y476" s="93"/>
      <c r="Z476" s="85"/>
      <c r="AA476" s="85"/>
      <c r="AB476" s="85"/>
      <c r="AC476" s="85"/>
      <c r="AD476" s="85"/>
    </row>
    <row r="477" spans="16:30" x14ac:dyDescent="0.2">
      <c r="P477" s="85"/>
      <c r="Q477" s="91"/>
      <c r="R477" s="91"/>
      <c r="S477" s="91"/>
      <c r="T477" s="92"/>
      <c r="U477" s="93"/>
      <c r="V477" s="94"/>
      <c r="W477" s="94"/>
      <c r="X477" s="93"/>
      <c r="Y477" s="93"/>
      <c r="Z477" s="85"/>
      <c r="AA477" s="85"/>
      <c r="AB477" s="85"/>
      <c r="AC477" s="85"/>
      <c r="AD477" s="85"/>
    </row>
    <row r="478" spans="16:30" x14ac:dyDescent="0.2">
      <c r="P478" s="85"/>
      <c r="Q478" s="91"/>
      <c r="R478" s="91"/>
      <c r="S478" s="91"/>
      <c r="T478" s="92"/>
      <c r="U478" s="93"/>
      <c r="V478" s="94"/>
      <c r="W478" s="94"/>
      <c r="X478" s="93"/>
      <c r="Y478" s="93"/>
      <c r="Z478" s="85"/>
      <c r="AA478" s="85"/>
      <c r="AB478" s="85"/>
      <c r="AC478" s="85"/>
      <c r="AD478" s="85"/>
    </row>
    <row r="479" spans="16:30" x14ac:dyDescent="0.2">
      <c r="P479" s="85"/>
      <c r="Q479" s="91"/>
      <c r="R479" s="91"/>
      <c r="S479" s="91"/>
      <c r="T479" s="92"/>
      <c r="U479" s="93"/>
      <c r="V479" s="94"/>
      <c r="W479" s="94"/>
      <c r="X479" s="93"/>
      <c r="Y479" s="93"/>
      <c r="Z479" s="85"/>
      <c r="AA479" s="85"/>
      <c r="AB479" s="85"/>
      <c r="AC479" s="85"/>
      <c r="AD479" s="85"/>
    </row>
    <row r="480" spans="16:30" x14ac:dyDescent="0.2">
      <c r="P480" s="85"/>
      <c r="Q480" s="91"/>
      <c r="R480" s="91"/>
      <c r="S480" s="91"/>
      <c r="T480" s="92"/>
      <c r="U480" s="93"/>
      <c r="V480" s="94"/>
      <c r="W480" s="94"/>
      <c r="X480" s="93"/>
      <c r="Y480" s="93"/>
      <c r="Z480" s="85"/>
      <c r="AA480" s="85"/>
      <c r="AB480" s="85"/>
      <c r="AC480" s="85"/>
      <c r="AD480" s="85"/>
    </row>
    <row r="481" spans="16:30" x14ac:dyDescent="0.2">
      <c r="P481" s="85"/>
      <c r="Q481" s="91"/>
      <c r="R481" s="91"/>
      <c r="S481" s="91"/>
      <c r="T481" s="92"/>
      <c r="U481" s="93"/>
      <c r="V481" s="94"/>
      <c r="W481" s="94"/>
      <c r="X481" s="93"/>
      <c r="Y481" s="93"/>
      <c r="Z481" s="85"/>
      <c r="AA481" s="85"/>
      <c r="AB481" s="85"/>
      <c r="AC481" s="85"/>
      <c r="AD481" s="85"/>
    </row>
    <row r="482" spans="16:30" x14ac:dyDescent="0.2">
      <c r="P482" s="85"/>
      <c r="Q482" s="91"/>
      <c r="R482" s="91"/>
      <c r="S482" s="91"/>
      <c r="T482" s="92"/>
      <c r="U482" s="93"/>
      <c r="V482" s="94"/>
      <c r="W482" s="94"/>
      <c r="X482" s="93"/>
      <c r="Y482" s="93"/>
      <c r="Z482" s="85"/>
      <c r="AA482" s="85"/>
      <c r="AB482" s="85"/>
      <c r="AC482" s="85"/>
      <c r="AD482" s="85"/>
    </row>
    <row r="483" spans="16:30" x14ac:dyDescent="0.2">
      <c r="P483" s="85"/>
      <c r="Q483" s="91"/>
      <c r="R483" s="91"/>
      <c r="S483" s="91"/>
      <c r="T483" s="92"/>
      <c r="U483" s="93"/>
      <c r="V483" s="94"/>
      <c r="W483" s="94"/>
      <c r="X483" s="93"/>
      <c r="Y483" s="93"/>
      <c r="Z483" s="85"/>
      <c r="AA483" s="85"/>
      <c r="AB483" s="85"/>
      <c r="AC483" s="85"/>
      <c r="AD483" s="85"/>
    </row>
    <row r="484" spans="16:30" x14ac:dyDescent="0.2">
      <c r="P484" s="85"/>
      <c r="Q484" s="91"/>
      <c r="R484" s="91"/>
      <c r="S484" s="91"/>
      <c r="T484" s="92"/>
      <c r="U484" s="93"/>
      <c r="V484" s="94"/>
      <c r="W484" s="94"/>
      <c r="X484" s="93"/>
      <c r="Y484" s="93"/>
      <c r="Z484" s="85"/>
      <c r="AA484" s="85"/>
      <c r="AB484" s="85"/>
      <c r="AC484" s="85"/>
      <c r="AD484" s="85"/>
    </row>
    <row r="485" spans="16:30" x14ac:dyDescent="0.2">
      <c r="P485" s="85"/>
      <c r="Q485" s="91"/>
      <c r="R485" s="91"/>
      <c r="S485" s="91"/>
      <c r="T485" s="92"/>
      <c r="U485" s="93"/>
      <c r="V485" s="94"/>
      <c r="W485" s="94"/>
      <c r="X485" s="93"/>
      <c r="Y485" s="93"/>
      <c r="Z485" s="85"/>
      <c r="AA485" s="85"/>
      <c r="AB485" s="85"/>
      <c r="AC485" s="85"/>
      <c r="AD485" s="85"/>
    </row>
    <row r="486" spans="16:30" x14ac:dyDescent="0.2">
      <c r="P486" s="85"/>
      <c r="Q486" s="91"/>
      <c r="R486" s="91"/>
      <c r="S486" s="91"/>
      <c r="T486" s="92"/>
      <c r="U486" s="93"/>
      <c r="V486" s="94"/>
      <c r="W486" s="94"/>
      <c r="X486" s="93"/>
      <c r="Y486" s="93"/>
      <c r="Z486" s="85"/>
      <c r="AA486" s="85"/>
      <c r="AB486" s="85"/>
      <c r="AC486" s="85"/>
      <c r="AD486" s="85"/>
    </row>
    <row r="487" spans="16:30" x14ac:dyDescent="0.2">
      <c r="P487" s="85"/>
      <c r="Q487" s="91"/>
      <c r="R487" s="91"/>
      <c r="S487" s="91"/>
      <c r="T487" s="92"/>
      <c r="U487" s="93"/>
      <c r="V487" s="94"/>
      <c r="W487" s="94"/>
      <c r="X487" s="93"/>
      <c r="Y487" s="93"/>
      <c r="Z487" s="85"/>
      <c r="AA487" s="85"/>
      <c r="AB487" s="85"/>
      <c r="AC487" s="85"/>
      <c r="AD487" s="85"/>
    </row>
    <row r="488" spans="16:30" x14ac:dyDescent="0.2">
      <c r="P488" s="85"/>
      <c r="Q488" s="91"/>
      <c r="R488" s="91"/>
      <c r="S488" s="91"/>
      <c r="T488" s="92"/>
      <c r="U488" s="93"/>
      <c r="V488" s="94"/>
      <c r="W488" s="94"/>
      <c r="X488" s="93"/>
      <c r="Y488" s="93"/>
      <c r="Z488" s="85"/>
      <c r="AA488" s="85"/>
      <c r="AB488" s="85"/>
      <c r="AC488" s="85"/>
      <c r="AD488" s="85"/>
    </row>
    <row r="489" spans="16:30" x14ac:dyDescent="0.2">
      <c r="P489" s="85"/>
      <c r="Q489" s="91"/>
      <c r="R489" s="91"/>
      <c r="S489" s="91"/>
      <c r="T489" s="92"/>
      <c r="U489" s="93"/>
      <c r="V489" s="94"/>
      <c r="W489" s="94"/>
      <c r="X489" s="93"/>
      <c r="Y489" s="93"/>
      <c r="Z489" s="85"/>
      <c r="AA489" s="85"/>
      <c r="AB489" s="85"/>
      <c r="AC489" s="85"/>
      <c r="AD489" s="85"/>
    </row>
    <row r="490" spans="16:30" x14ac:dyDescent="0.2">
      <c r="P490" s="85"/>
      <c r="Q490" s="91"/>
      <c r="R490" s="91"/>
      <c r="S490" s="91"/>
      <c r="T490" s="92"/>
      <c r="U490" s="93"/>
      <c r="V490" s="94"/>
      <c r="W490" s="94"/>
      <c r="X490" s="93"/>
      <c r="Y490" s="93"/>
      <c r="Z490" s="85"/>
      <c r="AA490" s="85"/>
      <c r="AB490" s="85"/>
      <c r="AC490" s="85"/>
      <c r="AD490" s="85"/>
    </row>
    <row r="491" spans="16:30" x14ac:dyDescent="0.2">
      <c r="P491" s="85"/>
      <c r="Q491" s="91"/>
      <c r="R491" s="91"/>
      <c r="S491" s="91"/>
      <c r="T491" s="92"/>
      <c r="U491" s="93"/>
      <c r="V491" s="94"/>
      <c r="W491" s="94"/>
      <c r="X491" s="93"/>
      <c r="Y491" s="93"/>
      <c r="Z491" s="85"/>
      <c r="AA491" s="85"/>
      <c r="AB491" s="85"/>
      <c r="AC491" s="85"/>
      <c r="AD491" s="85"/>
    </row>
    <row r="492" spans="16:30" x14ac:dyDescent="0.2">
      <c r="P492" s="85"/>
      <c r="Q492" s="91"/>
      <c r="R492" s="91"/>
      <c r="S492" s="91"/>
      <c r="T492" s="92"/>
      <c r="U492" s="93"/>
      <c r="V492" s="94"/>
      <c r="W492" s="94"/>
      <c r="X492" s="93"/>
      <c r="Y492" s="93"/>
      <c r="Z492" s="85"/>
      <c r="AA492" s="85"/>
      <c r="AB492" s="85"/>
      <c r="AC492" s="85"/>
      <c r="AD492" s="85"/>
    </row>
    <row r="493" spans="16:30" x14ac:dyDescent="0.2">
      <c r="P493" s="85"/>
      <c r="Q493" s="91"/>
      <c r="R493" s="91"/>
      <c r="S493" s="91"/>
      <c r="T493" s="92"/>
      <c r="U493" s="93"/>
      <c r="V493" s="94"/>
      <c r="W493" s="94"/>
      <c r="X493" s="93"/>
      <c r="Y493" s="93"/>
      <c r="Z493" s="85"/>
      <c r="AA493" s="85"/>
      <c r="AB493" s="85"/>
      <c r="AC493" s="85"/>
      <c r="AD493" s="85"/>
    </row>
    <row r="494" spans="16:30" x14ac:dyDescent="0.2">
      <c r="P494" s="85"/>
      <c r="Q494" s="91"/>
      <c r="R494" s="91"/>
      <c r="S494" s="91"/>
      <c r="T494" s="92"/>
      <c r="U494" s="93"/>
      <c r="V494" s="94"/>
      <c r="W494" s="94"/>
      <c r="X494" s="93"/>
      <c r="Y494" s="93"/>
      <c r="Z494" s="85"/>
      <c r="AA494" s="85"/>
      <c r="AB494" s="85"/>
      <c r="AC494" s="85"/>
      <c r="AD494" s="85"/>
    </row>
    <row r="495" spans="16:30" x14ac:dyDescent="0.2">
      <c r="P495" s="85"/>
      <c r="Q495" s="91"/>
      <c r="R495" s="91"/>
      <c r="S495" s="91"/>
      <c r="T495" s="92"/>
      <c r="U495" s="93"/>
      <c r="V495" s="94"/>
      <c r="W495" s="94"/>
      <c r="X495" s="93"/>
      <c r="Y495" s="93"/>
      <c r="Z495" s="85"/>
      <c r="AA495" s="85"/>
      <c r="AB495" s="85"/>
      <c r="AC495" s="85"/>
      <c r="AD495" s="85"/>
    </row>
    <row r="496" spans="16:30" x14ac:dyDescent="0.2">
      <c r="P496" s="85"/>
      <c r="Q496" s="91"/>
      <c r="R496" s="91"/>
      <c r="S496" s="91"/>
      <c r="T496" s="92"/>
      <c r="U496" s="93"/>
      <c r="V496" s="94"/>
      <c r="W496" s="94"/>
      <c r="X496" s="93"/>
      <c r="Y496" s="93"/>
      <c r="Z496" s="85"/>
      <c r="AA496" s="85"/>
      <c r="AB496" s="85"/>
      <c r="AC496" s="85"/>
      <c r="AD496" s="85"/>
    </row>
    <row r="497" spans="16:30" x14ac:dyDescent="0.2">
      <c r="P497" s="85"/>
      <c r="Q497" s="91"/>
      <c r="R497" s="91"/>
      <c r="S497" s="91"/>
      <c r="T497" s="92"/>
      <c r="U497" s="93"/>
      <c r="V497" s="94"/>
      <c r="W497" s="94"/>
      <c r="X497" s="93"/>
      <c r="Y497" s="93"/>
      <c r="Z497" s="85"/>
      <c r="AA497" s="85"/>
      <c r="AB497" s="85"/>
      <c r="AC497" s="85"/>
      <c r="AD497" s="85"/>
    </row>
    <row r="498" spans="16:30" x14ac:dyDescent="0.2">
      <c r="P498" s="85"/>
      <c r="Q498" s="91"/>
      <c r="R498" s="91"/>
      <c r="S498" s="91"/>
      <c r="T498" s="92"/>
      <c r="U498" s="93"/>
      <c r="V498" s="94"/>
      <c r="W498" s="94"/>
      <c r="X498" s="93"/>
      <c r="Y498" s="93"/>
      <c r="Z498" s="85"/>
      <c r="AA498" s="85"/>
      <c r="AB498" s="85"/>
      <c r="AC498" s="85"/>
      <c r="AD498" s="85"/>
    </row>
    <row r="499" spans="16:30" x14ac:dyDescent="0.2">
      <c r="P499" s="85"/>
      <c r="Q499" s="91"/>
      <c r="R499" s="91"/>
      <c r="S499" s="91"/>
      <c r="T499" s="92"/>
      <c r="U499" s="93"/>
      <c r="V499" s="94"/>
      <c r="W499" s="94"/>
      <c r="X499" s="93"/>
      <c r="Y499" s="93"/>
      <c r="Z499" s="85"/>
      <c r="AA499" s="85"/>
      <c r="AB499" s="85"/>
      <c r="AC499" s="85"/>
      <c r="AD499" s="85"/>
    </row>
    <row r="500" spans="16:30" x14ac:dyDescent="0.2">
      <c r="P500" s="85"/>
      <c r="Q500" s="91"/>
      <c r="R500" s="91"/>
      <c r="S500" s="91"/>
      <c r="T500" s="92"/>
      <c r="U500" s="93"/>
      <c r="V500" s="94"/>
      <c r="W500" s="94"/>
      <c r="X500" s="93"/>
      <c r="Y500" s="93"/>
      <c r="Z500" s="85"/>
      <c r="AA500" s="85"/>
      <c r="AB500" s="85"/>
      <c r="AC500" s="85"/>
      <c r="AD500" s="85"/>
    </row>
    <row r="501" spans="16:30" x14ac:dyDescent="0.2">
      <c r="P501" s="85"/>
      <c r="Q501" s="91"/>
      <c r="R501" s="91"/>
      <c r="S501" s="91"/>
      <c r="T501" s="92"/>
      <c r="U501" s="93"/>
      <c r="V501" s="94"/>
      <c r="W501" s="94"/>
      <c r="X501" s="93"/>
      <c r="Y501" s="93"/>
      <c r="Z501" s="85"/>
      <c r="AA501" s="85"/>
      <c r="AB501" s="85"/>
      <c r="AC501" s="85"/>
      <c r="AD501" s="85"/>
    </row>
    <row r="502" spans="16:30" x14ac:dyDescent="0.2">
      <c r="P502" s="85"/>
      <c r="Q502" s="91"/>
      <c r="R502" s="91"/>
      <c r="S502" s="91"/>
      <c r="T502" s="92"/>
      <c r="U502" s="93"/>
      <c r="V502" s="94"/>
      <c r="W502" s="94"/>
      <c r="X502" s="93"/>
      <c r="Y502" s="93"/>
      <c r="Z502" s="85"/>
      <c r="AA502" s="85"/>
      <c r="AB502" s="85"/>
      <c r="AC502" s="85"/>
      <c r="AD502" s="85"/>
    </row>
    <row r="503" spans="16:30" x14ac:dyDescent="0.2">
      <c r="P503" s="85"/>
      <c r="Q503" s="91"/>
      <c r="R503" s="91"/>
      <c r="S503" s="91"/>
      <c r="T503" s="92"/>
      <c r="U503" s="93"/>
      <c r="V503" s="94"/>
      <c r="W503" s="94"/>
      <c r="X503" s="93"/>
      <c r="Y503" s="93"/>
      <c r="Z503" s="85"/>
      <c r="AA503" s="85"/>
      <c r="AB503" s="85"/>
      <c r="AC503" s="85"/>
      <c r="AD503" s="85"/>
    </row>
    <row r="504" spans="16:30" x14ac:dyDescent="0.2">
      <c r="P504" s="85"/>
      <c r="Q504" s="91"/>
      <c r="R504" s="91"/>
      <c r="S504" s="91"/>
      <c r="T504" s="92"/>
      <c r="U504" s="93"/>
      <c r="V504" s="94"/>
      <c r="W504" s="94"/>
      <c r="X504" s="93"/>
      <c r="Y504" s="93"/>
      <c r="Z504" s="85"/>
      <c r="AA504" s="85"/>
      <c r="AB504" s="85"/>
      <c r="AC504" s="85"/>
      <c r="AD504" s="85"/>
    </row>
    <row r="505" spans="16:30" x14ac:dyDescent="0.2">
      <c r="P505" s="85"/>
      <c r="Q505" s="91"/>
      <c r="R505" s="91"/>
      <c r="S505" s="91"/>
      <c r="T505" s="92"/>
      <c r="U505" s="93"/>
      <c r="V505" s="94"/>
      <c r="W505" s="94"/>
      <c r="X505" s="93"/>
      <c r="Y505" s="93"/>
      <c r="Z505" s="85"/>
      <c r="AA505" s="85"/>
      <c r="AB505" s="85"/>
      <c r="AC505" s="85"/>
      <c r="AD505" s="85"/>
    </row>
    <row r="506" spans="16:30" x14ac:dyDescent="0.2">
      <c r="P506" s="85"/>
      <c r="Q506" s="91"/>
      <c r="R506" s="91"/>
      <c r="S506" s="91"/>
      <c r="T506" s="92"/>
      <c r="U506" s="93"/>
      <c r="V506" s="94"/>
      <c r="W506" s="94"/>
      <c r="X506" s="93"/>
      <c r="Y506" s="93"/>
      <c r="Z506" s="85"/>
      <c r="AA506" s="85"/>
      <c r="AB506" s="85"/>
      <c r="AC506" s="85"/>
      <c r="AD506" s="85"/>
    </row>
    <row r="507" spans="16:30" x14ac:dyDescent="0.2">
      <c r="P507" s="85"/>
      <c r="Q507" s="91"/>
      <c r="R507" s="91"/>
      <c r="S507" s="91"/>
      <c r="T507" s="92"/>
      <c r="U507" s="93"/>
      <c r="V507" s="94"/>
      <c r="W507" s="94"/>
      <c r="X507" s="93"/>
      <c r="Y507" s="93"/>
      <c r="Z507" s="85"/>
      <c r="AA507" s="85"/>
      <c r="AB507" s="85"/>
      <c r="AC507" s="85"/>
      <c r="AD507" s="85"/>
    </row>
    <row r="508" spans="16:30" x14ac:dyDescent="0.2">
      <c r="P508" s="85"/>
      <c r="Q508" s="91"/>
      <c r="R508" s="91"/>
      <c r="S508" s="91"/>
      <c r="T508" s="92"/>
      <c r="U508" s="93"/>
      <c r="V508" s="94"/>
      <c r="W508" s="94"/>
      <c r="X508" s="93"/>
      <c r="Y508" s="93"/>
      <c r="Z508" s="85"/>
      <c r="AA508" s="85"/>
      <c r="AB508" s="85"/>
      <c r="AC508" s="85"/>
      <c r="AD508" s="85"/>
    </row>
    <row r="509" spans="16:30" x14ac:dyDescent="0.2">
      <c r="P509" s="85"/>
      <c r="Q509" s="91"/>
      <c r="R509" s="91"/>
      <c r="S509" s="91"/>
      <c r="T509" s="92"/>
      <c r="U509" s="93"/>
      <c r="V509" s="94"/>
      <c r="W509" s="94"/>
      <c r="X509" s="93"/>
      <c r="Y509" s="93"/>
      <c r="Z509" s="85"/>
      <c r="AA509" s="85"/>
      <c r="AB509" s="85"/>
      <c r="AC509" s="85"/>
      <c r="AD509" s="85"/>
    </row>
    <row r="510" spans="16:30" x14ac:dyDescent="0.2">
      <c r="P510" s="85"/>
      <c r="Q510" s="91"/>
      <c r="R510" s="91"/>
      <c r="S510" s="91"/>
      <c r="T510" s="92"/>
      <c r="U510" s="93"/>
      <c r="V510" s="94"/>
      <c r="W510" s="94"/>
      <c r="X510" s="93"/>
      <c r="Y510" s="93"/>
      <c r="Z510" s="85"/>
      <c r="AA510" s="85"/>
      <c r="AB510" s="85"/>
      <c r="AC510" s="85"/>
      <c r="AD510" s="85"/>
    </row>
    <row r="511" spans="16:30" x14ac:dyDescent="0.2">
      <c r="P511" s="85"/>
      <c r="Q511" s="91"/>
      <c r="R511" s="91"/>
      <c r="S511" s="91"/>
      <c r="T511" s="92"/>
      <c r="U511" s="93"/>
      <c r="V511" s="94"/>
      <c r="W511" s="94"/>
      <c r="X511" s="93"/>
      <c r="Y511" s="93"/>
      <c r="Z511" s="85"/>
      <c r="AA511" s="85"/>
      <c r="AB511" s="85"/>
      <c r="AC511" s="85"/>
      <c r="AD511" s="85"/>
    </row>
    <row r="512" spans="16:30" x14ac:dyDescent="0.2">
      <c r="P512" s="85"/>
      <c r="Q512" s="91"/>
      <c r="R512" s="91"/>
      <c r="S512" s="91"/>
      <c r="T512" s="92"/>
      <c r="U512" s="93"/>
      <c r="V512" s="94"/>
      <c r="W512" s="94"/>
      <c r="X512" s="93"/>
      <c r="Y512" s="93"/>
      <c r="Z512" s="85"/>
      <c r="AA512" s="85"/>
      <c r="AB512" s="85"/>
      <c r="AC512" s="85"/>
      <c r="AD512" s="85"/>
    </row>
    <row r="513" spans="16:30" x14ac:dyDescent="0.2">
      <c r="P513" s="85"/>
      <c r="Q513" s="91"/>
      <c r="R513" s="91"/>
      <c r="S513" s="91"/>
      <c r="T513" s="92"/>
      <c r="U513" s="93"/>
      <c r="V513" s="94"/>
      <c r="W513" s="94"/>
      <c r="X513" s="93"/>
      <c r="Y513" s="93"/>
      <c r="Z513" s="85"/>
      <c r="AA513" s="85"/>
      <c r="AB513" s="85"/>
      <c r="AC513" s="85"/>
      <c r="AD513" s="85"/>
    </row>
    <row r="514" spans="16:30" x14ac:dyDescent="0.2">
      <c r="P514" s="85"/>
      <c r="Q514" s="91"/>
      <c r="R514" s="91"/>
      <c r="S514" s="91"/>
      <c r="T514" s="92"/>
      <c r="U514" s="93"/>
      <c r="V514" s="94"/>
      <c r="W514" s="94"/>
      <c r="X514" s="93"/>
      <c r="Y514" s="93"/>
      <c r="Z514" s="85"/>
      <c r="AA514" s="85"/>
      <c r="AB514" s="85"/>
      <c r="AC514" s="85"/>
      <c r="AD514" s="85"/>
    </row>
    <row r="515" spans="16:30" x14ac:dyDescent="0.2">
      <c r="P515" s="85"/>
      <c r="Q515" s="91"/>
      <c r="R515" s="91"/>
      <c r="S515" s="91"/>
      <c r="T515" s="92"/>
      <c r="U515" s="93"/>
      <c r="V515" s="94"/>
      <c r="W515" s="94"/>
      <c r="X515" s="93"/>
      <c r="Y515" s="93"/>
      <c r="Z515" s="85"/>
      <c r="AA515" s="85"/>
      <c r="AB515" s="85"/>
      <c r="AC515" s="85"/>
      <c r="AD515" s="85"/>
    </row>
    <row r="516" spans="16:30" x14ac:dyDescent="0.2">
      <c r="P516" s="85"/>
      <c r="Q516" s="91"/>
      <c r="R516" s="91"/>
      <c r="S516" s="91"/>
      <c r="T516" s="92"/>
      <c r="U516" s="93"/>
      <c r="V516" s="94"/>
      <c r="W516" s="94"/>
      <c r="X516" s="93"/>
      <c r="Y516" s="93"/>
      <c r="Z516" s="85"/>
      <c r="AA516" s="85"/>
      <c r="AB516" s="85"/>
      <c r="AC516" s="85"/>
      <c r="AD516" s="85"/>
    </row>
    <row r="517" spans="16:30" x14ac:dyDescent="0.2">
      <c r="P517" s="85"/>
      <c r="Q517" s="91"/>
      <c r="R517" s="91"/>
      <c r="S517" s="91"/>
      <c r="T517" s="92"/>
      <c r="U517" s="93"/>
      <c r="V517" s="94"/>
      <c r="W517" s="94"/>
      <c r="X517" s="93"/>
      <c r="Y517" s="93"/>
      <c r="Z517" s="85"/>
      <c r="AA517" s="85"/>
      <c r="AB517" s="85"/>
      <c r="AC517" s="85"/>
      <c r="AD517" s="85"/>
    </row>
    <row r="518" spans="16:30" x14ac:dyDescent="0.2">
      <c r="P518" s="85"/>
      <c r="Q518" s="91"/>
      <c r="R518" s="91"/>
      <c r="S518" s="91"/>
      <c r="T518" s="92"/>
      <c r="U518" s="93"/>
      <c r="V518" s="94"/>
      <c r="W518" s="94"/>
      <c r="X518" s="93"/>
      <c r="Y518" s="93"/>
      <c r="Z518" s="85"/>
      <c r="AA518" s="85"/>
      <c r="AB518" s="85"/>
      <c r="AC518" s="85"/>
      <c r="AD518" s="85"/>
    </row>
    <row r="519" spans="16:30" x14ac:dyDescent="0.2">
      <c r="P519" s="85"/>
      <c r="Q519" s="91"/>
      <c r="R519" s="91"/>
      <c r="S519" s="91"/>
      <c r="T519" s="92"/>
      <c r="U519" s="93"/>
      <c r="V519" s="94"/>
      <c r="W519" s="94"/>
      <c r="X519" s="93"/>
      <c r="Y519" s="93"/>
      <c r="Z519" s="85"/>
      <c r="AA519" s="85"/>
      <c r="AB519" s="85"/>
      <c r="AC519" s="85"/>
      <c r="AD519" s="85"/>
    </row>
    <row r="520" spans="16:30" x14ac:dyDescent="0.2">
      <c r="P520" s="85"/>
      <c r="Q520" s="91"/>
      <c r="R520" s="91"/>
      <c r="S520" s="91"/>
      <c r="T520" s="92"/>
      <c r="U520" s="93"/>
      <c r="V520" s="94"/>
      <c r="W520" s="94"/>
      <c r="X520" s="93"/>
      <c r="Y520" s="93"/>
      <c r="Z520" s="85"/>
      <c r="AA520" s="85"/>
      <c r="AB520" s="85"/>
      <c r="AC520" s="85"/>
      <c r="AD520" s="85"/>
    </row>
    <row r="521" spans="16:30" x14ac:dyDescent="0.2">
      <c r="P521" s="85"/>
      <c r="Q521" s="91"/>
      <c r="R521" s="91"/>
      <c r="S521" s="91"/>
      <c r="T521" s="92"/>
      <c r="U521" s="93"/>
      <c r="V521" s="94"/>
      <c r="W521" s="94"/>
      <c r="X521" s="93"/>
      <c r="Y521" s="93"/>
      <c r="Z521" s="85"/>
      <c r="AA521" s="85"/>
      <c r="AB521" s="85"/>
      <c r="AC521" s="85"/>
      <c r="AD521" s="85"/>
    </row>
    <row r="522" spans="16:30" x14ac:dyDescent="0.2">
      <c r="P522" s="85"/>
      <c r="Q522" s="91"/>
      <c r="R522" s="91"/>
      <c r="S522" s="91"/>
      <c r="T522" s="92"/>
      <c r="U522" s="93"/>
      <c r="V522" s="94"/>
      <c r="W522" s="94"/>
      <c r="X522" s="93"/>
      <c r="Y522" s="93"/>
      <c r="Z522" s="85"/>
      <c r="AA522" s="85"/>
      <c r="AB522" s="85"/>
      <c r="AC522" s="85"/>
      <c r="AD522" s="85"/>
    </row>
    <row r="523" spans="16:30" x14ac:dyDescent="0.2">
      <c r="P523" s="85"/>
      <c r="Q523" s="91"/>
      <c r="R523" s="91"/>
      <c r="S523" s="91"/>
      <c r="T523" s="92"/>
      <c r="U523" s="93"/>
      <c r="V523" s="94"/>
      <c r="W523" s="94"/>
      <c r="X523" s="93"/>
      <c r="Y523" s="93"/>
      <c r="Z523" s="85"/>
      <c r="AA523" s="85"/>
      <c r="AB523" s="85"/>
      <c r="AC523" s="85"/>
      <c r="AD523" s="85"/>
    </row>
    <row r="524" spans="16:30" x14ac:dyDescent="0.2">
      <c r="P524" s="85"/>
      <c r="Q524" s="91"/>
      <c r="R524" s="91"/>
      <c r="S524" s="91"/>
      <c r="T524" s="92"/>
      <c r="U524" s="93"/>
      <c r="V524" s="94"/>
      <c r="W524" s="94"/>
      <c r="X524" s="93"/>
      <c r="Y524" s="93"/>
      <c r="Z524" s="85"/>
      <c r="AA524" s="85"/>
      <c r="AB524" s="85"/>
      <c r="AC524" s="85"/>
      <c r="AD524" s="85"/>
    </row>
    <row r="525" spans="16:30" x14ac:dyDescent="0.2">
      <c r="P525" s="85"/>
      <c r="Q525" s="91"/>
      <c r="R525" s="91"/>
      <c r="S525" s="91"/>
      <c r="T525" s="92"/>
      <c r="U525" s="93"/>
      <c r="V525" s="94"/>
      <c r="W525" s="94"/>
      <c r="X525" s="93"/>
      <c r="Y525" s="93"/>
      <c r="Z525" s="85"/>
      <c r="AA525" s="85"/>
      <c r="AB525" s="85"/>
      <c r="AC525" s="85"/>
      <c r="AD525" s="85"/>
    </row>
    <row r="526" spans="16:30" x14ac:dyDescent="0.2">
      <c r="P526" s="85"/>
      <c r="Q526" s="91"/>
      <c r="R526" s="91"/>
      <c r="S526" s="91"/>
      <c r="T526" s="92"/>
      <c r="U526" s="93"/>
      <c r="V526" s="94"/>
      <c r="W526" s="94"/>
      <c r="X526" s="93"/>
      <c r="Y526" s="93"/>
      <c r="Z526" s="85"/>
      <c r="AA526" s="85"/>
      <c r="AB526" s="85"/>
      <c r="AC526" s="85"/>
      <c r="AD526" s="85"/>
    </row>
    <row r="527" spans="16:30" x14ac:dyDescent="0.2">
      <c r="P527" s="85"/>
      <c r="Q527" s="91"/>
      <c r="R527" s="91"/>
      <c r="S527" s="91"/>
      <c r="T527" s="92"/>
      <c r="U527" s="93"/>
      <c r="V527" s="94"/>
      <c r="W527" s="94"/>
      <c r="X527" s="93"/>
      <c r="Y527" s="93"/>
      <c r="Z527" s="85"/>
      <c r="AA527" s="85"/>
      <c r="AB527" s="85"/>
      <c r="AC527" s="85"/>
      <c r="AD527" s="85"/>
    </row>
    <row r="528" spans="16:30" x14ac:dyDescent="0.2">
      <c r="P528" s="85"/>
      <c r="Q528" s="91"/>
      <c r="R528" s="91"/>
      <c r="S528" s="91"/>
      <c r="T528" s="92"/>
      <c r="U528" s="93"/>
      <c r="V528" s="94"/>
      <c r="W528" s="94"/>
      <c r="X528" s="93"/>
      <c r="Y528" s="93"/>
      <c r="Z528" s="85"/>
      <c r="AA528" s="85"/>
      <c r="AB528" s="85"/>
      <c r="AC528" s="85"/>
      <c r="AD528" s="85"/>
    </row>
    <row r="529" spans="16:30" x14ac:dyDescent="0.2">
      <c r="P529" s="85"/>
      <c r="Q529" s="91"/>
      <c r="R529" s="91"/>
      <c r="S529" s="91"/>
      <c r="T529" s="92"/>
      <c r="U529" s="93"/>
      <c r="V529" s="94"/>
      <c r="W529" s="94"/>
      <c r="X529" s="93"/>
      <c r="Y529" s="93"/>
      <c r="Z529" s="85"/>
      <c r="AA529" s="85"/>
      <c r="AB529" s="85"/>
      <c r="AC529" s="85"/>
      <c r="AD529" s="85"/>
    </row>
    <row r="530" spans="16:30" x14ac:dyDescent="0.2">
      <c r="P530" s="85"/>
      <c r="Q530" s="91"/>
      <c r="R530" s="91"/>
      <c r="S530" s="91"/>
      <c r="T530" s="92"/>
      <c r="U530" s="93"/>
      <c r="V530" s="94"/>
      <c r="W530" s="94"/>
      <c r="X530" s="93"/>
      <c r="Y530" s="93"/>
      <c r="Z530" s="85"/>
      <c r="AA530" s="85"/>
      <c r="AB530" s="85"/>
      <c r="AC530" s="85"/>
      <c r="AD530" s="85"/>
    </row>
    <row r="531" spans="16:30" x14ac:dyDescent="0.2">
      <c r="P531" s="85"/>
      <c r="Q531" s="91"/>
      <c r="R531" s="91"/>
      <c r="S531" s="91"/>
      <c r="T531" s="92"/>
      <c r="U531" s="93"/>
      <c r="V531" s="94"/>
      <c r="W531" s="94"/>
      <c r="X531" s="93"/>
      <c r="Y531" s="93"/>
      <c r="Z531" s="85"/>
      <c r="AA531" s="85"/>
      <c r="AB531" s="85"/>
      <c r="AC531" s="85"/>
      <c r="AD531" s="85"/>
    </row>
    <row r="532" spans="16:30" x14ac:dyDescent="0.2">
      <c r="P532" s="85"/>
      <c r="Q532" s="91"/>
      <c r="R532" s="91"/>
      <c r="S532" s="91"/>
      <c r="T532" s="92"/>
      <c r="U532" s="93"/>
      <c r="V532" s="94"/>
      <c r="W532" s="94"/>
      <c r="X532" s="93"/>
      <c r="Y532" s="93"/>
      <c r="Z532" s="85"/>
      <c r="AA532" s="85"/>
      <c r="AB532" s="85"/>
      <c r="AC532" s="85"/>
      <c r="AD532" s="85"/>
    </row>
    <row r="533" spans="16:30" x14ac:dyDescent="0.2">
      <c r="P533" s="85"/>
      <c r="Q533" s="91"/>
      <c r="R533" s="91"/>
      <c r="S533" s="91"/>
      <c r="T533" s="92"/>
      <c r="U533" s="93"/>
      <c r="V533" s="94"/>
      <c r="W533" s="94"/>
      <c r="X533" s="93"/>
      <c r="Y533" s="93"/>
      <c r="Z533" s="85"/>
      <c r="AA533" s="85"/>
      <c r="AB533" s="85"/>
      <c r="AC533" s="85"/>
      <c r="AD533" s="85"/>
    </row>
    <row r="534" spans="16:30" x14ac:dyDescent="0.2">
      <c r="P534" s="85"/>
      <c r="Q534" s="91"/>
      <c r="R534" s="91"/>
      <c r="S534" s="91"/>
      <c r="T534" s="92"/>
      <c r="U534" s="93"/>
      <c r="V534" s="94"/>
      <c r="W534" s="94"/>
      <c r="X534" s="93"/>
      <c r="Y534" s="93"/>
      <c r="Z534" s="85"/>
      <c r="AA534" s="85"/>
      <c r="AB534" s="85"/>
      <c r="AC534" s="85"/>
      <c r="AD534" s="85"/>
    </row>
    <row r="535" spans="16:30" x14ac:dyDescent="0.2">
      <c r="P535" s="85"/>
      <c r="Q535" s="91"/>
      <c r="R535" s="91"/>
      <c r="S535" s="91"/>
      <c r="T535" s="92"/>
      <c r="U535" s="93"/>
      <c r="V535" s="94"/>
      <c r="W535" s="94"/>
      <c r="X535" s="93"/>
      <c r="Y535" s="93"/>
      <c r="Z535" s="85"/>
      <c r="AA535" s="85"/>
      <c r="AB535" s="85"/>
      <c r="AC535" s="85"/>
      <c r="AD535" s="85"/>
    </row>
    <row r="536" spans="16:30" x14ac:dyDescent="0.2">
      <c r="P536" s="85"/>
      <c r="Q536" s="91"/>
      <c r="R536" s="91"/>
      <c r="S536" s="91"/>
      <c r="T536" s="92"/>
      <c r="U536" s="93"/>
      <c r="V536" s="94"/>
      <c r="W536" s="94"/>
      <c r="X536" s="93"/>
      <c r="Y536" s="93"/>
      <c r="Z536" s="85"/>
      <c r="AA536" s="85"/>
      <c r="AB536" s="85"/>
      <c r="AC536" s="85"/>
      <c r="AD536" s="85"/>
    </row>
    <row r="537" spans="16:30" x14ac:dyDescent="0.2">
      <c r="P537" s="85"/>
      <c r="Q537" s="91"/>
      <c r="R537" s="91"/>
      <c r="S537" s="91"/>
      <c r="T537" s="92"/>
      <c r="U537" s="93"/>
      <c r="V537" s="94"/>
      <c r="W537" s="94"/>
      <c r="X537" s="93"/>
      <c r="Y537" s="93"/>
      <c r="Z537" s="85"/>
      <c r="AA537" s="85"/>
      <c r="AB537" s="85"/>
      <c r="AC537" s="85"/>
      <c r="AD537" s="85"/>
    </row>
    <row r="538" spans="16:30" x14ac:dyDescent="0.2">
      <c r="P538" s="85"/>
      <c r="Q538" s="91"/>
      <c r="R538" s="91"/>
      <c r="S538" s="91"/>
      <c r="T538" s="92"/>
      <c r="U538" s="93"/>
      <c r="V538" s="94"/>
      <c r="W538" s="94"/>
      <c r="X538" s="93"/>
      <c r="Y538" s="93"/>
      <c r="Z538" s="85"/>
      <c r="AA538" s="85"/>
      <c r="AB538" s="85"/>
      <c r="AC538" s="85"/>
      <c r="AD538" s="85"/>
    </row>
    <row r="539" spans="16:30" x14ac:dyDescent="0.2">
      <c r="P539" s="85"/>
      <c r="Q539" s="91"/>
      <c r="R539" s="91"/>
      <c r="S539" s="91"/>
      <c r="T539" s="92"/>
      <c r="U539" s="93"/>
      <c r="V539" s="94"/>
      <c r="W539" s="94"/>
      <c r="X539" s="93"/>
      <c r="Y539" s="93"/>
      <c r="Z539" s="85"/>
      <c r="AA539" s="85"/>
      <c r="AB539" s="85"/>
      <c r="AC539" s="85"/>
      <c r="AD539" s="85"/>
    </row>
    <row r="540" spans="16:30" x14ac:dyDescent="0.2">
      <c r="P540" s="85"/>
      <c r="Q540" s="91"/>
      <c r="R540" s="91"/>
      <c r="S540" s="91"/>
      <c r="T540" s="92"/>
      <c r="U540" s="93"/>
      <c r="V540" s="94"/>
      <c r="W540" s="94"/>
      <c r="X540" s="93"/>
      <c r="Y540" s="93"/>
      <c r="Z540" s="85"/>
      <c r="AA540" s="85"/>
      <c r="AB540" s="85"/>
      <c r="AC540" s="85"/>
      <c r="AD540" s="85"/>
    </row>
    <row r="541" spans="16:30" x14ac:dyDescent="0.2">
      <c r="P541" s="85"/>
      <c r="Q541" s="91"/>
      <c r="R541" s="91"/>
      <c r="S541" s="91"/>
      <c r="T541" s="92"/>
      <c r="U541" s="93"/>
      <c r="V541" s="94"/>
      <c r="W541" s="94"/>
      <c r="X541" s="93"/>
      <c r="Y541" s="93"/>
      <c r="Z541" s="85"/>
      <c r="AA541" s="85"/>
      <c r="AB541" s="85"/>
      <c r="AC541" s="85"/>
      <c r="AD541" s="85"/>
    </row>
    <row r="542" spans="16:30" x14ac:dyDescent="0.2">
      <c r="P542" s="85"/>
      <c r="Q542" s="91"/>
      <c r="R542" s="91"/>
      <c r="S542" s="91"/>
      <c r="T542" s="92"/>
      <c r="U542" s="93"/>
      <c r="V542" s="94"/>
      <c r="W542" s="94"/>
      <c r="X542" s="93"/>
      <c r="Y542" s="93"/>
      <c r="Z542" s="85"/>
      <c r="AA542" s="85"/>
      <c r="AB542" s="85"/>
      <c r="AC542" s="85"/>
      <c r="AD542" s="85"/>
    </row>
    <row r="543" spans="16:30" x14ac:dyDescent="0.2">
      <c r="P543" s="85"/>
      <c r="Q543" s="91"/>
      <c r="R543" s="91"/>
      <c r="S543" s="91"/>
      <c r="T543" s="92"/>
      <c r="U543" s="93"/>
      <c r="V543" s="94"/>
      <c r="W543" s="94"/>
      <c r="X543" s="93"/>
      <c r="Y543" s="93"/>
      <c r="Z543" s="85"/>
      <c r="AA543" s="85"/>
      <c r="AB543" s="85"/>
      <c r="AC543" s="85"/>
      <c r="AD543" s="85"/>
    </row>
    <row r="544" spans="16:30" x14ac:dyDescent="0.2">
      <c r="P544" s="85"/>
      <c r="Q544" s="91"/>
      <c r="R544" s="91"/>
      <c r="S544" s="91"/>
      <c r="T544" s="92"/>
      <c r="U544" s="93"/>
      <c r="V544" s="94"/>
      <c r="W544" s="94"/>
      <c r="X544" s="93"/>
      <c r="Y544" s="93"/>
      <c r="Z544" s="85"/>
      <c r="AA544" s="85"/>
      <c r="AB544" s="85"/>
      <c r="AC544" s="85"/>
      <c r="AD544" s="85"/>
    </row>
    <row r="545" spans="16:30" x14ac:dyDescent="0.2">
      <c r="P545" s="85"/>
      <c r="Q545" s="91"/>
      <c r="R545" s="91"/>
      <c r="S545" s="91"/>
      <c r="T545" s="92"/>
      <c r="U545" s="93"/>
      <c r="V545" s="94"/>
      <c r="W545" s="94"/>
      <c r="X545" s="93"/>
      <c r="Y545" s="93"/>
      <c r="Z545" s="85"/>
      <c r="AA545" s="85"/>
      <c r="AB545" s="85"/>
      <c r="AC545" s="85"/>
      <c r="AD545" s="85"/>
    </row>
    <row r="546" spans="16:30" x14ac:dyDescent="0.2">
      <c r="P546" s="85"/>
      <c r="Q546" s="91"/>
      <c r="R546" s="91"/>
      <c r="S546" s="91"/>
      <c r="T546" s="92"/>
      <c r="U546" s="93"/>
      <c r="V546" s="94"/>
      <c r="W546" s="94"/>
      <c r="X546" s="93"/>
      <c r="Y546" s="93"/>
      <c r="Z546" s="85"/>
      <c r="AA546" s="85"/>
      <c r="AB546" s="85"/>
      <c r="AC546" s="85"/>
      <c r="AD546" s="85"/>
    </row>
    <row r="547" spans="16:30" x14ac:dyDescent="0.2">
      <c r="P547" s="85"/>
      <c r="Q547" s="91"/>
      <c r="R547" s="91"/>
      <c r="S547" s="91"/>
      <c r="T547" s="92"/>
      <c r="U547" s="93"/>
      <c r="V547" s="94"/>
      <c r="W547" s="94"/>
      <c r="X547" s="93"/>
      <c r="Y547" s="93"/>
      <c r="Z547" s="85"/>
      <c r="AA547" s="85"/>
      <c r="AB547" s="85"/>
      <c r="AC547" s="85"/>
      <c r="AD547" s="85"/>
    </row>
    <row r="548" spans="16:30" x14ac:dyDescent="0.2">
      <c r="P548" s="85"/>
      <c r="Q548" s="91"/>
      <c r="R548" s="91"/>
      <c r="S548" s="91"/>
      <c r="T548" s="92"/>
      <c r="U548" s="93"/>
      <c r="V548" s="94"/>
      <c r="W548" s="94"/>
      <c r="X548" s="93"/>
      <c r="Y548" s="93"/>
      <c r="Z548" s="85"/>
      <c r="AA548" s="85"/>
      <c r="AB548" s="85"/>
      <c r="AC548" s="85"/>
      <c r="AD548" s="85"/>
    </row>
    <row r="549" spans="16:30" x14ac:dyDescent="0.2">
      <c r="P549" s="85"/>
      <c r="Q549" s="91"/>
      <c r="R549" s="91"/>
      <c r="S549" s="91"/>
      <c r="T549" s="92"/>
      <c r="U549" s="93"/>
      <c r="V549" s="94"/>
      <c r="W549" s="94"/>
      <c r="X549" s="93"/>
      <c r="Y549" s="93"/>
      <c r="Z549" s="85"/>
      <c r="AA549" s="85"/>
      <c r="AB549" s="85"/>
      <c r="AC549" s="85"/>
      <c r="AD549" s="85"/>
    </row>
    <row r="550" spans="16:30" x14ac:dyDescent="0.2">
      <c r="P550" s="85"/>
      <c r="Q550" s="91"/>
      <c r="R550" s="91"/>
      <c r="S550" s="91"/>
      <c r="T550" s="92"/>
      <c r="U550" s="93"/>
      <c r="V550" s="94"/>
      <c r="W550" s="94"/>
      <c r="X550" s="93"/>
      <c r="Y550" s="93"/>
      <c r="Z550" s="85"/>
      <c r="AA550" s="85"/>
      <c r="AB550" s="85"/>
      <c r="AC550" s="85"/>
      <c r="AD550" s="85"/>
    </row>
    <row r="551" spans="16:30" x14ac:dyDescent="0.2">
      <c r="P551" s="85"/>
      <c r="Q551" s="91"/>
      <c r="R551" s="91"/>
      <c r="S551" s="91"/>
      <c r="T551" s="92"/>
      <c r="U551" s="93"/>
      <c r="V551" s="94"/>
      <c r="W551" s="94"/>
      <c r="X551" s="93"/>
      <c r="Y551" s="93"/>
      <c r="Z551" s="85"/>
      <c r="AA551" s="85"/>
      <c r="AB551" s="85"/>
      <c r="AC551" s="85"/>
      <c r="AD551" s="85"/>
    </row>
    <row r="552" spans="16:30" x14ac:dyDescent="0.2">
      <c r="P552" s="85"/>
      <c r="Q552" s="91"/>
      <c r="R552" s="91"/>
      <c r="S552" s="91"/>
      <c r="T552" s="92"/>
      <c r="U552" s="93"/>
      <c r="V552" s="94"/>
      <c r="W552" s="94"/>
      <c r="X552" s="93"/>
      <c r="Y552" s="93"/>
      <c r="Z552" s="85"/>
      <c r="AA552" s="85"/>
      <c r="AB552" s="85"/>
      <c r="AC552" s="85"/>
      <c r="AD552" s="85"/>
    </row>
    <row r="553" spans="16:30" x14ac:dyDescent="0.2">
      <c r="P553" s="85"/>
      <c r="Q553" s="91"/>
      <c r="R553" s="91"/>
      <c r="S553" s="91"/>
      <c r="T553" s="92"/>
      <c r="U553" s="93"/>
      <c r="V553" s="94"/>
      <c r="W553" s="94"/>
      <c r="X553" s="93"/>
      <c r="Y553" s="93"/>
      <c r="Z553" s="85"/>
      <c r="AA553" s="85"/>
      <c r="AB553" s="85"/>
      <c r="AC553" s="85"/>
      <c r="AD553" s="85"/>
    </row>
    <row r="554" spans="16:30" x14ac:dyDescent="0.2">
      <c r="P554" s="85"/>
      <c r="Q554" s="91"/>
      <c r="R554" s="91"/>
      <c r="S554" s="91"/>
      <c r="T554" s="92"/>
      <c r="U554" s="93"/>
      <c r="V554" s="94"/>
      <c r="W554" s="94"/>
      <c r="X554" s="93"/>
      <c r="Y554" s="93"/>
      <c r="Z554" s="85"/>
      <c r="AA554" s="85"/>
      <c r="AB554" s="85"/>
      <c r="AC554" s="85"/>
      <c r="AD554" s="85"/>
    </row>
    <row r="555" spans="16:30" x14ac:dyDescent="0.2">
      <c r="P555" s="85"/>
      <c r="Q555" s="91"/>
      <c r="R555" s="91"/>
      <c r="S555" s="91"/>
      <c r="T555" s="92"/>
      <c r="U555" s="93"/>
      <c r="V555" s="94"/>
      <c r="W555" s="94"/>
      <c r="X555" s="93"/>
      <c r="Y555" s="93"/>
      <c r="Z555" s="85"/>
      <c r="AA555" s="85"/>
      <c r="AB555" s="85"/>
      <c r="AC555" s="85"/>
      <c r="AD555" s="85"/>
    </row>
    <row r="556" spans="16:30" x14ac:dyDescent="0.2">
      <c r="P556" s="85"/>
      <c r="Q556" s="91"/>
      <c r="R556" s="91"/>
      <c r="S556" s="91"/>
      <c r="T556" s="92"/>
      <c r="U556" s="93"/>
      <c r="V556" s="94"/>
      <c r="W556" s="94"/>
      <c r="X556" s="93"/>
      <c r="Y556" s="93"/>
      <c r="Z556" s="85"/>
      <c r="AA556" s="85"/>
      <c r="AB556" s="85"/>
      <c r="AC556" s="85"/>
      <c r="AD556" s="85"/>
    </row>
    <row r="557" spans="16:30" x14ac:dyDescent="0.2">
      <c r="P557" s="85"/>
      <c r="Q557" s="91"/>
      <c r="R557" s="91"/>
      <c r="S557" s="91"/>
      <c r="T557" s="92"/>
      <c r="U557" s="93"/>
      <c r="V557" s="94"/>
      <c r="W557" s="94"/>
      <c r="X557" s="93"/>
      <c r="Y557" s="93"/>
      <c r="Z557" s="85"/>
      <c r="AA557" s="85"/>
      <c r="AB557" s="85"/>
      <c r="AC557" s="85"/>
      <c r="AD557" s="85"/>
    </row>
    <row r="558" spans="16:30" x14ac:dyDescent="0.2">
      <c r="P558" s="85"/>
      <c r="Q558" s="91"/>
      <c r="R558" s="91"/>
      <c r="S558" s="91"/>
      <c r="T558" s="92"/>
      <c r="U558" s="93"/>
      <c r="V558" s="94"/>
      <c r="W558" s="94"/>
      <c r="X558" s="93"/>
      <c r="Y558" s="93"/>
      <c r="Z558" s="85"/>
      <c r="AA558" s="85"/>
      <c r="AB558" s="85"/>
      <c r="AC558" s="85"/>
      <c r="AD558" s="85"/>
    </row>
    <row r="559" spans="16:30" x14ac:dyDescent="0.2">
      <c r="P559" s="85"/>
      <c r="Q559" s="91"/>
      <c r="R559" s="91"/>
      <c r="S559" s="91"/>
      <c r="T559" s="92"/>
      <c r="U559" s="93"/>
      <c r="V559" s="94"/>
      <c r="W559" s="94"/>
      <c r="X559" s="93"/>
      <c r="Y559" s="93"/>
      <c r="Z559" s="85"/>
      <c r="AA559" s="85"/>
      <c r="AB559" s="85"/>
      <c r="AC559" s="85"/>
      <c r="AD559" s="85"/>
    </row>
    <row r="560" spans="16:30" x14ac:dyDescent="0.2">
      <c r="P560" s="85"/>
      <c r="Q560" s="91"/>
      <c r="R560" s="91"/>
      <c r="S560" s="91"/>
      <c r="T560" s="92"/>
      <c r="U560" s="93"/>
      <c r="V560" s="94"/>
      <c r="W560" s="94"/>
      <c r="X560" s="93"/>
      <c r="Y560" s="93"/>
      <c r="Z560" s="85"/>
      <c r="AA560" s="85"/>
      <c r="AB560" s="85"/>
      <c r="AC560" s="85"/>
      <c r="AD560" s="85"/>
    </row>
    <row r="561" spans="16:30" x14ac:dyDescent="0.2">
      <c r="P561" s="85"/>
      <c r="Q561" s="91"/>
      <c r="R561" s="91"/>
      <c r="S561" s="91"/>
      <c r="T561" s="92"/>
      <c r="U561" s="93"/>
      <c r="V561" s="94"/>
      <c r="W561" s="94"/>
      <c r="X561" s="93"/>
      <c r="Y561" s="93"/>
      <c r="Z561" s="85"/>
      <c r="AA561" s="85"/>
      <c r="AB561" s="85"/>
      <c r="AC561" s="85"/>
      <c r="AD561" s="85"/>
    </row>
    <row r="562" spans="16:30" x14ac:dyDescent="0.2">
      <c r="P562" s="85"/>
      <c r="Q562" s="91"/>
      <c r="R562" s="91"/>
      <c r="S562" s="91"/>
      <c r="T562" s="92"/>
      <c r="U562" s="93"/>
      <c r="V562" s="94"/>
      <c r="W562" s="94"/>
      <c r="X562" s="93"/>
      <c r="Y562" s="93"/>
      <c r="Z562" s="85"/>
      <c r="AA562" s="85"/>
      <c r="AB562" s="85"/>
      <c r="AC562" s="85"/>
      <c r="AD562" s="85"/>
    </row>
    <row r="563" spans="16:30" x14ac:dyDescent="0.2">
      <c r="P563" s="85"/>
      <c r="Q563" s="91"/>
      <c r="R563" s="91"/>
      <c r="S563" s="91"/>
      <c r="T563" s="92"/>
      <c r="U563" s="93"/>
      <c r="V563" s="94"/>
      <c r="W563" s="94"/>
      <c r="X563" s="93"/>
      <c r="Y563" s="93"/>
      <c r="Z563" s="85"/>
      <c r="AA563" s="85"/>
      <c r="AB563" s="85"/>
      <c r="AC563" s="85"/>
      <c r="AD563" s="85"/>
    </row>
    <row r="564" spans="16:30" x14ac:dyDescent="0.2">
      <c r="P564" s="85"/>
      <c r="Q564" s="91"/>
      <c r="R564" s="91"/>
      <c r="S564" s="91"/>
      <c r="T564" s="92"/>
      <c r="U564" s="93"/>
      <c r="V564" s="94"/>
      <c r="W564" s="94"/>
      <c r="X564" s="93"/>
      <c r="Y564" s="93"/>
      <c r="Z564" s="85"/>
      <c r="AA564" s="85"/>
      <c r="AB564" s="85"/>
      <c r="AC564" s="85"/>
      <c r="AD564" s="85"/>
    </row>
    <row r="565" spans="16:30" x14ac:dyDescent="0.2">
      <c r="P565" s="85"/>
      <c r="Q565" s="91"/>
      <c r="R565" s="91"/>
      <c r="S565" s="91"/>
      <c r="T565" s="92"/>
      <c r="U565" s="93"/>
      <c r="V565" s="94"/>
      <c r="W565" s="94"/>
      <c r="X565" s="93"/>
      <c r="Y565" s="93"/>
      <c r="Z565" s="85"/>
      <c r="AA565" s="85"/>
      <c r="AB565" s="85"/>
      <c r="AC565" s="85"/>
      <c r="AD565" s="85"/>
    </row>
    <row r="566" spans="16:30" x14ac:dyDescent="0.2">
      <c r="P566" s="85"/>
      <c r="Q566" s="91"/>
      <c r="R566" s="91"/>
      <c r="S566" s="91"/>
      <c r="T566" s="92"/>
      <c r="U566" s="93"/>
      <c r="V566" s="94"/>
      <c r="W566" s="94"/>
      <c r="X566" s="93"/>
      <c r="Y566" s="93"/>
      <c r="Z566" s="85"/>
      <c r="AA566" s="85"/>
      <c r="AB566" s="85"/>
      <c r="AC566" s="85"/>
      <c r="AD566" s="85"/>
    </row>
    <row r="567" spans="16:30" x14ac:dyDescent="0.2">
      <c r="P567" s="85"/>
      <c r="Q567" s="91"/>
      <c r="R567" s="91"/>
      <c r="S567" s="91"/>
      <c r="T567" s="92"/>
      <c r="U567" s="93"/>
      <c r="V567" s="94"/>
      <c r="W567" s="94"/>
      <c r="X567" s="93"/>
      <c r="Y567" s="93"/>
      <c r="Z567" s="85"/>
      <c r="AA567" s="85"/>
      <c r="AB567" s="85"/>
      <c r="AC567" s="85"/>
      <c r="AD567" s="85"/>
    </row>
    <row r="568" spans="16:30" x14ac:dyDescent="0.2">
      <c r="P568" s="85"/>
      <c r="Q568" s="91"/>
      <c r="R568" s="91"/>
      <c r="S568" s="91"/>
      <c r="T568" s="92"/>
      <c r="U568" s="93"/>
      <c r="V568" s="94"/>
      <c r="W568" s="94"/>
      <c r="X568" s="93"/>
      <c r="Y568" s="93"/>
      <c r="Z568" s="85"/>
      <c r="AA568" s="85"/>
      <c r="AB568" s="85"/>
      <c r="AC568" s="85"/>
      <c r="AD568" s="85"/>
    </row>
    <row r="569" spans="16:30" x14ac:dyDescent="0.2">
      <c r="P569" s="85"/>
      <c r="Q569" s="91"/>
      <c r="R569" s="91"/>
      <c r="S569" s="91"/>
      <c r="T569" s="92"/>
      <c r="U569" s="93"/>
      <c r="V569" s="94"/>
      <c r="W569" s="94"/>
      <c r="X569" s="93"/>
      <c r="Y569" s="93"/>
      <c r="Z569" s="85"/>
      <c r="AA569" s="85"/>
      <c r="AB569" s="85"/>
      <c r="AC569" s="85"/>
      <c r="AD569" s="85"/>
    </row>
    <row r="570" spans="16:30" x14ac:dyDescent="0.2">
      <c r="P570" s="85"/>
      <c r="Q570" s="91"/>
      <c r="R570" s="91"/>
      <c r="S570" s="91"/>
      <c r="T570" s="92"/>
      <c r="U570" s="93"/>
      <c r="V570" s="94"/>
      <c r="W570" s="94"/>
      <c r="X570" s="93"/>
      <c r="Y570" s="93"/>
      <c r="Z570" s="85"/>
      <c r="AA570" s="85"/>
      <c r="AB570" s="85"/>
      <c r="AC570" s="85"/>
      <c r="AD570" s="85"/>
    </row>
    <row r="571" spans="16:30" x14ac:dyDescent="0.2">
      <c r="P571" s="85"/>
      <c r="Q571" s="91"/>
      <c r="R571" s="91"/>
      <c r="S571" s="91"/>
      <c r="T571" s="92"/>
      <c r="U571" s="93"/>
      <c r="V571" s="94"/>
      <c r="W571" s="94"/>
      <c r="X571" s="93"/>
      <c r="Y571" s="93"/>
      <c r="Z571" s="85"/>
      <c r="AA571" s="85"/>
      <c r="AB571" s="85"/>
      <c r="AC571" s="85"/>
      <c r="AD571" s="85"/>
    </row>
    <row r="572" spans="16:30" x14ac:dyDescent="0.2">
      <c r="P572" s="85"/>
      <c r="Q572" s="91"/>
      <c r="R572" s="91"/>
      <c r="S572" s="91"/>
      <c r="T572" s="92"/>
      <c r="U572" s="93"/>
      <c r="V572" s="94"/>
      <c r="W572" s="94"/>
      <c r="X572" s="93"/>
      <c r="Y572" s="93"/>
      <c r="Z572" s="85"/>
      <c r="AA572" s="85"/>
      <c r="AB572" s="85"/>
      <c r="AC572" s="85"/>
      <c r="AD572" s="85"/>
    </row>
    <row r="573" spans="16:30" x14ac:dyDescent="0.2">
      <c r="P573" s="85"/>
      <c r="Q573" s="91"/>
      <c r="R573" s="91"/>
      <c r="S573" s="91"/>
      <c r="T573" s="92"/>
      <c r="U573" s="93"/>
      <c r="V573" s="94"/>
      <c r="W573" s="94"/>
      <c r="X573" s="93"/>
      <c r="Y573" s="93"/>
      <c r="Z573" s="85"/>
      <c r="AA573" s="85"/>
      <c r="AB573" s="85"/>
      <c r="AC573" s="85"/>
      <c r="AD573" s="85"/>
    </row>
    <row r="574" spans="16:30" x14ac:dyDescent="0.2">
      <c r="P574" s="85"/>
      <c r="Q574" s="91"/>
      <c r="R574" s="91"/>
      <c r="S574" s="91"/>
      <c r="T574" s="92"/>
      <c r="U574" s="93"/>
      <c r="V574" s="94"/>
      <c r="W574" s="94"/>
      <c r="X574" s="93"/>
      <c r="Y574" s="93"/>
      <c r="Z574" s="85"/>
      <c r="AA574" s="85"/>
      <c r="AB574" s="85"/>
      <c r="AC574" s="85"/>
      <c r="AD574" s="85"/>
    </row>
    <row r="575" spans="16:30" x14ac:dyDescent="0.2">
      <c r="P575" s="85"/>
      <c r="Q575" s="91"/>
      <c r="R575" s="91"/>
      <c r="S575" s="91"/>
      <c r="T575" s="92"/>
      <c r="U575" s="93"/>
      <c r="V575" s="94"/>
      <c r="W575" s="94"/>
      <c r="X575" s="93"/>
      <c r="Y575" s="93"/>
      <c r="Z575" s="85"/>
      <c r="AA575" s="85"/>
      <c r="AB575" s="85"/>
      <c r="AC575" s="85"/>
      <c r="AD575" s="85"/>
    </row>
    <row r="576" spans="16:30" x14ac:dyDescent="0.2">
      <c r="P576" s="85"/>
      <c r="Q576" s="91"/>
      <c r="R576" s="91"/>
      <c r="S576" s="91"/>
      <c r="T576" s="92"/>
      <c r="U576" s="93"/>
      <c r="V576" s="94"/>
      <c r="W576" s="94"/>
      <c r="X576" s="93"/>
      <c r="Y576" s="93"/>
      <c r="Z576" s="85"/>
      <c r="AA576" s="85"/>
      <c r="AB576" s="85"/>
      <c r="AC576" s="85"/>
      <c r="AD576" s="85"/>
    </row>
    <row r="577" spans="16:30" x14ac:dyDescent="0.2">
      <c r="P577" s="85"/>
      <c r="Q577" s="91"/>
      <c r="R577" s="91"/>
      <c r="S577" s="91"/>
      <c r="T577" s="92"/>
      <c r="U577" s="93"/>
      <c r="V577" s="94"/>
      <c r="W577" s="94"/>
      <c r="X577" s="93"/>
      <c r="Y577" s="93"/>
      <c r="Z577" s="85"/>
      <c r="AA577" s="85"/>
      <c r="AB577" s="85"/>
      <c r="AC577" s="85"/>
      <c r="AD577" s="85"/>
    </row>
    <row r="578" spans="16:30" x14ac:dyDescent="0.2">
      <c r="P578" s="85"/>
      <c r="Q578" s="91"/>
      <c r="R578" s="91"/>
      <c r="S578" s="91"/>
      <c r="T578" s="92"/>
      <c r="U578" s="93"/>
      <c r="V578" s="94"/>
      <c r="W578" s="94"/>
      <c r="X578" s="93"/>
      <c r="Y578" s="93"/>
      <c r="Z578" s="85"/>
      <c r="AA578" s="85"/>
      <c r="AB578" s="85"/>
      <c r="AC578" s="85"/>
      <c r="AD578" s="85"/>
    </row>
    <row r="579" spans="16:30" x14ac:dyDescent="0.2">
      <c r="P579" s="85"/>
      <c r="Q579" s="91"/>
      <c r="R579" s="91"/>
      <c r="S579" s="91"/>
      <c r="T579" s="92"/>
      <c r="U579" s="93"/>
      <c r="V579" s="94"/>
      <c r="W579" s="94"/>
      <c r="X579" s="93"/>
      <c r="Y579" s="93"/>
      <c r="Z579" s="85"/>
      <c r="AA579" s="85"/>
      <c r="AB579" s="85"/>
      <c r="AC579" s="85"/>
      <c r="AD579" s="85"/>
    </row>
    <row r="580" spans="16:30" x14ac:dyDescent="0.2">
      <c r="P580" s="85"/>
      <c r="Q580" s="91"/>
      <c r="R580" s="91"/>
      <c r="S580" s="91"/>
      <c r="T580" s="92"/>
      <c r="U580" s="93"/>
      <c r="V580" s="94"/>
      <c r="W580" s="94"/>
      <c r="X580" s="93"/>
      <c r="Y580" s="93"/>
      <c r="Z580" s="85"/>
      <c r="AA580" s="85"/>
      <c r="AB580" s="85"/>
      <c r="AC580" s="85"/>
      <c r="AD580" s="85"/>
    </row>
    <row r="581" spans="16:30" x14ac:dyDescent="0.2">
      <c r="P581" s="85"/>
      <c r="Q581" s="91"/>
      <c r="R581" s="91"/>
      <c r="S581" s="91"/>
      <c r="T581" s="92"/>
      <c r="U581" s="93"/>
      <c r="V581" s="94"/>
      <c r="W581" s="94"/>
      <c r="X581" s="93"/>
      <c r="Y581" s="93"/>
      <c r="Z581" s="85"/>
      <c r="AA581" s="85"/>
      <c r="AB581" s="85"/>
      <c r="AC581" s="85"/>
      <c r="AD581" s="85"/>
    </row>
    <row r="582" spans="16:30" x14ac:dyDescent="0.2">
      <c r="P582" s="85"/>
      <c r="Q582" s="91"/>
      <c r="R582" s="91"/>
      <c r="S582" s="91"/>
      <c r="T582" s="92"/>
      <c r="U582" s="93"/>
      <c r="V582" s="94"/>
      <c r="W582" s="94"/>
      <c r="X582" s="93"/>
      <c r="Y582" s="93"/>
      <c r="Z582" s="85"/>
      <c r="AA582" s="85"/>
      <c r="AB582" s="85"/>
      <c r="AC582" s="85"/>
      <c r="AD582" s="85"/>
    </row>
    <row r="583" spans="16:30" x14ac:dyDescent="0.2">
      <c r="P583" s="85"/>
      <c r="Q583" s="91"/>
      <c r="R583" s="91"/>
      <c r="S583" s="91"/>
      <c r="T583" s="92"/>
      <c r="U583" s="93"/>
      <c r="V583" s="94"/>
      <c r="W583" s="94"/>
      <c r="X583" s="93"/>
      <c r="Y583" s="93"/>
      <c r="Z583" s="85"/>
      <c r="AA583" s="85"/>
      <c r="AB583" s="85"/>
      <c r="AC583" s="85"/>
      <c r="AD583" s="85"/>
    </row>
    <row r="584" spans="16:30" x14ac:dyDescent="0.2">
      <c r="P584" s="85"/>
      <c r="Q584" s="91"/>
      <c r="R584" s="91"/>
      <c r="S584" s="91"/>
      <c r="T584" s="92"/>
      <c r="U584" s="93"/>
      <c r="V584" s="94"/>
      <c r="W584" s="94"/>
      <c r="X584" s="93"/>
      <c r="Y584" s="93"/>
      <c r="Z584" s="85"/>
      <c r="AA584" s="85"/>
      <c r="AB584" s="85"/>
      <c r="AC584" s="85"/>
      <c r="AD584" s="85"/>
    </row>
    <row r="585" spans="16:30" x14ac:dyDescent="0.2">
      <c r="P585" s="85"/>
      <c r="Q585" s="91"/>
      <c r="R585" s="91"/>
      <c r="S585" s="91"/>
      <c r="T585" s="92"/>
      <c r="U585" s="93"/>
      <c r="V585" s="94"/>
      <c r="W585" s="94"/>
      <c r="X585" s="93"/>
      <c r="Y585" s="93"/>
      <c r="Z585" s="85"/>
      <c r="AA585" s="85"/>
      <c r="AB585" s="85"/>
      <c r="AC585" s="85"/>
      <c r="AD585" s="85"/>
    </row>
    <row r="586" spans="16:30" x14ac:dyDescent="0.2">
      <c r="P586" s="85"/>
      <c r="Q586" s="91"/>
      <c r="R586" s="91"/>
      <c r="S586" s="91"/>
      <c r="T586" s="92"/>
      <c r="U586" s="93"/>
      <c r="V586" s="94"/>
      <c r="W586" s="94"/>
      <c r="X586" s="93"/>
      <c r="Y586" s="93"/>
      <c r="Z586" s="85"/>
      <c r="AA586" s="85"/>
      <c r="AB586" s="85"/>
      <c r="AC586" s="85"/>
      <c r="AD586" s="85"/>
    </row>
    <row r="587" spans="16:30" x14ac:dyDescent="0.2">
      <c r="P587" s="85"/>
      <c r="Q587" s="91"/>
      <c r="R587" s="91"/>
      <c r="S587" s="91"/>
      <c r="T587" s="92"/>
      <c r="U587" s="93"/>
      <c r="V587" s="94"/>
      <c r="W587" s="94"/>
      <c r="X587" s="93"/>
      <c r="Y587" s="93"/>
      <c r="Z587" s="85"/>
      <c r="AA587" s="85"/>
      <c r="AB587" s="85"/>
      <c r="AC587" s="85"/>
      <c r="AD587" s="85"/>
    </row>
    <row r="588" spans="16:30" x14ac:dyDescent="0.2">
      <c r="P588" s="85"/>
      <c r="Q588" s="91"/>
      <c r="R588" s="91"/>
      <c r="S588" s="91"/>
      <c r="T588" s="92"/>
      <c r="U588" s="93"/>
      <c r="V588" s="94"/>
      <c r="W588" s="94"/>
      <c r="X588" s="93"/>
      <c r="Y588" s="93"/>
      <c r="Z588" s="85"/>
      <c r="AA588" s="85"/>
      <c r="AB588" s="85"/>
      <c r="AC588" s="85"/>
      <c r="AD588" s="85"/>
    </row>
    <row r="589" spans="16:30" x14ac:dyDescent="0.2">
      <c r="P589" s="85"/>
      <c r="Q589" s="91"/>
      <c r="R589" s="91"/>
      <c r="S589" s="91"/>
      <c r="T589" s="92"/>
      <c r="U589" s="93"/>
      <c r="V589" s="94"/>
      <c r="W589" s="94"/>
      <c r="X589" s="93"/>
      <c r="Y589" s="93"/>
      <c r="Z589" s="85"/>
      <c r="AA589" s="85"/>
      <c r="AB589" s="85"/>
      <c r="AC589" s="85"/>
      <c r="AD589" s="85"/>
    </row>
    <row r="590" spans="16:30" x14ac:dyDescent="0.2">
      <c r="P590" s="85"/>
      <c r="Q590" s="91"/>
      <c r="R590" s="91"/>
      <c r="S590" s="91"/>
      <c r="T590" s="92"/>
      <c r="U590" s="93"/>
      <c r="V590" s="94"/>
      <c r="W590" s="94"/>
      <c r="X590" s="93"/>
      <c r="Y590" s="93"/>
      <c r="Z590" s="85"/>
      <c r="AA590" s="85"/>
      <c r="AB590" s="85"/>
      <c r="AC590" s="85"/>
      <c r="AD590" s="85"/>
    </row>
    <row r="591" spans="16:30" x14ac:dyDescent="0.2">
      <c r="P591" s="85"/>
      <c r="Q591" s="91"/>
      <c r="R591" s="91"/>
      <c r="S591" s="91"/>
      <c r="T591" s="92"/>
      <c r="U591" s="93"/>
      <c r="V591" s="94"/>
      <c r="W591" s="94"/>
      <c r="X591" s="93"/>
      <c r="Y591" s="93"/>
      <c r="Z591" s="85"/>
      <c r="AA591" s="85"/>
      <c r="AB591" s="85"/>
      <c r="AC591" s="85"/>
      <c r="AD591" s="85"/>
    </row>
    <row r="592" spans="16:30" x14ac:dyDescent="0.2">
      <c r="P592" s="85"/>
      <c r="Q592" s="91"/>
      <c r="R592" s="91"/>
      <c r="S592" s="91"/>
      <c r="T592" s="92"/>
      <c r="U592" s="93"/>
      <c r="V592" s="94"/>
      <c r="W592" s="94"/>
      <c r="X592" s="93"/>
      <c r="Y592" s="93"/>
      <c r="Z592" s="85"/>
      <c r="AA592" s="85"/>
      <c r="AB592" s="85"/>
      <c r="AC592" s="85"/>
      <c r="AD592" s="85"/>
    </row>
    <row r="593" spans="16:30" x14ac:dyDescent="0.2">
      <c r="P593" s="85"/>
      <c r="Q593" s="91"/>
      <c r="R593" s="91"/>
      <c r="S593" s="91"/>
      <c r="T593" s="92"/>
      <c r="U593" s="93"/>
      <c r="V593" s="94"/>
      <c r="W593" s="94"/>
      <c r="X593" s="93"/>
      <c r="Y593" s="93"/>
      <c r="Z593" s="85"/>
      <c r="AA593" s="85"/>
      <c r="AB593" s="85"/>
      <c r="AC593" s="85"/>
      <c r="AD593" s="85"/>
    </row>
    <row r="594" spans="16:30" x14ac:dyDescent="0.2">
      <c r="P594" s="85"/>
      <c r="Q594" s="91"/>
      <c r="R594" s="91"/>
      <c r="S594" s="91"/>
      <c r="T594" s="92"/>
      <c r="U594" s="93"/>
      <c r="V594" s="94"/>
      <c r="W594" s="94"/>
      <c r="X594" s="93"/>
      <c r="Y594" s="93"/>
      <c r="Z594" s="85"/>
      <c r="AA594" s="85"/>
      <c r="AB594" s="85"/>
      <c r="AC594" s="85"/>
      <c r="AD594" s="85"/>
    </row>
    <row r="595" spans="16:30" x14ac:dyDescent="0.2">
      <c r="P595" s="85"/>
      <c r="Q595" s="91"/>
      <c r="R595" s="91"/>
      <c r="S595" s="91"/>
      <c r="T595" s="92"/>
      <c r="U595" s="93"/>
      <c r="V595" s="94"/>
      <c r="W595" s="94"/>
      <c r="X595" s="93"/>
      <c r="Y595" s="93"/>
      <c r="Z595" s="85"/>
      <c r="AA595" s="85"/>
      <c r="AB595" s="85"/>
      <c r="AC595" s="85"/>
      <c r="AD595" s="85"/>
    </row>
    <row r="596" spans="16:30" x14ac:dyDescent="0.2">
      <c r="P596" s="85"/>
      <c r="Q596" s="91"/>
      <c r="R596" s="91"/>
      <c r="S596" s="91"/>
      <c r="T596" s="92"/>
      <c r="U596" s="93"/>
      <c r="V596" s="94"/>
      <c r="W596" s="94"/>
      <c r="X596" s="93"/>
      <c r="Y596" s="93"/>
      <c r="Z596" s="85"/>
      <c r="AA596" s="85"/>
      <c r="AB596" s="85"/>
      <c r="AC596" s="85"/>
      <c r="AD596" s="85"/>
    </row>
    <row r="597" spans="16:30" x14ac:dyDescent="0.2">
      <c r="P597" s="85"/>
      <c r="Q597" s="91"/>
      <c r="R597" s="91"/>
      <c r="S597" s="91"/>
      <c r="T597" s="92"/>
      <c r="U597" s="93"/>
      <c r="V597" s="94"/>
      <c r="W597" s="94"/>
      <c r="X597" s="93"/>
      <c r="Y597" s="93"/>
      <c r="Z597" s="85"/>
      <c r="AA597" s="85"/>
      <c r="AB597" s="85"/>
      <c r="AC597" s="85"/>
      <c r="AD597" s="85"/>
    </row>
    <row r="598" spans="16:30" x14ac:dyDescent="0.2">
      <c r="P598" s="85"/>
      <c r="Q598" s="91"/>
      <c r="R598" s="91"/>
      <c r="S598" s="91"/>
      <c r="T598" s="92"/>
      <c r="U598" s="93"/>
      <c r="V598" s="94"/>
      <c r="W598" s="94"/>
      <c r="X598" s="93"/>
      <c r="Y598" s="93"/>
      <c r="Z598" s="85"/>
      <c r="AA598" s="85"/>
      <c r="AB598" s="85"/>
      <c r="AC598" s="85"/>
      <c r="AD598" s="85"/>
    </row>
    <row r="599" spans="16:30" x14ac:dyDescent="0.2">
      <c r="P599" s="85"/>
      <c r="Q599" s="91"/>
      <c r="R599" s="91"/>
      <c r="S599" s="91"/>
      <c r="T599" s="92"/>
      <c r="U599" s="93"/>
      <c r="V599" s="94"/>
      <c r="W599" s="94"/>
      <c r="X599" s="93"/>
      <c r="Y599" s="93"/>
      <c r="Z599" s="85"/>
      <c r="AA599" s="85"/>
      <c r="AB599" s="85"/>
      <c r="AC599" s="85"/>
      <c r="AD599" s="85"/>
    </row>
    <row r="600" spans="16:30" x14ac:dyDescent="0.2">
      <c r="P600" s="85"/>
      <c r="Q600" s="91"/>
      <c r="R600" s="91"/>
      <c r="S600" s="91"/>
      <c r="T600" s="92"/>
      <c r="U600" s="93"/>
      <c r="V600" s="94"/>
      <c r="W600" s="94"/>
      <c r="X600" s="93"/>
      <c r="Y600" s="93"/>
      <c r="Z600" s="85"/>
      <c r="AA600" s="85"/>
      <c r="AB600" s="85"/>
      <c r="AC600" s="85"/>
      <c r="AD600" s="85"/>
    </row>
    <row r="601" spans="16:30" x14ac:dyDescent="0.2">
      <c r="P601" s="85"/>
      <c r="Q601" s="91"/>
      <c r="R601" s="91"/>
      <c r="S601" s="91"/>
      <c r="T601" s="92"/>
      <c r="U601" s="93"/>
      <c r="V601" s="94"/>
      <c r="W601" s="94"/>
      <c r="X601" s="93"/>
      <c r="Y601" s="93"/>
      <c r="Z601" s="85"/>
      <c r="AA601" s="85"/>
      <c r="AB601" s="85"/>
      <c r="AC601" s="85"/>
      <c r="AD601" s="85"/>
    </row>
    <row r="602" spans="16:30" x14ac:dyDescent="0.2">
      <c r="P602" s="85"/>
      <c r="Q602" s="91"/>
      <c r="R602" s="91"/>
      <c r="S602" s="91"/>
      <c r="T602" s="92"/>
      <c r="U602" s="93"/>
      <c r="V602" s="94"/>
      <c r="W602" s="94"/>
      <c r="X602" s="93"/>
      <c r="Y602" s="93"/>
      <c r="Z602" s="85"/>
      <c r="AA602" s="85"/>
      <c r="AB602" s="85"/>
      <c r="AC602" s="85"/>
      <c r="AD602" s="85"/>
    </row>
    <row r="603" spans="16:30" x14ac:dyDescent="0.2">
      <c r="P603" s="85"/>
      <c r="Q603" s="91"/>
      <c r="R603" s="91"/>
      <c r="S603" s="91"/>
      <c r="T603" s="92"/>
      <c r="U603" s="93"/>
      <c r="V603" s="94"/>
      <c r="W603" s="94"/>
      <c r="X603" s="93"/>
      <c r="Y603" s="93"/>
      <c r="Z603" s="85"/>
      <c r="AA603" s="85"/>
      <c r="AB603" s="85"/>
      <c r="AC603" s="85"/>
      <c r="AD603" s="85"/>
    </row>
    <row r="604" spans="16:30" x14ac:dyDescent="0.2">
      <c r="P604" s="85"/>
      <c r="Q604" s="91"/>
      <c r="R604" s="91"/>
      <c r="S604" s="91"/>
      <c r="T604" s="92"/>
      <c r="U604" s="93"/>
      <c r="V604" s="94"/>
      <c r="W604" s="94"/>
      <c r="X604" s="93"/>
      <c r="Y604" s="93"/>
      <c r="Z604" s="85"/>
      <c r="AA604" s="85"/>
      <c r="AB604" s="85"/>
      <c r="AC604" s="85"/>
      <c r="AD604" s="85"/>
    </row>
    <row r="605" spans="16:30" x14ac:dyDescent="0.2">
      <c r="P605" s="85"/>
      <c r="Q605" s="91"/>
      <c r="R605" s="91"/>
      <c r="S605" s="91"/>
      <c r="T605" s="92"/>
      <c r="U605" s="93"/>
      <c r="V605" s="94"/>
      <c r="W605" s="94"/>
      <c r="X605" s="93"/>
      <c r="Y605" s="93"/>
      <c r="Z605" s="85"/>
      <c r="AA605" s="85"/>
      <c r="AB605" s="85"/>
      <c r="AC605" s="85"/>
      <c r="AD605" s="85"/>
    </row>
    <row r="606" spans="16:30" x14ac:dyDescent="0.2">
      <c r="P606" s="85"/>
      <c r="Q606" s="91"/>
      <c r="R606" s="91"/>
      <c r="S606" s="91"/>
      <c r="T606" s="92"/>
      <c r="U606" s="93"/>
      <c r="V606" s="94"/>
      <c r="W606" s="94"/>
      <c r="X606" s="93"/>
      <c r="Y606" s="93"/>
      <c r="Z606" s="85"/>
      <c r="AA606" s="85"/>
      <c r="AB606" s="85"/>
      <c r="AC606" s="85"/>
      <c r="AD606" s="85"/>
    </row>
    <row r="607" spans="16:30" x14ac:dyDescent="0.2">
      <c r="P607" s="85"/>
      <c r="Q607" s="91"/>
      <c r="R607" s="91"/>
      <c r="S607" s="91"/>
      <c r="T607" s="92"/>
      <c r="U607" s="93"/>
      <c r="V607" s="94"/>
      <c r="W607" s="94"/>
      <c r="X607" s="93"/>
      <c r="Y607" s="93"/>
      <c r="Z607" s="85"/>
      <c r="AA607" s="85"/>
      <c r="AB607" s="85"/>
      <c r="AC607" s="85"/>
      <c r="AD607" s="85"/>
    </row>
    <row r="608" spans="16:30" x14ac:dyDescent="0.2">
      <c r="P608" s="85"/>
      <c r="Q608" s="91"/>
      <c r="R608" s="91"/>
      <c r="S608" s="91"/>
      <c r="T608" s="92"/>
      <c r="U608" s="93"/>
      <c r="V608" s="94"/>
      <c r="W608" s="94"/>
      <c r="X608" s="93"/>
      <c r="Y608" s="93"/>
      <c r="Z608" s="85"/>
      <c r="AA608" s="85"/>
      <c r="AB608" s="85"/>
      <c r="AC608" s="85"/>
      <c r="AD608" s="85"/>
    </row>
    <row r="609" spans="16:30" x14ac:dyDescent="0.2">
      <c r="P609" s="85"/>
      <c r="Q609" s="91"/>
      <c r="R609" s="91"/>
      <c r="S609" s="91"/>
      <c r="T609" s="92"/>
      <c r="U609" s="93"/>
      <c r="V609" s="94"/>
      <c r="W609" s="94"/>
      <c r="X609" s="93"/>
      <c r="Y609" s="93"/>
      <c r="Z609" s="85"/>
      <c r="AA609" s="85"/>
      <c r="AB609" s="85"/>
      <c r="AC609" s="85"/>
      <c r="AD609" s="85"/>
    </row>
    <row r="610" spans="16:30" x14ac:dyDescent="0.2">
      <c r="P610" s="85"/>
      <c r="Q610" s="91"/>
      <c r="R610" s="91"/>
      <c r="S610" s="91"/>
      <c r="T610" s="92"/>
      <c r="U610" s="93"/>
      <c r="V610" s="94"/>
      <c r="W610" s="94"/>
      <c r="X610" s="93"/>
      <c r="Y610" s="93"/>
      <c r="Z610" s="85"/>
      <c r="AA610" s="85"/>
      <c r="AB610" s="85"/>
      <c r="AC610" s="85"/>
      <c r="AD610" s="85"/>
    </row>
    <row r="611" spans="16:30" x14ac:dyDescent="0.2">
      <c r="P611" s="85"/>
      <c r="Q611" s="91"/>
      <c r="R611" s="91"/>
      <c r="S611" s="91"/>
      <c r="T611" s="92"/>
      <c r="U611" s="93"/>
      <c r="V611" s="94"/>
      <c r="W611" s="94"/>
      <c r="X611" s="93"/>
      <c r="Y611" s="93"/>
      <c r="Z611" s="85"/>
      <c r="AA611" s="85"/>
      <c r="AB611" s="85"/>
      <c r="AC611" s="85"/>
      <c r="AD611" s="85"/>
    </row>
    <row r="612" spans="16:30" x14ac:dyDescent="0.2">
      <c r="P612" s="85"/>
      <c r="Q612" s="91"/>
      <c r="R612" s="91"/>
      <c r="S612" s="91"/>
      <c r="T612" s="92"/>
      <c r="U612" s="93"/>
      <c r="V612" s="94"/>
      <c r="W612" s="94"/>
      <c r="X612" s="93"/>
      <c r="Y612" s="93"/>
      <c r="Z612" s="85"/>
      <c r="AA612" s="85"/>
      <c r="AB612" s="85"/>
      <c r="AC612" s="85"/>
      <c r="AD612" s="85"/>
    </row>
    <row r="613" spans="16:30" x14ac:dyDescent="0.2">
      <c r="P613" s="85"/>
      <c r="Q613" s="91"/>
      <c r="R613" s="91"/>
      <c r="S613" s="91"/>
      <c r="T613" s="92"/>
      <c r="U613" s="93"/>
      <c r="V613" s="94"/>
      <c r="W613" s="94"/>
      <c r="X613" s="93"/>
      <c r="Y613" s="93"/>
      <c r="Z613" s="85"/>
      <c r="AA613" s="85"/>
      <c r="AB613" s="85"/>
      <c r="AC613" s="85"/>
      <c r="AD613" s="85"/>
    </row>
    <row r="614" spans="16:30" x14ac:dyDescent="0.2">
      <c r="P614" s="85"/>
      <c r="Q614" s="91"/>
      <c r="R614" s="91"/>
      <c r="S614" s="91"/>
      <c r="T614" s="92"/>
      <c r="U614" s="93"/>
      <c r="V614" s="94"/>
      <c r="W614" s="94"/>
      <c r="X614" s="93"/>
      <c r="Y614" s="93"/>
      <c r="Z614" s="85"/>
      <c r="AA614" s="85"/>
      <c r="AB614" s="85"/>
      <c r="AC614" s="85"/>
      <c r="AD614" s="85"/>
    </row>
    <row r="615" spans="16:30" x14ac:dyDescent="0.2">
      <c r="P615" s="85"/>
      <c r="Q615" s="91"/>
      <c r="R615" s="91"/>
      <c r="S615" s="91"/>
      <c r="T615" s="92"/>
      <c r="U615" s="93"/>
      <c r="V615" s="94"/>
      <c r="W615" s="94"/>
      <c r="X615" s="93"/>
      <c r="Y615" s="93"/>
      <c r="Z615" s="85"/>
      <c r="AA615" s="85"/>
      <c r="AB615" s="85"/>
      <c r="AC615" s="85"/>
      <c r="AD615" s="85"/>
    </row>
    <row r="616" spans="16:30" x14ac:dyDescent="0.2">
      <c r="P616" s="85"/>
      <c r="Q616" s="91"/>
      <c r="R616" s="91"/>
      <c r="S616" s="91"/>
      <c r="T616" s="92"/>
      <c r="U616" s="93"/>
      <c r="V616" s="94"/>
      <c r="W616" s="94"/>
      <c r="X616" s="93"/>
      <c r="Y616" s="93"/>
      <c r="Z616" s="85"/>
      <c r="AA616" s="85"/>
      <c r="AB616" s="85"/>
      <c r="AC616" s="85"/>
      <c r="AD616" s="85"/>
    </row>
    <row r="617" spans="16:30" x14ac:dyDescent="0.2">
      <c r="P617" s="85"/>
      <c r="Q617" s="91"/>
      <c r="R617" s="91"/>
      <c r="S617" s="91"/>
      <c r="T617" s="92"/>
      <c r="U617" s="93"/>
      <c r="V617" s="94"/>
      <c r="W617" s="94"/>
      <c r="X617" s="93"/>
      <c r="Y617" s="93"/>
      <c r="Z617" s="85"/>
      <c r="AA617" s="85"/>
      <c r="AB617" s="85"/>
      <c r="AC617" s="85"/>
      <c r="AD617" s="85"/>
    </row>
    <row r="618" spans="16:30" x14ac:dyDescent="0.2">
      <c r="P618" s="85"/>
      <c r="Q618" s="91"/>
      <c r="R618" s="91"/>
      <c r="S618" s="91"/>
      <c r="T618" s="92"/>
      <c r="U618" s="93"/>
      <c r="V618" s="94"/>
      <c r="W618" s="94"/>
      <c r="X618" s="93"/>
      <c r="Y618" s="93"/>
      <c r="Z618" s="85"/>
      <c r="AA618" s="85"/>
      <c r="AB618" s="85"/>
      <c r="AC618" s="85"/>
      <c r="AD618" s="85"/>
    </row>
    <row r="619" spans="16:30" x14ac:dyDescent="0.2">
      <c r="P619" s="85"/>
      <c r="Q619" s="91"/>
      <c r="R619" s="91"/>
      <c r="S619" s="91"/>
      <c r="T619" s="92"/>
      <c r="U619" s="93"/>
      <c r="V619" s="94"/>
      <c r="W619" s="94"/>
      <c r="X619" s="93"/>
      <c r="Y619" s="93"/>
      <c r="Z619" s="85"/>
      <c r="AA619" s="85"/>
      <c r="AB619" s="85"/>
      <c r="AC619" s="85"/>
      <c r="AD619" s="85"/>
    </row>
    <row r="620" spans="16:30" x14ac:dyDescent="0.2">
      <c r="P620" s="85"/>
      <c r="Q620" s="91"/>
      <c r="R620" s="91"/>
      <c r="S620" s="91"/>
      <c r="T620" s="92"/>
      <c r="U620" s="93"/>
      <c r="V620" s="94"/>
      <c r="W620" s="94"/>
      <c r="X620" s="93"/>
      <c r="Y620" s="93"/>
      <c r="Z620" s="85"/>
      <c r="AA620" s="85"/>
      <c r="AB620" s="85"/>
      <c r="AC620" s="85"/>
      <c r="AD620" s="85"/>
    </row>
    <row r="621" spans="16:30" x14ac:dyDescent="0.2">
      <c r="P621" s="85"/>
      <c r="Q621" s="91"/>
      <c r="R621" s="91"/>
      <c r="S621" s="91"/>
      <c r="T621" s="92"/>
      <c r="U621" s="93"/>
      <c r="V621" s="94"/>
      <c r="W621" s="94"/>
      <c r="X621" s="93"/>
      <c r="Y621" s="93"/>
      <c r="Z621" s="85"/>
      <c r="AA621" s="85"/>
      <c r="AB621" s="85"/>
      <c r="AC621" s="85"/>
      <c r="AD621" s="85"/>
    </row>
    <row r="622" spans="16:30" x14ac:dyDescent="0.2">
      <c r="P622" s="85"/>
      <c r="Q622" s="91"/>
      <c r="R622" s="91"/>
      <c r="S622" s="91"/>
      <c r="T622" s="92"/>
      <c r="U622" s="93"/>
      <c r="V622" s="94"/>
      <c r="W622" s="94"/>
      <c r="X622" s="93"/>
      <c r="Y622" s="93"/>
      <c r="Z622" s="85"/>
      <c r="AA622" s="85"/>
      <c r="AB622" s="85"/>
      <c r="AC622" s="85"/>
      <c r="AD622" s="85"/>
    </row>
    <row r="623" spans="16:30" x14ac:dyDescent="0.2">
      <c r="P623" s="85"/>
      <c r="Q623" s="91"/>
      <c r="R623" s="91"/>
      <c r="S623" s="91"/>
      <c r="T623" s="92"/>
      <c r="U623" s="93"/>
      <c r="V623" s="94"/>
      <c r="W623" s="94"/>
      <c r="X623" s="93"/>
      <c r="Y623" s="93"/>
      <c r="Z623" s="85"/>
      <c r="AA623" s="85"/>
      <c r="AB623" s="85"/>
      <c r="AC623" s="85"/>
      <c r="AD623" s="85"/>
    </row>
    <row r="624" spans="16:30" x14ac:dyDescent="0.2">
      <c r="P624" s="85"/>
      <c r="Q624" s="91"/>
      <c r="R624" s="91"/>
      <c r="S624" s="91"/>
      <c r="T624" s="92"/>
      <c r="U624" s="93"/>
      <c r="V624" s="94"/>
      <c r="W624" s="94"/>
      <c r="X624" s="93"/>
      <c r="Y624" s="93"/>
      <c r="Z624" s="85"/>
      <c r="AA624" s="85"/>
      <c r="AB624" s="85"/>
      <c r="AC624" s="85"/>
      <c r="AD624" s="85"/>
    </row>
    <row r="625" spans="16:30" x14ac:dyDescent="0.2">
      <c r="P625" s="85"/>
      <c r="Q625" s="91"/>
      <c r="R625" s="91"/>
      <c r="S625" s="91"/>
      <c r="T625" s="92"/>
      <c r="U625" s="93"/>
      <c r="V625" s="94"/>
      <c r="W625" s="94"/>
      <c r="X625" s="93"/>
      <c r="Y625" s="93"/>
      <c r="Z625" s="85"/>
      <c r="AA625" s="85"/>
      <c r="AB625" s="85"/>
      <c r="AC625" s="85"/>
      <c r="AD625" s="85"/>
    </row>
    <row r="626" spans="16:30" x14ac:dyDescent="0.2">
      <c r="P626" s="85"/>
      <c r="Q626" s="91"/>
      <c r="R626" s="91"/>
      <c r="S626" s="91"/>
      <c r="T626" s="92"/>
      <c r="U626" s="93"/>
      <c r="V626" s="94"/>
      <c r="W626" s="94"/>
      <c r="X626" s="93"/>
      <c r="Y626" s="93"/>
      <c r="Z626" s="85"/>
      <c r="AA626" s="85"/>
      <c r="AB626" s="85"/>
      <c r="AC626" s="85"/>
      <c r="AD626" s="85"/>
    </row>
    <row r="627" spans="16:30" x14ac:dyDescent="0.2">
      <c r="P627" s="85"/>
      <c r="Q627" s="91"/>
      <c r="R627" s="91"/>
      <c r="S627" s="91"/>
      <c r="T627" s="92"/>
      <c r="U627" s="93"/>
      <c r="V627" s="94"/>
      <c r="W627" s="94"/>
      <c r="X627" s="93"/>
      <c r="Y627" s="93"/>
      <c r="Z627" s="85"/>
      <c r="AA627" s="85"/>
      <c r="AB627" s="85"/>
      <c r="AC627" s="85"/>
      <c r="AD627" s="85"/>
    </row>
    <row r="628" spans="16:30" x14ac:dyDescent="0.2">
      <c r="P628" s="85"/>
      <c r="Q628" s="91"/>
      <c r="R628" s="91"/>
      <c r="S628" s="91"/>
      <c r="T628" s="92"/>
      <c r="U628" s="93"/>
      <c r="V628" s="94"/>
      <c r="W628" s="94"/>
      <c r="X628" s="93"/>
      <c r="Y628" s="93"/>
      <c r="Z628" s="85"/>
      <c r="AA628" s="85"/>
      <c r="AB628" s="85"/>
      <c r="AC628" s="85"/>
      <c r="AD628" s="85"/>
    </row>
    <row r="629" spans="16:30" x14ac:dyDescent="0.2">
      <c r="P629" s="85"/>
      <c r="Q629" s="91"/>
      <c r="R629" s="91"/>
      <c r="S629" s="91"/>
      <c r="T629" s="92"/>
      <c r="U629" s="93"/>
      <c r="V629" s="94"/>
      <c r="W629" s="94"/>
      <c r="X629" s="93"/>
      <c r="Y629" s="93"/>
      <c r="Z629" s="85"/>
      <c r="AA629" s="85"/>
      <c r="AB629" s="85"/>
      <c r="AC629" s="85"/>
      <c r="AD629" s="85"/>
    </row>
    <row r="630" spans="16:30" x14ac:dyDescent="0.2">
      <c r="P630" s="85"/>
      <c r="Q630" s="91"/>
      <c r="R630" s="91"/>
      <c r="S630" s="91"/>
      <c r="T630" s="92"/>
      <c r="U630" s="93"/>
      <c r="V630" s="94"/>
      <c r="W630" s="94"/>
      <c r="X630" s="93"/>
      <c r="Y630" s="93"/>
      <c r="Z630" s="85"/>
      <c r="AA630" s="85"/>
      <c r="AB630" s="85"/>
      <c r="AC630" s="85"/>
      <c r="AD630" s="85"/>
    </row>
    <row r="631" spans="16:30" x14ac:dyDescent="0.2">
      <c r="P631" s="85"/>
      <c r="Q631" s="91"/>
      <c r="R631" s="91"/>
      <c r="S631" s="91"/>
      <c r="T631" s="92"/>
      <c r="U631" s="93"/>
      <c r="V631" s="94"/>
      <c r="W631" s="94"/>
      <c r="X631" s="93"/>
      <c r="Y631" s="93"/>
      <c r="Z631" s="85"/>
      <c r="AA631" s="85"/>
      <c r="AB631" s="85"/>
      <c r="AC631" s="85"/>
      <c r="AD631" s="85"/>
    </row>
    <row r="632" spans="16:30" x14ac:dyDescent="0.2">
      <c r="P632" s="85"/>
      <c r="Q632" s="91"/>
      <c r="R632" s="91"/>
      <c r="S632" s="91"/>
      <c r="T632" s="92"/>
      <c r="U632" s="93"/>
      <c r="V632" s="94"/>
      <c r="W632" s="94"/>
      <c r="X632" s="93"/>
      <c r="Y632" s="93"/>
      <c r="Z632" s="85"/>
      <c r="AA632" s="85"/>
      <c r="AB632" s="85"/>
      <c r="AC632" s="85"/>
      <c r="AD632" s="85"/>
    </row>
    <row r="633" spans="16:30" x14ac:dyDescent="0.2">
      <c r="P633" s="85"/>
      <c r="Q633" s="91"/>
      <c r="R633" s="91"/>
      <c r="S633" s="91"/>
      <c r="T633" s="92"/>
      <c r="U633" s="93"/>
      <c r="V633" s="94"/>
      <c r="W633" s="94"/>
      <c r="X633" s="93"/>
      <c r="Y633" s="93"/>
      <c r="Z633" s="85"/>
      <c r="AA633" s="85"/>
      <c r="AB633" s="85"/>
      <c r="AC633" s="85"/>
      <c r="AD633" s="85"/>
    </row>
    <row r="634" spans="16:30" x14ac:dyDescent="0.2">
      <c r="P634" s="85"/>
      <c r="Q634" s="91"/>
      <c r="R634" s="91"/>
      <c r="S634" s="91"/>
      <c r="T634" s="92"/>
      <c r="U634" s="93"/>
      <c r="V634" s="94"/>
      <c r="W634" s="94"/>
      <c r="X634" s="93"/>
      <c r="Y634" s="93"/>
      <c r="Z634" s="85"/>
      <c r="AA634" s="85"/>
      <c r="AB634" s="85"/>
      <c r="AC634" s="85"/>
      <c r="AD634" s="85"/>
    </row>
    <row r="635" spans="16:30" x14ac:dyDescent="0.2">
      <c r="P635" s="85"/>
      <c r="Q635" s="91"/>
      <c r="R635" s="91"/>
      <c r="S635" s="91"/>
      <c r="T635" s="92"/>
      <c r="U635" s="93"/>
      <c r="V635" s="94"/>
      <c r="W635" s="94"/>
      <c r="X635" s="93"/>
      <c r="Y635" s="93"/>
      <c r="Z635" s="85"/>
      <c r="AA635" s="85"/>
      <c r="AB635" s="85"/>
      <c r="AC635" s="85"/>
      <c r="AD635" s="85"/>
    </row>
    <row r="636" spans="16:30" x14ac:dyDescent="0.2">
      <c r="P636" s="85"/>
      <c r="Q636" s="91"/>
      <c r="R636" s="91"/>
      <c r="S636" s="91"/>
      <c r="T636" s="92"/>
      <c r="U636" s="93"/>
      <c r="V636" s="94"/>
      <c r="W636" s="94"/>
      <c r="X636" s="93"/>
      <c r="Y636" s="93"/>
      <c r="Z636" s="85"/>
      <c r="AA636" s="85"/>
      <c r="AB636" s="85"/>
      <c r="AC636" s="85"/>
      <c r="AD636" s="85"/>
    </row>
    <row r="637" spans="16:30" x14ac:dyDescent="0.2">
      <c r="P637" s="85"/>
      <c r="Q637" s="91"/>
      <c r="R637" s="91"/>
      <c r="S637" s="91"/>
      <c r="T637" s="92"/>
      <c r="U637" s="93"/>
      <c r="V637" s="94"/>
      <c r="W637" s="94"/>
      <c r="X637" s="93"/>
      <c r="Y637" s="93"/>
      <c r="Z637" s="85"/>
      <c r="AA637" s="85"/>
      <c r="AB637" s="85"/>
      <c r="AC637" s="85"/>
      <c r="AD637" s="85"/>
    </row>
    <row r="638" spans="16:30" x14ac:dyDescent="0.2">
      <c r="P638" s="85"/>
      <c r="Q638" s="91"/>
      <c r="R638" s="91"/>
      <c r="S638" s="91"/>
      <c r="T638" s="92"/>
      <c r="U638" s="93"/>
      <c r="V638" s="94"/>
      <c r="W638" s="94"/>
      <c r="X638" s="93"/>
      <c r="Y638" s="93"/>
      <c r="Z638" s="85"/>
      <c r="AA638" s="85"/>
      <c r="AB638" s="85"/>
      <c r="AC638" s="85"/>
      <c r="AD638" s="85"/>
    </row>
    <row r="639" spans="16:30" x14ac:dyDescent="0.2">
      <c r="P639" s="85"/>
      <c r="Q639" s="91"/>
      <c r="R639" s="91"/>
      <c r="S639" s="91"/>
      <c r="T639" s="92"/>
      <c r="U639" s="93"/>
      <c r="V639" s="94"/>
      <c r="W639" s="94"/>
      <c r="X639" s="93"/>
      <c r="Y639" s="93"/>
      <c r="Z639" s="85"/>
      <c r="AA639" s="85"/>
      <c r="AB639" s="85"/>
      <c r="AC639" s="85"/>
      <c r="AD639" s="85"/>
    </row>
    <row r="640" spans="16:30" x14ac:dyDescent="0.2">
      <c r="P640" s="85"/>
      <c r="Q640" s="91"/>
      <c r="R640" s="91"/>
      <c r="S640" s="91"/>
      <c r="T640" s="92"/>
      <c r="U640" s="93"/>
      <c r="V640" s="94"/>
      <c r="W640" s="94"/>
      <c r="X640" s="93"/>
      <c r="Y640" s="93"/>
      <c r="Z640" s="85"/>
      <c r="AA640" s="85"/>
      <c r="AB640" s="85"/>
      <c r="AC640" s="85"/>
      <c r="AD640" s="85"/>
    </row>
    <row r="641" spans="16:30" x14ac:dyDescent="0.2">
      <c r="P641" s="85"/>
      <c r="Q641" s="91"/>
      <c r="R641" s="91"/>
      <c r="S641" s="91"/>
      <c r="T641" s="92"/>
      <c r="U641" s="93"/>
      <c r="V641" s="94"/>
      <c r="W641" s="94"/>
      <c r="X641" s="93"/>
      <c r="Y641" s="93"/>
      <c r="Z641" s="85"/>
      <c r="AA641" s="85"/>
      <c r="AB641" s="85"/>
      <c r="AC641" s="85"/>
      <c r="AD641" s="85"/>
    </row>
    <row r="642" spans="16:30" x14ac:dyDescent="0.2">
      <c r="P642" s="85"/>
      <c r="Q642" s="91"/>
      <c r="R642" s="91"/>
      <c r="S642" s="91"/>
      <c r="T642" s="92"/>
      <c r="U642" s="93"/>
      <c r="V642" s="94"/>
      <c r="W642" s="94"/>
      <c r="X642" s="93"/>
      <c r="Y642" s="93"/>
      <c r="Z642" s="85"/>
      <c r="AA642" s="85"/>
      <c r="AB642" s="85"/>
      <c r="AC642" s="85"/>
      <c r="AD642" s="85"/>
    </row>
    <row r="643" spans="16:30" x14ac:dyDescent="0.2">
      <c r="P643" s="85"/>
      <c r="Q643" s="91"/>
      <c r="R643" s="91"/>
      <c r="S643" s="91"/>
      <c r="T643" s="92"/>
      <c r="U643" s="93"/>
      <c r="V643" s="94"/>
      <c r="W643" s="94"/>
      <c r="X643" s="93"/>
      <c r="Y643" s="93"/>
      <c r="Z643" s="85"/>
      <c r="AA643" s="85"/>
      <c r="AB643" s="85"/>
      <c r="AC643" s="85"/>
      <c r="AD643" s="85"/>
    </row>
    <row r="644" spans="16:30" x14ac:dyDescent="0.2">
      <c r="P644" s="85"/>
      <c r="Q644" s="91"/>
      <c r="R644" s="91"/>
      <c r="S644" s="91"/>
      <c r="T644" s="92"/>
      <c r="U644" s="93"/>
      <c r="V644" s="94"/>
      <c r="W644" s="94"/>
      <c r="X644" s="93"/>
      <c r="Y644" s="93"/>
      <c r="Z644" s="85"/>
      <c r="AA644" s="85"/>
      <c r="AB644" s="85"/>
      <c r="AC644" s="85"/>
      <c r="AD644" s="85"/>
    </row>
    <row r="645" spans="16:30" x14ac:dyDescent="0.2">
      <c r="P645" s="85"/>
      <c r="Q645" s="91"/>
      <c r="R645" s="91"/>
      <c r="S645" s="91"/>
      <c r="T645" s="92"/>
      <c r="U645" s="93"/>
      <c r="V645" s="94"/>
      <c r="W645" s="94"/>
      <c r="X645" s="93"/>
      <c r="Y645" s="93"/>
      <c r="Z645" s="85"/>
      <c r="AA645" s="85"/>
      <c r="AB645" s="85"/>
      <c r="AC645" s="85"/>
      <c r="AD645" s="85"/>
    </row>
    <row r="646" spans="16:30" x14ac:dyDescent="0.2">
      <c r="P646" s="85"/>
      <c r="Q646" s="91"/>
      <c r="R646" s="91"/>
      <c r="S646" s="91"/>
      <c r="T646" s="92"/>
      <c r="U646" s="93"/>
      <c r="V646" s="94"/>
      <c r="W646" s="94"/>
      <c r="X646" s="93"/>
      <c r="Y646" s="93"/>
      <c r="Z646" s="85"/>
      <c r="AA646" s="85"/>
      <c r="AB646" s="85"/>
      <c r="AC646" s="85"/>
      <c r="AD646" s="85"/>
    </row>
    <row r="647" spans="16:30" x14ac:dyDescent="0.2">
      <c r="P647" s="85"/>
      <c r="Q647" s="91"/>
      <c r="R647" s="91"/>
      <c r="S647" s="91"/>
      <c r="T647" s="92"/>
      <c r="U647" s="93"/>
      <c r="V647" s="94"/>
      <c r="W647" s="94"/>
      <c r="X647" s="93"/>
      <c r="Y647" s="93"/>
      <c r="Z647" s="85"/>
      <c r="AA647" s="85"/>
      <c r="AB647" s="85"/>
      <c r="AC647" s="85"/>
      <c r="AD647" s="85"/>
    </row>
    <row r="648" spans="16:30" x14ac:dyDescent="0.2">
      <c r="P648" s="85"/>
      <c r="Q648" s="91"/>
      <c r="R648" s="91"/>
      <c r="S648" s="91"/>
      <c r="T648" s="92"/>
      <c r="U648" s="93"/>
      <c r="V648" s="94"/>
      <c r="W648" s="94"/>
      <c r="X648" s="93"/>
      <c r="Y648" s="93"/>
      <c r="Z648" s="85"/>
      <c r="AA648" s="85"/>
      <c r="AB648" s="85"/>
      <c r="AC648" s="85"/>
      <c r="AD648" s="85"/>
    </row>
    <row r="649" spans="16:30" x14ac:dyDescent="0.2">
      <c r="P649" s="85"/>
      <c r="Q649" s="91"/>
      <c r="R649" s="91"/>
      <c r="S649" s="91"/>
      <c r="T649" s="92"/>
      <c r="U649" s="93"/>
      <c r="V649" s="94"/>
      <c r="W649" s="94"/>
      <c r="X649" s="93"/>
      <c r="Y649" s="93"/>
      <c r="Z649" s="85"/>
      <c r="AA649" s="85"/>
      <c r="AB649" s="85"/>
      <c r="AC649" s="85"/>
      <c r="AD649" s="85"/>
    </row>
    <row r="650" spans="16:30" x14ac:dyDescent="0.2">
      <c r="P650" s="85"/>
      <c r="Q650" s="91"/>
      <c r="R650" s="91"/>
      <c r="S650" s="91"/>
      <c r="T650" s="92"/>
      <c r="U650" s="93"/>
      <c r="V650" s="94"/>
      <c r="W650" s="94"/>
      <c r="X650" s="93"/>
      <c r="Y650" s="93"/>
      <c r="Z650" s="85"/>
      <c r="AA650" s="85"/>
      <c r="AB650" s="85"/>
      <c r="AC650" s="85"/>
      <c r="AD650" s="85"/>
    </row>
    <row r="651" spans="16:30" x14ac:dyDescent="0.2">
      <c r="P651" s="85"/>
      <c r="Q651" s="91"/>
      <c r="R651" s="91"/>
      <c r="S651" s="91"/>
      <c r="T651" s="92"/>
      <c r="U651" s="93"/>
      <c r="V651" s="94"/>
      <c r="W651" s="94"/>
      <c r="X651" s="93"/>
      <c r="Y651" s="93"/>
      <c r="Z651" s="85"/>
      <c r="AA651" s="85"/>
      <c r="AB651" s="85"/>
      <c r="AC651" s="85"/>
      <c r="AD651" s="85"/>
    </row>
    <row r="652" spans="16:30" x14ac:dyDescent="0.2">
      <c r="P652" s="85"/>
      <c r="Q652" s="91"/>
      <c r="R652" s="91"/>
      <c r="S652" s="91"/>
      <c r="T652" s="92"/>
      <c r="U652" s="93"/>
      <c r="V652" s="94"/>
      <c r="W652" s="94"/>
      <c r="X652" s="93"/>
      <c r="Y652" s="93"/>
      <c r="Z652" s="85"/>
      <c r="AA652" s="85"/>
      <c r="AB652" s="85"/>
      <c r="AC652" s="85"/>
      <c r="AD652" s="85"/>
    </row>
    <row r="653" spans="16:30" x14ac:dyDescent="0.2">
      <c r="P653" s="85"/>
      <c r="Q653" s="91"/>
      <c r="R653" s="91"/>
      <c r="S653" s="91"/>
      <c r="T653" s="92"/>
      <c r="U653" s="93"/>
      <c r="V653" s="94"/>
      <c r="W653" s="94"/>
      <c r="X653" s="93"/>
      <c r="Y653" s="93"/>
      <c r="Z653" s="85"/>
      <c r="AA653" s="85"/>
      <c r="AB653" s="85"/>
      <c r="AC653" s="85"/>
      <c r="AD653" s="85"/>
    </row>
    <row r="654" spans="16:30" x14ac:dyDescent="0.2">
      <c r="P654" s="85"/>
      <c r="Q654" s="91"/>
      <c r="R654" s="91"/>
      <c r="S654" s="91"/>
      <c r="T654" s="92"/>
      <c r="U654" s="93"/>
      <c r="V654" s="94"/>
      <c r="W654" s="94"/>
      <c r="X654" s="93"/>
      <c r="Y654" s="93"/>
      <c r="Z654" s="85"/>
      <c r="AA654" s="85"/>
      <c r="AB654" s="85"/>
      <c r="AC654" s="85"/>
      <c r="AD654" s="85"/>
    </row>
    <row r="655" spans="16:30" x14ac:dyDescent="0.2">
      <c r="P655" s="85"/>
      <c r="Q655" s="91"/>
      <c r="R655" s="91"/>
      <c r="S655" s="91"/>
      <c r="T655" s="92"/>
      <c r="U655" s="93"/>
      <c r="V655" s="94"/>
      <c r="W655" s="94"/>
      <c r="X655" s="93"/>
      <c r="Y655" s="93"/>
      <c r="Z655" s="85"/>
      <c r="AA655" s="85"/>
      <c r="AB655" s="85"/>
      <c r="AC655" s="85"/>
      <c r="AD655" s="85"/>
    </row>
    <row r="656" spans="16:30" x14ac:dyDescent="0.2">
      <c r="P656" s="85"/>
      <c r="Q656" s="91"/>
      <c r="R656" s="91"/>
      <c r="S656" s="91"/>
      <c r="T656" s="92"/>
      <c r="U656" s="93"/>
      <c r="V656" s="94"/>
      <c r="W656" s="94"/>
      <c r="X656" s="93"/>
      <c r="Y656" s="93"/>
      <c r="Z656" s="85"/>
      <c r="AA656" s="85"/>
      <c r="AB656" s="85"/>
      <c r="AC656" s="85"/>
      <c r="AD656" s="85"/>
    </row>
    <row r="657" spans="16:30" x14ac:dyDescent="0.2">
      <c r="P657" s="85"/>
      <c r="Q657" s="91"/>
      <c r="R657" s="91"/>
      <c r="S657" s="91"/>
      <c r="T657" s="92"/>
      <c r="U657" s="93"/>
      <c r="V657" s="94"/>
      <c r="W657" s="94"/>
      <c r="X657" s="93"/>
      <c r="Y657" s="93"/>
      <c r="Z657" s="85"/>
      <c r="AA657" s="85"/>
      <c r="AB657" s="85"/>
      <c r="AC657" s="85"/>
      <c r="AD657" s="85"/>
    </row>
    <row r="658" spans="16:30" x14ac:dyDescent="0.2">
      <c r="P658" s="85"/>
      <c r="Q658" s="91"/>
      <c r="R658" s="91"/>
      <c r="S658" s="91"/>
      <c r="T658" s="92"/>
      <c r="U658" s="93"/>
      <c r="V658" s="94"/>
      <c r="W658" s="94"/>
      <c r="X658" s="93"/>
      <c r="Y658" s="93"/>
      <c r="Z658" s="85"/>
      <c r="AA658" s="85"/>
      <c r="AB658" s="85"/>
      <c r="AC658" s="85"/>
      <c r="AD658" s="85"/>
    </row>
    <row r="659" spans="16:30" x14ac:dyDescent="0.2">
      <c r="P659" s="85"/>
      <c r="Q659" s="91"/>
      <c r="R659" s="91"/>
      <c r="S659" s="91"/>
      <c r="T659" s="92"/>
      <c r="U659" s="93"/>
      <c r="V659" s="94"/>
      <c r="W659" s="94"/>
      <c r="X659" s="93"/>
      <c r="Y659" s="93"/>
      <c r="Z659" s="85"/>
      <c r="AA659" s="85"/>
      <c r="AB659" s="85"/>
      <c r="AC659" s="85"/>
      <c r="AD659" s="85"/>
    </row>
    <row r="660" spans="16:30" x14ac:dyDescent="0.2">
      <c r="P660" s="85"/>
      <c r="Q660" s="91"/>
      <c r="R660" s="91"/>
      <c r="S660" s="91"/>
      <c r="T660" s="92"/>
      <c r="U660" s="93"/>
      <c r="V660" s="94"/>
      <c r="W660" s="94"/>
      <c r="X660" s="93"/>
      <c r="Y660" s="93"/>
      <c r="Z660" s="85"/>
      <c r="AA660" s="85"/>
      <c r="AB660" s="85"/>
      <c r="AC660" s="85"/>
      <c r="AD660" s="85"/>
    </row>
    <row r="661" spans="16:30" x14ac:dyDescent="0.2">
      <c r="P661" s="85"/>
      <c r="Q661" s="91"/>
      <c r="R661" s="91"/>
      <c r="S661" s="91"/>
      <c r="T661" s="92"/>
      <c r="U661" s="93"/>
      <c r="V661" s="94"/>
      <c r="W661" s="94"/>
      <c r="X661" s="93"/>
      <c r="Y661" s="93"/>
      <c r="Z661" s="85"/>
      <c r="AA661" s="85"/>
      <c r="AB661" s="85"/>
      <c r="AC661" s="85"/>
      <c r="AD661" s="85"/>
    </row>
    <row r="662" spans="16:30" x14ac:dyDescent="0.2">
      <c r="P662" s="85"/>
      <c r="Q662" s="91"/>
      <c r="R662" s="91"/>
      <c r="S662" s="91"/>
      <c r="T662" s="92"/>
      <c r="U662" s="93"/>
      <c r="V662" s="94"/>
      <c r="W662" s="94"/>
      <c r="X662" s="93"/>
      <c r="Y662" s="93"/>
      <c r="Z662" s="85"/>
      <c r="AA662" s="85"/>
      <c r="AB662" s="85"/>
      <c r="AC662" s="85"/>
      <c r="AD662" s="85"/>
    </row>
    <row r="663" spans="16:30" x14ac:dyDescent="0.2">
      <c r="P663" s="85"/>
      <c r="Q663" s="91"/>
      <c r="R663" s="91"/>
      <c r="S663" s="91"/>
      <c r="T663" s="92"/>
      <c r="U663" s="93"/>
      <c r="V663" s="94"/>
      <c r="W663" s="94"/>
      <c r="X663" s="93"/>
      <c r="Y663" s="93"/>
      <c r="Z663" s="85"/>
      <c r="AA663" s="85"/>
      <c r="AB663" s="85"/>
      <c r="AC663" s="85"/>
      <c r="AD663" s="85"/>
    </row>
    <row r="664" spans="16:30" x14ac:dyDescent="0.2">
      <c r="P664" s="85"/>
      <c r="Q664" s="91"/>
      <c r="R664" s="91"/>
      <c r="S664" s="91"/>
      <c r="T664" s="92"/>
      <c r="U664" s="93"/>
      <c r="V664" s="94"/>
      <c r="W664" s="94"/>
      <c r="X664" s="93"/>
      <c r="Y664" s="93"/>
      <c r="Z664" s="85"/>
      <c r="AA664" s="85"/>
      <c r="AB664" s="85"/>
      <c r="AC664" s="85"/>
      <c r="AD664" s="85"/>
    </row>
    <row r="665" spans="16:30" x14ac:dyDescent="0.2">
      <c r="P665" s="85"/>
      <c r="Q665" s="91"/>
      <c r="R665" s="91"/>
      <c r="S665" s="91"/>
      <c r="T665" s="92"/>
      <c r="U665" s="93"/>
      <c r="V665" s="94"/>
      <c r="W665" s="94"/>
      <c r="X665" s="93"/>
      <c r="Y665" s="93"/>
      <c r="Z665" s="85"/>
      <c r="AA665" s="85"/>
      <c r="AB665" s="85"/>
      <c r="AC665" s="85"/>
      <c r="AD665" s="85"/>
    </row>
    <row r="666" spans="16:30" x14ac:dyDescent="0.2">
      <c r="P666" s="85"/>
      <c r="Q666" s="91"/>
      <c r="R666" s="91"/>
      <c r="S666" s="91"/>
      <c r="T666" s="92"/>
      <c r="U666" s="93"/>
      <c r="V666" s="94"/>
      <c r="W666" s="94"/>
      <c r="X666" s="93"/>
      <c r="Y666" s="93"/>
      <c r="Z666" s="85"/>
      <c r="AA666" s="85"/>
      <c r="AB666" s="85"/>
      <c r="AC666" s="85"/>
      <c r="AD666" s="85"/>
    </row>
    <row r="667" spans="16:30" x14ac:dyDescent="0.2">
      <c r="P667" s="85"/>
      <c r="Q667" s="91"/>
      <c r="R667" s="91"/>
      <c r="S667" s="91"/>
      <c r="T667" s="92"/>
      <c r="U667" s="93"/>
      <c r="V667" s="94"/>
      <c r="W667" s="94"/>
      <c r="X667" s="93"/>
      <c r="Y667" s="93"/>
      <c r="Z667" s="85"/>
      <c r="AA667" s="85"/>
      <c r="AB667" s="85"/>
      <c r="AC667" s="85"/>
      <c r="AD667" s="85"/>
    </row>
    <row r="668" spans="16:30" x14ac:dyDescent="0.2">
      <c r="P668" s="85"/>
      <c r="Q668" s="91"/>
      <c r="R668" s="91"/>
      <c r="S668" s="91"/>
      <c r="T668" s="92"/>
      <c r="U668" s="93"/>
      <c r="V668" s="94"/>
      <c r="W668" s="94"/>
      <c r="X668" s="93"/>
      <c r="Y668" s="93"/>
      <c r="Z668" s="85"/>
      <c r="AA668" s="85"/>
      <c r="AB668" s="85"/>
      <c r="AC668" s="85"/>
      <c r="AD668" s="85"/>
    </row>
    <row r="669" spans="16:30" x14ac:dyDescent="0.2">
      <c r="P669" s="85"/>
      <c r="Q669" s="91"/>
      <c r="R669" s="91"/>
      <c r="S669" s="91"/>
      <c r="T669" s="92"/>
      <c r="U669" s="93"/>
      <c r="V669" s="94"/>
      <c r="W669" s="94"/>
      <c r="X669" s="93"/>
      <c r="Y669" s="93"/>
      <c r="Z669" s="85"/>
      <c r="AA669" s="85"/>
      <c r="AB669" s="85"/>
      <c r="AC669" s="85"/>
      <c r="AD669" s="85"/>
    </row>
    <row r="670" spans="16:30" x14ac:dyDescent="0.2">
      <c r="P670" s="85"/>
      <c r="Q670" s="91"/>
      <c r="R670" s="91"/>
      <c r="S670" s="91"/>
      <c r="T670" s="92"/>
      <c r="U670" s="93"/>
      <c r="V670" s="94"/>
      <c r="W670" s="94"/>
      <c r="X670" s="93"/>
      <c r="Y670" s="93"/>
      <c r="Z670" s="85"/>
      <c r="AA670" s="85"/>
      <c r="AB670" s="85"/>
      <c r="AC670" s="85"/>
      <c r="AD670" s="85"/>
    </row>
    <row r="671" spans="16:30" x14ac:dyDescent="0.2">
      <c r="P671" s="85"/>
      <c r="Q671" s="91"/>
      <c r="R671" s="91"/>
      <c r="S671" s="91"/>
      <c r="T671" s="92"/>
      <c r="U671" s="93"/>
      <c r="V671" s="94"/>
      <c r="W671" s="94"/>
      <c r="X671" s="93"/>
      <c r="Y671" s="93"/>
      <c r="Z671" s="85"/>
      <c r="AA671" s="85"/>
      <c r="AB671" s="85"/>
      <c r="AC671" s="85"/>
      <c r="AD671" s="85"/>
    </row>
    <row r="672" spans="16:30" x14ac:dyDescent="0.2">
      <c r="P672" s="85"/>
      <c r="Q672" s="91"/>
      <c r="R672" s="91"/>
      <c r="S672" s="91"/>
      <c r="T672" s="92"/>
      <c r="U672" s="93"/>
      <c r="V672" s="94"/>
      <c r="W672" s="94"/>
      <c r="X672" s="93"/>
      <c r="Y672" s="93"/>
      <c r="Z672" s="85"/>
      <c r="AA672" s="85"/>
      <c r="AB672" s="85"/>
      <c r="AC672" s="85"/>
      <c r="AD672" s="85"/>
    </row>
    <row r="673" spans="16:30" x14ac:dyDescent="0.2">
      <c r="P673" s="85"/>
      <c r="Q673" s="91"/>
      <c r="R673" s="91"/>
      <c r="S673" s="91"/>
      <c r="T673" s="92"/>
      <c r="U673" s="93"/>
      <c r="V673" s="94"/>
      <c r="W673" s="94"/>
      <c r="X673" s="93"/>
      <c r="Y673" s="93"/>
      <c r="Z673" s="85"/>
      <c r="AA673" s="85"/>
      <c r="AB673" s="85"/>
      <c r="AC673" s="85"/>
      <c r="AD673" s="85"/>
    </row>
    <row r="674" spans="16:30" x14ac:dyDescent="0.2">
      <c r="P674" s="85"/>
      <c r="Q674" s="91"/>
      <c r="R674" s="91"/>
      <c r="S674" s="91"/>
      <c r="T674" s="92"/>
      <c r="U674" s="93"/>
      <c r="V674" s="94"/>
      <c r="W674" s="94"/>
      <c r="X674" s="93"/>
      <c r="Y674" s="93"/>
      <c r="Z674" s="85"/>
      <c r="AA674" s="85"/>
      <c r="AB674" s="85"/>
      <c r="AC674" s="85"/>
      <c r="AD674" s="85"/>
    </row>
    <row r="675" spans="16:30" x14ac:dyDescent="0.2">
      <c r="P675" s="85"/>
      <c r="Q675" s="91"/>
      <c r="R675" s="91"/>
      <c r="S675" s="91"/>
      <c r="T675" s="92"/>
      <c r="U675" s="93"/>
      <c r="V675" s="94"/>
      <c r="W675" s="94"/>
      <c r="X675" s="93"/>
      <c r="Y675" s="93"/>
      <c r="Z675" s="85"/>
      <c r="AA675" s="85"/>
      <c r="AB675" s="85"/>
      <c r="AC675" s="85"/>
      <c r="AD675" s="85"/>
    </row>
    <row r="676" spans="16:30" x14ac:dyDescent="0.2">
      <c r="P676" s="85"/>
      <c r="Q676" s="91"/>
      <c r="R676" s="91"/>
      <c r="S676" s="91"/>
      <c r="T676" s="92"/>
      <c r="U676" s="93"/>
      <c r="V676" s="94"/>
      <c r="W676" s="94"/>
      <c r="X676" s="93"/>
      <c r="Y676" s="93"/>
      <c r="Z676" s="85"/>
      <c r="AA676" s="85"/>
      <c r="AB676" s="85"/>
      <c r="AC676" s="85"/>
      <c r="AD676" s="85"/>
    </row>
    <row r="677" spans="16:30" x14ac:dyDescent="0.2">
      <c r="P677" s="85"/>
      <c r="Q677" s="91"/>
      <c r="R677" s="91"/>
      <c r="S677" s="91"/>
      <c r="T677" s="92"/>
      <c r="U677" s="93"/>
      <c r="V677" s="94"/>
      <c r="W677" s="94"/>
      <c r="X677" s="93"/>
      <c r="Y677" s="93"/>
      <c r="Z677" s="85"/>
      <c r="AA677" s="85"/>
      <c r="AB677" s="85"/>
      <c r="AC677" s="85"/>
      <c r="AD677" s="85"/>
    </row>
    <row r="678" spans="16:30" x14ac:dyDescent="0.2">
      <c r="P678" s="85"/>
      <c r="Q678" s="91"/>
      <c r="R678" s="91"/>
      <c r="S678" s="91"/>
      <c r="T678" s="92"/>
      <c r="U678" s="93"/>
      <c r="V678" s="94"/>
      <c r="W678" s="94"/>
      <c r="X678" s="93"/>
      <c r="Y678" s="93"/>
      <c r="Z678" s="85"/>
      <c r="AA678" s="85"/>
      <c r="AB678" s="85"/>
      <c r="AC678" s="85"/>
      <c r="AD678" s="85"/>
    </row>
    <row r="679" spans="16:30" x14ac:dyDescent="0.2">
      <c r="P679" s="85"/>
      <c r="Q679" s="91"/>
      <c r="R679" s="91"/>
      <c r="S679" s="91"/>
      <c r="T679" s="92"/>
      <c r="U679" s="93"/>
      <c r="V679" s="94"/>
      <c r="W679" s="94"/>
      <c r="X679" s="93"/>
      <c r="Y679" s="93"/>
      <c r="Z679" s="85"/>
      <c r="AA679" s="85"/>
      <c r="AB679" s="85"/>
      <c r="AC679" s="85"/>
      <c r="AD679" s="85"/>
    </row>
    <row r="680" spans="16:30" x14ac:dyDescent="0.2">
      <c r="P680" s="85"/>
      <c r="Q680" s="91"/>
      <c r="R680" s="91"/>
      <c r="S680" s="91"/>
      <c r="T680" s="92"/>
      <c r="U680" s="93"/>
      <c r="V680" s="94"/>
      <c r="W680" s="94"/>
      <c r="X680" s="93"/>
      <c r="Y680" s="93"/>
      <c r="Z680" s="85"/>
      <c r="AA680" s="85"/>
      <c r="AB680" s="85"/>
      <c r="AC680" s="85"/>
      <c r="AD680" s="85"/>
    </row>
    <row r="681" spans="16:30" x14ac:dyDescent="0.2">
      <c r="P681" s="85"/>
      <c r="Q681" s="91"/>
      <c r="R681" s="91"/>
      <c r="S681" s="91"/>
      <c r="T681" s="92"/>
      <c r="U681" s="93"/>
      <c r="V681" s="94"/>
      <c r="W681" s="94"/>
      <c r="X681" s="93"/>
      <c r="Y681" s="93"/>
      <c r="Z681" s="85"/>
      <c r="AA681" s="85"/>
      <c r="AB681" s="85"/>
      <c r="AC681" s="85"/>
      <c r="AD681" s="85"/>
    </row>
    <row r="682" spans="16:30" x14ac:dyDescent="0.2">
      <c r="P682" s="85"/>
      <c r="Q682" s="91"/>
      <c r="R682" s="91"/>
      <c r="S682" s="91"/>
      <c r="T682" s="92"/>
      <c r="U682" s="93"/>
      <c r="V682" s="94"/>
      <c r="W682" s="94"/>
      <c r="X682" s="93"/>
      <c r="Y682" s="93"/>
      <c r="Z682" s="85"/>
      <c r="AA682" s="85"/>
      <c r="AB682" s="85"/>
      <c r="AC682" s="85"/>
      <c r="AD682" s="85"/>
    </row>
    <row r="683" spans="16:30" x14ac:dyDescent="0.2">
      <c r="P683" s="85"/>
      <c r="Q683" s="91"/>
      <c r="R683" s="91"/>
      <c r="S683" s="91"/>
      <c r="T683" s="92"/>
      <c r="U683" s="93"/>
      <c r="V683" s="94"/>
      <c r="W683" s="94"/>
      <c r="X683" s="93"/>
      <c r="Y683" s="93"/>
      <c r="Z683" s="85"/>
      <c r="AA683" s="85"/>
      <c r="AB683" s="85"/>
      <c r="AC683" s="85"/>
      <c r="AD683" s="85"/>
    </row>
    <row r="684" spans="16:30" x14ac:dyDescent="0.2">
      <c r="P684" s="85"/>
      <c r="Q684" s="91"/>
      <c r="R684" s="91"/>
      <c r="S684" s="91"/>
      <c r="T684" s="92"/>
      <c r="U684" s="93"/>
      <c r="V684" s="94"/>
      <c r="W684" s="94"/>
      <c r="X684" s="93"/>
      <c r="Y684" s="93"/>
      <c r="Z684" s="85"/>
      <c r="AA684" s="85"/>
      <c r="AB684" s="85"/>
      <c r="AC684" s="85"/>
      <c r="AD684" s="85"/>
    </row>
    <row r="685" spans="16:30" x14ac:dyDescent="0.2">
      <c r="P685" s="85"/>
      <c r="Q685" s="91"/>
      <c r="R685" s="91"/>
      <c r="S685" s="91"/>
      <c r="T685" s="92"/>
      <c r="U685" s="93"/>
      <c r="V685" s="94"/>
      <c r="W685" s="94"/>
      <c r="X685" s="93"/>
      <c r="Y685" s="93"/>
      <c r="Z685" s="85"/>
      <c r="AA685" s="85"/>
      <c r="AB685" s="85"/>
      <c r="AC685" s="85"/>
      <c r="AD685" s="85"/>
    </row>
    <row r="686" spans="16:30" x14ac:dyDescent="0.2">
      <c r="P686" s="85"/>
      <c r="Q686" s="91"/>
      <c r="R686" s="91"/>
      <c r="S686" s="91"/>
      <c r="T686" s="92"/>
      <c r="U686" s="93"/>
      <c r="V686" s="94"/>
      <c r="W686" s="94"/>
      <c r="X686" s="93"/>
      <c r="Y686" s="93"/>
      <c r="Z686" s="85"/>
      <c r="AA686" s="85"/>
      <c r="AB686" s="85"/>
      <c r="AC686" s="85"/>
      <c r="AD686" s="85"/>
    </row>
    <row r="687" spans="16:30" x14ac:dyDescent="0.2">
      <c r="P687" s="85"/>
      <c r="Q687" s="91"/>
      <c r="R687" s="91"/>
      <c r="S687" s="91"/>
      <c r="T687" s="92"/>
      <c r="U687" s="93"/>
      <c r="V687" s="94"/>
      <c r="W687" s="94"/>
      <c r="X687" s="93"/>
      <c r="Y687" s="93"/>
      <c r="Z687" s="85"/>
      <c r="AA687" s="85"/>
      <c r="AB687" s="85"/>
      <c r="AC687" s="85"/>
      <c r="AD687" s="85"/>
    </row>
    <row r="688" spans="16:30" x14ac:dyDescent="0.2">
      <c r="P688" s="85"/>
      <c r="Q688" s="91"/>
      <c r="R688" s="91"/>
      <c r="S688" s="91"/>
      <c r="T688" s="92"/>
      <c r="U688" s="93"/>
      <c r="V688" s="94"/>
      <c r="W688" s="94"/>
      <c r="X688" s="93"/>
      <c r="Y688" s="93"/>
      <c r="Z688" s="85"/>
      <c r="AA688" s="85"/>
      <c r="AB688" s="85"/>
      <c r="AC688" s="85"/>
      <c r="AD688" s="85"/>
    </row>
    <row r="689" spans="16:30" x14ac:dyDescent="0.2">
      <c r="P689" s="85"/>
      <c r="Q689" s="91"/>
      <c r="R689" s="91"/>
      <c r="S689" s="91"/>
      <c r="T689" s="92"/>
      <c r="U689" s="93"/>
      <c r="V689" s="94"/>
      <c r="W689" s="94"/>
      <c r="X689" s="93"/>
      <c r="Y689" s="93"/>
      <c r="Z689" s="85"/>
      <c r="AA689" s="85"/>
      <c r="AB689" s="85"/>
      <c r="AC689" s="85"/>
      <c r="AD689" s="85"/>
    </row>
    <row r="690" spans="16:30" x14ac:dyDescent="0.2">
      <c r="P690" s="85"/>
      <c r="Q690" s="91"/>
      <c r="R690" s="91"/>
      <c r="S690" s="91"/>
      <c r="T690" s="92"/>
      <c r="U690" s="93"/>
      <c r="V690" s="94"/>
      <c r="W690" s="94"/>
      <c r="X690" s="93"/>
      <c r="Y690" s="93"/>
      <c r="Z690" s="85"/>
      <c r="AA690" s="85"/>
      <c r="AB690" s="85"/>
      <c r="AC690" s="85"/>
      <c r="AD690" s="85"/>
    </row>
    <row r="691" spans="16:30" x14ac:dyDescent="0.2">
      <c r="P691" s="85"/>
      <c r="Q691" s="91"/>
      <c r="R691" s="91"/>
      <c r="S691" s="91"/>
      <c r="T691" s="92"/>
      <c r="U691" s="93"/>
      <c r="V691" s="94"/>
      <c r="W691" s="94"/>
      <c r="X691" s="93"/>
      <c r="Y691" s="93"/>
      <c r="Z691" s="85"/>
      <c r="AA691" s="85"/>
      <c r="AB691" s="85"/>
      <c r="AC691" s="85"/>
      <c r="AD691" s="85"/>
    </row>
    <row r="692" spans="16:30" x14ac:dyDescent="0.2">
      <c r="P692" s="85"/>
      <c r="Q692" s="91"/>
      <c r="R692" s="91"/>
      <c r="S692" s="91"/>
      <c r="T692" s="92"/>
      <c r="U692" s="93"/>
      <c r="V692" s="94"/>
      <c r="W692" s="94"/>
      <c r="X692" s="93"/>
      <c r="Y692" s="93"/>
      <c r="Z692" s="85"/>
      <c r="AA692" s="85"/>
      <c r="AB692" s="85"/>
      <c r="AC692" s="85"/>
      <c r="AD692" s="85"/>
    </row>
    <row r="693" spans="16:30" x14ac:dyDescent="0.2">
      <c r="P693" s="85"/>
      <c r="Q693" s="91"/>
      <c r="R693" s="91"/>
      <c r="S693" s="91"/>
      <c r="T693" s="92"/>
      <c r="U693" s="93"/>
      <c r="V693" s="94"/>
      <c r="W693" s="94"/>
      <c r="X693" s="93"/>
      <c r="Y693" s="93"/>
      <c r="Z693" s="85"/>
      <c r="AA693" s="85"/>
      <c r="AB693" s="85"/>
      <c r="AC693" s="85"/>
      <c r="AD693" s="85"/>
    </row>
    <row r="694" spans="16:30" x14ac:dyDescent="0.2">
      <c r="P694" s="85"/>
      <c r="Q694" s="91"/>
      <c r="R694" s="91"/>
      <c r="S694" s="91"/>
      <c r="T694" s="92"/>
      <c r="U694" s="93"/>
      <c r="V694" s="94"/>
      <c r="W694" s="94"/>
      <c r="X694" s="93"/>
      <c r="Y694" s="93"/>
      <c r="Z694" s="85"/>
      <c r="AA694" s="85"/>
      <c r="AB694" s="85"/>
      <c r="AC694" s="85"/>
      <c r="AD694" s="85"/>
    </row>
    <row r="695" spans="16:30" x14ac:dyDescent="0.2">
      <c r="P695" s="85"/>
      <c r="Q695" s="91"/>
      <c r="R695" s="91"/>
      <c r="S695" s="91"/>
      <c r="T695" s="92"/>
      <c r="U695" s="93"/>
      <c r="V695" s="94"/>
      <c r="W695" s="94"/>
      <c r="X695" s="93"/>
      <c r="Y695" s="93"/>
      <c r="Z695" s="85"/>
      <c r="AA695" s="85"/>
      <c r="AB695" s="85"/>
      <c r="AC695" s="85"/>
      <c r="AD695" s="85"/>
    </row>
    <row r="696" spans="16:30" x14ac:dyDescent="0.2">
      <c r="P696" s="85"/>
      <c r="Q696" s="91"/>
      <c r="R696" s="91"/>
      <c r="S696" s="91"/>
      <c r="T696" s="92"/>
      <c r="U696" s="93"/>
      <c r="V696" s="94"/>
      <c r="W696" s="94"/>
      <c r="X696" s="93"/>
      <c r="Y696" s="93"/>
      <c r="Z696" s="85"/>
      <c r="AA696" s="85"/>
      <c r="AB696" s="85"/>
      <c r="AC696" s="85"/>
      <c r="AD696" s="85"/>
    </row>
    <row r="697" spans="16:30" x14ac:dyDescent="0.2">
      <c r="P697" s="85"/>
      <c r="Q697" s="91"/>
      <c r="R697" s="91"/>
      <c r="S697" s="91"/>
      <c r="T697" s="92"/>
      <c r="U697" s="93"/>
      <c r="V697" s="94"/>
      <c r="W697" s="94"/>
      <c r="X697" s="93"/>
      <c r="Y697" s="93"/>
      <c r="Z697" s="85"/>
      <c r="AA697" s="85"/>
      <c r="AB697" s="85"/>
      <c r="AC697" s="85"/>
      <c r="AD697" s="85"/>
    </row>
    <row r="698" spans="16:30" x14ac:dyDescent="0.2">
      <c r="P698" s="85"/>
      <c r="Q698" s="91"/>
      <c r="R698" s="91"/>
      <c r="S698" s="91"/>
      <c r="T698" s="92"/>
      <c r="U698" s="93"/>
      <c r="V698" s="94"/>
      <c r="W698" s="94"/>
      <c r="X698" s="93"/>
      <c r="Y698" s="93"/>
      <c r="Z698" s="85"/>
      <c r="AA698" s="85"/>
      <c r="AB698" s="85"/>
      <c r="AC698" s="85"/>
      <c r="AD698" s="85"/>
    </row>
    <row r="699" spans="16:30" x14ac:dyDescent="0.2">
      <c r="P699" s="85"/>
      <c r="Q699" s="91"/>
      <c r="R699" s="91"/>
      <c r="S699" s="91"/>
      <c r="T699" s="92"/>
      <c r="U699" s="93"/>
      <c r="V699" s="94"/>
      <c r="W699" s="94"/>
      <c r="X699" s="93"/>
      <c r="Y699" s="93"/>
      <c r="Z699" s="85"/>
      <c r="AA699" s="85"/>
      <c r="AB699" s="85"/>
      <c r="AC699" s="85"/>
      <c r="AD699" s="85"/>
    </row>
    <row r="700" spans="16:30" x14ac:dyDescent="0.2">
      <c r="P700" s="85"/>
      <c r="Q700" s="91"/>
      <c r="R700" s="91"/>
      <c r="S700" s="91"/>
      <c r="T700" s="92"/>
      <c r="U700" s="93"/>
      <c r="V700" s="94"/>
      <c r="W700" s="94"/>
      <c r="X700" s="93"/>
      <c r="Y700" s="93"/>
      <c r="Z700" s="85"/>
      <c r="AA700" s="85"/>
      <c r="AB700" s="85"/>
      <c r="AC700" s="85"/>
      <c r="AD700" s="85"/>
    </row>
    <row r="701" spans="16:30" x14ac:dyDescent="0.2">
      <c r="P701" s="85"/>
      <c r="Q701" s="91"/>
      <c r="R701" s="91"/>
      <c r="S701" s="91"/>
      <c r="T701" s="92"/>
      <c r="U701" s="93"/>
      <c r="V701" s="94"/>
      <c r="W701" s="94"/>
      <c r="X701" s="93"/>
      <c r="Y701" s="93"/>
      <c r="Z701" s="85"/>
      <c r="AA701" s="85"/>
      <c r="AB701" s="85"/>
      <c r="AC701" s="85"/>
      <c r="AD701" s="85"/>
    </row>
    <row r="702" spans="16:30" x14ac:dyDescent="0.2">
      <c r="P702" s="85"/>
      <c r="Q702" s="91"/>
      <c r="R702" s="91"/>
      <c r="S702" s="91"/>
      <c r="T702" s="92"/>
      <c r="U702" s="93"/>
      <c r="V702" s="94"/>
      <c r="W702" s="94"/>
      <c r="X702" s="93"/>
      <c r="Y702" s="93"/>
      <c r="Z702" s="85"/>
      <c r="AA702" s="85"/>
      <c r="AB702" s="85"/>
      <c r="AC702" s="85"/>
      <c r="AD702" s="85"/>
    </row>
    <row r="703" spans="16:30" x14ac:dyDescent="0.2">
      <c r="P703" s="85"/>
      <c r="Q703" s="91"/>
      <c r="R703" s="91"/>
      <c r="S703" s="91"/>
      <c r="T703" s="92"/>
      <c r="U703" s="93"/>
      <c r="V703" s="94"/>
      <c r="W703" s="94"/>
      <c r="X703" s="93"/>
      <c r="Y703" s="93"/>
      <c r="Z703" s="85"/>
      <c r="AA703" s="85"/>
      <c r="AB703" s="85"/>
      <c r="AC703" s="85"/>
      <c r="AD703" s="85"/>
    </row>
    <row r="704" spans="16:30" x14ac:dyDescent="0.2">
      <c r="P704" s="85"/>
      <c r="Q704" s="91"/>
      <c r="R704" s="91"/>
      <c r="S704" s="91"/>
      <c r="T704" s="92"/>
      <c r="U704" s="93"/>
      <c r="V704" s="94"/>
      <c r="W704" s="94"/>
      <c r="X704" s="93"/>
      <c r="Y704" s="93"/>
      <c r="Z704" s="85"/>
      <c r="AA704" s="85"/>
      <c r="AB704" s="85"/>
      <c r="AC704" s="85"/>
      <c r="AD704" s="85"/>
    </row>
    <row r="705" spans="16:30" x14ac:dyDescent="0.2">
      <c r="P705" s="85"/>
      <c r="Q705" s="91"/>
      <c r="R705" s="91"/>
      <c r="S705" s="91"/>
      <c r="T705" s="92"/>
      <c r="U705" s="93"/>
      <c r="V705" s="94"/>
      <c r="W705" s="94"/>
      <c r="X705" s="93"/>
      <c r="Y705" s="93"/>
      <c r="Z705" s="85"/>
      <c r="AA705" s="85"/>
      <c r="AB705" s="85"/>
      <c r="AC705" s="85"/>
      <c r="AD705" s="85"/>
    </row>
    <row r="706" spans="16:30" x14ac:dyDescent="0.2">
      <c r="P706" s="85"/>
      <c r="Q706" s="91"/>
      <c r="R706" s="91"/>
      <c r="S706" s="91"/>
      <c r="T706" s="92"/>
      <c r="U706" s="93"/>
      <c r="V706" s="94"/>
      <c r="W706" s="94"/>
      <c r="X706" s="93"/>
      <c r="Y706" s="93"/>
      <c r="Z706" s="85"/>
      <c r="AA706" s="85"/>
      <c r="AB706" s="85"/>
      <c r="AC706" s="85"/>
      <c r="AD706" s="85"/>
    </row>
    <row r="707" spans="16:30" x14ac:dyDescent="0.2">
      <c r="P707" s="85"/>
      <c r="Q707" s="91"/>
      <c r="R707" s="91"/>
      <c r="S707" s="91"/>
      <c r="T707" s="92"/>
      <c r="U707" s="93"/>
      <c r="V707" s="94"/>
      <c r="W707" s="94"/>
      <c r="X707" s="93"/>
      <c r="Y707" s="93"/>
      <c r="Z707" s="85"/>
      <c r="AA707" s="85"/>
      <c r="AB707" s="85"/>
      <c r="AC707" s="85"/>
      <c r="AD707" s="85"/>
    </row>
    <row r="708" spans="16:30" x14ac:dyDescent="0.2">
      <c r="P708" s="85"/>
      <c r="Q708" s="91"/>
      <c r="R708" s="91"/>
      <c r="S708" s="91"/>
      <c r="T708" s="92"/>
      <c r="U708" s="93"/>
      <c r="V708" s="94"/>
      <c r="W708" s="94"/>
      <c r="X708" s="93"/>
      <c r="Y708" s="93"/>
      <c r="Z708" s="85"/>
      <c r="AA708" s="85"/>
      <c r="AB708" s="85"/>
      <c r="AC708" s="85"/>
      <c r="AD708" s="85"/>
    </row>
    <row r="709" spans="16:30" x14ac:dyDescent="0.2">
      <c r="P709" s="85"/>
      <c r="Q709" s="91"/>
      <c r="R709" s="91"/>
      <c r="S709" s="91"/>
      <c r="T709" s="92"/>
      <c r="U709" s="93"/>
      <c r="V709" s="94"/>
      <c r="W709" s="94"/>
      <c r="X709" s="93"/>
      <c r="Y709" s="93"/>
      <c r="Z709" s="85"/>
      <c r="AA709" s="85"/>
      <c r="AB709" s="85"/>
      <c r="AC709" s="85"/>
      <c r="AD709" s="85"/>
    </row>
    <row r="710" spans="16:30" x14ac:dyDescent="0.2">
      <c r="P710" s="85"/>
      <c r="Q710" s="91"/>
      <c r="R710" s="91"/>
      <c r="S710" s="91"/>
      <c r="T710" s="92"/>
      <c r="U710" s="93"/>
      <c r="V710" s="94"/>
      <c r="W710" s="94"/>
      <c r="X710" s="93"/>
      <c r="Y710" s="93"/>
      <c r="Z710" s="85"/>
      <c r="AA710" s="85"/>
      <c r="AB710" s="85"/>
      <c r="AC710" s="85"/>
      <c r="AD710" s="85"/>
    </row>
    <row r="711" spans="16:30" x14ac:dyDescent="0.2">
      <c r="P711" s="85"/>
      <c r="Q711" s="91"/>
      <c r="R711" s="91"/>
      <c r="S711" s="91"/>
      <c r="T711" s="92"/>
      <c r="U711" s="93"/>
      <c r="V711" s="94"/>
      <c r="W711" s="94"/>
      <c r="X711" s="93"/>
      <c r="Y711" s="93"/>
      <c r="Z711" s="85"/>
      <c r="AA711" s="85"/>
      <c r="AB711" s="85"/>
      <c r="AC711" s="85"/>
      <c r="AD711" s="85"/>
    </row>
    <row r="712" spans="16:30" x14ac:dyDescent="0.2">
      <c r="P712" s="85"/>
      <c r="Q712" s="91"/>
      <c r="R712" s="91"/>
      <c r="S712" s="91"/>
      <c r="T712" s="92"/>
      <c r="U712" s="93"/>
      <c r="V712" s="94"/>
      <c r="W712" s="94"/>
      <c r="X712" s="93"/>
      <c r="Y712" s="93"/>
      <c r="Z712" s="85"/>
      <c r="AA712" s="85"/>
      <c r="AB712" s="85"/>
      <c r="AC712" s="85"/>
      <c r="AD712" s="85"/>
    </row>
    <row r="713" spans="16:30" x14ac:dyDescent="0.2">
      <c r="P713" s="85"/>
      <c r="Q713" s="91"/>
      <c r="R713" s="91"/>
      <c r="S713" s="91"/>
      <c r="T713" s="92"/>
      <c r="U713" s="93"/>
      <c r="V713" s="94"/>
      <c r="W713" s="94"/>
      <c r="X713" s="93"/>
      <c r="Y713" s="93"/>
      <c r="Z713" s="85"/>
      <c r="AA713" s="85"/>
      <c r="AB713" s="85"/>
      <c r="AC713" s="85"/>
      <c r="AD713" s="85"/>
    </row>
    <row r="714" spans="16:30" x14ac:dyDescent="0.2">
      <c r="P714" s="85"/>
      <c r="Q714" s="91"/>
      <c r="R714" s="91"/>
      <c r="S714" s="91"/>
      <c r="T714" s="92"/>
      <c r="U714" s="93"/>
      <c r="V714" s="94"/>
      <c r="W714" s="94"/>
      <c r="X714" s="93"/>
      <c r="Y714" s="93"/>
      <c r="Z714" s="85"/>
      <c r="AA714" s="85"/>
      <c r="AB714" s="85"/>
      <c r="AC714" s="85"/>
      <c r="AD714" s="85"/>
    </row>
    <row r="715" spans="16:30" x14ac:dyDescent="0.2">
      <c r="P715" s="85"/>
      <c r="Q715" s="91"/>
      <c r="R715" s="91"/>
      <c r="S715" s="91"/>
      <c r="T715" s="92"/>
      <c r="U715" s="93"/>
      <c r="V715" s="94"/>
      <c r="W715" s="94"/>
      <c r="X715" s="93"/>
      <c r="Y715" s="93"/>
      <c r="Z715" s="85"/>
      <c r="AA715" s="85"/>
      <c r="AB715" s="85"/>
      <c r="AC715" s="85"/>
      <c r="AD715" s="85"/>
    </row>
    <row r="716" spans="16:30" x14ac:dyDescent="0.2">
      <c r="P716" s="85"/>
      <c r="Q716" s="91"/>
      <c r="R716" s="91"/>
      <c r="S716" s="91"/>
      <c r="T716" s="92"/>
      <c r="U716" s="93"/>
      <c r="V716" s="94"/>
      <c r="W716" s="94"/>
      <c r="X716" s="93"/>
      <c r="Y716" s="93"/>
      <c r="Z716" s="85"/>
      <c r="AA716" s="85"/>
      <c r="AB716" s="85"/>
      <c r="AC716" s="85"/>
      <c r="AD716" s="85"/>
    </row>
    <row r="717" spans="16:30" x14ac:dyDescent="0.2">
      <c r="P717" s="85"/>
      <c r="Q717" s="91"/>
      <c r="R717" s="91"/>
      <c r="S717" s="91"/>
      <c r="T717" s="92"/>
      <c r="U717" s="93"/>
      <c r="V717" s="94"/>
      <c r="W717" s="94"/>
      <c r="X717" s="93"/>
      <c r="Y717" s="93"/>
      <c r="Z717" s="85"/>
      <c r="AA717" s="85"/>
      <c r="AB717" s="85"/>
      <c r="AC717" s="85"/>
      <c r="AD717" s="85"/>
    </row>
    <row r="718" spans="16:30" x14ac:dyDescent="0.2">
      <c r="P718" s="85"/>
      <c r="Q718" s="91"/>
      <c r="R718" s="91"/>
      <c r="S718" s="91"/>
      <c r="T718" s="92"/>
      <c r="U718" s="93"/>
      <c r="V718" s="94"/>
      <c r="W718" s="94"/>
      <c r="X718" s="93"/>
      <c r="Y718" s="93"/>
      <c r="Z718" s="85"/>
      <c r="AA718" s="85"/>
      <c r="AB718" s="85"/>
      <c r="AC718" s="85"/>
      <c r="AD718" s="85"/>
    </row>
    <row r="719" spans="16:30" x14ac:dyDescent="0.2">
      <c r="P719" s="85"/>
      <c r="Q719" s="91"/>
      <c r="R719" s="91"/>
      <c r="S719" s="91"/>
      <c r="T719" s="92"/>
      <c r="U719" s="93"/>
      <c r="V719" s="94"/>
      <c r="W719" s="94"/>
      <c r="X719" s="93"/>
      <c r="Y719" s="93"/>
      <c r="Z719" s="85"/>
      <c r="AA719" s="85"/>
      <c r="AB719" s="85"/>
      <c r="AC719" s="85"/>
      <c r="AD719" s="85"/>
    </row>
    <row r="720" spans="16:30" x14ac:dyDescent="0.2">
      <c r="P720" s="85"/>
      <c r="Q720" s="91"/>
      <c r="R720" s="91"/>
      <c r="S720" s="91"/>
      <c r="T720" s="92"/>
      <c r="U720" s="93"/>
      <c r="V720" s="94"/>
      <c r="W720" s="94"/>
      <c r="X720" s="93"/>
      <c r="Y720" s="93"/>
      <c r="Z720" s="85"/>
      <c r="AA720" s="85"/>
      <c r="AB720" s="85"/>
      <c r="AC720" s="85"/>
      <c r="AD720" s="85"/>
    </row>
    <row r="721" spans="16:30" x14ac:dyDescent="0.2">
      <c r="P721" s="85"/>
      <c r="Q721" s="91"/>
      <c r="R721" s="91"/>
      <c r="S721" s="91"/>
      <c r="T721" s="92"/>
      <c r="U721" s="93"/>
      <c r="V721" s="94"/>
      <c r="W721" s="94"/>
      <c r="X721" s="93"/>
      <c r="Y721" s="93"/>
      <c r="Z721" s="85"/>
      <c r="AA721" s="85"/>
      <c r="AB721" s="85"/>
      <c r="AC721" s="85"/>
      <c r="AD721" s="85"/>
    </row>
    <row r="722" spans="16:30" x14ac:dyDescent="0.2">
      <c r="P722" s="85"/>
      <c r="Q722" s="91"/>
      <c r="R722" s="91"/>
      <c r="S722" s="91"/>
      <c r="T722" s="92"/>
      <c r="U722" s="93"/>
      <c r="V722" s="94"/>
      <c r="W722" s="94"/>
      <c r="X722" s="93"/>
      <c r="Y722" s="93"/>
      <c r="Z722" s="85"/>
      <c r="AA722" s="85"/>
      <c r="AB722" s="85"/>
      <c r="AC722" s="85"/>
      <c r="AD722" s="85"/>
    </row>
    <row r="723" spans="16:30" x14ac:dyDescent="0.2">
      <c r="P723" s="85"/>
      <c r="Q723" s="91"/>
      <c r="R723" s="91"/>
      <c r="S723" s="91"/>
      <c r="T723" s="92"/>
      <c r="U723" s="93"/>
      <c r="V723" s="94"/>
      <c r="W723" s="94"/>
      <c r="X723" s="93"/>
      <c r="Y723" s="93"/>
      <c r="Z723" s="85"/>
      <c r="AA723" s="85"/>
      <c r="AB723" s="85"/>
      <c r="AC723" s="85"/>
      <c r="AD723" s="85"/>
    </row>
    <row r="724" spans="16:30" x14ac:dyDescent="0.2">
      <c r="P724" s="85"/>
      <c r="Q724" s="91"/>
      <c r="R724" s="91"/>
      <c r="S724" s="91"/>
      <c r="T724" s="92"/>
      <c r="U724" s="93"/>
      <c r="V724" s="94"/>
      <c r="W724" s="94"/>
      <c r="X724" s="93"/>
      <c r="Y724" s="93"/>
      <c r="Z724" s="85"/>
      <c r="AA724" s="85"/>
      <c r="AB724" s="85"/>
      <c r="AC724" s="85"/>
      <c r="AD724" s="85"/>
    </row>
    <row r="725" spans="16:30" x14ac:dyDescent="0.2">
      <c r="P725" s="85"/>
      <c r="Q725" s="91"/>
      <c r="R725" s="91"/>
      <c r="S725" s="91"/>
      <c r="T725" s="92"/>
      <c r="U725" s="93"/>
      <c r="V725" s="94"/>
      <c r="W725" s="94"/>
      <c r="X725" s="93"/>
      <c r="Y725" s="93"/>
      <c r="Z725" s="85"/>
      <c r="AA725" s="85"/>
      <c r="AB725" s="85"/>
      <c r="AC725" s="85"/>
      <c r="AD725" s="85"/>
    </row>
    <row r="726" spans="16:30" x14ac:dyDescent="0.2">
      <c r="P726" s="85"/>
      <c r="Q726" s="91"/>
      <c r="R726" s="91"/>
      <c r="S726" s="91"/>
      <c r="T726" s="92"/>
      <c r="U726" s="93"/>
      <c r="V726" s="94"/>
      <c r="W726" s="94"/>
      <c r="X726" s="93"/>
      <c r="Y726" s="93"/>
      <c r="Z726" s="85"/>
      <c r="AA726" s="85"/>
      <c r="AB726" s="85"/>
      <c r="AC726" s="85"/>
      <c r="AD726" s="85"/>
    </row>
    <row r="727" spans="16:30" x14ac:dyDescent="0.2">
      <c r="P727" s="85"/>
      <c r="Q727" s="91"/>
      <c r="R727" s="91"/>
      <c r="S727" s="91"/>
      <c r="T727" s="92"/>
      <c r="U727" s="93"/>
      <c r="V727" s="94"/>
      <c r="W727" s="94"/>
      <c r="X727" s="93"/>
      <c r="Y727" s="93"/>
      <c r="Z727" s="85"/>
      <c r="AA727" s="85"/>
      <c r="AB727" s="85"/>
      <c r="AC727" s="85"/>
      <c r="AD727" s="85"/>
    </row>
    <row r="728" spans="16:30" x14ac:dyDescent="0.2">
      <c r="P728" s="85"/>
      <c r="Q728" s="91"/>
      <c r="R728" s="91"/>
      <c r="S728" s="91"/>
      <c r="T728" s="92"/>
      <c r="U728" s="93"/>
      <c r="V728" s="94"/>
      <c r="W728" s="94"/>
      <c r="X728" s="93"/>
      <c r="Y728" s="93"/>
      <c r="Z728" s="85"/>
      <c r="AA728" s="85"/>
      <c r="AB728" s="85"/>
      <c r="AC728" s="85"/>
      <c r="AD728" s="85"/>
    </row>
    <row r="729" spans="16:30" x14ac:dyDescent="0.2">
      <c r="P729" s="85"/>
      <c r="Q729" s="91"/>
      <c r="R729" s="91"/>
      <c r="S729" s="91"/>
      <c r="T729" s="92"/>
      <c r="U729" s="93"/>
      <c r="V729" s="94"/>
      <c r="W729" s="94"/>
      <c r="X729" s="93"/>
      <c r="Y729" s="93"/>
      <c r="Z729" s="85"/>
      <c r="AA729" s="85"/>
      <c r="AB729" s="85"/>
      <c r="AC729" s="85"/>
      <c r="AD729" s="85"/>
    </row>
    <row r="730" spans="16:30" x14ac:dyDescent="0.2">
      <c r="P730" s="85"/>
      <c r="Q730" s="91"/>
      <c r="R730" s="91"/>
      <c r="S730" s="91"/>
      <c r="T730" s="92"/>
      <c r="U730" s="93"/>
      <c r="V730" s="94"/>
      <c r="W730" s="94"/>
      <c r="X730" s="93"/>
      <c r="Y730" s="93"/>
      <c r="Z730" s="85"/>
      <c r="AA730" s="85"/>
      <c r="AB730" s="85"/>
      <c r="AC730" s="85"/>
      <c r="AD730" s="85"/>
    </row>
    <row r="731" spans="16:30" x14ac:dyDescent="0.2">
      <c r="P731" s="85"/>
      <c r="Q731" s="91"/>
      <c r="R731" s="91"/>
      <c r="S731" s="91"/>
      <c r="T731" s="92"/>
      <c r="U731" s="93"/>
      <c r="V731" s="94"/>
      <c r="W731" s="94"/>
      <c r="X731" s="93"/>
      <c r="Y731" s="93"/>
      <c r="Z731" s="85"/>
      <c r="AA731" s="85"/>
      <c r="AB731" s="85"/>
      <c r="AC731" s="85"/>
      <c r="AD731" s="85"/>
    </row>
    <row r="732" spans="16:30" x14ac:dyDescent="0.2">
      <c r="P732" s="85"/>
      <c r="Q732" s="91"/>
      <c r="R732" s="91"/>
      <c r="S732" s="91"/>
      <c r="T732" s="92"/>
      <c r="U732" s="93"/>
      <c r="V732" s="94"/>
      <c r="W732" s="94"/>
      <c r="X732" s="93"/>
      <c r="Y732" s="93"/>
      <c r="Z732" s="85"/>
      <c r="AA732" s="85"/>
      <c r="AB732" s="85"/>
      <c r="AC732" s="85"/>
      <c r="AD732" s="85"/>
    </row>
    <row r="733" spans="16:30" x14ac:dyDescent="0.2">
      <c r="P733" s="85"/>
      <c r="Q733" s="91"/>
      <c r="R733" s="91"/>
      <c r="S733" s="91"/>
      <c r="T733" s="92"/>
      <c r="U733" s="93"/>
      <c r="V733" s="94"/>
      <c r="W733" s="94"/>
      <c r="X733" s="93"/>
      <c r="Y733" s="93"/>
      <c r="Z733" s="85"/>
      <c r="AA733" s="85"/>
      <c r="AB733" s="85"/>
      <c r="AC733" s="85"/>
      <c r="AD733" s="85"/>
    </row>
    <row r="734" spans="16:30" x14ac:dyDescent="0.2">
      <c r="P734" s="85"/>
      <c r="Q734" s="91"/>
      <c r="R734" s="91"/>
      <c r="S734" s="91"/>
      <c r="T734" s="92"/>
      <c r="U734" s="93"/>
      <c r="V734" s="94"/>
      <c r="W734" s="94"/>
      <c r="X734" s="93"/>
      <c r="Y734" s="93"/>
      <c r="Z734" s="85"/>
      <c r="AA734" s="85"/>
      <c r="AB734" s="85"/>
      <c r="AC734" s="85"/>
      <c r="AD734" s="85"/>
    </row>
    <row r="735" spans="16:30" x14ac:dyDescent="0.2">
      <c r="P735" s="85"/>
      <c r="Q735" s="91"/>
      <c r="R735" s="91"/>
      <c r="S735" s="91"/>
      <c r="T735" s="92"/>
      <c r="U735" s="93"/>
      <c r="V735" s="94"/>
      <c r="W735" s="94"/>
      <c r="X735" s="93"/>
      <c r="Y735" s="93"/>
      <c r="Z735" s="85"/>
      <c r="AA735" s="85"/>
      <c r="AB735" s="85"/>
      <c r="AC735" s="85"/>
      <c r="AD735" s="85"/>
    </row>
    <row r="736" spans="16:30" x14ac:dyDescent="0.2">
      <c r="P736" s="85"/>
      <c r="Q736" s="91"/>
      <c r="R736" s="91"/>
      <c r="S736" s="91"/>
      <c r="T736" s="92"/>
      <c r="U736" s="93"/>
      <c r="V736" s="94"/>
      <c r="W736" s="94"/>
      <c r="X736" s="93"/>
      <c r="Y736" s="93"/>
      <c r="Z736" s="85"/>
      <c r="AA736" s="85"/>
      <c r="AB736" s="85"/>
      <c r="AC736" s="85"/>
      <c r="AD736" s="85"/>
    </row>
    <row r="737" spans="16:30" x14ac:dyDescent="0.2">
      <c r="P737" s="85"/>
      <c r="Q737" s="91"/>
      <c r="R737" s="91"/>
      <c r="S737" s="91"/>
      <c r="T737" s="92"/>
      <c r="U737" s="93"/>
      <c r="V737" s="94"/>
      <c r="W737" s="94"/>
      <c r="X737" s="93"/>
      <c r="Y737" s="93"/>
      <c r="Z737" s="85"/>
      <c r="AA737" s="85"/>
      <c r="AB737" s="85"/>
      <c r="AC737" s="85"/>
      <c r="AD737" s="85"/>
    </row>
    <row r="738" spans="16:30" x14ac:dyDescent="0.2">
      <c r="P738" s="85"/>
      <c r="Q738" s="91"/>
      <c r="R738" s="91"/>
      <c r="S738" s="91"/>
      <c r="T738" s="92"/>
      <c r="U738" s="93"/>
      <c r="V738" s="94"/>
      <c r="W738" s="94"/>
      <c r="X738" s="93"/>
      <c r="Y738" s="93"/>
      <c r="Z738" s="85"/>
      <c r="AA738" s="85"/>
      <c r="AB738" s="85"/>
      <c r="AC738" s="85"/>
      <c r="AD738" s="85"/>
    </row>
    <row r="739" spans="16:30" x14ac:dyDescent="0.2">
      <c r="P739" s="85"/>
      <c r="Q739" s="91"/>
      <c r="R739" s="91"/>
      <c r="S739" s="91"/>
      <c r="T739" s="92"/>
      <c r="U739" s="93"/>
      <c r="V739" s="94"/>
      <c r="W739" s="94"/>
      <c r="X739" s="93"/>
      <c r="Y739" s="93"/>
      <c r="Z739" s="85"/>
      <c r="AA739" s="85"/>
      <c r="AB739" s="85"/>
      <c r="AC739" s="85"/>
      <c r="AD739" s="85"/>
    </row>
    <row r="740" spans="16:30" x14ac:dyDescent="0.2">
      <c r="P740" s="85"/>
      <c r="Q740" s="91"/>
      <c r="R740" s="91"/>
      <c r="S740" s="91"/>
      <c r="T740" s="92"/>
      <c r="U740" s="93"/>
      <c r="V740" s="94"/>
      <c r="W740" s="94"/>
      <c r="X740" s="93"/>
      <c r="Y740" s="93"/>
      <c r="Z740" s="85"/>
      <c r="AA740" s="85"/>
      <c r="AB740" s="85"/>
      <c r="AC740" s="85"/>
      <c r="AD740" s="85"/>
    </row>
    <row r="741" spans="16:30" x14ac:dyDescent="0.2">
      <c r="P741" s="85"/>
      <c r="Q741" s="91"/>
      <c r="R741" s="91"/>
      <c r="S741" s="91"/>
      <c r="T741" s="92"/>
      <c r="U741" s="93"/>
      <c r="V741" s="94"/>
      <c r="W741" s="94"/>
      <c r="X741" s="93"/>
      <c r="Y741" s="93"/>
      <c r="Z741" s="85"/>
      <c r="AA741" s="85"/>
      <c r="AB741" s="85"/>
      <c r="AC741" s="85"/>
      <c r="AD741" s="85"/>
    </row>
    <row r="742" spans="16:30" x14ac:dyDescent="0.2">
      <c r="P742" s="85"/>
      <c r="Q742" s="91"/>
      <c r="R742" s="91"/>
      <c r="S742" s="91"/>
      <c r="T742" s="92"/>
      <c r="U742" s="93"/>
      <c r="V742" s="94"/>
      <c r="W742" s="94"/>
      <c r="X742" s="93"/>
      <c r="Y742" s="93"/>
      <c r="Z742" s="85"/>
      <c r="AA742" s="85"/>
      <c r="AB742" s="85"/>
      <c r="AC742" s="85"/>
      <c r="AD742" s="85"/>
    </row>
    <row r="743" spans="16:30" x14ac:dyDescent="0.2">
      <c r="P743" s="85"/>
      <c r="Q743" s="91"/>
      <c r="R743" s="91"/>
      <c r="S743" s="91"/>
      <c r="T743" s="92"/>
      <c r="U743" s="93"/>
      <c r="V743" s="94"/>
      <c r="W743" s="94"/>
      <c r="X743" s="93"/>
      <c r="Y743" s="93"/>
      <c r="Z743" s="85"/>
      <c r="AA743" s="85"/>
      <c r="AB743" s="85"/>
      <c r="AC743" s="85"/>
      <c r="AD743" s="85"/>
    </row>
    <row r="744" spans="16:30" x14ac:dyDescent="0.2">
      <c r="P744" s="85"/>
      <c r="Q744" s="91"/>
      <c r="R744" s="91"/>
      <c r="S744" s="91"/>
      <c r="T744" s="92"/>
      <c r="U744" s="93"/>
      <c r="V744" s="94"/>
      <c r="W744" s="94"/>
      <c r="X744" s="93"/>
      <c r="Y744" s="93"/>
      <c r="Z744" s="85"/>
      <c r="AA744" s="85"/>
      <c r="AB744" s="85"/>
      <c r="AC744" s="85"/>
      <c r="AD744" s="85"/>
    </row>
    <row r="745" spans="16:30" x14ac:dyDescent="0.2">
      <c r="P745" s="85"/>
      <c r="Q745" s="91"/>
      <c r="R745" s="91"/>
      <c r="S745" s="91"/>
      <c r="T745" s="92"/>
      <c r="U745" s="93"/>
      <c r="V745" s="94"/>
      <c r="W745" s="94"/>
      <c r="X745" s="93"/>
      <c r="Y745" s="93"/>
      <c r="Z745" s="85"/>
      <c r="AA745" s="85"/>
      <c r="AB745" s="85"/>
      <c r="AC745" s="85"/>
      <c r="AD745" s="85"/>
    </row>
    <row r="746" spans="16:30" x14ac:dyDescent="0.2">
      <c r="P746" s="85"/>
      <c r="Q746" s="91"/>
      <c r="R746" s="91"/>
      <c r="S746" s="91"/>
      <c r="T746" s="92"/>
      <c r="U746" s="93"/>
      <c r="V746" s="94"/>
      <c r="W746" s="94"/>
      <c r="X746" s="93"/>
      <c r="Y746" s="93"/>
      <c r="Z746" s="85"/>
      <c r="AA746" s="85"/>
      <c r="AB746" s="85"/>
      <c r="AC746" s="85"/>
      <c r="AD746" s="85"/>
    </row>
    <row r="747" spans="16:30" x14ac:dyDescent="0.2">
      <c r="P747" s="85"/>
      <c r="Q747" s="91"/>
      <c r="R747" s="91"/>
      <c r="S747" s="91"/>
      <c r="T747" s="92"/>
      <c r="U747" s="93"/>
      <c r="V747" s="94"/>
      <c r="W747" s="94"/>
      <c r="X747" s="93"/>
      <c r="Y747" s="93"/>
      <c r="Z747" s="85"/>
      <c r="AA747" s="85"/>
      <c r="AB747" s="85"/>
      <c r="AC747" s="85"/>
      <c r="AD747" s="85"/>
    </row>
    <row r="748" spans="16:30" x14ac:dyDescent="0.2">
      <c r="P748" s="85"/>
      <c r="Q748" s="91"/>
      <c r="R748" s="91"/>
      <c r="S748" s="91"/>
      <c r="T748" s="92"/>
      <c r="U748" s="93"/>
      <c r="V748" s="94"/>
      <c r="W748" s="94"/>
      <c r="X748" s="93"/>
      <c r="Y748" s="93"/>
      <c r="Z748" s="85"/>
      <c r="AA748" s="85"/>
      <c r="AB748" s="85"/>
      <c r="AC748" s="85"/>
      <c r="AD748" s="85"/>
    </row>
    <row r="749" spans="16:30" x14ac:dyDescent="0.2">
      <c r="P749" s="85"/>
      <c r="Q749" s="91"/>
      <c r="R749" s="91"/>
      <c r="S749" s="91"/>
      <c r="T749" s="92"/>
      <c r="U749" s="93"/>
      <c r="V749" s="94"/>
      <c r="W749" s="94"/>
      <c r="X749" s="93"/>
      <c r="Y749" s="93"/>
      <c r="Z749" s="85"/>
      <c r="AA749" s="85"/>
      <c r="AB749" s="85"/>
      <c r="AC749" s="85"/>
      <c r="AD749" s="85"/>
    </row>
    <row r="750" spans="16:30" x14ac:dyDescent="0.2">
      <c r="P750" s="85"/>
      <c r="Q750" s="91"/>
      <c r="R750" s="91"/>
      <c r="S750" s="91"/>
      <c r="T750" s="92"/>
      <c r="U750" s="93"/>
      <c r="V750" s="94"/>
      <c r="W750" s="94"/>
      <c r="X750" s="93"/>
      <c r="Y750" s="93"/>
      <c r="Z750" s="85"/>
      <c r="AA750" s="85"/>
      <c r="AB750" s="85"/>
      <c r="AC750" s="85"/>
      <c r="AD750" s="85"/>
    </row>
    <row r="751" spans="16:30" x14ac:dyDescent="0.2">
      <c r="P751" s="85"/>
      <c r="Q751" s="91"/>
      <c r="R751" s="91"/>
      <c r="S751" s="91"/>
      <c r="T751" s="92"/>
      <c r="U751" s="93"/>
      <c r="V751" s="94"/>
      <c r="W751" s="94"/>
      <c r="X751" s="93"/>
      <c r="Y751" s="93"/>
      <c r="Z751" s="85"/>
      <c r="AA751" s="85"/>
      <c r="AB751" s="85"/>
      <c r="AC751" s="85"/>
      <c r="AD751" s="85"/>
    </row>
    <row r="752" spans="16:30" x14ac:dyDescent="0.2">
      <c r="P752" s="85"/>
      <c r="Q752" s="91"/>
      <c r="R752" s="91"/>
      <c r="S752" s="91"/>
      <c r="T752" s="92"/>
      <c r="U752" s="93"/>
      <c r="V752" s="94"/>
      <c r="W752" s="94"/>
      <c r="X752" s="93"/>
      <c r="Y752" s="93"/>
      <c r="Z752" s="85"/>
      <c r="AA752" s="85"/>
      <c r="AB752" s="85"/>
      <c r="AC752" s="85"/>
      <c r="AD752" s="85"/>
    </row>
    <row r="753" spans="16:30" x14ac:dyDescent="0.2">
      <c r="P753" s="85"/>
      <c r="Q753" s="91"/>
      <c r="R753" s="91"/>
      <c r="S753" s="91"/>
      <c r="T753" s="92"/>
      <c r="U753" s="93"/>
      <c r="V753" s="94"/>
      <c r="W753" s="94"/>
      <c r="X753" s="93"/>
      <c r="Y753" s="93"/>
      <c r="Z753" s="85"/>
      <c r="AA753" s="85"/>
      <c r="AB753" s="85"/>
      <c r="AC753" s="85"/>
      <c r="AD753" s="85"/>
    </row>
    <row r="754" spans="16:30" x14ac:dyDescent="0.2">
      <c r="P754" s="85"/>
      <c r="Q754" s="91"/>
      <c r="R754" s="91"/>
      <c r="S754" s="91"/>
      <c r="T754" s="92"/>
      <c r="U754" s="93"/>
      <c r="V754" s="94"/>
      <c r="W754" s="94"/>
      <c r="X754" s="93"/>
      <c r="Y754" s="93"/>
      <c r="Z754" s="85"/>
      <c r="AA754" s="85"/>
      <c r="AB754" s="85"/>
      <c r="AC754" s="85"/>
      <c r="AD754" s="85"/>
    </row>
    <row r="755" spans="16:30" x14ac:dyDescent="0.2">
      <c r="P755" s="85"/>
      <c r="Q755" s="91"/>
      <c r="R755" s="91"/>
      <c r="S755" s="91"/>
      <c r="T755" s="92"/>
      <c r="U755" s="93"/>
      <c r="V755" s="94"/>
      <c r="W755" s="94"/>
      <c r="X755" s="93"/>
      <c r="Y755" s="93"/>
      <c r="Z755" s="85"/>
      <c r="AA755" s="85"/>
      <c r="AB755" s="85"/>
      <c r="AC755" s="85"/>
      <c r="AD755" s="85"/>
    </row>
    <row r="756" spans="16:30" x14ac:dyDescent="0.2">
      <c r="P756" s="85"/>
      <c r="Q756" s="91"/>
      <c r="R756" s="91"/>
      <c r="S756" s="91"/>
      <c r="T756" s="92"/>
      <c r="U756" s="93"/>
      <c r="V756" s="94"/>
      <c r="W756" s="94"/>
      <c r="X756" s="93"/>
      <c r="Y756" s="93"/>
      <c r="Z756" s="85"/>
      <c r="AA756" s="85"/>
      <c r="AB756" s="85"/>
      <c r="AC756" s="85"/>
      <c r="AD756" s="85"/>
    </row>
    <row r="757" spans="16:30" x14ac:dyDescent="0.2">
      <c r="P757" s="85"/>
      <c r="Q757" s="91"/>
      <c r="R757" s="91"/>
      <c r="S757" s="91"/>
      <c r="T757" s="92"/>
      <c r="U757" s="93"/>
      <c r="V757" s="94"/>
      <c r="W757" s="94"/>
      <c r="X757" s="93"/>
      <c r="Y757" s="93"/>
      <c r="Z757" s="85"/>
      <c r="AA757" s="85"/>
      <c r="AB757" s="85"/>
      <c r="AC757" s="85"/>
      <c r="AD757" s="85"/>
    </row>
    <row r="758" spans="16:30" x14ac:dyDescent="0.2">
      <c r="P758" s="85"/>
      <c r="Q758" s="91"/>
      <c r="R758" s="91"/>
      <c r="S758" s="91"/>
      <c r="T758" s="92"/>
      <c r="U758" s="93"/>
      <c r="V758" s="94"/>
      <c r="W758" s="94"/>
      <c r="X758" s="93"/>
      <c r="Y758" s="93"/>
      <c r="Z758" s="85"/>
      <c r="AA758" s="85"/>
      <c r="AB758" s="85"/>
      <c r="AC758" s="85"/>
      <c r="AD758" s="85"/>
    </row>
    <row r="759" spans="16:30" x14ac:dyDescent="0.2">
      <c r="P759" s="85"/>
      <c r="Q759" s="91"/>
      <c r="R759" s="91"/>
      <c r="S759" s="91"/>
      <c r="T759" s="92"/>
      <c r="U759" s="93"/>
      <c r="V759" s="94"/>
      <c r="W759" s="94"/>
      <c r="X759" s="93"/>
      <c r="Y759" s="93"/>
      <c r="Z759" s="85"/>
      <c r="AA759" s="85"/>
      <c r="AB759" s="85"/>
      <c r="AC759" s="85"/>
      <c r="AD759" s="85"/>
    </row>
    <row r="760" spans="16:30" x14ac:dyDescent="0.2">
      <c r="P760" s="85"/>
      <c r="Q760" s="91"/>
      <c r="R760" s="91"/>
      <c r="S760" s="91"/>
      <c r="T760" s="92"/>
      <c r="U760" s="93"/>
      <c r="V760" s="94"/>
      <c r="W760" s="94"/>
      <c r="X760" s="93"/>
      <c r="Y760" s="93"/>
      <c r="Z760" s="85"/>
      <c r="AA760" s="85"/>
      <c r="AB760" s="85"/>
      <c r="AC760" s="85"/>
      <c r="AD760" s="85"/>
    </row>
    <row r="761" spans="16:30" x14ac:dyDescent="0.2">
      <c r="P761" s="85"/>
      <c r="Q761" s="91"/>
      <c r="R761" s="91"/>
      <c r="S761" s="91"/>
      <c r="T761" s="92"/>
      <c r="U761" s="93"/>
      <c r="V761" s="94"/>
      <c r="W761" s="94"/>
      <c r="X761" s="93"/>
      <c r="Y761" s="93"/>
      <c r="Z761" s="85"/>
      <c r="AA761" s="85"/>
      <c r="AB761" s="85"/>
      <c r="AC761" s="85"/>
      <c r="AD761" s="85"/>
    </row>
    <row r="762" spans="16:30" x14ac:dyDescent="0.2">
      <c r="P762" s="85"/>
      <c r="Q762" s="91"/>
      <c r="R762" s="91"/>
      <c r="S762" s="91"/>
      <c r="T762" s="92"/>
      <c r="U762" s="93"/>
      <c r="V762" s="94"/>
      <c r="W762" s="94"/>
      <c r="X762" s="93"/>
      <c r="Y762" s="93"/>
      <c r="Z762" s="85"/>
      <c r="AA762" s="85"/>
      <c r="AB762" s="85"/>
      <c r="AC762" s="85"/>
      <c r="AD762" s="85"/>
    </row>
    <row r="763" spans="16:30" x14ac:dyDescent="0.2">
      <c r="P763" s="85"/>
      <c r="Q763" s="91"/>
      <c r="R763" s="91"/>
      <c r="S763" s="91"/>
      <c r="T763" s="92"/>
      <c r="U763" s="93"/>
      <c r="V763" s="94"/>
      <c r="W763" s="94"/>
      <c r="X763" s="93"/>
      <c r="Y763" s="93"/>
      <c r="Z763" s="85"/>
      <c r="AA763" s="85"/>
      <c r="AB763" s="85"/>
      <c r="AC763" s="85"/>
      <c r="AD763" s="85"/>
    </row>
    <row r="764" spans="16:30" x14ac:dyDescent="0.2">
      <c r="P764" s="85"/>
      <c r="Q764" s="91"/>
      <c r="R764" s="91"/>
      <c r="S764" s="91"/>
      <c r="T764" s="92"/>
      <c r="U764" s="93"/>
      <c r="V764" s="94"/>
      <c r="W764" s="94"/>
      <c r="X764" s="93"/>
      <c r="Y764" s="93"/>
      <c r="Z764" s="85"/>
      <c r="AA764" s="85"/>
      <c r="AB764" s="85"/>
      <c r="AC764" s="85"/>
      <c r="AD764" s="85"/>
    </row>
    <row r="765" spans="16:30" x14ac:dyDescent="0.2">
      <c r="P765" s="85"/>
      <c r="Q765" s="91"/>
      <c r="R765" s="91"/>
      <c r="S765" s="91"/>
      <c r="T765" s="92"/>
      <c r="U765" s="93"/>
      <c r="V765" s="94"/>
      <c r="W765" s="94"/>
      <c r="X765" s="93"/>
      <c r="Y765" s="93"/>
      <c r="Z765" s="85"/>
      <c r="AA765" s="85"/>
      <c r="AB765" s="85"/>
      <c r="AC765" s="85"/>
      <c r="AD765" s="85"/>
    </row>
    <row r="766" spans="16:30" x14ac:dyDescent="0.2">
      <c r="P766" s="85"/>
      <c r="Q766" s="91"/>
      <c r="R766" s="91"/>
      <c r="S766" s="91"/>
      <c r="T766" s="92"/>
      <c r="U766" s="93"/>
      <c r="V766" s="94"/>
      <c r="W766" s="94"/>
      <c r="X766" s="93"/>
      <c r="Y766" s="93"/>
      <c r="Z766" s="85"/>
      <c r="AA766" s="85"/>
      <c r="AB766" s="85"/>
      <c r="AC766" s="85"/>
      <c r="AD766" s="85"/>
    </row>
    <row r="767" spans="16:30" x14ac:dyDescent="0.2">
      <c r="P767" s="85"/>
      <c r="Q767" s="91"/>
      <c r="R767" s="91"/>
      <c r="S767" s="91"/>
      <c r="T767" s="92"/>
      <c r="U767" s="93"/>
      <c r="V767" s="94"/>
      <c r="W767" s="94"/>
      <c r="X767" s="93"/>
      <c r="Y767" s="93"/>
      <c r="Z767" s="85"/>
      <c r="AA767" s="85"/>
      <c r="AB767" s="85"/>
      <c r="AC767" s="85"/>
      <c r="AD767" s="85"/>
    </row>
    <row r="768" spans="16:30" x14ac:dyDescent="0.2">
      <c r="P768" s="85"/>
      <c r="Q768" s="91"/>
      <c r="R768" s="91"/>
      <c r="S768" s="91"/>
      <c r="T768" s="92"/>
      <c r="U768" s="93"/>
      <c r="V768" s="94"/>
      <c r="W768" s="94"/>
      <c r="X768" s="93"/>
      <c r="Y768" s="93"/>
      <c r="Z768" s="85"/>
      <c r="AA768" s="85"/>
      <c r="AB768" s="85"/>
      <c r="AC768" s="85"/>
      <c r="AD768" s="85"/>
    </row>
    <row r="769" spans="16:30" x14ac:dyDescent="0.2">
      <c r="P769" s="85"/>
      <c r="Q769" s="91"/>
      <c r="R769" s="91"/>
      <c r="S769" s="91"/>
      <c r="T769" s="92"/>
      <c r="U769" s="93"/>
      <c r="V769" s="94"/>
      <c r="W769" s="94"/>
      <c r="X769" s="93"/>
      <c r="Y769" s="93"/>
      <c r="Z769" s="85"/>
      <c r="AA769" s="85"/>
      <c r="AB769" s="85"/>
      <c r="AC769" s="85"/>
      <c r="AD769" s="85"/>
    </row>
    <row r="770" spans="16:30" x14ac:dyDescent="0.2">
      <c r="P770" s="85"/>
      <c r="Q770" s="91"/>
      <c r="R770" s="91"/>
      <c r="S770" s="91"/>
      <c r="T770" s="92"/>
      <c r="U770" s="93"/>
      <c r="V770" s="94"/>
      <c r="W770" s="94"/>
      <c r="X770" s="93"/>
      <c r="Y770" s="93"/>
      <c r="Z770" s="85"/>
      <c r="AA770" s="85"/>
      <c r="AB770" s="85"/>
      <c r="AC770" s="85"/>
      <c r="AD770" s="85"/>
    </row>
    <row r="771" spans="16:30" x14ac:dyDescent="0.2">
      <c r="P771" s="85"/>
      <c r="Q771" s="91"/>
      <c r="R771" s="91"/>
      <c r="S771" s="91"/>
      <c r="T771" s="92"/>
      <c r="U771" s="93"/>
      <c r="V771" s="94"/>
      <c r="W771" s="94"/>
      <c r="X771" s="93"/>
      <c r="Y771" s="93"/>
      <c r="Z771" s="85"/>
      <c r="AA771" s="85"/>
      <c r="AB771" s="85"/>
      <c r="AC771" s="85"/>
      <c r="AD771" s="85"/>
    </row>
    <row r="772" spans="16:30" x14ac:dyDescent="0.2">
      <c r="P772" s="85"/>
      <c r="Q772" s="91"/>
      <c r="R772" s="91"/>
      <c r="S772" s="91"/>
      <c r="T772" s="92"/>
      <c r="U772" s="93"/>
      <c r="V772" s="94"/>
      <c r="W772" s="94"/>
      <c r="X772" s="93"/>
      <c r="Y772" s="93"/>
      <c r="Z772" s="85"/>
      <c r="AA772" s="85"/>
      <c r="AB772" s="85"/>
      <c r="AC772" s="85"/>
      <c r="AD772" s="85"/>
    </row>
    <row r="773" spans="16:30" x14ac:dyDescent="0.2">
      <c r="P773" s="85"/>
      <c r="Q773" s="91"/>
      <c r="R773" s="91"/>
      <c r="S773" s="91"/>
      <c r="T773" s="92"/>
      <c r="U773" s="93"/>
      <c r="V773" s="94"/>
      <c r="W773" s="94"/>
      <c r="X773" s="93"/>
      <c r="Y773" s="93"/>
      <c r="Z773" s="85"/>
      <c r="AA773" s="85"/>
      <c r="AB773" s="85"/>
      <c r="AC773" s="85"/>
      <c r="AD773" s="85"/>
    </row>
    <row r="774" spans="16:30" x14ac:dyDescent="0.2">
      <c r="P774" s="85"/>
      <c r="Q774" s="91"/>
      <c r="R774" s="91"/>
      <c r="S774" s="91"/>
      <c r="T774" s="92"/>
      <c r="U774" s="93"/>
      <c r="V774" s="94"/>
      <c r="W774" s="94"/>
      <c r="X774" s="93"/>
      <c r="Y774" s="93"/>
      <c r="Z774" s="85"/>
      <c r="AA774" s="85"/>
      <c r="AB774" s="85"/>
      <c r="AC774" s="85"/>
      <c r="AD774" s="85"/>
    </row>
    <row r="775" spans="16:30" x14ac:dyDescent="0.2">
      <c r="P775" s="85"/>
      <c r="Q775" s="91"/>
      <c r="R775" s="91"/>
      <c r="S775" s="91"/>
      <c r="T775" s="92"/>
      <c r="U775" s="93"/>
      <c r="V775" s="94"/>
      <c r="W775" s="94"/>
      <c r="X775" s="93"/>
      <c r="Y775" s="93"/>
      <c r="Z775" s="85"/>
      <c r="AA775" s="85"/>
      <c r="AB775" s="85"/>
      <c r="AC775" s="85"/>
      <c r="AD775" s="85"/>
    </row>
    <row r="776" spans="16:30" x14ac:dyDescent="0.2">
      <c r="P776" s="85"/>
      <c r="Q776" s="91"/>
      <c r="R776" s="91"/>
      <c r="S776" s="91"/>
      <c r="T776" s="92"/>
      <c r="U776" s="93"/>
      <c r="V776" s="94"/>
      <c r="W776" s="94"/>
      <c r="X776" s="93"/>
      <c r="Y776" s="93"/>
      <c r="Z776" s="85"/>
      <c r="AA776" s="85"/>
      <c r="AB776" s="85"/>
      <c r="AC776" s="85"/>
      <c r="AD776" s="85"/>
    </row>
    <row r="777" spans="16:30" x14ac:dyDescent="0.2">
      <c r="P777" s="85"/>
      <c r="Q777" s="91"/>
      <c r="R777" s="91"/>
      <c r="S777" s="91"/>
      <c r="T777" s="92"/>
      <c r="U777" s="93"/>
      <c r="V777" s="94"/>
      <c r="W777" s="94"/>
      <c r="X777" s="93"/>
      <c r="Y777" s="93"/>
      <c r="Z777" s="85"/>
      <c r="AA777" s="85"/>
      <c r="AB777" s="85"/>
      <c r="AC777" s="85"/>
      <c r="AD777" s="85"/>
    </row>
    <row r="778" spans="16:30" x14ac:dyDescent="0.2">
      <c r="P778" s="85"/>
      <c r="Q778" s="91"/>
      <c r="R778" s="91"/>
      <c r="S778" s="91"/>
      <c r="T778" s="92"/>
      <c r="U778" s="93"/>
      <c r="V778" s="94"/>
      <c r="W778" s="94"/>
      <c r="X778" s="93"/>
      <c r="Y778" s="93"/>
      <c r="Z778" s="85"/>
      <c r="AA778" s="85"/>
      <c r="AB778" s="85"/>
      <c r="AC778" s="85"/>
      <c r="AD778" s="85"/>
    </row>
    <row r="779" spans="16:30" x14ac:dyDescent="0.2">
      <c r="P779" s="85"/>
      <c r="Q779" s="91"/>
      <c r="R779" s="91"/>
      <c r="S779" s="91"/>
      <c r="T779" s="92"/>
      <c r="U779" s="93"/>
      <c r="V779" s="94"/>
      <c r="W779" s="94"/>
      <c r="X779" s="93"/>
      <c r="Y779" s="93"/>
      <c r="Z779" s="85"/>
      <c r="AA779" s="85"/>
      <c r="AB779" s="85"/>
      <c r="AC779" s="85"/>
      <c r="AD779" s="85"/>
    </row>
    <row r="780" spans="16:30" x14ac:dyDescent="0.2">
      <c r="P780" s="85"/>
      <c r="Q780" s="91"/>
      <c r="R780" s="91"/>
      <c r="S780" s="91"/>
      <c r="T780" s="92"/>
      <c r="U780" s="93"/>
      <c r="V780" s="94"/>
      <c r="W780" s="94"/>
      <c r="X780" s="93"/>
      <c r="Y780" s="93"/>
      <c r="Z780" s="85"/>
      <c r="AA780" s="85"/>
      <c r="AB780" s="85"/>
      <c r="AC780" s="85"/>
      <c r="AD780" s="85"/>
    </row>
    <row r="781" spans="16:30" x14ac:dyDescent="0.2">
      <c r="P781" s="85"/>
      <c r="Q781" s="91"/>
      <c r="R781" s="91"/>
      <c r="S781" s="91"/>
      <c r="T781" s="92"/>
      <c r="U781" s="93"/>
      <c r="V781" s="94"/>
      <c r="W781" s="94"/>
      <c r="X781" s="93"/>
      <c r="Y781" s="93"/>
      <c r="Z781" s="85"/>
      <c r="AA781" s="85"/>
      <c r="AB781" s="85"/>
      <c r="AC781" s="85"/>
      <c r="AD781" s="85"/>
    </row>
    <row r="782" spans="16:30" x14ac:dyDescent="0.2">
      <c r="P782" s="85"/>
      <c r="Q782" s="91"/>
      <c r="R782" s="91"/>
      <c r="S782" s="91"/>
      <c r="T782" s="92"/>
      <c r="U782" s="93"/>
      <c r="V782" s="94"/>
      <c r="W782" s="94"/>
      <c r="X782" s="93"/>
      <c r="Y782" s="93"/>
      <c r="Z782" s="85"/>
      <c r="AA782" s="85"/>
      <c r="AB782" s="85"/>
      <c r="AC782" s="85"/>
      <c r="AD782" s="85"/>
    </row>
    <row r="783" spans="16:30" x14ac:dyDescent="0.2">
      <c r="P783" s="85"/>
      <c r="Q783" s="91"/>
      <c r="R783" s="91"/>
      <c r="S783" s="91"/>
      <c r="T783" s="92"/>
      <c r="U783" s="93"/>
      <c r="V783" s="94"/>
      <c r="W783" s="94"/>
      <c r="X783" s="93"/>
      <c r="Y783" s="93"/>
      <c r="Z783" s="85"/>
      <c r="AA783" s="85"/>
      <c r="AB783" s="85"/>
      <c r="AC783" s="85"/>
      <c r="AD783" s="85"/>
    </row>
    <row r="784" spans="16:30" x14ac:dyDescent="0.2">
      <c r="P784" s="85"/>
      <c r="Q784" s="91"/>
      <c r="R784" s="91"/>
      <c r="S784" s="91"/>
      <c r="T784" s="92"/>
      <c r="U784" s="93"/>
      <c r="V784" s="94"/>
      <c r="W784" s="94"/>
      <c r="X784" s="93"/>
      <c r="Y784" s="93"/>
      <c r="Z784" s="85"/>
      <c r="AA784" s="85"/>
      <c r="AB784" s="85"/>
      <c r="AC784" s="85"/>
      <c r="AD784" s="85"/>
    </row>
    <row r="785" spans="16:30" x14ac:dyDescent="0.2">
      <c r="P785" s="85"/>
      <c r="Q785" s="91"/>
      <c r="R785" s="91"/>
      <c r="S785" s="91"/>
      <c r="T785" s="92"/>
      <c r="U785" s="93"/>
      <c r="V785" s="94"/>
      <c r="W785" s="94"/>
      <c r="X785" s="93"/>
      <c r="Y785" s="93"/>
      <c r="Z785" s="85"/>
      <c r="AA785" s="85"/>
      <c r="AB785" s="85"/>
      <c r="AC785" s="85"/>
      <c r="AD785" s="85"/>
    </row>
    <row r="786" spans="16:30" x14ac:dyDescent="0.2">
      <c r="P786" s="85"/>
      <c r="Q786" s="91"/>
      <c r="R786" s="91"/>
      <c r="S786" s="91"/>
      <c r="T786" s="92"/>
      <c r="U786" s="93"/>
      <c r="V786" s="94"/>
      <c r="W786" s="94"/>
      <c r="X786" s="93"/>
      <c r="Y786" s="93"/>
      <c r="Z786" s="85"/>
      <c r="AA786" s="85"/>
      <c r="AB786" s="85"/>
      <c r="AC786" s="85"/>
      <c r="AD786" s="85"/>
    </row>
    <row r="787" spans="16:30" x14ac:dyDescent="0.2">
      <c r="P787" s="85"/>
      <c r="Q787" s="91"/>
      <c r="R787" s="91"/>
      <c r="S787" s="91"/>
      <c r="T787" s="92"/>
      <c r="U787" s="93"/>
      <c r="V787" s="94"/>
      <c r="W787" s="94"/>
      <c r="X787" s="93"/>
      <c r="Y787" s="93"/>
      <c r="Z787" s="85"/>
      <c r="AA787" s="85"/>
      <c r="AB787" s="85"/>
      <c r="AC787" s="85"/>
      <c r="AD787" s="85"/>
    </row>
    <row r="788" spans="16:30" x14ac:dyDescent="0.2">
      <c r="P788" s="85"/>
      <c r="Q788" s="91"/>
      <c r="R788" s="91"/>
      <c r="S788" s="91"/>
      <c r="T788" s="92"/>
      <c r="U788" s="93"/>
      <c r="V788" s="94"/>
      <c r="W788" s="94"/>
      <c r="X788" s="93"/>
      <c r="Y788" s="93"/>
      <c r="Z788" s="85"/>
      <c r="AA788" s="85"/>
      <c r="AB788" s="85"/>
      <c r="AC788" s="85"/>
      <c r="AD788" s="85"/>
    </row>
    <row r="789" spans="16:30" x14ac:dyDescent="0.2">
      <c r="P789" s="85"/>
      <c r="Q789" s="91"/>
      <c r="R789" s="91"/>
      <c r="S789" s="91"/>
      <c r="T789" s="92"/>
      <c r="U789" s="93"/>
      <c r="V789" s="94"/>
      <c r="W789" s="94"/>
      <c r="X789" s="93"/>
      <c r="Y789" s="93"/>
      <c r="Z789" s="85"/>
      <c r="AA789" s="85"/>
      <c r="AB789" s="85"/>
      <c r="AC789" s="85"/>
      <c r="AD789" s="85"/>
    </row>
    <row r="790" spans="16:30" x14ac:dyDescent="0.2">
      <c r="P790" s="85"/>
      <c r="Q790" s="91"/>
      <c r="R790" s="91"/>
      <c r="S790" s="91"/>
      <c r="T790" s="92"/>
      <c r="U790" s="93"/>
      <c r="V790" s="94"/>
      <c r="W790" s="94"/>
      <c r="X790" s="93"/>
      <c r="Y790" s="93"/>
      <c r="Z790" s="85"/>
      <c r="AA790" s="85"/>
      <c r="AB790" s="85"/>
      <c r="AC790" s="85"/>
      <c r="AD790" s="85"/>
    </row>
    <row r="791" spans="16:30" x14ac:dyDescent="0.2">
      <c r="P791" s="85"/>
      <c r="Q791" s="91"/>
      <c r="R791" s="91"/>
      <c r="S791" s="91"/>
      <c r="T791" s="92"/>
      <c r="U791" s="93"/>
      <c r="V791" s="94"/>
      <c r="W791" s="94"/>
      <c r="X791" s="93"/>
      <c r="Y791" s="93"/>
      <c r="Z791" s="85"/>
      <c r="AA791" s="85"/>
      <c r="AB791" s="85"/>
      <c r="AC791" s="85"/>
      <c r="AD791" s="85"/>
    </row>
    <row r="792" spans="16:30" x14ac:dyDescent="0.2">
      <c r="P792" s="85"/>
      <c r="Q792" s="91"/>
      <c r="R792" s="91"/>
      <c r="S792" s="91"/>
      <c r="T792" s="92"/>
      <c r="U792" s="93"/>
      <c r="V792" s="94"/>
      <c r="W792" s="94"/>
      <c r="X792" s="93"/>
      <c r="Y792" s="93"/>
      <c r="Z792" s="85"/>
      <c r="AA792" s="85"/>
      <c r="AB792" s="85"/>
      <c r="AC792" s="85"/>
      <c r="AD792" s="85"/>
    </row>
    <row r="793" spans="16:30" x14ac:dyDescent="0.2">
      <c r="P793" s="85"/>
      <c r="Q793" s="91"/>
      <c r="R793" s="91"/>
      <c r="S793" s="91"/>
      <c r="T793" s="92"/>
      <c r="U793" s="93"/>
      <c r="V793" s="94"/>
      <c r="W793" s="94"/>
      <c r="X793" s="93"/>
      <c r="Y793" s="93"/>
      <c r="Z793" s="85"/>
      <c r="AA793" s="85"/>
      <c r="AB793" s="85"/>
      <c r="AC793" s="85"/>
      <c r="AD793" s="85"/>
    </row>
    <row r="794" spans="16:30" x14ac:dyDescent="0.2">
      <c r="P794" s="85"/>
      <c r="Q794" s="91"/>
      <c r="R794" s="91"/>
      <c r="S794" s="91"/>
      <c r="T794" s="92"/>
      <c r="U794" s="93"/>
      <c r="V794" s="94"/>
      <c r="W794" s="94"/>
      <c r="X794" s="93"/>
      <c r="Y794" s="93"/>
      <c r="Z794" s="85"/>
      <c r="AA794" s="85"/>
      <c r="AB794" s="85"/>
      <c r="AC794" s="85"/>
      <c r="AD794" s="85"/>
    </row>
    <row r="795" spans="16:30" x14ac:dyDescent="0.2">
      <c r="P795" s="85"/>
      <c r="Q795" s="91"/>
      <c r="R795" s="91"/>
      <c r="S795" s="91"/>
      <c r="T795" s="92"/>
      <c r="U795" s="93"/>
      <c r="V795" s="94"/>
      <c r="W795" s="94"/>
      <c r="X795" s="93"/>
      <c r="Y795" s="93"/>
      <c r="Z795" s="85"/>
      <c r="AA795" s="85"/>
      <c r="AB795" s="85"/>
      <c r="AC795" s="85"/>
      <c r="AD795" s="85"/>
    </row>
    <row r="796" spans="16:30" x14ac:dyDescent="0.2">
      <c r="P796" s="85"/>
      <c r="Q796" s="91"/>
      <c r="R796" s="91"/>
      <c r="S796" s="91"/>
      <c r="T796" s="92"/>
      <c r="U796" s="93"/>
      <c r="V796" s="94"/>
      <c r="W796" s="94"/>
      <c r="X796" s="93"/>
      <c r="Y796" s="93"/>
      <c r="Z796" s="85"/>
      <c r="AA796" s="85"/>
      <c r="AB796" s="85"/>
      <c r="AC796" s="85"/>
      <c r="AD796" s="85"/>
    </row>
    <row r="797" spans="16:30" x14ac:dyDescent="0.2">
      <c r="P797" s="85"/>
      <c r="Q797" s="91"/>
      <c r="R797" s="91"/>
      <c r="S797" s="91"/>
      <c r="T797" s="92"/>
      <c r="U797" s="93"/>
      <c r="V797" s="94"/>
      <c r="W797" s="94"/>
      <c r="X797" s="93"/>
      <c r="Y797" s="93"/>
      <c r="Z797" s="85"/>
      <c r="AA797" s="85"/>
      <c r="AB797" s="85"/>
      <c r="AC797" s="85"/>
      <c r="AD797" s="85"/>
    </row>
    <row r="798" spans="16:30" x14ac:dyDescent="0.2">
      <c r="P798" s="85"/>
      <c r="Q798" s="91"/>
      <c r="R798" s="91"/>
      <c r="S798" s="91"/>
      <c r="T798" s="92"/>
      <c r="U798" s="93"/>
      <c r="V798" s="94"/>
      <c r="W798" s="94"/>
      <c r="X798" s="93"/>
      <c r="Y798" s="93"/>
      <c r="Z798" s="85"/>
      <c r="AA798" s="85"/>
      <c r="AB798" s="85"/>
      <c r="AC798" s="85"/>
      <c r="AD798" s="85"/>
    </row>
    <row r="799" spans="16:30" x14ac:dyDescent="0.2">
      <c r="P799" s="85"/>
      <c r="Q799" s="91"/>
      <c r="R799" s="91"/>
      <c r="S799" s="91"/>
      <c r="T799" s="92"/>
      <c r="U799" s="93"/>
      <c r="V799" s="94"/>
      <c r="W799" s="94"/>
      <c r="X799" s="93"/>
      <c r="Y799" s="93"/>
      <c r="Z799" s="85"/>
      <c r="AA799" s="85"/>
      <c r="AB799" s="85"/>
      <c r="AC799" s="85"/>
      <c r="AD799" s="85"/>
    </row>
    <row r="800" spans="16:30" x14ac:dyDescent="0.2">
      <c r="P800" s="85"/>
      <c r="Q800" s="91"/>
      <c r="R800" s="91"/>
      <c r="S800" s="91"/>
      <c r="T800" s="92"/>
      <c r="U800" s="93"/>
      <c r="V800" s="94"/>
      <c r="W800" s="94"/>
      <c r="X800" s="93"/>
      <c r="Y800" s="93"/>
      <c r="Z800" s="85"/>
      <c r="AA800" s="85"/>
      <c r="AB800" s="85"/>
      <c r="AC800" s="85"/>
      <c r="AD800" s="85"/>
    </row>
    <row r="801" spans="16:30" x14ac:dyDescent="0.2">
      <c r="P801" s="85"/>
      <c r="Q801" s="91"/>
      <c r="R801" s="91"/>
      <c r="S801" s="91"/>
      <c r="T801" s="92"/>
      <c r="U801" s="93"/>
      <c r="V801" s="94"/>
      <c r="W801" s="94"/>
      <c r="X801" s="93"/>
      <c r="Y801" s="93"/>
      <c r="Z801" s="85"/>
      <c r="AA801" s="85"/>
      <c r="AB801" s="85"/>
      <c r="AC801" s="85"/>
      <c r="AD801" s="85"/>
    </row>
    <row r="802" spans="16:30" x14ac:dyDescent="0.2">
      <c r="P802" s="85"/>
      <c r="Q802" s="91"/>
      <c r="R802" s="91"/>
      <c r="S802" s="91"/>
      <c r="T802" s="92"/>
      <c r="U802" s="93"/>
      <c r="V802" s="94"/>
      <c r="W802" s="94"/>
      <c r="X802" s="93"/>
      <c r="Y802" s="93"/>
      <c r="Z802" s="85"/>
      <c r="AA802" s="85"/>
      <c r="AB802" s="85"/>
      <c r="AC802" s="85"/>
      <c r="AD802" s="85"/>
    </row>
    <row r="803" spans="16:30" x14ac:dyDescent="0.2">
      <c r="P803" s="85"/>
      <c r="Q803" s="91"/>
      <c r="R803" s="91"/>
      <c r="S803" s="91"/>
      <c r="T803" s="92"/>
      <c r="U803" s="93"/>
      <c r="V803" s="94"/>
      <c r="W803" s="94"/>
      <c r="X803" s="93"/>
      <c r="Y803" s="93"/>
      <c r="Z803" s="85"/>
      <c r="AA803" s="85"/>
      <c r="AB803" s="85"/>
      <c r="AC803" s="85"/>
      <c r="AD803" s="85"/>
    </row>
    <row r="804" spans="16:30" x14ac:dyDescent="0.2">
      <c r="P804" s="85"/>
      <c r="Q804" s="91"/>
      <c r="R804" s="91"/>
      <c r="S804" s="91"/>
      <c r="T804" s="92"/>
      <c r="U804" s="93"/>
      <c r="V804" s="94"/>
      <c r="W804" s="94"/>
      <c r="X804" s="93"/>
      <c r="Y804" s="93"/>
      <c r="Z804" s="85"/>
      <c r="AA804" s="85"/>
      <c r="AB804" s="85"/>
      <c r="AC804" s="85"/>
      <c r="AD804" s="85"/>
    </row>
    <row r="805" spans="16:30" x14ac:dyDescent="0.2">
      <c r="P805" s="85"/>
      <c r="Q805" s="91"/>
      <c r="R805" s="91"/>
      <c r="S805" s="91"/>
      <c r="T805" s="92"/>
      <c r="U805" s="93"/>
      <c r="V805" s="94"/>
      <c r="W805" s="94"/>
      <c r="X805" s="93"/>
      <c r="Y805" s="93"/>
      <c r="Z805" s="85"/>
      <c r="AA805" s="85"/>
      <c r="AB805" s="85"/>
      <c r="AC805" s="85"/>
      <c r="AD805" s="85"/>
    </row>
    <row r="806" spans="16:30" x14ac:dyDescent="0.2">
      <c r="P806" s="85"/>
      <c r="Q806" s="91"/>
      <c r="R806" s="91"/>
      <c r="S806" s="91"/>
      <c r="T806" s="92"/>
      <c r="U806" s="93"/>
      <c r="V806" s="94"/>
      <c r="W806" s="94"/>
      <c r="X806" s="93"/>
      <c r="Y806" s="93"/>
      <c r="Z806" s="85"/>
      <c r="AA806" s="85"/>
      <c r="AB806" s="85"/>
      <c r="AC806" s="85"/>
      <c r="AD806" s="85"/>
    </row>
    <row r="807" spans="16:30" x14ac:dyDescent="0.2">
      <c r="P807" s="85"/>
      <c r="Q807" s="91"/>
      <c r="R807" s="91"/>
      <c r="S807" s="91"/>
      <c r="T807" s="92"/>
      <c r="U807" s="93"/>
      <c r="V807" s="94"/>
      <c r="W807" s="94"/>
      <c r="X807" s="93"/>
      <c r="Y807" s="93"/>
      <c r="Z807" s="85"/>
      <c r="AA807" s="85"/>
      <c r="AB807" s="85"/>
      <c r="AC807" s="85"/>
      <c r="AD807" s="85"/>
    </row>
    <row r="808" spans="16:30" x14ac:dyDescent="0.2">
      <c r="P808" s="85"/>
      <c r="Q808" s="91"/>
      <c r="R808" s="91"/>
      <c r="S808" s="91"/>
      <c r="T808" s="92"/>
      <c r="U808" s="93"/>
      <c r="V808" s="94"/>
      <c r="W808" s="94"/>
      <c r="X808" s="93"/>
      <c r="Y808" s="93"/>
      <c r="Z808" s="85"/>
      <c r="AA808" s="85"/>
      <c r="AB808" s="85"/>
      <c r="AC808" s="85"/>
      <c r="AD808" s="85"/>
    </row>
    <row r="809" spans="16:30" x14ac:dyDescent="0.2">
      <c r="P809" s="85"/>
      <c r="Q809" s="91"/>
      <c r="R809" s="91"/>
      <c r="S809" s="91"/>
      <c r="T809" s="92"/>
      <c r="U809" s="93"/>
      <c r="V809" s="94"/>
      <c r="W809" s="94"/>
      <c r="X809" s="93"/>
      <c r="Y809" s="93"/>
      <c r="Z809" s="85"/>
      <c r="AA809" s="85"/>
      <c r="AB809" s="85"/>
      <c r="AC809" s="85"/>
      <c r="AD809" s="85"/>
    </row>
    <row r="810" spans="16:30" x14ac:dyDescent="0.2">
      <c r="P810" s="85"/>
      <c r="Q810" s="91"/>
      <c r="R810" s="91"/>
      <c r="S810" s="91"/>
      <c r="T810" s="92"/>
      <c r="U810" s="93"/>
      <c r="V810" s="94"/>
      <c r="W810" s="94"/>
      <c r="X810" s="93"/>
      <c r="Y810" s="93"/>
      <c r="Z810" s="85"/>
      <c r="AA810" s="85"/>
      <c r="AB810" s="85"/>
      <c r="AC810" s="85"/>
      <c r="AD810" s="85"/>
    </row>
    <row r="811" spans="16:30" x14ac:dyDescent="0.2">
      <c r="P811" s="85"/>
      <c r="Q811" s="91"/>
      <c r="R811" s="91"/>
      <c r="S811" s="91"/>
      <c r="T811" s="92"/>
      <c r="U811" s="93"/>
      <c r="V811" s="94"/>
      <c r="W811" s="94"/>
      <c r="X811" s="93"/>
      <c r="Y811" s="93"/>
      <c r="Z811" s="85"/>
      <c r="AA811" s="85"/>
      <c r="AB811" s="85"/>
      <c r="AC811" s="85"/>
      <c r="AD811" s="85"/>
    </row>
    <row r="812" spans="16:30" x14ac:dyDescent="0.2">
      <c r="P812" s="85"/>
      <c r="Q812" s="91"/>
      <c r="R812" s="91"/>
      <c r="S812" s="91"/>
      <c r="T812" s="92"/>
      <c r="U812" s="93"/>
      <c r="V812" s="94"/>
      <c r="W812" s="94"/>
      <c r="X812" s="93"/>
      <c r="Y812" s="93"/>
      <c r="Z812" s="85"/>
      <c r="AA812" s="85"/>
      <c r="AB812" s="85"/>
      <c r="AC812" s="85"/>
      <c r="AD812" s="85"/>
    </row>
    <row r="813" spans="16:30" x14ac:dyDescent="0.2">
      <c r="P813" s="85"/>
      <c r="Q813" s="91"/>
      <c r="R813" s="91"/>
      <c r="S813" s="91"/>
      <c r="T813" s="92"/>
      <c r="U813" s="93"/>
      <c r="V813" s="94"/>
      <c r="W813" s="94"/>
      <c r="X813" s="93"/>
      <c r="Y813" s="93"/>
      <c r="Z813" s="85"/>
      <c r="AA813" s="85"/>
      <c r="AB813" s="85"/>
      <c r="AC813" s="85"/>
      <c r="AD813" s="85"/>
    </row>
    <row r="814" spans="16:30" x14ac:dyDescent="0.2">
      <c r="P814" s="85"/>
      <c r="Q814" s="91"/>
      <c r="R814" s="91"/>
      <c r="S814" s="91"/>
      <c r="T814" s="92"/>
      <c r="U814" s="93"/>
      <c r="V814" s="94"/>
      <c r="W814" s="94"/>
      <c r="X814" s="93"/>
      <c r="Y814" s="93"/>
      <c r="Z814" s="85"/>
      <c r="AA814" s="85"/>
      <c r="AB814" s="85"/>
      <c r="AC814" s="85"/>
      <c r="AD814" s="85"/>
    </row>
    <row r="815" spans="16:30" x14ac:dyDescent="0.2">
      <c r="P815" s="85"/>
      <c r="Q815" s="91"/>
      <c r="R815" s="91"/>
      <c r="S815" s="91"/>
      <c r="T815" s="92"/>
      <c r="U815" s="93"/>
      <c r="V815" s="94"/>
      <c r="W815" s="94"/>
      <c r="X815" s="93"/>
      <c r="Y815" s="93"/>
      <c r="Z815" s="85"/>
      <c r="AA815" s="85"/>
      <c r="AB815" s="85"/>
      <c r="AC815" s="85"/>
      <c r="AD815" s="85"/>
    </row>
    <row r="816" spans="16:30" x14ac:dyDescent="0.2">
      <c r="P816" s="85"/>
      <c r="Q816" s="91"/>
      <c r="R816" s="91"/>
      <c r="S816" s="91"/>
      <c r="T816" s="92"/>
      <c r="U816" s="93"/>
      <c r="V816" s="94"/>
      <c r="W816" s="94"/>
      <c r="X816" s="93"/>
      <c r="Y816" s="93"/>
      <c r="Z816" s="85"/>
      <c r="AA816" s="85"/>
      <c r="AB816" s="85"/>
      <c r="AC816" s="85"/>
      <c r="AD816" s="85"/>
    </row>
    <row r="817" spans="16:30" x14ac:dyDescent="0.2">
      <c r="P817" s="85"/>
      <c r="Q817" s="91"/>
      <c r="R817" s="91"/>
      <c r="S817" s="91"/>
      <c r="T817" s="92"/>
      <c r="U817" s="93"/>
      <c r="V817" s="94"/>
      <c r="W817" s="94"/>
      <c r="X817" s="93"/>
      <c r="Y817" s="93"/>
      <c r="Z817" s="85"/>
      <c r="AA817" s="85"/>
      <c r="AB817" s="85"/>
      <c r="AC817" s="85"/>
      <c r="AD817" s="85"/>
    </row>
    <row r="818" spans="16:30" x14ac:dyDescent="0.2">
      <c r="P818" s="85"/>
      <c r="Q818" s="91"/>
      <c r="R818" s="91"/>
      <c r="S818" s="91"/>
      <c r="T818" s="92"/>
      <c r="U818" s="93"/>
      <c r="V818" s="94"/>
      <c r="W818" s="94"/>
      <c r="X818" s="93"/>
      <c r="Y818" s="93"/>
      <c r="Z818" s="85"/>
      <c r="AA818" s="85"/>
      <c r="AB818" s="85"/>
      <c r="AC818" s="85"/>
      <c r="AD818" s="85"/>
    </row>
    <row r="819" spans="16:30" x14ac:dyDescent="0.2">
      <c r="P819" s="85"/>
      <c r="Q819" s="91"/>
      <c r="R819" s="91"/>
      <c r="S819" s="91"/>
      <c r="T819" s="92"/>
      <c r="U819" s="93"/>
      <c r="V819" s="94"/>
      <c r="W819" s="94"/>
      <c r="X819" s="93"/>
      <c r="Y819" s="93"/>
      <c r="Z819" s="85"/>
      <c r="AA819" s="85"/>
      <c r="AB819" s="85"/>
      <c r="AC819" s="85"/>
      <c r="AD819" s="85"/>
    </row>
    <row r="820" spans="16:30" x14ac:dyDescent="0.2">
      <c r="P820" s="85"/>
      <c r="Q820" s="91"/>
      <c r="R820" s="91"/>
      <c r="S820" s="91"/>
      <c r="T820" s="92"/>
      <c r="U820" s="93"/>
      <c r="V820" s="94"/>
      <c r="W820" s="94"/>
      <c r="X820" s="93"/>
      <c r="Y820" s="93"/>
      <c r="Z820" s="85"/>
      <c r="AA820" s="85"/>
      <c r="AB820" s="85"/>
      <c r="AC820" s="85"/>
      <c r="AD820" s="85"/>
    </row>
    <row r="821" spans="16:30" x14ac:dyDescent="0.2">
      <c r="P821" s="85"/>
      <c r="Q821" s="91"/>
      <c r="R821" s="91"/>
      <c r="S821" s="91"/>
      <c r="T821" s="92"/>
      <c r="U821" s="93"/>
      <c r="V821" s="94"/>
      <c r="W821" s="94"/>
      <c r="X821" s="93"/>
      <c r="Y821" s="93"/>
      <c r="Z821" s="85"/>
      <c r="AA821" s="85"/>
      <c r="AB821" s="85"/>
      <c r="AC821" s="85"/>
      <c r="AD821" s="85"/>
    </row>
    <row r="822" spans="16:30" x14ac:dyDescent="0.2">
      <c r="P822" s="85"/>
      <c r="Q822" s="91"/>
      <c r="R822" s="91"/>
      <c r="S822" s="91"/>
      <c r="T822" s="92"/>
      <c r="U822" s="93"/>
      <c r="V822" s="94"/>
      <c r="W822" s="94"/>
      <c r="X822" s="93"/>
      <c r="Y822" s="93"/>
      <c r="Z822" s="85"/>
      <c r="AA822" s="85"/>
      <c r="AB822" s="85"/>
      <c r="AC822" s="85"/>
      <c r="AD822" s="85"/>
    </row>
    <row r="823" spans="16:30" x14ac:dyDescent="0.2">
      <c r="P823" s="85"/>
      <c r="Q823" s="91"/>
      <c r="R823" s="91"/>
      <c r="S823" s="91"/>
      <c r="T823" s="92"/>
      <c r="U823" s="93"/>
      <c r="V823" s="94"/>
      <c r="W823" s="94"/>
      <c r="X823" s="93"/>
      <c r="Y823" s="93"/>
      <c r="Z823" s="85"/>
      <c r="AA823" s="85"/>
      <c r="AB823" s="85"/>
      <c r="AC823" s="85"/>
      <c r="AD823" s="85"/>
    </row>
    <row r="824" spans="16:30" x14ac:dyDescent="0.2">
      <c r="P824" s="85"/>
      <c r="Q824" s="91"/>
      <c r="R824" s="91"/>
      <c r="S824" s="91"/>
      <c r="T824" s="92"/>
      <c r="U824" s="93"/>
      <c r="V824" s="94"/>
      <c r="W824" s="94"/>
      <c r="X824" s="93"/>
      <c r="Y824" s="93"/>
      <c r="Z824" s="85"/>
      <c r="AA824" s="85"/>
      <c r="AB824" s="85"/>
      <c r="AC824" s="85"/>
      <c r="AD824" s="85"/>
    </row>
    <row r="825" spans="16:30" x14ac:dyDescent="0.2">
      <c r="P825" s="85"/>
      <c r="Q825" s="91"/>
      <c r="R825" s="91"/>
      <c r="S825" s="91"/>
      <c r="T825" s="92"/>
      <c r="U825" s="93"/>
      <c r="V825" s="94"/>
      <c r="W825" s="94"/>
      <c r="X825" s="93"/>
      <c r="Y825" s="93"/>
      <c r="Z825" s="85"/>
      <c r="AA825" s="85"/>
      <c r="AB825" s="85"/>
      <c r="AC825" s="85"/>
      <c r="AD825" s="85"/>
    </row>
    <row r="826" spans="16:30" x14ac:dyDescent="0.2">
      <c r="P826" s="85"/>
      <c r="Q826" s="91"/>
      <c r="R826" s="91"/>
      <c r="S826" s="91"/>
      <c r="T826" s="92"/>
      <c r="U826" s="93"/>
      <c r="V826" s="94"/>
      <c r="W826" s="94"/>
      <c r="X826" s="93"/>
      <c r="Y826" s="93"/>
      <c r="Z826" s="85"/>
      <c r="AA826" s="85"/>
      <c r="AB826" s="85"/>
      <c r="AC826" s="85"/>
      <c r="AD826" s="85"/>
    </row>
    <row r="827" spans="16:30" x14ac:dyDescent="0.2">
      <c r="P827" s="85"/>
      <c r="Q827" s="91"/>
      <c r="R827" s="91"/>
      <c r="S827" s="91"/>
      <c r="T827" s="92"/>
      <c r="U827" s="93"/>
      <c r="V827" s="94"/>
      <c r="W827" s="94"/>
      <c r="X827" s="93"/>
      <c r="Y827" s="93"/>
      <c r="Z827" s="85"/>
      <c r="AA827" s="85"/>
      <c r="AB827" s="85"/>
      <c r="AC827" s="85"/>
      <c r="AD827" s="85"/>
    </row>
    <row r="828" spans="16:30" x14ac:dyDescent="0.2">
      <c r="P828" s="85"/>
      <c r="Q828" s="91"/>
      <c r="R828" s="91"/>
      <c r="S828" s="91"/>
      <c r="T828" s="92"/>
      <c r="U828" s="93"/>
      <c r="V828" s="94"/>
      <c r="W828" s="94"/>
      <c r="X828" s="93"/>
      <c r="Y828" s="93"/>
      <c r="Z828" s="85"/>
      <c r="AA828" s="85"/>
      <c r="AB828" s="85"/>
      <c r="AC828" s="85"/>
      <c r="AD828" s="85"/>
    </row>
    <row r="829" spans="16:30" x14ac:dyDescent="0.2">
      <c r="P829" s="85"/>
      <c r="Q829" s="91"/>
      <c r="R829" s="91"/>
      <c r="S829" s="91"/>
      <c r="T829" s="92"/>
      <c r="U829" s="93"/>
      <c r="V829" s="94"/>
      <c r="W829" s="94"/>
      <c r="X829" s="93"/>
      <c r="Y829" s="93"/>
      <c r="Z829" s="85"/>
      <c r="AA829" s="85"/>
      <c r="AB829" s="85"/>
      <c r="AC829" s="85"/>
      <c r="AD829" s="85"/>
    </row>
    <row r="830" spans="16:30" x14ac:dyDescent="0.2">
      <c r="P830" s="85"/>
      <c r="Q830" s="91"/>
      <c r="R830" s="91"/>
      <c r="S830" s="91"/>
      <c r="T830" s="92"/>
      <c r="U830" s="93"/>
      <c r="V830" s="94"/>
      <c r="W830" s="94"/>
      <c r="X830" s="93"/>
      <c r="Y830" s="93"/>
      <c r="Z830" s="85"/>
      <c r="AA830" s="85"/>
      <c r="AB830" s="85"/>
      <c r="AC830" s="85"/>
      <c r="AD830" s="85"/>
    </row>
    <row r="831" spans="16:30" x14ac:dyDescent="0.2">
      <c r="P831" s="85"/>
      <c r="Q831" s="91"/>
      <c r="R831" s="91"/>
      <c r="S831" s="91"/>
      <c r="T831" s="92"/>
      <c r="U831" s="93"/>
      <c r="V831" s="94"/>
      <c r="W831" s="94"/>
      <c r="X831" s="93"/>
      <c r="Y831" s="93"/>
      <c r="Z831" s="85"/>
      <c r="AA831" s="85"/>
      <c r="AB831" s="85"/>
      <c r="AC831" s="85"/>
      <c r="AD831" s="85"/>
    </row>
    <row r="832" spans="16:30" x14ac:dyDescent="0.2">
      <c r="P832" s="85"/>
      <c r="Q832" s="91"/>
      <c r="R832" s="91"/>
      <c r="S832" s="91"/>
      <c r="T832" s="92"/>
      <c r="U832" s="93"/>
      <c r="V832" s="94"/>
      <c r="W832" s="94"/>
      <c r="X832" s="93"/>
      <c r="Y832" s="93"/>
      <c r="Z832" s="85"/>
      <c r="AA832" s="85"/>
      <c r="AB832" s="85"/>
      <c r="AC832" s="85"/>
      <c r="AD832" s="85"/>
    </row>
    <row r="833" spans="16:30" x14ac:dyDescent="0.2">
      <c r="P833" s="85"/>
      <c r="Q833" s="91"/>
      <c r="R833" s="91"/>
      <c r="S833" s="91"/>
      <c r="T833" s="92"/>
      <c r="U833" s="93"/>
      <c r="V833" s="94"/>
      <c r="W833" s="94"/>
      <c r="X833" s="93"/>
      <c r="Y833" s="93"/>
      <c r="Z833" s="85"/>
      <c r="AA833" s="85"/>
      <c r="AB833" s="85"/>
      <c r="AC833" s="85"/>
      <c r="AD833" s="85"/>
    </row>
    <row r="834" spans="16:30" x14ac:dyDescent="0.2">
      <c r="P834" s="85"/>
      <c r="Q834" s="91"/>
      <c r="R834" s="91"/>
      <c r="S834" s="91"/>
      <c r="T834" s="92"/>
      <c r="U834" s="93"/>
      <c r="V834" s="94"/>
      <c r="W834" s="94"/>
      <c r="X834" s="93"/>
      <c r="Y834" s="93"/>
      <c r="Z834" s="85"/>
      <c r="AA834" s="85"/>
      <c r="AB834" s="85"/>
      <c r="AC834" s="85"/>
      <c r="AD834" s="85"/>
    </row>
    <row r="835" spans="16:30" x14ac:dyDescent="0.2">
      <c r="P835" s="85"/>
      <c r="Q835" s="91"/>
      <c r="R835" s="91"/>
      <c r="S835" s="91"/>
      <c r="T835" s="92"/>
      <c r="U835" s="93"/>
      <c r="V835" s="94"/>
      <c r="W835" s="94"/>
      <c r="X835" s="93"/>
      <c r="Y835" s="93"/>
      <c r="Z835" s="85"/>
      <c r="AA835" s="85"/>
      <c r="AB835" s="85"/>
      <c r="AC835" s="85"/>
      <c r="AD835" s="85"/>
    </row>
    <row r="836" spans="16:30" x14ac:dyDescent="0.2">
      <c r="P836" s="85"/>
      <c r="Q836" s="91"/>
      <c r="R836" s="91"/>
      <c r="S836" s="91"/>
      <c r="T836" s="92"/>
      <c r="U836" s="93"/>
      <c r="V836" s="94"/>
      <c r="W836" s="94"/>
      <c r="X836" s="93"/>
      <c r="Y836" s="93"/>
      <c r="Z836" s="85"/>
      <c r="AA836" s="85"/>
      <c r="AB836" s="85"/>
      <c r="AC836" s="85"/>
      <c r="AD836" s="85"/>
    </row>
    <row r="837" spans="16:30" x14ac:dyDescent="0.2">
      <c r="P837" s="85"/>
      <c r="Q837" s="91"/>
      <c r="R837" s="91"/>
      <c r="S837" s="91"/>
      <c r="T837" s="92"/>
      <c r="U837" s="93"/>
      <c r="V837" s="94"/>
      <c r="W837" s="94"/>
      <c r="X837" s="93"/>
      <c r="Y837" s="93"/>
      <c r="Z837" s="85"/>
      <c r="AA837" s="85"/>
      <c r="AB837" s="85"/>
      <c r="AC837" s="85"/>
      <c r="AD837" s="85"/>
    </row>
    <row r="838" spans="16:30" x14ac:dyDescent="0.2">
      <c r="P838" s="85"/>
      <c r="Q838" s="91"/>
      <c r="R838" s="91"/>
      <c r="S838" s="91"/>
      <c r="T838" s="92"/>
      <c r="U838" s="93"/>
      <c r="V838" s="94"/>
      <c r="W838" s="94"/>
      <c r="X838" s="93"/>
      <c r="Y838" s="93"/>
      <c r="Z838" s="85"/>
      <c r="AA838" s="85"/>
      <c r="AB838" s="85"/>
      <c r="AC838" s="85"/>
      <c r="AD838" s="85"/>
    </row>
    <row r="839" spans="16:30" x14ac:dyDescent="0.2">
      <c r="P839" s="85"/>
      <c r="Q839" s="91"/>
      <c r="R839" s="91"/>
      <c r="S839" s="91"/>
      <c r="T839" s="92"/>
      <c r="U839" s="93"/>
      <c r="V839" s="94"/>
      <c r="W839" s="94"/>
      <c r="X839" s="93"/>
      <c r="Y839" s="93"/>
      <c r="Z839" s="85"/>
      <c r="AA839" s="85"/>
      <c r="AB839" s="85"/>
      <c r="AC839" s="85"/>
      <c r="AD839" s="85"/>
    </row>
    <row r="840" spans="16:30" x14ac:dyDescent="0.2">
      <c r="P840" s="85"/>
      <c r="Q840" s="91"/>
      <c r="R840" s="91"/>
      <c r="S840" s="91"/>
      <c r="T840" s="92"/>
      <c r="U840" s="93"/>
      <c r="V840" s="94"/>
      <c r="W840" s="94"/>
      <c r="X840" s="93"/>
      <c r="Y840" s="93"/>
      <c r="Z840" s="85"/>
      <c r="AA840" s="85"/>
      <c r="AB840" s="85"/>
      <c r="AC840" s="85"/>
      <c r="AD840" s="85"/>
    </row>
    <row r="841" spans="16:30" x14ac:dyDescent="0.2">
      <c r="P841" s="85"/>
      <c r="Q841" s="91"/>
      <c r="R841" s="91"/>
      <c r="S841" s="91"/>
      <c r="T841" s="92"/>
      <c r="U841" s="93"/>
      <c r="V841" s="94"/>
      <c r="W841" s="94"/>
      <c r="X841" s="93"/>
      <c r="Y841" s="93"/>
      <c r="Z841" s="85"/>
      <c r="AA841" s="85"/>
      <c r="AB841" s="85"/>
      <c r="AC841" s="85"/>
      <c r="AD841" s="85"/>
    </row>
    <row r="842" spans="16:30" x14ac:dyDescent="0.2">
      <c r="P842" s="85"/>
      <c r="Q842" s="91"/>
      <c r="R842" s="91"/>
      <c r="S842" s="91"/>
      <c r="T842" s="92"/>
      <c r="U842" s="93"/>
      <c r="V842" s="94"/>
      <c r="W842" s="94"/>
      <c r="X842" s="93"/>
      <c r="Y842" s="93"/>
      <c r="Z842" s="85"/>
      <c r="AA842" s="85"/>
      <c r="AB842" s="85"/>
      <c r="AC842" s="85"/>
      <c r="AD842" s="85"/>
    </row>
    <row r="843" spans="16:30" x14ac:dyDescent="0.2">
      <c r="P843" s="85"/>
      <c r="Q843" s="91"/>
      <c r="R843" s="91"/>
      <c r="S843" s="91"/>
      <c r="T843" s="92"/>
      <c r="U843" s="93"/>
      <c r="V843" s="94"/>
      <c r="W843" s="94"/>
      <c r="X843" s="93"/>
      <c r="Y843" s="93"/>
      <c r="Z843" s="85"/>
      <c r="AA843" s="85"/>
      <c r="AB843" s="85"/>
      <c r="AC843" s="85"/>
      <c r="AD843" s="85"/>
    </row>
    <row r="844" spans="16:30" x14ac:dyDescent="0.2">
      <c r="P844" s="85"/>
      <c r="Q844" s="91"/>
      <c r="R844" s="91"/>
      <c r="S844" s="91"/>
      <c r="T844" s="92"/>
      <c r="U844" s="93"/>
      <c r="V844" s="94"/>
      <c r="W844" s="94"/>
      <c r="X844" s="93"/>
      <c r="Y844" s="93"/>
      <c r="Z844" s="85"/>
      <c r="AA844" s="85"/>
      <c r="AB844" s="85"/>
      <c r="AC844" s="85"/>
      <c r="AD844" s="85"/>
    </row>
    <row r="845" spans="16:30" x14ac:dyDescent="0.2">
      <c r="P845" s="85"/>
      <c r="Q845" s="91"/>
      <c r="R845" s="91"/>
      <c r="S845" s="91"/>
      <c r="T845" s="92"/>
      <c r="U845" s="93"/>
      <c r="V845" s="94"/>
      <c r="W845" s="94"/>
      <c r="X845" s="93"/>
      <c r="Y845" s="93"/>
      <c r="Z845" s="85"/>
      <c r="AA845" s="85"/>
      <c r="AB845" s="85"/>
      <c r="AC845" s="85"/>
      <c r="AD845" s="85"/>
    </row>
    <row r="846" spans="16:30" x14ac:dyDescent="0.2">
      <c r="P846" s="85"/>
      <c r="Q846" s="91"/>
      <c r="R846" s="91"/>
      <c r="S846" s="91"/>
      <c r="T846" s="92"/>
      <c r="U846" s="93"/>
      <c r="V846" s="94"/>
      <c r="W846" s="94"/>
      <c r="X846" s="93"/>
      <c r="Y846" s="93"/>
      <c r="Z846" s="85"/>
      <c r="AA846" s="85"/>
      <c r="AB846" s="85"/>
      <c r="AC846" s="85"/>
      <c r="AD846" s="85"/>
    </row>
    <row r="847" spans="16:30" x14ac:dyDescent="0.2">
      <c r="P847" s="85"/>
      <c r="Q847" s="91"/>
      <c r="R847" s="91"/>
      <c r="S847" s="91"/>
      <c r="T847" s="92"/>
      <c r="U847" s="93"/>
      <c r="V847" s="94"/>
      <c r="W847" s="94"/>
      <c r="X847" s="93"/>
      <c r="Y847" s="93"/>
      <c r="Z847" s="85"/>
      <c r="AA847" s="85"/>
      <c r="AB847" s="85"/>
      <c r="AC847" s="85"/>
      <c r="AD847" s="85"/>
    </row>
    <row r="848" spans="16:30" x14ac:dyDescent="0.2">
      <c r="P848" s="85"/>
      <c r="Q848" s="91"/>
      <c r="R848" s="91"/>
      <c r="S848" s="91"/>
      <c r="T848" s="92"/>
      <c r="U848" s="93"/>
      <c r="V848" s="94"/>
      <c r="W848" s="94"/>
      <c r="X848" s="93"/>
      <c r="Y848" s="93"/>
      <c r="Z848" s="85"/>
      <c r="AA848" s="85"/>
      <c r="AB848" s="85"/>
      <c r="AC848" s="85"/>
      <c r="AD848" s="85"/>
    </row>
    <row r="849" spans="16:30" x14ac:dyDescent="0.2">
      <c r="P849" s="85"/>
      <c r="Q849" s="91"/>
      <c r="R849" s="91"/>
      <c r="S849" s="91"/>
      <c r="T849" s="92"/>
      <c r="U849" s="93"/>
      <c r="V849" s="94"/>
      <c r="W849" s="94"/>
      <c r="X849" s="93"/>
      <c r="Y849" s="93"/>
      <c r="Z849" s="85"/>
      <c r="AA849" s="85"/>
      <c r="AB849" s="85"/>
      <c r="AC849" s="85"/>
      <c r="AD849" s="85"/>
    </row>
    <row r="850" spans="16:30" x14ac:dyDescent="0.2">
      <c r="P850" s="85"/>
      <c r="Q850" s="91"/>
      <c r="R850" s="91"/>
      <c r="S850" s="91"/>
      <c r="T850" s="92"/>
      <c r="U850" s="93"/>
      <c r="V850" s="94"/>
      <c r="W850" s="94"/>
      <c r="X850" s="93"/>
      <c r="Y850" s="93"/>
      <c r="Z850" s="85"/>
      <c r="AA850" s="85"/>
      <c r="AB850" s="85"/>
      <c r="AC850" s="85"/>
      <c r="AD850" s="85"/>
    </row>
    <row r="851" spans="16:30" x14ac:dyDescent="0.2">
      <c r="P851" s="85"/>
      <c r="Q851" s="91"/>
      <c r="R851" s="91"/>
      <c r="S851" s="91"/>
      <c r="T851" s="92"/>
      <c r="U851" s="93"/>
      <c r="V851" s="94"/>
      <c r="W851" s="94"/>
      <c r="X851" s="93"/>
      <c r="Y851" s="93"/>
      <c r="Z851" s="85"/>
      <c r="AA851" s="85"/>
      <c r="AB851" s="85"/>
      <c r="AC851" s="85"/>
      <c r="AD851" s="85"/>
    </row>
    <row r="852" spans="16:30" x14ac:dyDescent="0.2">
      <c r="P852" s="85"/>
      <c r="Q852" s="91"/>
      <c r="R852" s="91"/>
      <c r="S852" s="91"/>
      <c r="T852" s="92"/>
      <c r="U852" s="93"/>
      <c r="V852" s="94"/>
      <c r="W852" s="94"/>
      <c r="X852" s="93"/>
      <c r="Y852" s="93"/>
      <c r="Z852" s="85"/>
      <c r="AA852" s="85"/>
      <c r="AB852" s="85"/>
      <c r="AC852" s="85"/>
      <c r="AD852" s="85"/>
    </row>
    <row r="853" spans="16:30" x14ac:dyDescent="0.2">
      <c r="P853" s="85"/>
      <c r="Q853" s="91"/>
      <c r="R853" s="91"/>
      <c r="S853" s="91"/>
      <c r="T853" s="92"/>
      <c r="U853" s="93"/>
      <c r="V853" s="94"/>
      <c r="W853" s="94"/>
      <c r="X853" s="93"/>
      <c r="Y853" s="93"/>
      <c r="Z853" s="85"/>
      <c r="AA853" s="85"/>
      <c r="AB853" s="85"/>
      <c r="AC853" s="85"/>
      <c r="AD853" s="85"/>
    </row>
    <row r="854" spans="16:30" x14ac:dyDescent="0.2">
      <c r="P854" s="85"/>
      <c r="Q854" s="91"/>
      <c r="R854" s="91"/>
      <c r="S854" s="91"/>
      <c r="T854" s="92"/>
      <c r="U854" s="93"/>
      <c r="V854" s="94"/>
      <c r="W854" s="94"/>
      <c r="X854" s="93"/>
      <c r="Y854" s="93"/>
      <c r="Z854" s="85"/>
      <c r="AA854" s="85"/>
      <c r="AB854" s="85"/>
      <c r="AC854" s="85"/>
      <c r="AD854" s="85"/>
    </row>
    <row r="855" spans="16:30" x14ac:dyDescent="0.2">
      <c r="P855" s="85"/>
      <c r="Q855" s="91"/>
      <c r="R855" s="91"/>
      <c r="S855" s="91"/>
      <c r="T855" s="92"/>
      <c r="U855" s="93"/>
      <c r="V855" s="94"/>
      <c r="W855" s="94"/>
      <c r="X855" s="93"/>
      <c r="Y855" s="93"/>
      <c r="Z855" s="85"/>
      <c r="AA855" s="85"/>
      <c r="AB855" s="85"/>
      <c r="AC855" s="85"/>
      <c r="AD855" s="85"/>
    </row>
    <row r="856" spans="16:30" x14ac:dyDescent="0.2">
      <c r="P856" s="85"/>
      <c r="Q856" s="91"/>
      <c r="R856" s="91"/>
      <c r="S856" s="91"/>
      <c r="T856" s="92"/>
      <c r="U856" s="93"/>
      <c r="V856" s="94"/>
      <c r="W856" s="94"/>
      <c r="X856" s="93"/>
      <c r="Y856" s="93"/>
      <c r="Z856" s="85"/>
      <c r="AA856" s="85"/>
      <c r="AB856" s="85"/>
      <c r="AC856" s="85"/>
      <c r="AD856" s="85"/>
    </row>
    <row r="857" spans="16:30" x14ac:dyDescent="0.2">
      <c r="P857" s="85"/>
      <c r="Q857" s="91"/>
      <c r="R857" s="91"/>
      <c r="S857" s="91"/>
      <c r="T857" s="92"/>
      <c r="U857" s="93"/>
      <c r="V857" s="94"/>
      <c r="W857" s="94"/>
      <c r="X857" s="93"/>
      <c r="Y857" s="93"/>
      <c r="Z857" s="85"/>
      <c r="AA857" s="85"/>
      <c r="AB857" s="85"/>
      <c r="AC857" s="85"/>
      <c r="AD857" s="85"/>
    </row>
    <row r="858" spans="16:30" x14ac:dyDescent="0.2">
      <c r="P858" s="85"/>
      <c r="Q858" s="91"/>
      <c r="R858" s="91"/>
      <c r="S858" s="91"/>
      <c r="T858" s="92"/>
      <c r="U858" s="93"/>
      <c r="V858" s="94"/>
      <c r="W858" s="94"/>
      <c r="X858" s="93"/>
      <c r="Y858" s="93"/>
      <c r="Z858" s="85"/>
      <c r="AA858" s="85"/>
      <c r="AB858" s="85"/>
      <c r="AC858" s="85"/>
      <c r="AD858" s="85"/>
    </row>
    <row r="859" spans="16:30" x14ac:dyDescent="0.2">
      <c r="P859" s="85"/>
      <c r="Q859" s="91"/>
      <c r="R859" s="91"/>
      <c r="S859" s="91"/>
      <c r="T859" s="92"/>
      <c r="U859" s="93"/>
      <c r="V859" s="94"/>
      <c r="W859" s="94"/>
      <c r="X859" s="93"/>
      <c r="Y859" s="93"/>
      <c r="Z859" s="85"/>
      <c r="AA859" s="85"/>
      <c r="AB859" s="85"/>
      <c r="AC859" s="85"/>
      <c r="AD859" s="85"/>
    </row>
    <row r="860" spans="16:30" x14ac:dyDescent="0.2">
      <c r="P860" s="85"/>
      <c r="Q860" s="91"/>
      <c r="R860" s="91"/>
      <c r="S860" s="91"/>
      <c r="T860" s="92"/>
      <c r="U860" s="93"/>
      <c r="V860" s="94"/>
      <c r="W860" s="94"/>
      <c r="X860" s="93"/>
      <c r="Y860" s="93"/>
      <c r="Z860" s="85"/>
      <c r="AA860" s="85"/>
      <c r="AB860" s="85"/>
      <c r="AC860" s="85"/>
      <c r="AD860" s="85"/>
    </row>
    <row r="861" spans="16:30" x14ac:dyDescent="0.2">
      <c r="P861" s="85"/>
      <c r="Q861" s="91"/>
      <c r="R861" s="91"/>
      <c r="S861" s="91"/>
      <c r="T861" s="92"/>
      <c r="U861" s="93"/>
      <c r="V861" s="94"/>
      <c r="W861" s="94"/>
      <c r="X861" s="93"/>
      <c r="Y861" s="93"/>
      <c r="Z861" s="85"/>
      <c r="AA861" s="85"/>
      <c r="AB861" s="85"/>
      <c r="AC861" s="85"/>
      <c r="AD861" s="85"/>
    </row>
    <row r="862" spans="16:30" x14ac:dyDescent="0.2">
      <c r="P862" s="85"/>
      <c r="Q862" s="91"/>
      <c r="R862" s="91"/>
      <c r="S862" s="91"/>
      <c r="T862" s="92"/>
      <c r="U862" s="93"/>
      <c r="V862" s="94"/>
      <c r="W862" s="94"/>
      <c r="X862" s="93"/>
      <c r="Y862" s="93"/>
      <c r="Z862" s="85"/>
      <c r="AA862" s="85"/>
      <c r="AB862" s="85"/>
      <c r="AC862" s="85"/>
      <c r="AD862" s="85"/>
    </row>
    <row r="863" spans="16:30" x14ac:dyDescent="0.2">
      <c r="P863" s="85"/>
      <c r="Q863" s="91"/>
      <c r="R863" s="91"/>
      <c r="S863" s="91"/>
      <c r="T863" s="92"/>
      <c r="U863" s="93"/>
      <c r="V863" s="94"/>
      <c r="W863" s="94"/>
      <c r="X863" s="93"/>
      <c r="Y863" s="93"/>
      <c r="Z863" s="85"/>
      <c r="AA863" s="85"/>
      <c r="AB863" s="85"/>
      <c r="AC863" s="85"/>
      <c r="AD863" s="85"/>
    </row>
    <row r="864" spans="16:30" x14ac:dyDescent="0.2">
      <c r="P864" s="85"/>
      <c r="Q864" s="91"/>
      <c r="R864" s="91"/>
      <c r="S864" s="91"/>
      <c r="T864" s="92"/>
      <c r="U864" s="93"/>
      <c r="V864" s="94"/>
      <c r="W864" s="94"/>
      <c r="X864" s="93"/>
      <c r="Y864" s="93"/>
      <c r="Z864" s="85"/>
      <c r="AA864" s="85"/>
      <c r="AB864" s="85"/>
      <c r="AC864" s="85"/>
      <c r="AD864" s="85"/>
    </row>
    <row r="865" spans="16:30" x14ac:dyDescent="0.2">
      <c r="P865" s="85"/>
      <c r="Q865" s="91"/>
      <c r="R865" s="91"/>
      <c r="S865" s="91"/>
      <c r="T865" s="92"/>
      <c r="U865" s="93"/>
      <c r="V865" s="94"/>
      <c r="W865" s="94"/>
      <c r="X865" s="93"/>
      <c r="Y865" s="93"/>
      <c r="Z865" s="85"/>
      <c r="AA865" s="85"/>
      <c r="AB865" s="85"/>
      <c r="AC865" s="85"/>
      <c r="AD865" s="85"/>
    </row>
    <row r="866" spans="16:30" x14ac:dyDescent="0.2">
      <c r="P866" s="85"/>
      <c r="Q866" s="91"/>
      <c r="R866" s="91"/>
      <c r="S866" s="91"/>
      <c r="T866" s="92"/>
      <c r="U866" s="93"/>
      <c r="V866" s="94"/>
      <c r="W866" s="94"/>
      <c r="X866" s="93"/>
      <c r="Y866" s="93"/>
      <c r="Z866" s="85"/>
      <c r="AA866" s="85"/>
      <c r="AB866" s="85"/>
      <c r="AC866" s="85"/>
      <c r="AD866" s="85"/>
    </row>
    <row r="867" spans="16:30" x14ac:dyDescent="0.2">
      <c r="P867" s="85"/>
      <c r="Q867" s="91"/>
      <c r="R867" s="91"/>
      <c r="S867" s="91"/>
      <c r="T867" s="92"/>
      <c r="U867" s="93"/>
      <c r="V867" s="94"/>
      <c r="W867" s="94"/>
      <c r="X867" s="93"/>
      <c r="Y867" s="93"/>
      <c r="Z867" s="85"/>
      <c r="AA867" s="85"/>
      <c r="AB867" s="85"/>
      <c r="AC867" s="85"/>
      <c r="AD867" s="85"/>
    </row>
    <row r="868" spans="16:30" x14ac:dyDescent="0.2">
      <c r="P868" s="85"/>
      <c r="Q868" s="91"/>
      <c r="R868" s="91"/>
      <c r="S868" s="91"/>
      <c r="T868" s="92"/>
      <c r="U868" s="93"/>
      <c r="V868" s="94"/>
      <c r="W868" s="94"/>
      <c r="X868" s="93"/>
      <c r="Y868" s="93"/>
      <c r="Z868" s="85"/>
      <c r="AA868" s="85"/>
      <c r="AB868" s="85"/>
      <c r="AC868" s="85"/>
      <c r="AD868" s="85"/>
    </row>
    <row r="869" spans="16:30" x14ac:dyDescent="0.2">
      <c r="P869" s="85"/>
      <c r="Q869" s="91"/>
      <c r="R869" s="91"/>
      <c r="S869" s="91"/>
      <c r="T869" s="92"/>
      <c r="U869" s="93"/>
      <c r="V869" s="94"/>
      <c r="W869" s="94"/>
      <c r="X869" s="93"/>
      <c r="Y869" s="93"/>
      <c r="Z869" s="85"/>
      <c r="AA869" s="85"/>
      <c r="AB869" s="85"/>
      <c r="AC869" s="85"/>
      <c r="AD869" s="85"/>
    </row>
    <row r="870" spans="16:30" x14ac:dyDescent="0.2">
      <c r="P870" s="85"/>
      <c r="Q870" s="91"/>
      <c r="R870" s="91"/>
      <c r="S870" s="91"/>
      <c r="T870" s="92"/>
      <c r="U870" s="93"/>
      <c r="V870" s="94"/>
      <c r="W870" s="94"/>
      <c r="X870" s="93"/>
      <c r="Y870" s="93"/>
      <c r="Z870" s="85"/>
      <c r="AA870" s="85"/>
      <c r="AB870" s="85"/>
      <c r="AC870" s="85"/>
      <c r="AD870" s="85"/>
    </row>
    <row r="871" spans="16:30" x14ac:dyDescent="0.2">
      <c r="P871" s="85"/>
      <c r="Q871" s="91"/>
      <c r="R871" s="91"/>
      <c r="S871" s="91"/>
      <c r="T871" s="92"/>
      <c r="U871" s="93"/>
      <c r="V871" s="94"/>
      <c r="W871" s="94"/>
      <c r="X871" s="93"/>
      <c r="Y871" s="93"/>
      <c r="Z871" s="85"/>
      <c r="AA871" s="85"/>
      <c r="AB871" s="85"/>
      <c r="AC871" s="85"/>
      <c r="AD871" s="85"/>
    </row>
    <row r="872" spans="16:30" x14ac:dyDescent="0.2">
      <c r="P872" s="85"/>
      <c r="Q872" s="91"/>
      <c r="R872" s="91"/>
      <c r="S872" s="91"/>
      <c r="T872" s="92"/>
      <c r="U872" s="93"/>
      <c r="V872" s="94"/>
      <c r="W872" s="94"/>
      <c r="X872" s="93"/>
      <c r="Y872" s="93"/>
      <c r="Z872" s="85"/>
      <c r="AA872" s="85"/>
      <c r="AB872" s="85"/>
      <c r="AC872" s="85"/>
      <c r="AD872" s="85"/>
    </row>
    <row r="873" spans="16:30" x14ac:dyDescent="0.2">
      <c r="P873" s="85"/>
      <c r="Q873" s="91"/>
      <c r="R873" s="91"/>
      <c r="S873" s="91"/>
      <c r="T873" s="92"/>
      <c r="U873" s="93"/>
      <c r="V873" s="94"/>
      <c r="W873" s="94"/>
      <c r="X873" s="93"/>
      <c r="Y873" s="93"/>
      <c r="Z873" s="85"/>
      <c r="AA873" s="85"/>
      <c r="AB873" s="85"/>
      <c r="AC873" s="85"/>
      <c r="AD873" s="85"/>
    </row>
    <row r="874" spans="16:30" x14ac:dyDescent="0.2">
      <c r="P874" s="85"/>
      <c r="Q874" s="91"/>
      <c r="R874" s="91"/>
      <c r="S874" s="91"/>
      <c r="T874" s="92"/>
      <c r="U874" s="93"/>
      <c r="V874" s="94"/>
      <c r="W874" s="94"/>
      <c r="X874" s="93"/>
      <c r="Y874" s="93"/>
      <c r="Z874" s="85"/>
      <c r="AA874" s="85"/>
      <c r="AB874" s="85"/>
      <c r="AC874" s="85"/>
      <c r="AD874" s="85"/>
    </row>
    <row r="875" spans="16:30" x14ac:dyDescent="0.2">
      <c r="P875" s="85"/>
      <c r="Q875" s="91"/>
      <c r="R875" s="91"/>
      <c r="S875" s="91"/>
      <c r="T875" s="92"/>
      <c r="U875" s="93"/>
      <c r="V875" s="94"/>
      <c r="W875" s="94"/>
      <c r="X875" s="93"/>
      <c r="Y875" s="93"/>
      <c r="Z875" s="85"/>
      <c r="AA875" s="85"/>
      <c r="AB875" s="85"/>
      <c r="AC875" s="85"/>
      <c r="AD875" s="85"/>
    </row>
    <row r="876" spans="16:30" x14ac:dyDescent="0.2">
      <c r="P876" s="85"/>
      <c r="Q876" s="91"/>
      <c r="R876" s="91"/>
      <c r="S876" s="91"/>
      <c r="T876" s="92"/>
      <c r="U876" s="93"/>
      <c r="V876" s="94"/>
      <c r="W876" s="94"/>
      <c r="X876" s="93"/>
      <c r="Y876" s="93"/>
      <c r="Z876" s="85"/>
      <c r="AA876" s="85"/>
      <c r="AB876" s="85"/>
      <c r="AC876" s="85"/>
      <c r="AD876" s="85"/>
    </row>
    <row r="877" spans="16:30" x14ac:dyDescent="0.2">
      <c r="P877" s="85"/>
      <c r="Q877" s="91"/>
      <c r="R877" s="91"/>
      <c r="S877" s="91"/>
      <c r="T877" s="92"/>
      <c r="U877" s="93"/>
      <c r="V877" s="94"/>
      <c r="W877" s="94"/>
      <c r="X877" s="93"/>
      <c r="Y877" s="93"/>
      <c r="Z877" s="85"/>
      <c r="AA877" s="85"/>
      <c r="AB877" s="85"/>
      <c r="AC877" s="85"/>
      <c r="AD877" s="85"/>
    </row>
    <row r="878" spans="16:30" x14ac:dyDescent="0.2">
      <c r="P878" s="85"/>
      <c r="Q878" s="91"/>
      <c r="R878" s="91"/>
      <c r="S878" s="91"/>
      <c r="T878" s="92"/>
      <c r="U878" s="93"/>
      <c r="V878" s="94"/>
      <c r="W878" s="94"/>
      <c r="X878" s="93"/>
      <c r="Y878" s="93"/>
      <c r="Z878" s="85"/>
      <c r="AA878" s="85"/>
      <c r="AB878" s="85"/>
      <c r="AC878" s="85"/>
      <c r="AD878" s="85"/>
    </row>
    <row r="879" spans="16:30" x14ac:dyDescent="0.2">
      <c r="P879" s="85"/>
      <c r="Q879" s="91"/>
      <c r="R879" s="91"/>
      <c r="S879" s="91"/>
      <c r="T879" s="92"/>
      <c r="U879" s="93"/>
      <c r="V879" s="94"/>
      <c r="W879" s="94"/>
      <c r="X879" s="93"/>
      <c r="Y879" s="93"/>
      <c r="Z879" s="85"/>
      <c r="AA879" s="85"/>
      <c r="AB879" s="85"/>
      <c r="AC879" s="85"/>
      <c r="AD879" s="85"/>
    </row>
    <row r="880" spans="16:30" x14ac:dyDescent="0.2">
      <c r="P880" s="85"/>
      <c r="Q880" s="91"/>
      <c r="R880" s="91"/>
      <c r="S880" s="91"/>
      <c r="T880" s="92"/>
      <c r="U880" s="93"/>
      <c r="V880" s="94"/>
      <c r="W880" s="94"/>
      <c r="X880" s="93"/>
      <c r="Y880" s="93"/>
      <c r="Z880" s="85"/>
      <c r="AA880" s="85"/>
      <c r="AB880" s="85"/>
      <c r="AC880" s="85"/>
      <c r="AD880" s="85"/>
    </row>
    <row r="881" spans="16:30" x14ac:dyDescent="0.2">
      <c r="P881" s="85"/>
      <c r="Q881" s="91"/>
      <c r="R881" s="91"/>
      <c r="S881" s="91"/>
      <c r="T881" s="92"/>
      <c r="U881" s="93"/>
      <c r="V881" s="94"/>
      <c r="W881" s="94"/>
      <c r="X881" s="93"/>
      <c r="Y881" s="93"/>
      <c r="Z881" s="85"/>
      <c r="AA881" s="85"/>
      <c r="AB881" s="85"/>
      <c r="AC881" s="85"/>
      <c r="AD881" s="85"/>
    </row>
    <row r="882" spans="16:30" x14ac:dyDescent="0.2">
      <c r="P882" s="85"/>
      <c r="Q882" s="91"/>
      <c r="R882" s="91"/>
      <c r="S882" s="91"/>
      <c r="T882" s="92"/>
      <c r="U882" s="93"/>
      <c r="V882" s="94"/>
      <c r="W882" s="94"/>
      <c r="X882" s="93"/>
      <c r="Y882" s="93"/>
      <c r="Z882" s="85"/>
      <c r="AA882" s="85"/>
      <c r="AB882" s="85"/>
      <c r="AC882" s="85"/>
      <c r="AD882" s="85"/>
    </row>
    <row r="883" spans="16:30" x14ac:dyDescent="0.2">
      <c r="P883" s="85"/>
      <c r="Q883" s="91"/>
      <c r="R883" s="91"/>
      <c r="S883" s="91"/>
      <c r="T883" s="92"/>
      <c r="U883" s="93"/>
      <c r="V883" s="94"/>
      <c r="W883" s="94"/>
      <c r="X883" s="93"/>
      <c r="Y883" s="93"/>
      <c r="Z883" s="85"/>
      <c r="AA883" s="85"/>
      <c r="AB883" s="85"/>
      <c r="AC883" s="85"/>
      <c r="AD883" s="85"/>
    </row>
    <row r="884" spans="16:30" x14ac:dyDescent="0.2">
      <c r="P884" s="85"/>
      <c r="Q884" s="91"/>
      <c r="R884" s="91"/>
      <c r="S884" s="91"/>
      <c r="T884" s="92"/>
      <c r="U884" s="93"/>
      <c r="V884" s="94"/>
      <c r="W884" s="94"/>
      <c r="X884" s="93"/>
      <c r="Y884" s="93"/>
      <c r="Z884" s="85"/>
      <c r="AA884" s="85"/>
      <c r="AB884" s="85"/>
      <c r="AC884" s="85"/>
      <c r="AD884" s="85"/>
    </row>
    <row r="885" spans="16:30" x14ac:dyDescent="0.2">
      <c r="P885" s="85"/>
      <c r="Q885" s="91"/>
      <c r="R885" s="91"/>
      <c r="S885" s="91"/>
      <c r="T885" s="92"/>
      <c r="U885" s="93"/>
      <c r="V885" s="94"/>
      <c r="W885" s="94"/>
      <c r="X885" s="93"/>
      <c r="Y885" s="93"/>
      <c r="Z885" s="85"/>
      <c r="AA885" s="85"/>
      <c r="AB885" s="85"/>
      <c r="AC885" s="85"/>
      <c r="AD885" s="85"/>
    </row>
    <row r="886" spans="16:30" x14ac:dyDescent="0.2">
      <c r="P886" s="85"/>
      <c r="Q886" s="91"/>
      <c r="R886" s="91"/>
      <c r="S886" s="91"/>
      <c r="T886" s="92"/>
      <c r="U886" s="93"/>
      <c r="V886" s="94"/>
      <c r="W886" s="94"/>
      <c r="X886" s="93"/>
      <c r="Y886" s="93"/>
      <c r="Z886" s="85"/>
      <c r="AA886" s="85"/>
      <c r="AB886" s="85"/>
      <c r="AC886" s="85"/>
      <c r="AD886" s="85"/>
    </row>
    <row r="887" spans="16:30" x14ac:dyDescent="0.2">
      <c r="P887" s="85"/>
      <c r="Q887" s="91"/>
      <c r="R887" s="91"/>
      <c r="S887" s="91"/>
      <c r="T887" s="92"/>
      <c r="U887" s="93"/>
      <c r="V887" s="94"/>
      <c r="W887" s="94"/>
      <c r="X887" s="93"/>
      <c r="Y887" s="93"/>
      <c r="Z887" s="85"/>
      <c r="AA887" s="85"/>
      <c r="AB887" s="85"/>
      <c r="AC887" s="85"/>
      <c r="AD887" s="85"/>
    </row>
    <row r="888" spans="16:30" x14ac:dyDescent="0.2">
      <c r="P888" s="85"/>
      <c r="Q888" s="91"/>
      <c r="R888" s="91"/>
      <c r="S888" s="91"/>
      <c r="T888" s="92"/>
      <c r="U888" s="93"/>
      <c r="V888" s="94"/>
      <c r="W888" s="94"/>
      <c r="X888" s="93"/>
      <c r="Y888" s="93"/>
      <c r="Z888" s="85"/>
      <c r="AA888" s="85"/>
      <c r="AB888" s="85"/>
      <c r="AC888" s="85"/>
      <c r="AD888" s="85"/>
    </row>
    <row r="889" spans="16:30" x14ac:dyDescent="0.2">
      <c r="P889" s="85"/>
      <c r="Q889" s="91"/>
      <c r="R889" s="91"/>
      <c r="S889" s="91"/>
      <c r="T889" s="92"/>
      <c r="U889" s="93"/>
      <c r="V889" s="94"/>
      <c r="W889" s="94"/>
      <c r="X889" s="93"/>
      <c r="Y889" s="93"/>
      <c r="Z889" s="85"/>
      <c r="AA889" s="85"/>
      <c r="AB889" s="85"/>
      <c r="AC889" s="85"/>
      <c r="AD889" s="85"/>
    </row>
    <row r="890" spans="16:30" x14ac:dyDescent="0.2">
      <c r="P890" s="85"/>
      <c r="Q890" s="91"/>
      <c r="R890" s="91"/>
      <c r="S890" s="91"/>
      <c r="T890" s="92"/>
      <c r="U890" s="93"/>
      <c r="V890" s="94"/>
      <c r="W890" s="94"/>
      <c r="X890" s="93"/>
      <c r="Y890" s="93"/>
      <c r="Z890" s="85"/>
      <c r="AA890" s="85"/>
      <c r="AB890" s="85"/>
      <c r="AC890" s="85"/>
      <c r="AD890" s="85"/>
    </row>
    <row r="891" spans="16:30" x14ac:dyDescent="0.2">
      <c r="P891" s="85"/>
      <c r="Q891" s="91"/>
      <c r="R891" s="91"/>
      <c r="S891" s="91"/>
      <c r="T891" s="92"/>
      <c r="U891" s="93"/>
      <c r="V891" s="94"/>
      <c r="W891" s="94"/>
      <c r="X891" s="93"/>
      <c r="Y891" s="93"/>
      <c r="Z891" s="85"/>
      <c r="AA891" s="85"/>
      <c r="AB891" s="85"/>
      <c r="AC891" s="85"/>
      <c r="AD891" s="85"/>
    </row>
    <row r="892" spans="16:30" x14ac:dyDescent="0.2">
      <c r="P892" s="85"/>
      <c r="Q892" s="91"/>
      <c r="R892" s="91"/>
      <c r="S892" s="91"/>
      <c r="T892" s="92"/>
      <c r="U892" s="93"/>
      <c r="V892" s="94"/>
      <c r="W892" s="94"/>
      <c r="X892" s="93"/>
      <c r="Y892" s="93"/>
      <c r="Z892" s="85"/>
      <c r="AA892" s="85"/>
      <c r="AB892" s="85"/>
      <c r="AC892" s="85"/>
      <c r="AD892" s="85"/>
    </row>
    <row r="893" spans="16:30" x14ac:dyDescent="0.2">
      <c r="P893" s="85"/>
      <c r="Q893" s="91"/>
      <c r="R893" s="91"/>
      <c r="S893" s="91"/>
      <c r="T893" s="92"/>
      <c r="U893" s="93"/>
      <c r="V893" s="94"/>
      <c r="W893" s="94"/>
      <c r="X893" s="93"/>
      <c r="Y893" s="93"/>
      <c r="Z893" s="85"/>
      <c r="AA893" s="85"/>
      <c r="AB893" s="85"/>
      <c r="AC893" s="85"/>
      <c r="AD893" s="85"/>
    </row>
    <row r="894" spans="16:30" x14ac:dyDescent="0.2">
      <c r="P894" s="85"/>
      <c r="Q894" s="91"/>
      <c r="R894" s="91"/>
      <c r="S894" s="91"/>
      <c r="T894" s="92"/>
      <c r="U894" s="93"/>
      <c r="V894" s="94"/>
      <c r="W894" s="94"/>
      <c r="X894" s="93"/>
      <c r="Y894" s="93"/>
      <c r="Z894" s="85"/>
      <c r="AA894" s="85"/>
      <c r="AB894" s="85"/>
      <c r="AC894" s="85"/>
      <c r="AD894" s="85"/>
    </row>
    <row r="895" spans="16:30" x14ac:dyDescent="0.2">
      <c r="P895" s="85"/>
      <c r="Q895" s="91"/>
      <c r="R895" s="91"/>
      <c r="S895" s="91"/>
      <c r="T895" s="92"/>
      <c r="U895" s="93"/>
      <c r="V895" s="94"/>
      <c r="W895" s="94"/>
      <c r="X895" s="93"/>
      <c r="Y895" s="93"/>
      <c r="Z895" s="85"/>
      <c r="AA895" s="85"/>
      <c r="AB895" s="85"/>
      <c r="AC895" s="85"/>
      <c r="AD895" s="85"/>
    </row>
    <row r="896" spans="16:30" x14ac:dyDescent="0.2">
      <c r="P896" s="85"/>
      <c r="Q896" s="91"/>
      <c r="R896" s="91"/>
      <c r="S896" s="91"/>
      <c r="T896" s="92"/>
      <c r="U896" s="93"/>
      <c r="V896" s="94"/>
      <c r="W896" s="94"/>
      <c r="X896" s="93"/>
      <c r="Y896" s="93"/>
      <c r="Z896" s="85"/>
      <c r="AA896" s="85"/>
      <c r="AB896" s="85"/>
      <c r="AC896" s="85"/>
      <c r="AD896" s="85"/>
    </row>
    <row r="897" spans="16:30" x14ac:dyDescent="0.2">
      <c r="P897" s="85"/>
      <c r="Q897" s="91"/>
      <c r="R897" s="91"/>
      <c r="S897" s="91"/>
      <c r="T897" s="92"/>
      <c r="U897" s="93"/>
      <c r="V897" s="94"/>
      <c r="W897" s="94"/>
      <c r="X897" s="93"/>
      <c r="Y897" s="93"/>
      <c r="Z897" s="85"/>
      <c r="AA897" s="85"/>
      <c r="AB897" s="85"/>
      <c r="AC897" s="85"/>
      <c r="AD897" s="85"/>
    </row>
    <row r="898" spans="16:30" x14ac:dyDescent="0.2">
      <c r="P898" s="85"/>
      <c r="Q898" s="91"/>
      <c r="R898" s="91"/>
      <c r="S898" s="91"/>
      <c r="T898" s="92"/>
      <c r="U898" s="93"/>
      <c r="V898" s="94"/>
      <c r="W898" s="94"/>
      <c r="X898" s="93"/>
      <c r="Y898" s="93"/>
      <c r="Z898" s="85"/>
      <c r="AA898" s="85"/>
      <c r="AB898" s="85"/>
      <c r="AC898" s="85"/>
      <c r="AD898" s="85"/>
    </row>
    <row r="899" spans="16:30" x14ac:dyDescent="0.2">
      <c r="P899" s="85"/>
      <c r="Q899" s="91"/>
      <c r="R899" s="91"/>
      <c r="S899" s="91"/>
      <c r="T899" s="92"/>
      <c r="U899" s="93"/>
      <c r="V899" s="94"/>
      <c r="W899" s="94"/>
      <c r="X899" s="93"/>
      <c r="Y899" s="93"/>
      <c r="Z899" s="85"/>
      <c r="AA899" s="85"/>
      <c r="AB899" s="85"/>
      <c r="AC899" s="85"/>
      <c r="AD899" s="85"/>
    </row>
    <row r="900" spans="16:30" x14ac:dyDescent="0.2">
      <c r="P900" s="85"/>
      <c r="Q900" s="91"/>
      <c r="R900" s="91"/>
      <c r="S900" s="91"/>
      <c r="T900" s="92"/>
      <c r="U900" s="93"/>
      <c r="V900" s="94"/>
      <c r="W900" s="94"/>
      <c r="X900" s="93"/>
      <c r="Y900" s="93"/>
      <c r="Z900" s="85"/>
      <c r="AA900" s="85"/>
      <c r="AB900" s="85"/>
      <c r="AC900" s="85"/>
      <c r="AD900" s="85"/>
    </row>
    <row r="901" spans="16:30" x14ac:dyDescent="0.2">
      <c r="P901" s="85"/>
      <c r="Q901" s="91"/>
      <c r="R901" s="91"/>
      <c r="S901" s="91"/>
      <c r="T901" s="92"/>
      <c r="U901" s="93"/>
      <c r="V901" s="94"/>
      <c r="W901" s="94"/>
      <c r="X901" s="93"/>
      <c r="Y901" s="93"/>
      <c r="Z901" s="85"/>
      <c r="AA901" s="85"/>
      <c r="AB901" s="85"/>
      <c r="AC901" s="85"/>
      <c r="AD901" s="85"/>
    </row>
    <row r="902" spans="16:30" x14ac:dyDescent="0.2">
      <c r="P902" s="85"/>
      <c r="Q902" s="91"/>
      <c r="R902" s="91"/>
      <c r="S902" s="91"/>
      <c r="T902" s="92"/>
      <c r="U902" s="93"/>
      <c r="V902" s="94"/>
      <c r="W902" s="94"/>
      <c r="X902" s="93"/>
      <c r="Y902" s="93"/>
      <c r="Z902" s="85"/>
      <c r="AA902" s="85"/>
      <c r="AB902" s="85"/>
      <c r="AC902" s="85"/>
      <c r="AD902" s="85"/>
    </row>
    <row r="903" spans="16:30" x14ac:dyDescent="0.2">
      <c r="P903" s="85"/>
      <c r="Q903" s="91"/>
      <c r="R903" s="91"/>
      <c r="S903" s="91"/>
      <c r="T903" s="92"/>
      <c r="U903" s="93"/>
      <c r="V903" s="94"/>
      <c r="W903" s="94"/>
      <c r="X903" s="93"/>
      <c r="Y903" s="93"/>
      <c r="Z903" s="85"/>
      <c r="AA903" s="85"/>
      <c r="AB903" s="85"/>
      <c r="AC903" s="85"/>
      <c r="AD903" s="85"/>
    </row>
    <row r="904" spans="16:30" x14ac:dyDescent="0.2">
      <c r="P904" s="85"/>
      <c r="Q904" s="91"/>
      <c r="R904" s="91"/>
      <c r="S904" s="91"/>
      <c r="T904" s="92"/>
      <c r="U904" s="93"/>
      <c r="V904" s="94"/>
      <c r="W904" s="94"/>
      <c r="X904" s="93"/>
      <c r="Y904" s="93"/>
      <c r="Z904" s="85"/>
      <c r="AA904" s="85"/>
      <c r="AB904" s="85"/>
      <c r="AC904" s="85"/>
      <c r="AD904" s="85"/>
    </row>
    <row r="905" spans="16:30" x14ac:dyDescent="0.2">
      <c r="P905" s="85"/>
      <c r="Q905" s="91"/>
      <c r="R905" s="91"/>
      <c r="S905" s="91"/>
      <c r="T905" s="92"/>
      <c r="U905" s="93"/>
      <c r="V905" s="94"/>
      <c r="W905" s="94"/>
      <c r="X905" s="93"/>
      <c r="Y905" s="93"/>
      <c r="Z905" s="85"/>
      <c r="AA905" s="85"/>
      <c r="AB905" s="85"/>
      <c r="AC905" s="85"/>
      <c r="AD905" s="85"/>
    </row>
    <row r="906" spans="16:30" x14ac:dyDescent="0.2">
      <c r="P906" s="85"/>
      <c r="Q906" s="91"/>
      <c r="R906" s="91"/>
      <c r="S906" s="91"/>
      <c r="T906" s="92"/>
      <c r="U906" s="93"/>
      <c r="V906" s="94"/>
      <c r="W906" s="94"/>
      <c r="X906" s="93"/>
      <c r="Y906" s="93"/>
      <c r="Z906" s="85"/>
      <c r="AA906" s="85"/>
      <c r="AB906" s="85"/>
      <c r="AC906" s="85"/>
      <c r="AD906" s="85"/>
    </row>
    <row r="907" spans="16:30" x14ac:dyDescent="0.2">
      <c r="P907" s="85"/>
      <c r="Q907" s="91"/>
      <c r="R907" s="91"/>
      <c r="S907" s="91"/>
      <c r="T907" s="92"/>
      <c r="U907" s="93"/>
      <c r="V907" s="94"/>
      <c r="W907" s="94"/>
      <c r="X907" s="93"/>
      <c r="Y907" s="93"/>
      <c r="Z907" s="85"/>
      <c r="AA907" s="85"/>
      <c r="AB907" s="85"/>
      <c r="AC907" s="85"/>
      <c r="AD907" s="85"/>
    </row>
    <row r="908" spans="16:30" x14ac:dyDescent="0.2">
      <c r="P908" s="85"/>
      <c r="Q908" s="91"/>
      <c r="R908" s="91"/>
      <c r="S908" s="91"/>
      <c r="T908" s="92"/>
      <c r="U908" s="93"/>
      <c r="V908" s="94"/>
      <c r="W908" s="94"/>
      <c r="X908" s="93"/>
      <c r="Y908" s="93"/>
      <c r="Z908" s="85"/>
      <c r="AA908" s="85"/>
      <c r="AB908" s="85"/>
      <c r="AC908" s="85"/>
      <c r="AD908" s="85"/>
    </row>
    <row r="909" spans="16:30" x14ac:dyDescent="0.2">
      <c r="P909" s="85"/>
      <c r="Q909" s="91"/>
      <c r="R909" s="91"/>
      <c r="S909" s="91"/>
      <c r="T909" s="92"/>
      <c r="U909" s="93"/>
      <c r="V909" s="94"/>
      <c r="W909" s="94"/>
      <c r="X909" s="93"/>
      <c r="Y909" s="93"/>
      <c r="Z909" s="85"/>
      <c r="AA909" s="85"/>
      <c r="AB909" s="85"/>
      <c r="AC909" s="85"/>
      <c r="AD909" s="85"/>
    </row>
    <row r="910" spans="16:30" x14ac:dyDescent="0.2">
      <c r="P910" s="85"/>
      <c r="Q910" s="91"/>
      <c r="R910" s="91"/>
      <c r="S910" s="91"/>
      <c r="T910" s="92"/>
      <c r="U910" s="93"/>
      <c r="V910" s="94"/>
      <c r="W910" s="94"/>
      <c r="X910" s="93"/>
      <c r="Y910" s="93"/>
      <c r="Z910" s="85"/>
      <c r="AA910" s="85"/>
      <c r="AB910" s="85"/>
      <c r="AC910" s="85"/>
      <c r="AD910" s="85"/>
    </row>
    <row r="911" spans="16:30" x14ac:dyDescent="0.2">
      <c r="P911" s="85"/>
      <c r="Q911" s="91"/>
      <c r="R911" s="91"/>
      <c r="S911" s="91"/>
      <c r="T911" s="92"/>
      <c r="U911" s="93"/>
      <c r="V911" s="94"/>
      <c r="W911" s="94"/>
      <c r="X911" s="93"/>
      <c r="Y911" s="93"/>
      <c r="Z911" s="85"/>
      <c r="AA911" s="85"/>
      <c r="AB911" s="85"/>
      <c r="AC911" s="85"/>
      <c r="AD911" s="85"/>
    </row>
    <row r="912" spans="16:30" x14ac:dyDescent="0.2">
      <c r="P912" s="85"/>
      <c r="Q912" s="91"/>
      <c r="R912" s="91"/>
      <c r="S912" s="91"/>
      <c r="T912" s="92"/>
      <c r="U912" s="93"/>
      <c r="V912" s="94"/>
      <c r="W912" s="94"/>
      <c r="X912" s="93"/>
      <c r="Y912" s="93"/>
      <c r="Z912" s="85"/>
      <c r="AA912" s="85"/>
      <c r="AB912" s="85"/>
      <c r="AC912" s="85"/>
      <c r="AD912" s="85"/>
    </row>
    <row r="913" spans="16:30" x14ac:dyDescent="0.2">
      <c r="P913" s="85"/>
      <c r="Q913" s="91"/>
      <c r="R913" s="91"/>
      <c r="S913" s="91"/>
      <c r="T913" s="92"/>
      <c r="U913" s="93"/>
      <c r="V913" s="94"/>
      <c r="W913" s="94"/>
      <c r="X913" s="93"/>
      <c r="Y913" s="93"/>
      <c r="Z913" s="85"/>
      <c r="AA913" s="85"/>
      <c r="AB913" s="85"/>
      <c r="AC913" s="85"/>
      <c r="AD913" s="85"/>
    </row>
    <row r="914" spans="16:30" x14ac:dyDescent="0.2">
      <c r="P914" s="85"/>
      <c r="Q914" s="91"/>
      <c r="R914" s="91"/>
      <c r="S914" s="91"/>
      <c r="T914" s="92"/>
      <c r="U914" s="93"/>
      <c r="V914" s="94"/>
      <c r="W914" s="94"/>
      <c r="X914" s="93"/>
      <c r="Y914" s="93"/>
      <c r="Z914" s="85"/>
      <c r="AA914" s="85"/>
      <c r="AB914" s="85"/>
      <c r="AC914" s="85"/>
      <c r="AD914" s="85"/>
    </row>
    <row r="915" spans="16:30" x14ac:dyDescent="0.2">
      <c r="P915" s="85"/>
      <c r="Q915" s="91"/>
      <c r="R915" s="91"/>
      <c r="S915" s="91"/>
      <c r="T915" s="92"/>
      <c r="U915" s="93"/>
      <c r="V915" s="94"/>
      <c r="W915" s="94"/>
      <c r="X915" s="93"/>
      <c r="Y915" s="93"/>
      <c r="Z915" s="85"/>
      <c r="AA915" s="85"/>
      <c r="AB915" s="85"/>
      <c r="AC915" s="85"/>
      <c r="AD915" s="85"/>
    </row>
    <row r="916" spans="16:30" x14ac:dyDescent="0.2">
      <c r="P916" s="85"/>
      <c r="Q916" s="91"/>
      <c r="R916" s="91"/>
      <c r="S916" s="91"/>
      <c r="T916" s="92"/>
      <c r="U916" s="93"/>
      <c r="V916" s="94"/>
      <c r="W916" s="94"/>
      <c r="X916" s="93"/>
      <c r="Y916" s="93"/>
      <c r="Z916" s="85"/>
      <c r="AA916" s="85"/>
      <c r="AB916" s="85"/>
      <c r="AC916" s="85"/>
      <c r="AD916" s="85"/>
    </row>
    <row r="917" spans="16:30" x14ac:dyDescent="0.2">
      <c r="P917" s="85"/>
      <c r="Q917" s="91"/>
      <c r="R917" s="91"/>
      <c r="S917" s="91"/>
      <c r="T917" s="92"/>
      <c r="U917" s="93"/>
      <c r="V917" s="94"/>
      <c r="W917" s="94"/>
      <c r="X917" s="93"/>
      <c r="Y917" s="93"/>
      <c r="Z917" s="85"/>
      <c r="AA917" s="85"/>
      <c r="AB917" s="85"/>
      <c r="AC917" s="85"/>
      <c r="AD917" s="85"/>
    </row>
    <row r="918" spans="16:30" x14ac:dyDescent="0.2">
      <c r="P918" s="85"/>
      <c r="Q918" s="91"/>
      <c r="R918" s="91"/>
      <c r="S918" s="91"/>
      <c r="T918" s="92"/>
      <c r="U918" s="93"/>
      <c r="V918" s="94"/>
      <c r="W918" s="94"/>
      <c r="X918" s="93"/>
      <c r="Y918" s="93"/>
      <c r="Z918" s="85"/>
      <c r="AA918" s="85"/>
      <c r="AB918" s="85"/>
      <c r="AC918" s="85"/>
      <c r="AD918" s="85"/>
    </row>
    <row r="919" spans="16:30" x14ac:dyDescent="0.2">
      <c r="P919" s="85"/>
      <c r="Q919" s="91"/>
      <c r="R919" s="91"/>
      <c r="S919" s="91"/>
      <c r="T919" s="92"/>
      <c r="U919" s="93"/>
      <c r="V919" s="94"/>
      <c r="W919" s="94"/>
      <c r="X919" s="93"/>
      <c r="Y919" s="93"/>
      <c r="Z919" s="85"/>
      <c r="AA919" s="85"/>
      <c r="AB919" s="85"/>
      <c r="AC919" s="85"/>
      <c r="AD919" s="85"/>
    </row>
    <row r="920" spans="16:30" x14ac:dyDescent="0.2">
      <c r="P920" s="85"/>
      <c r="Q920" s="91"/>
      <c r="R920" s="91"/>
      <c r="S920" s="91"/>
      <c r="T920" s="92"/>
      <c r="U920" s="93"/>
      <c r="V920" s="94"/>
      <c r="W920" s="94"/>
      <c r="X920" s="93"/>
      <c r="Y920" s="93"/>
      <c r="Z920" s="85"/>
      <c r="AA920" s="85"/>
      <c r="AB920" s="85"/>
      <c r="AC920" s="85"/>
      <c r="AD920" s="85"/>
    </row>
    <row r="921" spans="16:30" x14ac:dyDescent="0.2">
      <c r="P921" s="85"/>
      <c r="Q921" s="91"/>
      <c r="R921" s="91"/>
      <c r="S921" s="91"/>
      <c r="T921" s="92"/>
      <c r="U921" s="93"/>
      <c r="V921" s="94"/>
      <c r="W921" s="94"/>
      <c r="X921" s="93"/>
      <c r="Y921" s="93"/>
      <c r="Z921" s="85"/>
      <c r="AA921" s="85"/>
      <c r="AB921" s="85"/>
      <c r="AC921" s="85"/>
      <c r="AD921" s="85"/>
    </row>
    <row r="922" spans="16:30" x14ac:dyDescent="0.2">
      <c r="P922" s="85"/>
      <c r="Q922" s="91"/>
      <c r="R922" s="91"/>
      <c r="S922" s="91"/>
      <c r="T922" s="92"/>
      <c r="U922" s="93"/>
      <c r="V922" s="94"/>
      <c r="W922" s="94"/>
      <c r="X922" s="93"/>
      <c r="Y922" s="93"/>
      <c r="Z922" s="85"/>
      <c r="AA922" s="85"/>
      <c r="AB922" s="85"/>
      <c r="AC922" s="85"/>
      <c r="AD922" s="85"/>
    </row>
    <row r="923" spans="16:30" x14ac:dyDescent="0.2">
      <c r="P923" s="85"/>
      <c r="Q923" s="91"/>
      <c r="R923" s="91"/>
      <c r="S923" s="91"/>
      <c r="T923" s="92"/>
      <c r="U923" s="93"/>
      <c r="V923" s="94"/>
      <c r="W923" s="94"/>
      <c r="X923" s="93"/>
      <c r="Y923" s="93"/>
      <c r="Z923" s="85"/>
      <c r="AA923" s="85"/>
      <c r="AB923" s="85"/>
      <c r="AC923" s="85"/>
      <c r="AD923" s="85"/>
    </row>
    <row r="924" spans="16:30" x14ac:dyDescent="0.2">
      <c r="P924" s="85"/>
      <c r="Q924" s="91"/>
      <c r="R924" s="91"/>
      <c r="S924" s="91"/>
      <c r="T924" s="92"/>
      <c r="U924" s="93"/>
      <c r="V924" s="94"/>
      <c r="W924" s="94"/>
      <c r="X924" s="93"/>
      <c r="Y924" s="93"/>
      <c r="Z924" s="85"/>
      <c r="AA924" s="85"/>
      <c r="AB924" s="85"/>
      <c r="AC924" s="85"/>
      <c r="AD924" s="85"/>
    </row>
    <row r="925" spans="16:30" x14ac:dyDescent="0.2">
      <c r="P925" s="85"/>
      <c r="Q925" s="91"/>
      <c r="R925" s="91"/>
      <c r="S925" s="91"/>
      <c r="T925" s="92"/>
      <c r="U925" s="93"/>
      <c r="V925" s="94"/>
      <c r="W925" s="94"/>
      <c r="X925" s="93"/>
      <c r="Y925" s="93"/>
      <c r="Z925" s="85"/>
      <c r="AA925" s="85"/>
      <c r="AB925" s="85"/>
      <c r="AC925" s="85"/>
      <c r="AD925" s="85"/>
    </row>
    <row r="926" spans="16:30" x14ac:dyDescent="0.2">
      <c r="P926" s="85"/>
      <c r="Q926" s="91"/>
      <c r="R926" s="91"/>
      <c r="S926" s="91"/>
      <c r="T926" s="92"/>
      <c r="U926" s="93"/>
      <c r="V926" s="94"/>
      <c r="W926" s="94"/>
      <c r="X926" s="93"/>
      <c r="Y926" s="93"/>
      <c r="Z926" s="85"/>
      <c r="AA926" s="85"/>
      <c r="AB926" s="85"/>
      <c r="AC926" s="85"/>
      <c r="AD926" s="85"/>
    </row>
    <row r="927" spans="16:30" x14ac:dyDescent="0.2">
      <c r="P927" s="85"/>
      <c r="Q927" s="91"/>
      <c r="R927" s="91"/>
      <c r="S927" s="91"/>
      <c r="T927" s="92"/>
      <c r="U927" s="93"/>
      <c r="V927" s="94"/>
      <c r="W927" s="94"/>
      <c r="X927" s="93"/>
      <c r="Y927" s="93"/>
      <c r="Z927" s="85"/>
      <c r="AA927" s="85"/>
      <c r="AB927" s="85"/>
      <c r="AC927" s="85"/>
      <c r="AD927" s="85"/>
    </row>
    <row r="928" spans="16:30" x14ac:dyDescent="0.2">
      <c r="P928" s="85"/>
      <c r="Q928" s="91"/>
      <c r="R928" s="91"/>
      <c r="S928" s="91"/>
      <c r="T928" s="92"/>
      <c r="U928" s="93"/>
      <c r="V928" s="94"/>
      <c r="W928" s="94"/>
      <c r="X928" s="93"/>
      <c r="Y928" s="93"/>
      <c r="Z928" s="85"/>
      <c r="AA928" s="85"/>
      <c r="AB928" s="85"/>
      <c r="AC928" s="85"/>
      <c r="AD928" s="85"/>
    </row>
    <row r="929" spans="16:30" x14ac:dyDescent="0.2">
      <c r="P929" s="85"/>
      <c r="Q929" s="91"/>
      <c r="R929" s="91"/>
      <c r="S929" s="91"/>
      <c r="T929" s="92"/>
      <c r="U929" s="93"/>
      <c r="V929" s="94"/>
      <c r="W929" s="94"/>
      <c r="X929" s="93"/>
      <c r="Y929" s="93"/>
      <c r="Z929" s="85"/>
      <c r="AA929" s="85"/>
      <c r="AB929" s="85"/>
      <c r="AC929" s="85"/>
      <c r="AD929" s="85"/>
    </row>
    <row r="930" spans="16:30" x14ac:dyDescent="0.2">
      <c r="P930" s="85"/>
      <c r="Q930" s="91"/>
      <c r="R930" s="91"/>
      <c r="S930" s="91"/>
      <c r="T930" s="92"/>
      <c r="U930" s="93"/>
      <c r="V930" s="94"/>
      <c r="W930" s="94"/>
      <c r="X930" s="93"/>
      <c r="Y930" s="93"/>
      <c r="Z930" s="85"/>
      <c r="AA930" s="85"/>
      <c r="AB930" s="85"/>
      <c r="AC930" s="85"/>
      <c r="AD930" s="85"/>
    </row>
    <row r="931" spans="16:30" x14ac:dyDescent="0.2">
      <c r="P931" s="85"/>
      <c r="Q931" s="91"/>
      <c r="R931" s="91"/>
      <c r="S931" s="91"/>
      <c r="T931" s="92"/>
      <c r="U931" s="93"/>
      <c r="V931" s="94"/>
      <c r="W931" s="94"/>
      <c r="X931" s="93"/>
      <c r="Y931" s="93"/>
      <c r="Z931" s="85"/>
      <c r="AA931" s="85"/>
      <c r="AB931" s="85"/>
      <c r="AC931" s="85"/>
      <c r="AD931" s="85"/>
    </row>
    <row r="932" spans="16:30" x14ac:dyDescent="0.2">
      <c r="P932" s="85"/>
      <c r="Q932" s="91"/>
      <c r="R932" s="91"/>
      <c r="S932" s="91"/>
      <c r="T932" s="92"/>
      <c r="U932" s="93"/>
      <c r="V932" s="94"/>
      <c r="W932" s="94"/>
      <c r="X932" s="93"/>
      <c r="Y932" s="93"/>
      <c r="Z932" s="85"/>
      <c r="AA932" s="85"/>
      <c r="AB932" s="85"/>
      <c r="AC932" s="85"/>
      <c r="AD932" s="85"/>
    </row>
    <row r="933" spans="16:30" x14ac:dyDescent="0.2">
      <c r="P933" s="85"/>
      <c r="Q933" s="91"/>
      <c r="R933" s="91"/>
      <c r="S933" s="91"/>
      <c r="T933" s="92"/>
      <c r="U933" s="93"/>
      <c r="V933" s="94"/>
      <c r="W933" s="94"/>
      <c r="X933" s="93"/>
      <c r="Y933" s="93"/>
      <c r="Z933" s="85"/>
      <c r="AA933" s="85"/>
      <c r="AB933" s="85"/>
      <c r="AC933" s="85"/>
      <c r="AD933" s="85"/>
    </row>
    <row r="934" spans="16:30" x14ac:dyDescent="0.2">
      <c r="P934" s="85"/>
      <c r="Q934" s="91"/>
      <c r="R934" s="91"/>
      <c r="S934" s="91"/>
      <c r="T934" s="92"/>
      <c r="U934" s="93"/>
      <c r="V934" s="94"/>
      <c r="W934" s="94"/>
      <c r="X934" s="93"/>
      <c r="Y934" s="93"/>
      <c r="Z934" s="85"/>
      <c r="AA934" s="85"/>
      <c r="AB934" s="85"/>
      <c r="AC934" s="85"/>
      <c r="AD934" s="85"/>
    </row>
    <row r="935" spans="16:30" x14ac:dyDescent="0.2">
      <c r="P935" s="85"/>
      <c r="Q935" s="91"/>
      <c r="R935" s="91"/>
      <c r="S935" s="91"/>
      <c r="T935" s="92"/>
      <c r="U935" s="93"/>
      <c r="V935" s="94"/>
      <c r="W935" s="94"/>
      <c r="X935" s="93"/>
      <c r="Y935" s="93"/>
      <c r="Z935" s="85"/>
      <c r="AA935" s="85"/>
      <c r="AB935" s="85"/>
      <c r="AC935" s="85"/>
      <c r="AD935" s="85"/>
    </row>
    <row r="936" spans="16:30" x14ac:dyDescent="0.2">
      <c r="P936" s="85"/>
      <c r="Q936" s="91"/>
      <c r="R936" s="91"/>
      <c r="S936" s="91"/>
      <c r="T936" s="92"/>
      <c r="U936" s="93"/>
      <c r="V936" s="94"/>
      <c r="W936" s="94"/>
      <c r="X936" s="93"/>
      <c r="Y936" s="93"/>
      <c r="Z936" s="85"/>
      <c r="AA936" s="85"/>
      <c r="AB936" s="85"/>
      <c r="AC936" s="85"/>
      <c r="AD936" s="85"/>
    </row>
    <row r="937" spans="16:30" x14ac:dyDescent="0.2">
      <c r="P937" s="85"/>
      <c r="Q937" s="91"/>
      <c r="R937" s="91"/>
      <c r="S937" s="91"/>
      <c r="T937" s="92"/>
      <c r="U937" s="93"/>
      <c r="V937" s="94"/>
      <c r="W937" s="94"/>
      <c r="X937" s="93"/>
      <c r="Y937" s="93"/>
      <c r="Z937" s="85"/>
      <c r="AA937" s="85"/>
      <c r="AB937" s="85"/>
      <c r="AC937" s="85"/>
      <c r="AD937" s="85"/>
    </row>
    <row r="938" spans="16:30" x14ac:dyDescent="0.2">
      <c r="P938" s="85"/>
      <c r="Q938" s="91"/>
      <c r="R938" s="91"/>
      <c r="S938" s="91"/>
      <c r="T938" s="92"/>
      <c r="U938" s="93"/>
      <c r="V938" s="94"/>
      <c r="W938" s="94"/>
      <c r="X938" s="93"/>
      <c r="Y938" s="93"/>
      <c r="Z938" s="85"/>
      <c r="AA938" s="85"/>
      <c r="AB938" s="85"/>
      <c r="AC938" s="85"/>
      <c r="AD938" s="85"/>
    </row>
    <row r="939" spans="16:30" x14ac:dyDescent="0.2">
      <c r="P939" s="85"/>
      <c r="Q939" s="91"/>
      <c r="R939" s="91"/>
      <c r="S939" s="91"/>
      <c r="T939" s="92"/>
      <c r="U939" s="93"/>
      <c r="V939" s="94"/>
      <c r="W939" s="94"/>
      <c r="X939" s="93"/>
      <c r="Y939" s="93"/>
      <c r="Z939" s="85"/>
      <c r="AA939" s="85"/>
      <c r="AB939" s="85"/>
      <c r="AC939" s="85"/>
      <c r="AD939" s="85"/>
    </row>
    <row r="940" spans="16:30" x14ac:dyDescent="0.2">
      <c r="P940" s="85"/>
      <c r="Q940" s="91"/>
      <c r="R940" s="91"/>
      <c r="S940" s="91"/>
      <c r="T940" s="92"/>
      <c r="U940" s="93"/>
      <c r="V940" s="94"/>
      <c r="W940" s="94"/>
      <c r="X940" s="93"/>
      <c r="Y940" s="93"/>
      <c r="Z940" s="85"/>
      <c r="AA940" s="85"/>
      <c r="AB940" s="85"/>
      <c r="AC940" s="85"/>
      <c r="AD940" s="85"/>
    </row>
    <row r="941" spans="16:30" x14ac:dyDescent="0.2">
      <c r="P941" s="85"/>
      <c r="Q941" s="91"/>
      <c r="R941" s="91"/>
      <c r="S941" s="91"/>
      <c r="T941" s="92"/>
      <c r="U941" s="93"/>
      <c r="V941" s="94"/>
      <c r="W941" s="94"/>
      <c r="X941" s="93"/>
      <c r="Y941" s="93"/>
      <c r="Z941" s="85"/>
      <c r="AA941" s="85"/>
      <c r="AB941" s="85"/>
      <c r="AC941" s="85"/>
      <c r="AD941" s="85"/>
    </row>
    <row r="942" spans="16:30" x14ac:dyDescent="0.2">
      <c r="P942" s="85"/>
      <c r="Q942" s="91"/>
      <c r="R942" s="91"/>
      <c r="S942" s="91"/>
      <c r="T942" s="92"/>
      <c r="U942" s="93"/>
      <c r="V942" s="94"/>
      <c r="W942" s="94"/>
      <c r="X942" s="93"/>
      <c r="Y942" s="93"/>
      <c r="Z942" s="85"/>
      <c r="AA942" s="85"/>
      <c r="AB942" s="85"/>
      <c r="AC942" s="85"/>
      <c r="AD942" s="85"/>
    </row>
    <row r="943" spans="16:30" x14ac:dyDescent="0.2">
      <c r="P943" s="85"/>
      <c r="Q943" s="91"/>
      <c r="R943" s="91"/>
      <c r="S943" s="91"/>
      <c r="T943" s="92"/>
      <c r="U943" s="93"/>
      <c r="V943" s="94"/>
      <c r="W943" s="94"/>
      <c r="X943" s="93"/>
      <c r="Y943" s="93"/>
      <c r="Z943" s="85"/>
      <c r="AA943" s="85"/>
      <c r="AB943" s="85"/>
      <c r="AC943" s="85"/>
      <c r="AD943" s="85"/>
    </row>
    <row r="944" spans="16:30" x14ac:dyDescent="0.2">
      <c r="P944" s="85"/>
      <c r="Q944" s="91"/>
      <c r="R944" s="91"/>
      <c r="S944" s="91"/>
      <c r="T944" s="92"/>
      <c r="U944" s="93"/>
      <c r="V944" s="94"/>
      <c r="W944" s="94"/>
      <c r="X944" s="93"/>
      <c r="Y944" s="93"/>
      <c r="Z944" s="85"/>
      <c r="AA944" s="85"/>
      <c r="AB944" s="85"/>
      <c r="AC944" s="85"/>
      <c r="AD944" s="85"/>
    </row>
    <row r="945" spans="16:30" x14ac:dyDescent="0.2">
      <c r="P945" s="85"/>
      <c r="Q945" s="91"/>
      <c r="R945" s="91"/>
      <c r="S945" s="91"/>
      <c r="T945" s="92"/>
      <c r="U945" s="93"/>
      <c r="V945" s="94"/>
      <c r="W945" s="94"/>
      <c r="X945" s="93"/>
      <c r="Y945" s="93"/>
      <c r="Z945" s="85"/>
      <c r="AA945" s="85"/>
      <c r="AB945" s="85"/>
      <c r="AC945" s="85"/>
      <c r="AD945" s="85"/>
    </row>
    <row r="946" spans="16:30" x14ac:dyDescent="0.2">
      <c r="P946" s="85"/>
      <c r="Q946" s="91"/>
      <c r="R946" s="91"/>
      <c r="S946" s="91"/>
      <c r="T946" s="92"/>
      <c r="U946" s="93"/>
      <c r="V946" s="94"/>
      <c r="W946" s="94"/>
      <c r="X946" s="93"/>
      <c r="Y946" s="93"/>
      <c r="Z946" s="85"/>
      <c r="AA946" s="85"/>
      <c r="AB946" s="85"/>
      <c r="AC946" s="85"/>
      <c r="AD946" s="85"/>
    </row>
    <row r="947" spans="16:30" x14ac:dyDescent="0.2">
      <c r="P947" s="85"/>
      <c r="Q947" s="91"/>
      <c r="R947" s="91"/>
      <c r="S947" s="91"/>
      <c r="T947" s="92"/>
      <c r="U947" s="93"/>
      <c r="V947" s="94"/>
      <c r="W947" s="94"/>
      <c r="X947" s="93"/>
      <c r="Y947" s="93"/>
      <c r="Z947" s="85"/>
      <c r="AA947" s="85"/>
      <c r="AB947" s="85"/>
      <c r="AC947" s="85"/>
      <c r="AD947" s="85"/>
    </row>
    <row r="948" spans="16:30" x14ac:dyDescent="0.2">
      <c r="P948" s="85"/>
      <c r="Q948" s="91"/>
      <c r="R948" s="91"/>
      <c r="S948" s="91"/>
      <c r="T948" s="92"/>
      <c r="U948" s="93"/>
      <c r="V948" s="94"/>
      <c r="W948" s="94"/>
      <c r="X948" s="93"/>
      <c r="Y948" s="93"/>
      <c r="Z948" s="85"/>
      <c r="AA948" s="85"/>
      <c r="AB948" s="85"/>
      <c r="AC948" s="85"/>
      <c r="AD948" s="85"/>
    </row>
    <row r="949" spans="16:30" x14ac:dyDescent="0.2">
      <c r="P949" s="85"/>
      <c r="Q949" s="91"/>
      <c r="R949" s="91"/>
      <c r="S949" s="91"/>
      <c r="T949" s="92"/>
      <c r="U949" s="93"/>
      <c r="V949" s="94"/>
      <c r="W949" s="94"/>
      <c r="X949" s="93"/>
      <c r="Y949" s="93"/>
      <c r="Z949" s="85"/>
      <c r="AA949" s="85"/>
      <c r="AB949" s="85"/>
      <c r="AC949" s="85"/>
      <c r="AD949" s="85"/>
    </row>
    <row r="950" spans="16:30" x14ac:dyDescent="0.2">
      <c r="P950" s="85"/>
      <c r="Q950" s="91"/>
      <c r="R950" s="91"/>
      <c r="S950" s="91"/>
      <c r="T950" s="92"/>
      <c r="U950" s="93"/>
      <c r="V950" s="94"/>
      <c r="W950" s="94"/>
      <c r="X950" s="93"/>
      <c r="Y950" s="93"/>
      <c r="Z950" s="85"/>
      <c r="AA950" s="85"/>
      <c r="AB950" s="85"/>
      <c r="AC950" s="85"/>
      <c r="AD950" s="85"/>
    </row>
    <row r="951" spans="16:30" x14ac:dyDescent="0.2">
      <c r="P951" s="85"/>
      <c r="Q951" s="91"/>
      <c r="R951" s="91"/>
      <c r="S951" s="91"/>
      <c r="T951" s="92"/>
      <c r="U951" s="93"/>
      <c r="V951" s="94"/>
      <c r="W951" s="94"/>
      <c r="X951" s="93"/>
      <c r="Y951" s="93"/>
      <c r="Z951" s="85"/>
      <c r="AA951" s="85"/>
      <c r="AB951" s="85"/>
      <c r="AC951" s="85"/>
      <c r="AD951" s="85"/>
    </row>
    <row r="952" spans="16:30" x14ac:dyDescent="0.2">
      <c r="P952" s="85"/>
      <c r="Q952" s="91"/>
      <c r="R952" s="91"/>
      <c r="S952" s="91"/>
      <c r="T952" s="92"/>
      <c r="U952" s="93"/>
      <c r="V952" s="94"/>
      <c r="W952" s="94"/>
      <c r="X952" s="93"/>
      <c r="Y952" s="93"/>
      <c r="Z952" s="85"/>
      <c r="AA952" s="85"/>
      <c r="AB952" s="85"/>
      <c r="AC952" s="85"/>
      <c r="AD952" s="85"/>
    </row>
    <row r="953" spans="16:30" x14ac:dyDescent="0.2">
      <c r="P953" s="85"/>
      <c r="Q953" s="91"/>
      <c r="R953" s="91"/>
      <c r="S953" s="91"/>
      <c r="T953" s="92"/>
      <c r="U953" s="93"/>
      <c r="V953" s="94"/>
      <c r="W953" s="94"/>
      <c r="X953" s="93"/>
      <c r="Y953" s="93"/>
      <c r="Z953" s="85"/>
      <c r="AA953" s="85"/>
      <c r="AB953" s="85"/>
      <c r="AC953" s="85"/>
      <c r="AD953" s="85"/>
    </row>
    <row r="954" spans="16:30" x14ac:dyDescent="0.2">
      <c r="P954" s="85"/>
      <c r="Q954" s="91"/>
      <c r="R954" s="91"/>
      <c r="S954" s="91"/>
      <c r="T954" s="92"/>
      <c r="U954" s="93"/>
      <c r="V954" s="94"/>
      <c r="W954" s="94"/>
      <c r="X954" s="93"/>
      <c r="Y954" s="93"/>
      <c r="Z954" s="85"/>
      <c r="AA954" s="85"/>
      <c r="AB954" s="85"/>
      <c r="AC954" s="85"/>
      <c r="AD954" s="85"/>
    </row>
    <row r="955" spans="16:30" x14ac:dyDescent="0.2">
      <c r="P955" s="85"/>
      <c r="Q955" s="91"/>
      <c r="R955" s="91"/>
      <c r="S955" s="91"/>
      <c r="T955" s="92"/>
      <c r="U955" s="93"/>
      <c r="V955" s="94"/>
      <c r="W955" s="94"/>
      <c r="X955" s="93"/>
      <c r="Y955" s="93"/>
      <c r="Z955" s="85"/>
      <c r="AA955" s="85"/>
      <c r="AB955" s="85"/>
      <c r="AC955" s="85"/>
      <c r="AD955" s="85"/>
    </row>
    <row r="956" spans="16:30" x14ac:dyDescent="0.2">
      <c r="P956" s="85"/>
      <c r="Q956" s="91"/>
      <c r="R956" s="91"/>
      <c r="S956" s="91"/>
      <c r="T956" s="92"/>
      <c r="U956" s="93"/>
      <c r="V956" s="94"/>
      <c r="W956" s="94"/>
      <c r="X956" s="93"/>
      <c r="Y956" s="93"/>
      <c r="Z956" s="85"/>
      <c r="AA956" s="85"/>
      <c r="AB956" s="85"/>
      <c r="AC956" s="85"/>
      <c r="AD956" s="85"/>
    </row>
    <row r="957" spans="16:30" x14ac:dyDescent="0.2">
      <c r="P957" s="85"/>
      <c r="Q957" s="91"/>
      <c r="R957" s="91"/>
      <c r="S957" s="91"/>
      <c r="T957" s="92"/>
      <c r="U957" s="93"/>
      <c r="V957" s="94"/>
      <c r="W957" s="94"/>
      <c r="X957" s="93"/>
      <c r="Y957" s="93"/>
      <c r="Z957" s="85"/>
      <c r="AA957" s="85"/>
      <c r="AB957" s="85"/>
      <c r="AC957" s="85"/>
      <c r="AD957" s="85"/>
    </row>
    <row r="958" spans="16:30" x14ac:dyDescent="0.2">
      <c r="P958" s="85"/>
      <c r="Q958" s="91"/>
      <c r="R958" s="91"/>
      <c r="S958" s="91"/>
      <c r="T958" s="92"/>
      <c r="U958" s="93"/>
      <c r="V958" s="94"/>
      <c r="W958" s="94"/>
      <c r="X958" s="93"/>
      <c r="Y958" s="93"/>
      <c r="Z958" s="85"/>
      <c r="AA958" s="85"/>
      <c r="AB958" s="85"/>
      <c r="AC958" s="85"/>
      <c r="AD958" s="85"/>
    </row>
    <row r="959" spans="16:30" x14ac:dyDescent="0.2">
      <c r="P959" s="85"/>
      <c r="Q959" s="91"/>
      <c r="R959" s="91"/>
      <c r="S959" s="91"/>
      <c r="T959" s="92"/>
      <c r="U959" s="93"/>
      <c r="V959" s="94"/>
      <c r="W959" s="94"/>
      <c r="X959" s="93"/>
      <c r="Y959" s="93"/>
      <c r="Z959" s="85"/>
      <c r="AA959" s="85"/>
      <c r="AB959" s="85"/>
      <c r="AC959" s="85"/>
      <c r="AD959" s="85"/>
    </row>
    <row r="960" spans="16:30" x14ac:dyDescent="0.2">
      <c r="P960" s="85"/>
      <c r="Q960" s="91"/>
      <c r="R960" s="91"/>
      <c r="S960" s="91"/>
      <c r="T960" s="92"/>
      <c r="U960" s="93"/>
      <c r="V960" s="94"/>
      <c r="W960" s="94"/>
      <c r="X960" s="93"/>
      <c r="Y960" s="93"/>
      <c r="Z960" s="85"/>
      <c r="AA960" s="85"/>
      <c r="AB960" s="85"/>
      <c r="AC960" s="85"/>
      <c r="AD960" s="85"/>
    </row>
    <row r="961" spans="16:30" x14ac:dyDescent="0.2">
      <c r="P961" s="85"/>
      <c r="Q961" s="91"/>
      <c r="R961" s="91"/>
      <c r="S961" s="91"/>
      <c r="T961" s="92"/>
      <c r="U961" s="93"/>
      <c r="V961" s="94"/>
      <c r="W961" s="94"/>
      <c r="X961" s="93"/>
      <c r="Y961" s="93"/>
      <c r="Z961" s="85"/>
      <c r="AA961" s="85"/>
      <c r="AB961" s="85"/>
      <c r="AC961" s="85"/>
      <c r="AD961" s="85"/>
    </row>
    <row r="962" spans="16:30" x14ac:dyDescent="0.2">
      <c r="P962" s="85"/>
      <c r="Q962" s="91"/>
      <c r="R962" s="91"/>
      <c r="S962" s="91"/>
      <c r="T962" s="92"/>
      <c r="U962" s="93"/>
      <c r="V962" s="94"/>
      <c r="W962" s="94"/>
      <c r="X962" s="93"/>
      <c r="Y962" s="93"/>
      <c r="Z962" s="85"/>
      <c r="AA962" s="85"/>
      <c r="AB962" s="85"/>
      <c r="AC962" s="85"/>
      <c r="AD962" s="85"/>
    </row>
    <row r="963" spans="16:30" x14ac:dyDescent="0.2">
      <c r="P963" s="85"/>
      <c r="Q963" s="91"/>
      <c r="R963" s="91"/>
      <c r="S963" s="91"/>
      <c r="T963" s="92"/>
      <c r="U963" s="93"/>
      <c r="V963" s="94"/>
      <c r="W963" s="94"/>
      <c r="X963" s="93"/>
      <c r="Y963" s="93"/>
      <c r="Z963" s="85"/>
      <c r="AA963" s="85"/>
      <c r="AB963" s="85"/>
      <c r="AC963" s="85"/>
      <c r="AD963" s="85"/>
    </row>
    <row r="964" spans="16:30" x14ac:dyDescent="0.2">
      <c r="P964" s="85"/>
      <c r="Q964" s="91"/>
      <c r="R964" s="91"/>
      <c r="S964" s="91"/>
      <c r="T964" s="92"/>
      <c r="U964" s="93"/>
      <c r="V964" s="94"/>
      <c r="W964" s="94"/>
      <c r="X964" s="93"/>
      <c r="Y964" s="93"/>
      <c r="Z964" s="85"/>
      <c r="AA964" s="85"/>
      <c r="AB964" s="85"/>
      <c r="AC964" s="85"/>
      <c r="AD964" s="85"/>
    </row>
    <row r="965" spans="16:30" x14ac:dyDescent="0.2">
      <c r="P965" s="85"/>
      <c r="Q965" s="91"/>
      <c r="R965" s="91"/>
      <c r="S965" s="91"/>
      <c r="T965" s="92"/>
      <c r="U965" s="93"/>
      <c r="V965" s="94"/>
      <c r="W965" s="94"/>
      <c r="X965" s="93"/>
      <c r="Y965" s="93"/>
      <c r="Z965" s="85"/>
      <c r="AA965" s="85"/>
      <c r="AB965" s="85"/>
      <c r="AC965" s="85"/>
      <c r="AD965" s="85"/>
    </row>
    <row r="966" spans="16:30" x14ac:dyDescent="0.2">
      <c r="P966" s="85"/>
      <c r="Q966" s="91"/>
      <c r="R966" s="91"/>
      <c r="S966" s="91"/>
      <c r="T966" s="92"/>
      <c r="U966" s="93"/>
      <c r="V966" s="94"/>
      <c r="W966" s="94"/>
      <c r="X966" s="93"/>
      <c r="Y966" s="93"/>
      <c r="Z966" s="85"/>
      <c r="AA966" s="85"/>
      <c r="AB966" s="85"/>
      <c r="AC966" s="85"/>
      <c r="AD966" s="85"/>
    </row>
    <row r="967" spans="16:30" x14ac:dyDescent="0.2">
      <c r="P967" s="85"/>
      <c r="Q967" s="91"/>
      <c r="R967" s="91"/>
      <c r="S967" s="91"/>
      <c r="T967" s="92"/>
      <c r="U967" s="93"/>
      <c r="V967" s="94"/>
      <c r="W967" s="94"/>
      <c r="X967" s="93"/>
      <c r="Y967" s="93"/>
      <c r="Z967" s="85"/>
      <c r="AA967" s="85"/>
      <c r="AB967" s="85"/>
      <c r="AC967" s="85"/>
      <c r="AD967" s="85"/>
    </row>
    <row r="968" spans="16:30" x14ac:dyDescent="0.2">
      <c r="P968" s="85"/>
      <c r="Q968" s="91"/>
      <c r="R968" s="91"/>
      <c r="S968" s="91"/>
      <c r="T968" s="92"/>
      <c r="U968" s="93"/>
      <c r="V968" s="94"/>
      <c r="W968" s="94"/>
      <c r="X968" s="93"/>
      <c r="Y968" s="93"/>
      <c r="Z968" s="85"/>
      <c r="AA968" s="85"/>
      <c r="AB968" s="85"/>
      <c r="AC968" s="85"/>
      <c r="AD968" s="85"/>
    </row>
    <row r="969" spans="16:30" x14ac:dyDescent="0.2">
      <c r="P969" s="85"/>
      <c r="Q969" s="91"/>
      <c r="R969" s="91"/>
      <c r="S969" s="91"/>
      <c r="T969" s="92"/>
      <c r="U969" s="93"/>
      <c r="V969" s="94"/>
      <c r="W969" s="94"/>
      <c r="X969" s="93"/>
      <c r="Y969" s="93"/>
      <c r="Z969" s="85"/>
      <c r="AA969" s="85"/>
      <c r="AB969" s="85"/>
      <c r="AC969" s="85"/>
      <c r="AD969" s="85"/>
    </row>
    <row r="970" spans="16:30" x14ac:dyDescent="0.2">
      <c r="P970" s="85"/>
      <c r="Q970" s="91"/>
      <c r="R970" s="91"/>
      <c r="S970" s="91"/>
      <c r="T970" s="92"/>
      <c r="U970" s="93"/>
      <c r="V970" s="94"/>
      <c r="W970" s="94"/>
      <c r="X970" s="93"/>
      <c r="Y970" s="93"/>
      <c r="Z970" s="85"/>
      <c r="AA970" s="85"/>
      <c r="AB970" s="85"/>
      <c r="AC970" s="85"/>
      <c r="AD970" s="85"/>
    </row>
    <row r="971" spans="16:30" x14ac:dyDescent="0.2">
      <c r="P971" s="85"/>
      <c r="Q971" s="91"/>
      <c r="R971" s="91"/>
      <c r="S971" s="91"/>
      <c r="T971" s="92"/>
      <c r="U971" s="93"/>
      <c r="V971" s="94"/>
      <c r="W971" s="94"/>
      <c r="X971" s="93"/>
      <c r="Y971" s="93"/>
      <c r="Z971" s="85"/>
      <c r="AA971" s="85"/>
      <c r="AB971" s="85"/>
      <c r="AC971" s="85"/>
      <c r="AD971" s="85"/>
    </row>
    <row r="972" spans="16:30" x14ac:dyDescent="0.2">
      <c r="P972" s="85"/>
      <c r="Q972" s="91"/>
      <c r="R972" s="91"/>
      <c r="S972" s="91"/>
      <c r="T972" s="92"/>
      <c r="U972" s="93"/>
      <c r="V972" s="94"/>
      <c r="W972" s="94"/>
      <c r="X972" s="93"/>
      <c r="Y972" s="93"/>
      <c r="Z972" s="85"/>
      <c r="AA972" s="85"/>
      <c r="AB972" s="85"/>
      <c r="AC972" s="85"/>
      <c r="AD972" s="85"/>
    </row>
    <row r="973" spans="16:30" x14ac:dyDescent="0.2">
      <c r="P973" s="85"/>
      <c r="Q973" s="91"/>
      <c r="R973" s="91"/>
      <c r="S973" s="91"/>
      <c r="T973" s="92"/>
      <c r="U973" s="93"/>
      <c r="V973" s="94"/>
      <c r="W973" s="94"/>
      <c r="X973" s="93"/>
      <c r="Y973" s="93"/>
      <c r="Z973" s="85"/>
      <c r="AA973" s="85"/>
      <c r="AB973" s="85"/>
      <c r="AC973" s="85"/>
      <c r="AD973" s="85"/>
    </row>
    <row r="974" spans="16:30" x14ac:dyDescent="0.2">
      <c r="P974" s="85"/>
      <c r="Q974" s="91"/>
      <c r="R974" s="91"/>
      <c r="S974" s="91"/>
      <c r="T974" s="92"/>
      <c r="U974" s="93"/>
      <c r="V974" s="94"/>
      <c r="W974" s="94"/>
      <c r="X974" s="93"/>
      <c r="Y974" s="93"/>
      <c r="Z974" s="85"/>
      <c r="AA974" s="85"/>
      <c r="AB974" s="85"/>
      <c r="AC974" s="85"/>
      <c r="AD974" s="85"/>
    </row>
    <row r="975" spans="16:30" x14ac:dyDescent="0.2">
      <c r="P975" s="85"/>
      <c r="Q975" s="91"/>
      <c r="R975" s="91"/>
      <c r="S975" s="91"/>
      <c r="T975" s="92"/>
      <c r="U975" s="93"/>
      <c r="V975" s="94"/>
      <c r="W975" s="94"/>
      <c r="X975" s="93"/>
      <c r="Y975" s="93"/>
      <c r="Z975" s="85"/>
      <c r="AA975" s="85"/>
      <c r="AB975" s="85"/>
      <c r="AC975" s="85"/>
      <c r="AD975" s="85"/>
    </row>
    <row r="976" spans="16:30" x14ac:dyDescent="0.2">
      <c r="P976" s="85"/>
      <c r="Q976" s="91"/>
      <c r="R976" s="91"/>
      <c r="S976" s="91"/>
      <c r="T976" s="92"/>
      <c r="U976" s="93"/>
      <c r="V976" s="94"/>
      <c r="W976" s="94"/>
      <c r="X976" s="93"/>
      <c r="Y976" s="93"/>
      <c r="Z976" s="85"/>
      <c r="AA976" s="85"/>
      <c r="AB976" s="85"/>
      <c r="AC976" s="85"/>
      <c r="AD976" s="85"/>
    </row>
    <row r="977" spans="16:30" x14ac:dyDescent="0.2">
      <c r="P977" s="85"/>
      <c r="Q977" s="91"/>
      <c r="R977" s="91"/>
      <c r="S977" s="91"/>
      <c r="T977" s="92"/>
      <c r="U977" s="93"/>
      <c r="V977" s="94"/>
      <c r="W977" s="94"/>
      <c r="X977" s="93"/>
      <c r="Y977" s="93"/>
      <c r="Z977" s="85"/>
      <c r="AA977" s="85"/>
      <c r="AB977" s="85"/>
      <c r="AC977" s="85"/>
      <c r="AD977" s="85"/>
    </row>
    <row r="978" spans="16:30" x14ac:dyDescent="0.2">
      <c r="P978" s="85"/>
      <c r="Q978" s="91"/>
      <c r="R978" s="91"/>
      <c r="S978" s="91"/>
      <c r="T978" s="92"/>
      <c r="U978" s="93"/>
      <c r="V978" s="94"/>
      <c r="W978" s="94"/>
      <c r="X978" s="93"/>
      <c r="Y978" s="93"/>
      <c r="Z978" s="85"/>
      <c r="AA978" s="85"/>
      <c r="AB978" s="85"/>
      <c r="AC978" s="85"/>
      <c r="AD978" s="85"/>
    </row>
    <row r="979" spans="16:30" x14ac:dyDescent="0.2">
      <c r="P979" s="85"/>
      <c r="Q979" s="91"/>
      <c r="R979" s="91"/>
      <c r="S979" s="91"/>
      <c r="T979" s="92"/>
      <c r="U979" s="93"/>
      <c r="V979" s="94"/>
      <c r="W979" s="94"/>
      <c r="X979" s="93"/>
      <c r="Y979" s="93"/>
      <c r="Z979" s="85"/>
      <c r="AA979" s="85"/>
      <c r="AB979" s="85"/>
      <c r="AC979" s="85"/>
      <c r="AD979" s="85"/>
    </row>
    <row r="980" spans="16:30" x14ac:dyDescent="0.2">
      <c r="P980" s="85"/>
      <c r="Q980" s="91"/>
      <c r="R980" s="91"/>
      <c r="S980" s="91"/>
      <c r="T980" s="92"/>
      <c r="U980" s="93"/>
      <c r="V980" s="94"/>
      <c r="W980" s="94"/>
      <c r="X980" s="93"/>
      <c r="Y980" s="93"/>
      <c r="Z980" s="85"/>
      <c r="AA980" s="85"/>
      <c r="AB980" s="85"/>
      <c r="AC980" s="85"/>
      <c r="AD980" s="85"/>
    </row>
    <row r="981" spans="16:30" x14ac:dyDescent="0.2">
      <c r="P981" s="85"/>
      <c r="Q981" s="91"/>
      <c r="R981" s="91"/>
      <c r="S981" s="91"/>
      <c r="T981" s="92"/>
      <c r="U981" s="93"/>
      <c r="V981" s="94"/>
      <c r="W981" s="94"/>
      <c r="X981" s="93"/>
      <c r="Y981" s="93"/>
      <c r="Z981" s="85"/>
      <c r="AA981" s="85"/>
      <c r="AB981" s="85"/>
      <c r="AC981" s="85"/>
      <c r="AD981" s="85"/>
    </row>
    <row r="982" spans="16:30" x14ac:dyDescent="0.2">
      <c r="P982" s="85"/>
      <c r="Q982" s="91"/>
      <c r="R982" s="91"/>
      <c r="S982" s="91"/>
      <c r="T982" s="92"/>
      <c r="U982" s="93"/>
      <c r="V982" s="94"/>
      <c r="W982" s="94"/>
      <c r="X982" s="93"/>
      <c r="Y982" s="93"/>
      <c r="Z982" s="85"/>
      <c r="AA982" s="85"/>
      <c r="AB982" s="85"/>
      <c r="AC982" s="85"/>
      <c r="AD982" s="85"/>
    </row>
    <row r="983" spans="16:30" x14ac:dyDescent="0.2">
      <c r="P983" s="85"/>
      <c r="Q983" s="91"/>
      <c r="R983" s="91"/>
      <c r="S983" s="91"/>
      <c r="T983" s="92"/>
      <c r="U983" s="93"/>
      <c r="V983" s="94"/>
      <c r="W983" s="94"/>
      <c r="X983" s="93"/>
      <c r="Y983" s="93"/>
      <c r="Z983" s="85"/>
      <c r="AA983" s="85"/>
      <c r="AB983" s="85"/>
      <c r="AC983" s="85"/>
      <c r="AD983" s="85"/>
    </row>
    <row r="984" spans="16:30" x14ac:dyDescent="0.2">
      <c r="P984" s="85"/>
      <c r="Q984" s="91"/>
      <c r="R984" s="91"/>
      <c r="S984" s="91"/>
      <c r="T984" s="92"/>
      <c r="U984" s="93"/>
      <c r="V984" s="94"/>
      <c r="W984" s="94"/>
      <c r="X984" s="93"/>
      <c r="Y984" s="93"/>
      <c r="Z984" s="85"/>
      <c r="AA984" s="85"/>
      <c r="AB984" s="85"/>
      <c r="AC984" s="85"/>
      <c r="AD984" s="85"/>
    </row>
    <row r="985" spans="16:30" x14ac:dyDescent="0.2">
      <c r="P985" s="85"/>
      <c r="Q985" s="91"/>
      <c r="R985" s="91"/>
      <c r="S985" s="91"/>
      <c r="T985" s="92"/>
      <c r="U985" s="93"/>
      <c r="V985" s="94"/>
      <c r="W985" s="94"/>
      <c r="X985" s="93"/>
      <c r="Y985" s="93"/>
      <c r="Z985" s="85"/>
      <c r="AA985" s="85"/>
      <c r="AB985" s="85"/>
      <c r="AC985" s="85"/>
      <c r="AD985" s="85"/>
    </row>
    <row r="986" spans="16:30" x14ac:dyDescent="0.2">
      <c r="P986" s="85"/>
      <c r="Q986" s="91"/>
      <c r="R986" s="91"/>
      <c r="S986" s="91"/>
      <c r="T986" s="92"/>
      <c r="U986" s="93"/>
      <c r="V986" s="94"/>
      <c r="W986" s="94"/>
      <c r="X986" s="93"/>
      <c r="Y986" s="93"/>
      <c r="Z986" s="85"/>
      <c r="AA986" s="85"/>
      <c r="AB986" s="85"/>
      <c r="AC986" s="85"/>
      <c r="AD986" s="85"/>
    </row>
    <row r="987" spans="16:30" x14ac:dyDescent="0.2">
      <c r="P987" s="85"/>
      <c r="Q987" s="91"/>
      <c r="R987" s="91"/>
      <c r="S987" s="91"/>
      <c r="T987" s="92"/>
      <c r="U987" s="93"/>
      <c r="V987" s="94"/>
      <c r="W987" s="94"/>
      <c r="X987" s="93"/>
      <c r="Y987" s="93"/>
      <c r="Z987" s="85"/>
      <c r="AA987" s="85"/>
      <c r="AB987" s="85"/>
      <c r="AC987" s="85"/>
      <c r="AD987" s="85"/>
    </row>
    <row r="988" spans="16:30" x14ac:dyDescent="0.2">
      <c r="P988" s="85"/>
      <c r="Q988" s="91"/>
      <c r="R988" s="91"/>
      <c r="S988" s="91"/>
      <c r="T988" s="92"/>
      <c r="U988" s="93"/>
      <c r="V988" s="94"/>
      <c r="W988" s="94"/>
      <c r="X988" s="93"/>
      <c r="Y988" s="93"/>
      <c r="Z988" s="85"/>
      <c r="AA988" s="85"/>
      <c r="AB988" s="85"/>
      <c r="AC988" s="85"/>
      <c r="AD988" s="85"/>
    </row>
    <row r="989" spans="16:30" x14ac:dyDescent="0.2">
      <c r="P989" s="85"/>
      <c r="Q989" s="91"/>
      <c r="R989" s="91"/>
      <c r="S989" s="91"/>
      <c r="T989" s="92"/>
      <c r="U989" s="93"/>
      <c r="V989" s="94"/>
      <c r="W989" s="94"/>
      <c r="X989" s="93"/>
      <c r="Y989" s="93"/>
      <c r="Z989" s="85"/>
      <c r="AA989" s="85"/>
      <c r="AB989" s="85"/>
      <c r="AC989" s="85"/>
      <c r="AD989" s="85"/>
    </row>
    <row r="990" spans="16:30" x14ac:dyDescent="0.2">
      <c r="P990" s="85"/>
      <c r="Q990" s="91"/>
      <c r="R990" s="91"/>
      <c r="S990" s="91"/>
      <c r="T990" s="92"/>
      <c r="U990" s="93"/>
      <c r="V990" s="94"/>
      <c r="W990" s="94"/>
      <c r="X990" s="93"/>
      <c r="Y990" s="93"/>
      <c r="Z990" s="85"/>
      <c r="AA990" s="85"/>
      <c r="AB990" s="85"/>
      <c r="AC990" s="85"/>
      <c r="AD990" s="85"/>
    </row>
    <row r="991" spans="16:30" x14ac:dyDescent="0.2">
      <c r="P991" s="85"/>
      <c r="Q991" s="91"/>
      <c r="R991" s="91"/>
      <c r="S991" s="91"/>
      <c r="T991" s="92"/>
      <c r="U991" s="93"/>
      <c r="V991" s="94"/>
      <c r="W991" s="94"/>
      <c r="X991" s="93"/>
      <c r="Y991" s="93"/>
      <c r="Z991" s="85"/>
      <c r="AA991" s="85"/>
      <c r="AB991" s="85"/>
      <c r="AC991" s="85"/>
      <c r="AD991" s="85"/>
    </row>
    <row r="992" spans="16:30" x14ac:dyDescent="0.2">
      <c r="P992" s="85"/>
      <c r="Q992" s="91"/>
      <c r="R992" s="91"/>
      <c r="S992" s="91"/>
      <c r="T992" s="92"/>
      <c r="U992" s="93"/>
      <c r="V992" s="94"/>
      <c r="W992" s="94"/>
      <c r="X992" s="93"/>
      <c r="Y992" s="93"/>
      <c r="Z992" s="85"/>
      <c r="AA992" s="85"/>
      <c r="AB992" s="85"/>
      <c r="AC992" s="85"/>
      <c r="AD992" s="85"/>
    </row>
    <row r="993" spans="16:30" x14ac:dyDescent="0.2">
      <c r="P993" s="85"/>
      <c r="Q993" s="91"/>
      <c r="R993" s="91"/>
      <c r="S993" s="91"/>
      <c r="T993" s="92"/>
      <c r="U993" s="93"/>
      <c r="V993" s="94"/>
      <c r="W993" s="94"/>
      <c r="X993" s="93"/>
      <c r="Y993" s="93"/>
      <c r="Z993" s="85"/>
      <c r="AA993" s="85"/>
      <c r="AB993" s="85"/>
      <c r="AC993" s="85"/>
      <c r="AD993" s="85"/>
    </row>
    <row r="994" spans="16:30" x14ac:dyDescent="0.2">
      <c r="P994" s="85"/>
      <c r="Q994" s="91"/>
      <c r="R994" s="91"/>
      <c r="S994" s="91"/>
      <c r="T994" s="92"/>
      <c r="U994" s="93"/>
      <c r="V994" s="94"/>
      <c r="W994" s="94"/>
      <c r="X994" s="93"/>
      <c r="Y994" s="93"/>
      <c r="Z994" s="85"/>
      <c r="AA994" s="85"/>
      <c r="AB994" s="85"/>
      <c r="AC994" s="85"/>
      <c r="AD994" s="85"/>
    </row>
    <row r="995" spans="16:30" x14ac:dyDescent="0.2">
      <c r="P995" s="85"/>
      <c r="Q995" s="91"/>
      <c r="R995" s="91"/>
      <c r="S995" s="91"/>
      <c r="T995" s="92"/>
      <c r="U995" s="93"/>
      <c r="V995" s="94"/>
      <c r="W995" s="94"/>
      <c r="X995" s="93"/>
      <c r="Y995" s="93"/>
      <c r="Z995" s="85"/>
      <c r="AA995" s="85"/>
      <c r="AB995" s="85"/>
      <c r="AC995" s="85"/>
      <c r="AD995" s="85"/>
    </row>
    <row r="996" spans="16:30" x14ac:dyDescent="0.2">
      <c r="P996" s="85"/>
      <c r="Q996" s="91"/>
      <c r="R996" s="91"/>
      <c r="S996" s="91"/>
      <c r="T996" s="92"/>
      <c r="U996" s="93"/>
      <c r="V996" s="94"/>
      <c r="W996" s="94"/>
      <c r="X996" s="93"/>
      <c r="Y996" s="93"/>
      <c r="Z996" s="85"/>
      <c r="AA996" s="85"/>
      <c r="AB996" s="85"/>
      <c r="AC996" s="85"/>
      <c r="AD996" s="85"/>
    </row>
    <row r="997" spans="16:30" x14ac:dyDescent="0.2">
      <c r="P997" s="85"/>
      <c r="Q997" s="91"/>
      <c r="R997" s="91"/>
      <c r="S997" s="91"/>
      <c r="T997" s="92"/>
      <c r="U997" s="93"/>
      <c r="V997" s="94"/>
      <c r="W997" s="94"/>
      <c r="X997" s="93"/>
      <c r="Y997" s="93"/>
      <c r="Z997" s="85"/>
      <c r="AA997" s="85"/>
      <c r="AB997" s="85"/>
      <c r="AC997" s="85"/>
      <c r="AD997" s="85"/>
    </row>
    <row r="998" spans="16:30" x14ac:dyDescent="0.2">
      <c r="P998" s="85"/>
      <c r="Q998" s="91"/>
      <c r="R998" s="91"/>
      <c r="S998" s="91"/>
      <c r="T998" s="92"/>
      <c r="U998" s="93"/>
      <c r="V998" s="94"/>
      <c r="W998" s="94"/>
      <c r="X998" s="93"/>
      <c r="Y998" s="93"/>
      <c r="Z998" s="85"/>
      <c r="AA998" s="85"/>
      <c r="AB998" s="85"/>
      <c r="AC998" s="85"/>
      <c r="AD998" s="85"/>
    </row>
    <row r="999" spans="16:30" x14ac:dyDescent="0.2">
      <c r="P999" s="85"/>
      <c r="Q999" s="91"/>
      <c r="R999" s="91"/>
      <c r="S999" s="91"/>
      <c r="T999" s="92"/>
      <c r="U999" s="93"/>
      <c r="V999" s="94"/>
      <c r="W999" s="94"/>
      <c r="X999" s="93"/>
      <c r="Y999" s="93"/>
      <c r="Z999" s="85"/>
      <c r="AA999" s="85"/>
      <c r="AB999" s="85"/>
      <c r="AC999" s="85"/>
      <c r="AD999" s="85"/>
    </row>
    <row r="1000" spans="16:30" x14ac:dyDescent="0.2">
      <c r="P1000" s="85"/>
      <c r="Q1000" s="91"/>
      <c r="R1000" s="91"/>
      <c r="S1000" s="91"/>
      <c r="T1000" s="92"/>
      <c r="U1000" s="93"/>
      <c r="V1000" s="94"/>
      <c r="W1000" s="94"/>
      <c r="X1000" s="93"/>
      <c r="Y1000" s="93"/>
      <c r="Z1000" s="85"/>
      <c r="AA1000" s="85"/>
      <c r="AB1000" s="85"/>
      <c r="AC1000" s="85"/>
      <c r="AD1000" s="85"/>
    </row>
    <row r="1001" spans="16:30" x14ac:dyDescent="0.2">
      <c r="P1001" s="85"/>
      <c r="Q1001" s="91"/>
      <c r="R1001" s="91"/>
      <c r="S1001" s="91"/>
      <c r="T1001" s="92"/>
      <c r="U1001" s="93"/>
      <c r="V1001" s="94"/>
      <c r="W1001" s="94"/>
      <c r="X1001" s="93"/>
      <c r="Y1001" s="93"/>
      <c r="Z1001" s="85"/>
      <c r="AA1001" s="85"/>
      <c r="AB1001" s="85"/>
      <c r="AC1001" s="85"/>
      <c r="AD1001" s="85"/>
    </row>
    <row r="1002" spans="16:30" x14ac:dyDescent="0.2">
      <c r="P1002" s="85"/>
      <c r="Q1002" s="91"/>
      <c r="R1002" s="91"/>
      <c r="S1002" s="91"/>
      <c r="T1002" s="92"/>
      <c r="U1002" s="93"/>
      <c r="V1002" s="94"/>
      <c r="W1002" s="94"/>
      <c r="X1002" s="93"/>
      <c r="Y1002" s="93"/>
      <c r="Z1002" s="85"/>
      <c r="AA1002" s="85"/>
      <c r="AB1002" s="85"/>
      <c r="AC1002" s="85"/>
      <c r="AD1002" s="85"/>
    </row>
    <row r="1003" spans="16:30" x14ac:dyDescent="0.2">
      <c r="P1003" s="85"/>
      <c r="Q1003" s="91"/>
      <c r="R1003" s="91"/>
      <c r="S1003" s="91"/>
      <c r="T1003" s="92"/>
      <c r="U1003" s="93"/>
      <c r="V1003" s="94"/>
      <c r="W1003" s="94"/>
      <c r="X1003" s="93"/>
      <c r="Y1003" s="93"/>
      <c r="Z1003" s="85"/>
      <c r="AA1003" s="85"/>
      <c r="AB1003" s="85"/>
      <c r="AC1003" s="85"/>
      <c r="AD1003" s="85"/>
    </row>
    <row r="1004" spans="16:30" x14ac:dyDescent="0.2">
      <c r="P1004" s="85"/>
      <c r="Q1004" s="91"/>
      <c r="R1004" s="91"/>
      <c r="S1004" s="91"/>
      <c r="T1004" s="92"/>
      <c r="U1004" s="93"/>
      <c r="V1004" s="94"/>
      <c r="W1004" s="94"/>
      <c r="X1004" s="93"/>
      <c r="Y1004" s="93"/>
      <c r="Z1004" s="85"/>
      <c r="AA1004" s="85"/>
      <c r="AB1004" s="85"/>
      <c r="AC1004" s="85"/>
      <c r="AD1004" s="85"/>
    </row>
    <row r="1005" spans="16:30" x14ac:dyDescent="0.2">
      <c r="P1005" s="85"/>
      <c r="Q1005" s="91"/>
      <c r="R1005" s="91"/>
      <c r="S1005" s="91"/>
      <c r="T1005" s="92"/>
      <c r="U1005" s="93"/>
      <c r="V1005" s="94"/>
      <c r="W1005" s="94"/>
      <c r="X1005" s="93"/>
      <c r="Y1005" s="93"/>
      <c r="Z1005" s="85"/>
      <c r="AA1005" s="85"/>
      <c r="AB1005" s="85"/>
      <c r="AC1005" s="85"/>
      <c r="AD1005" s="85"/>
    </row>
    <row r="1006" spans="16:30" x14ac:dyDescent="0.2">
      <c r="P1006" s="85"/>
      <c r="Q1006" s="91"/>
      <c r="R1006" s="91"/>
      <c r="S1006" s="91"/>
      <c r="T1006" s="92"/>
      <c r="U1006" s="93"/>
      <c r="V1006" s="94"/>
      <c r="W1006" s="94"/>
      <c r="X1006" s="93"/>
      <c r="Y1006" s="93"/>
      <c r="Z1006" s="85"/>
      <c r="AA1006" s="85"/>
      <c r="AB1006" s="85"/>
      <c r="AC1006" s="85"/>
      <c r="AD1006" s="85"/>
    </row>
    <row r="1007" spans="16:30" x14ac:dyDescent="0.2">
      <c r="P1007" s="85"/>
      <c r="Q1007" s="91"/>
      <c r="R1007" s="91"/>
      <c r="S1007" s="91"/>
      <c r="T1007" s="92"/>
      <c r="U1007" s="93"/>
      <c r="V1007" s="94"/>
      <c r="W1007" s="94"/>
      <c r="X1007" s="93"/>
      <c r="Y1007" s="93"/>
      <c r="Z1007" s="85"/>
      <c r="AA1007" s="85"/>
      <c r="AB1007" s="85"/>
      <c r="AC1007" s="85"/>
      <c r="AD1007" s="85"/>
    </row>
    <row r="1008" spans="16:30" x14ac:dyDescent="0.2">
      <c r="P1008" s="85"/>
      <c r="Q1008" s="91"/>
      <c r="R1008" s="91"/>
      <c r="S1008" s="91"/>
      <c r="T1008" s="92"/>
      <c r="U1008" s="93"/>
      <c r="V1008" s="94"/>
      <c r="W1008" s="94"/>
      <c r="X1008" s="93"/>
      <c r="Y1008" s="93"/>
      <c r="Z1008" s="85"/>
      <c r="AA1008" s="85"/>
      <c r="AB1008" s="85"/>
      <c r="AC1008" s="85"/>
      <c r="AD1008" s="85"/>
    </row>
    <row r="1009" spans="16:30" x14ac:dyDescent="0.2">
      <c r="P1009" s="85"/>
      <c r="Q1009" s="91"/>
      <c r="R1009" s="91"/>
      <c r="S1009" s="91"/>
      <c r="T1009" s="92"/>
      <c r="U1009" s="93"/>
      <c r="V1009" s="94"/>
      <c r="W1009" s="94"/>
      <c r="X1009" s="93"/>
      <c r="Y1009" s="93"/>
      <c r="Z1009" s="85"/>
      <c r="AA1009" s="85"/>
      <c r="AB1009" s="85"/>
      <c r="AC1009" s="85"/>
      <c r="AD1009" s="85"/>
    </row>
    <row r="1010" spans="16:30" x14ac:dyDescent="0.2">
      <c r="P1010" s="85"/>
      <c r="Q1010" s="91"/>
      <c r="R1010" s="91"/>
      <c r="S1010" s="91"/>
      <c r="T1010" s="92"/>
      <c r="U1010" s="93"/>
      <c r="V1010" s="94"/>
      <c r="W1010" s="94"/>
      <c r="X1010" s="93"/>
      <c r="Y1010" s="93"/>
      <c r="Z1010" s="85"/>
      <c r="AA1010" s="85"/>
      <c r="AB1010" s="85"/>
      <c r="AC1010" s="85"/>
      <c r="AD1010" s="85"/>
    </row>
    <row r="1011" spans="16:30" x14ac:dyDescent="0.2">
      <c r="P1011" s="85"/>
      <c r="Q1011" s="91"/>
      <c r="R1011" s="91"/>
      <c r="S1011" s="91"/>
      <c r="T1011" s="92"/>
      <c r="U1011" s="93"/>
      <c r="V1011" s="94"/>
      <c r="W1011" s="94"/>
      <c r="X1011" s="93"/>
      <c r="Y1011" s="93"/>
      <c r="Z1011" s="85"/>
      <c r="AA1011" s="85"/>
      <c r="AB1011" s="85"/>
      <c r="AC1011" s="85"/>
      <c r="AD1011" s="85"/>
    </row>
    <row r="1012" spans="16:30" x14ac:dyDescent="0.2">
      <c r="P1012" s="85"/>
      <c r="Q1012" s="91"/>
      <c r="R1012" s="91"/>
      <c r="S1012" s="91"/>
      <c r="T1012" s="92"/>
      <c r="U1012" s="93"/>
      <c r="V1012" s="94"/>
      <c r="W1012" s="94"/>
      <c r="X1012" s="93"/>
      <c r="Y1012" s="93"/>
      <c r="Z1012" s="85"/>
      <c r="AA1012" s="85"/>
      <c r="AB1012" s="85"/>
      <c r="AC1012" s="85"/>
      <c r="AD1012" s="85"/>
    </row>
    <row r="1013" spans="16:30" x14ac:dyDescent="0.2">
      <c r="P1013" s="85"/>
      <c r="Q1013" s="91"/>
      <c r="R1013" s="91"/>
      <c r="S1013" s="91"/>
      <c r="T1013" s="92"/>
      <c r="U1013" s="93"/>
      <c r="V1013" s="94"/>
      <c r="W1013" s="94"/>
      <c r="X1013" s="93"/>
      <c r="Y1013" s="93"/>
      <c r="Z1013" s="85"/>
      <c r="AA1013" s="85"/>
      <c r="AB1013" s="85"/>
      <c r="AC1013" s="85"/>
      <c r="AD1013" s="85"/>
    </row>
    <row r="1014" spans="16:30" x14ac:dyDescent="0.2">
      <c r="P1014" s="85"/>
      <c r="Q1014" s="91"/>
      <c r="R1014" s="91"/>
      <c r="S1014" s="91"/>
      <c r="T1014" s="92"/>
      <c r="U1014" s="93"/>
      <c r="V1014" s="94"/>
      <c r="W1014" s="94"/>
      <c r="X1014" s="93"/>
      <c r="Y1014" s="93"/>
      <c r="Z1014" s="85"/>
      <c r="AA1014" s="85"/>
      <c r="AB1014" s="85"/>
      <c r="AC1014" s="85"/>
      <c r="AD1014" s="85"/>
    </row>
    <row r="1015" spans="16:30" x14ac:dyDescent="0.2">
      <c r="P1015" s="85"/>
      <c r="Q1015" s="91"/>
      <c r="R1015" s="91"/>
      <c r="S1015" s="91"/>
      <c r="T1015" s="92"/>
      <c r="U1015" s="93"/>
      <c r="V1015" s="94"/>
      <c r="W1015" s="94"/>
      <c r="X1015" s="93"/>
      <c r="Y1015" s="93"/>
      <c r="Z1015" s="85"/>
      <c r="AA1015" s="85"/>
      <c r="AB1015" s="85"/>
      <c r="AC1015" s="85"/>
      <c r="AD1015" s="85"/>
    </row>
    <row r="1016" spans="16:30" x14ac:dyDescent="0.2">
      <c r="P1016" s="85"/>
      <c r="Q1016" s="91"/>
      <c r="R1016" s="91"/>
      <c r="S1016" s="91"/>
      <c r="T1016" s="92"/>
      <c r="U1016" s="93"/>
      <c r="V1016" s="94"/>
      <c r="W1016" s="94"/>
      <c r="X1016" s="93"/>
      <c r="Y1016" s="93"/>
      <c r="Z1016" s="85"/>
      <c r="AA1016" s="85"/>
      <c r="AB1016" s="85"/>
      <c r="AC1016" s="85"/>
      <c r="AD1016" s="85"/>
    </row>
    <row r="1017" spans="16:30" x14ac:dyDescent="0.2">
      <c r="P1017" s="85"/>
      <c r="Q1017" s="91"/>
      <c r="R1017" s="91"/>
      <c r="S1017" s="91"/>
      <c r="T1017" s="92"/>
      <c r="U1017" s="93"/>
      <c r="V1017" s="94"/>
      <c r="W1017" s="94"/>
      <c r="X1017" s="93"/>
      <c r="Y1017" s="93"/>
      <c r="Z1017" s="85"/>
      <c r="AA1017" s="85"/>
      <c r="AB1017" s="85"/>
      <c r="AC1017" s="85"/>
      <c r="AD1017" s="85"/>
    </row>
    <row r="1018" spans="16:30" x14ac:dyDescent="0.2">
      <c r="P1018" s="85"/>
      <c r="Q1018" s="91"/>
      <c r="R1018" s="91"/>
      <c r="S1018" s="91"/>
      <c r="T1018" s="92"/>
      <c r="U1018" s="93"/>
      <c r="V1018" s="94"/>
      <c r="W1018" s="94"/>
      <c r="X1018" s="93"/>
      <c r="Y1018" s="93"/>
      <c r="Z1018" s="85"/>
      <c r="AA1018" s="85"/>
      <c r="AB1018" s="85"/>
      <c r="AC1018" s="85"/>
      <c r="AD1018" s="85"/>
    </row>
    <row r="1019" spans="16:30" x14ac:dyDescent="0.2">
      <c r="P1019" s="85"/>
      <c r="Q1019" s="91"/>
      <c r="R1019" s="91"/>
      <c r="S1019" s="91"/>
      <c r="T1019" s="92"/>
      <c r="U1019" s="93"/>
      <c r="V1019" s="94"/>
      <c r="W1019" s="94"/>
      <c r="X1019" s="93"/>
      <c r="Y1019" s="93"/>
      <c r="Z1019" s="85"/>
      <c r="AA1019" s="85"/>
      <c r="AB1019" s="85"/>
      <c r="AC1019" s="85"/>
      <c r="AD1019" s="85"/>
    </row>
    <row r="1020" spans="16:30" x14ac:dyDescent="0.2">
      <c r="P1020" s="85"/>
      <c r="Q1020" s="91"/>
      <c r="R1020" s="91"/>
      <c r="S1020" s="91"/>
      <c r="T1020" s="92"/>
      <c r="U1020" s="93"/>
      <c r="V1020" s="94"/>
      <c r="W1020" s="94"/>
      <c r="X1020" s="93"/>
      <c r="Y1020" s="93"/>
      <c r="Z1020" s="85"/>
      <c r="AA1020" s="85"/>
      <c r="AB1020" s="85"/>
      <c r="AC1020" s="85"/>
      <c r="AD1020" s="85"/>
    </row>
    <row r="1021" spans="16:30" x14ac:dyDescent="0.2">
      <c r="P1021" s="85"/>
      <c r="Q1021" s="91"/>
      <c r="R1021" s="91"/>
      <c r="S1021" s="91"/>
      <c r="T1021" s="92"/>
      <c r="U1021" s="93"/>
      <c r="V1021" s="94"/>
      <c r="W1021" s="94"/>
      <c r="X1021" s="93"/>
      <c r="Y1021" s="93"/>
      <c r="Z1021" s="85"/>
      <c r="AA1021" s="85"/>
      <c r="AB1021" s="85"/>
      <c r="AC1021" s="85"/>
      <c r="AD1021" s="85"/>
    </row>
    <row r="1022" spans="16:30" x14ac:dyDescent="0.2">
      <c r="P1022" s="85"/>
      <c r="Q1022" s="91"/>
      <c r="R1022" s="91"/>
      <c r="S1022" s="91"/>
      <c r="T1022" s="92"/>
      <c r="U1022" s="93"/>
      <c r="V1022" s="94"/>
      <c r="W1022" s="94"/>
      <c r="X1022" s="93"/>
      <c r="Y1022" s="93"/>
      <c r="Z1022" s="85"/>
      <c r="AA1022" s="85"/>
      <c r="AB1022" s="85"/>
      <c r="AC1022" s="85"/>
      <c r="AD1022" s="85"/>
    </row>
    <row r="1023" spans="16:30" x14ac:dyDescent="0.2">
      <c r="P1023" s="85"/>
      <c r="Q1023" s="91"/>
      <c r="R1023" s="91"/>
      <c r="S1023" s="91"/>
      <c r="T1023" s="92"/>
      <c r="U1023" s="93"/>
      <c r="V1023" s="94"/>
      <c r="W1023" s="94"/>
      <c r="X1023" s="93"/>
      <c r="Y1023" s="93"/>
      <c r="Z1023" s="85"/>
      <c r="AA1023" s="85"/>
      <c r="AB1023" s="85"/>
      <c r="AC1023" s="85"/>
      <c r="AD1023" s="85"/>
    </row>
    <row r="1024" spans="16:30" x14ac:dyDescent="0.2">
      <c r="P1024" s="85"/>
      <c r="Q1024" s="91"/>
      <c r="R1024" s="91"/>
      <c r="S1024" s="91"/>
      <c r="T1024" s="92"/>
      <c r="U1024" s="93"/>
      <c r="V1024" s="94"/>
      <c r="W1024" s="94"/>
      <c r="X1024" s="93"/>
      <c r="Y1024" s="93"/>
      <c r="Z1024" s="85"/>
      <c r="AA1024" s="85"/>
      <c r="AB1024" s="85"/>
      <c r="AC1024" s="85"/>
      <c r="AD1024" s="85"/>
    </row>
    <row r="1025" spans="16:30" x14ac:dyDescent="0.2">
      <c r="P1025" s="85"/>
      <c r="Q1025" s="91"/>
      <c r="R1025" s="91"/>
      <c r="S1025" s="91"/>
      <c r="T1025" s="92"/>
      <c r="U1025" s="93"/>
      <c r="V1025" s="94"/>
      <c r="W1025" s="94"/>
      <c r="X1025" s="93"/>
      <c r="Y1025" s="93"/>
      <c r="Z1025" s="85"/>
      <c r="AA1025" s="85"/>
      <c r="AB1025" s="85"/>
      <c r="AC1025" s="85"/>
      <c r="AD1025" s="85"/>
    </row>
    <row r="1026" spans="16:30" x14ac:dyDescent="0.2">
      <c r="P1026" s="85"/>
      <c r="Q1026" s="91"/>
      <c r="R1026" s="91"/>
      <c r="S1026" s="91"/>
      <c r="T1026" s="92"/>
      <c r="U1026" s="93"/>
      <c r="V1026" s="94"/>
      <c r="W1026" s="94"/>
      <c r="X1026" s="93"/>
      <c r="Y1026" s="93"/>
      <c r="Z1026" s="85"/>
      <c r="AA1026" s="85"/>
      <c r="AB1026" s="85"/>
      <c r="AC1026" s="85"/>
      <c r="AD1026" s="85"/>
    </row>
    <row r="1027" spans="16:30" x14ac:dyDescent="0.2">
      <c r="P1027" s="85"/>
      <c r="Q1027" s="91"/>
      <c r="R1027" s="91"/>
      <c r="S1027" s="91"/>
      <c r="T1027" s="92"/>
      <c r="U1027" s="93"/>
      <c r="V1027" s="94"/>
      <c r="W1027" s="94"/>
      <c r="X1027" s="93"/>
      <c r="Y1027" s="93"/>
      <c r="Z1027" s="85"/>
      <c r="AA1027" s="85"/>
      <c r="AB1027" s="85"/>
      <c r="AC1027" s="85"/>
      <c r="AD1027" s="85"/>
    </row>
    <row r="1028" spans="16:30" x14ac:dyDescent="0.2">
      <c r="P1028" s="85"/>
      <c r="Q1028" s="91"/>
      <c r="R1028" s="91"/>
      <c r="S1028" s="91"/>
      <c r="T1028" s="92"/>
      <c r="U1028" s="93"/>
      <c r="V1028" s="94"/>
      <c r="W1028" s="94"/>
      <c r="X1028" s="93"/>
      <c r="Y1028" s="93"/>
      <c r="Z1028" s="85"/>
      <c r="AA1028" s="85"/>
      <c r="AB1028" s="85"/>
      <c r="AC1028" s="85"/>
      <c r="AD1028" s="85"/>
    </row>
    <row r="1029" spans="16:30" x14ac:dyDescent="0.2">
      <c r="P1029" s="85"/>
      <c r="Q1029" s="91"/>
      <c r="R1029" s="91"/>
      <c r="S1029" s="91"/>
      <c r="T1029" s="92"/>
      <c r="U1029" s="93"/>
      <c r="V1029" s="94"/>
      <c r="W1029" s="94"/>
      <c r="X1029" s="93"/>
      <c r="Y1029" s="93"/>
      <c r="Z1029" s="85"/>
      <c r="AA1029" s="85"/>
      <c r="AB1029" s="85"/>
      <c r="AC1029" s="85"/>
      <c r="AD1029" s="85"/>
    </row>
    <row r="1030" spans="16:30" x14ac:dyDescent="0.2">
      <c r="P1030" s="85"/>
      <c r="Q1030" s="91"/>
      <c r="R1030" s="91"/>
      <c r="S1030" s="91"/>
      <c r="T1030" s="92"/>
      <c r="U1030" s="93"/>
      <c r="V1030" s="94"/>
      <c r="W1030" s="94"/>
      <c r="X1030" s="93"/>
      <c r="Y1030" s="93"/>
      <c r="Z1030" s="85"/>
      <c r="AA1030" s="85"/>
      <c r="AB1030" s="85"/>
      <c r="AC1030" s="85"/>
      <c r="AD1030" s="85"/>
    </row>
    <row r="1031" spans="16:30" x14ac:dyDescent="0.2">
      <c r="P1031" s="85"/>
      <c r="Q1031" s="91"/>
      <c r="R1031" s="91"/>
      <c r="S1031" s="91"/>
      <c r="T1031" s="92"/>
      <c r="U1031" s="93"/>
      <c r="V1031" s="94"/>
      <c r="W1031" s="94"/>
      <c r="X1031" s="93"/>
      <c r="Y1031" s="93"/>
      <c r="Z1031" s="85"/>
      <c r="AA1031" s="85"/>
      <c r="AB1031" s="85"/>
      <c r="AC1031" s="85"/>
      <c r="AD1031" s="85"/>
    </row>
    <row r="1032" spans="16:30" x14ac:dyDescent="0.2">
      <c r="P1032" s="85"/>
      <c r="Q1032" s="91"/>
      <c r="R1032" s="91"/>
      <c r="S1032" s="91"/>
      <c r="T1032" s="92"/>
      <c r="U1032" s="93"/>
      <c r="V1032" s="94"/>
      <c r="W1032" s="94"/>
      <c r="X1032" s="93"/>
      <c r="Y1032" s="93"/>
      <c r="Z1032" s="85"/>
      <c r="AA1032" s="85"/>
      <c r="AB1032" s="85"/>
      <c r="AC1032" s="85"/>
      <c r="AD1032" s="85"/>
    </row>
    <row r="1033" spans="16:30" x14ac:dyDescent="0.2">
      <c r="P1033" s="85"/>
      <c r="Q1033" s="91"/>
      <c r="R1033" s="91"/>
      <c r="S1033" s="91"/>
      <c r="T1033" s="92"/>
      <c r="U1033" s="93"/>
      <c r="V1033" s="94"/>
      <c r="W1033" s="94"/>
      <c r="X1033" s="93"/>
      <c r="Y1033" s="93"/>
      <c r="Z1033" s="85"/>
      <c r="AA1033" s="85"/>
      <c r="AB1033" s="85"/>
      <c r="AC1033" s="85"/>
      <c r="AD1033" s="85"/>
    </row>
    <row r="1034" spans="16:30" x14ac:dyDescent="0.2">
      <c r="P1034" s="85"/>
      <c r="Q1034" s="91"/>
      <c r="R1034" s="91"/>
      <c r="S1034" s="91"/>
      <c r="T1034" s="92"/>
      <c r="U1034" s="93"/>
      <c r="V1034" s="94"/>
      <c r="W1034" s="94"/>
      <c r="X1034" s="93"/>
      <c r="Y1034" s="93"/>
      <c r="Z1034" s="85"/>
      <c r="AA1034" s="85"/>
      <c r="AB1034" s="85"/>
      <c r="AC1034" s="85"/>
      <c r="AD1034" s="85"/>
    </row>
    <row r="1035" spans="16:30" x14ac:dyDescent="0.2">
      <c r="P1035" s="85"/>
      <c r="Q1035" s="91"/>
      <c r="R1035" s="91"/>
      <c r="S1035" s="91"/>
      <c r="T1035" s="92"/>
      <c r="U1035" s="93"/>
      <c r="V1035" s="94"/>
      <c r="W1035" s="94"/>
      <c r="X1035" s="93"/>
      <c r="Y1035" s="93"/>
      <c r="Z1035" s="85"/>
      <c r="AA1035" s="85"/>
      <c r="AB1035" s="85"/>
      <c r="AC1035" s="85"/>
      <c r="AD1035" s="85"/>
    </row>
    <row r="1036" spans="16:30" x14ac:dyDescent="0.2">
      <c r="P1036" s="85"/>
      <c r="Q1036" s="91"/>
      <c r="R1036" s="91"/>
      <c r="S1036" s="91"/>
      <c r="T1036" s="92"/>
      <c r="U1036" s="93"/>
      <c r="V1036" s="94"/>
      <c r="W1036" s="94"/>
      <c r="X1036" s="93"/>
      <c r="Y1036" s="93"/>
      <c r="Z1036" s="85"/>
      <c r="AA1036" s="85"/>
      <c r="AB1036" s="85"/>
      <c r="AC1036" s="85"/>
      <c r="AD1036" s="85"/>
    </row>
    <row r="1037" spans="16:30" x14ac:dyDescent="0.2">
      <c r="P1037" s="85"/>
      <c r="Q1037" s="91"/>
      <c r="R1037" s="91"/>
      <c r="S1037" s="91"/>
      <c r="T1037" s="92"/>
      <c r="U1037" s="93"/>
      <c r="V1037" s="94"/>
      <c r="W1037" s="94"/>
      <c r="X1037" s="93"/>
      <c r="Y1037" s="93"/>
      <c r="Z1037" s="85"/>
      <c r="AA1037" s="85"/>
      <c r="AB1037" s="85"/>
      <c r="AC1037" s="85"/>
      <c r="AD1037" s="85"/>
    </row>
    <row r="1038" spans="16:30" x14ac:dyDescent="0.2">
      <c r="P1038" s="85"/>
      <c r="Q1038" s="91"/>
      <c r="R1038" s="91"/>
      <c r="S1038" s="91"/>
      <c r="T1038" s="92"/>
      <c r="U1038" s="93"/>
      <c r="V1038" s="94"/>
      <c r="W1038" s="94"/>
      <c r="X1038" s="93"/>
      <c r="Y1038" s="93"/>
      <c r="Z1038" s="85"/>
      <c r="AA1038" s="85"/>
      <c r="AB1038" s="85"/>
      <c r="AC1038" s="85"/>
      <c r="AD1038" s="85"/>
    </row>
    <row r="1039" spans="16:30" x14ac:dyDescent="0.2">
      <c r="P1039" s="85"/>
      <c r="Q1039" s="91"/>
      <c r="R1039" s="91"/>
      <c r="S1039" s="91"/>
      <c r="T1039" s="92"/>
      <c r="U1039" s="93"/>
      <c r="V1039" s="94"/>
      <c r="W1039" s="94"/>
      <c r="X1039" s="93"/>
      <c r="Y1039" s="93"/>
      <c r="Z1039" s="85"/>
      <c r="AA1039" s="85"/>
      <c r="AB1039" s="85"/>
      <c r="AC1039" s="85"/>
      <c r="AD1039" s="85"/>
    </row>
    <row r="1040" spans="16:30" x14ac:dyDescent="0.2">
      <c r="P1040" s="85"/>
      <c r="Q1040" s="91"/>
      <c r="R1040" s="91"/>
      <c r="S1040" s="91"/>
      <c r="T1040" s="92"/>
      <c r="U1040" s="93"/>
      <c r="V1040" s="94"/>
      <c r="W1040" s="94"/>
      <c r="X1040" s="93"/>
      <c r="Y1040" s="93"/>
      <c r="Z1040" s="85"/>
      <c r="AA1040" s="85"/>
      <c r="AB1040" s="85"/>
      <c r="AC1040" s="85"/>
      <c r="AD1040" s="85"/>
    </row>
    <row r="1041" spans="16:30" x14ac:dyDescent="0.2">
      <c r="P1041" s="85"/>
      <c r="Q1041" s="91"/>
      <c r="R1041" s="91"/>
      <c r="S1041" s="91"/>
      <c r="T1041" s="92"/>
      <c r="U1041" s="93"/>
      <c r="V1041" s="94"/>
      <c r="W1041" s="94"/>
      <c r="X1041" s="93"/>
      <c r="Y1041" s="93"/>
      <c r="Z1041" s="85"/>
      <c r="AA1041" s="85"/>
      <c r="AB1041" s="85"/>
      <c r="AC1041" s="85"/>
      <c r="AD1041" s="85"/>
    </row>
    <row r="1042" spans="16:30" x14ac:dyDescent="0.2">
      <c r="P1042" s="85"/>
      <c r="Q1042" s="91"/>
      <c r="R1042" s="91"/>
      <c r="S1042" s="91"/>
      <c r="T1042" s="92"/>
      <c r="U1042" s="93"/>
      <c r="V1042" s="94"/>
      <c r="W1042" s="94"/>
      <c r="X1042" s="93"/>
      <c r="Y1042" s="93"/>
      <c r="Z1042" s="85"/>
      <c r="AA1042" s="85"/>
      <c r="AB1042" s="85"/>
      <c r="AC1042" s="85"/>
      <c r="AD1042" s="85"/>
    </row>
    <row r="1043" spans="16:30" x14ac:dyDescent="0.2">
      <c r="P1043" s="85"/>
      <c r="Q1043" s="91"/>
      <c r="R1043" s="91"/>
      <c r="S1043" s="91"/>
      <c r="T1043" s="92"/>
      <c r="U1043" s="93"/>
      <c r="V1043" s="94"/>
      <c r="W1043" s="94"/>
      <c r="X1043" s="93"/>
      <c r="Y1043" s="93"/>
      <c r="Z1043" s="85"/>
      <c r="AA1043" s="85"/>
      <c r="AB1043" s="85"/>
      <c r="AC1043" s="85"/>
      <c r="AD1043" s="85"/>
    </row>
    <row r="1044" spans="16:30" x14ac:dyDescent="0.2">
      <c r="P1044" s="85"/>
      <c r="Q1044" s="91"/>
      <c r="R1044" s="91"/>
      <c r="S1044" s="91"/>
      <c r="T1044" s="92"/>
      <c r="U1044" s="93"/>
      <c r="V1044" s="94"/>
      <c r="W1044" s="94"/>
      <c r="X1044" s="93"/>
      <c r="Y1044" s="93"/>
      <c r="Z1044" s="85"/>
      <c r="AA1044" s="85"/>
      <c r="AB1044" s="85"/>
      <c r="AC1044" s="85"/>
      <c r="AD1044" s="85"/>
    </row>
    <row r="1045" spans="16:30" x14ac:dyDescent="0.2">
      <c r="P1045" s="85"/>
      <c r="Q1045" s="91"/>
      <c r="R1045" s="91"/>
      <c r="S1045" s="91"/>
      <c r="T1045" s="92"/>
      <c r="U1045" s="93"/>
      <c r="V1045" s="94"/>
      <c r="W1045" s="94"/>
      <c r="X1045" s="93"/>
      <c r="Y1045" s="93"/>
      <c r="Z1045" s="85"/>
      <c r="AA1045" s="85"/>
      <c r="AB1045" s="85"/>
      <c r="AC1045" s="85"/>
      <c r="AD1045" s="85"/>
    </row>
    <row r="1046" spans="16:30" x14ac:dyDescent="0.2">
      <c r="P1046" s="85"/>
      <c r="Q1046" s="91"/>
      <c r="R1046" s="91"/>
      <c r="S1046" s="91"/>
      <c r="T1046" s="92"/>
      <c r="U1046" s="93"/>
      <c r="V1046" s="94"/>
      <c r="W1046" s="94"/>
      <c r="X1046" s="93"/>
      <c r="Y1046" s="93"/>
      <c r="Z1046" s="85"/>
      <c r="AA1046" s="85"/>
      <c r="AB1046" s="85"/>
      <c r="AC1046" s="85"/>
      <c r="AD1046" s="85"/>
    </row>
    <row r="1047" spans="16:30" x14ac:dyDescent="0.2">
      <c r="P1047" s="85"/>
      <c r="Q1047" s="91"/>
      <c r="R1047" s="91"/>
      <c r="S1047" s="91"/>
      <c r="T1047" s="92"/>
      <c r="U1047" s="93"/>
      <c r="V1047" s="94"/>
      <c r="W1047" s="94"/>
      <c r="X1047" s="93"/>
      <c r="Y1047" s="93"/>
      <c r="Z1047" s="85"/>
      <c r="AA1047" s="85"/>
      <c r="AB1047" s="85"/>
      <c r="AC1047" s="85"/>
      <c r="AD1047" s="85"/>
    </row>
    <row r="1048" spans="16:30" x14ac:dyDescent="0.2">
      <c r="P1048" s="85"/>
      <c r="Q1048" s="91"/>
      <c r="R1048" s="91"/>
      <c r="S1048" s="91"/>
      <c r="T1048" s="92"/>
      <c r="U1048" s="93"/>
      <c r="V1048" s="94"/>
      <c r="W1048" s="94"/>
      <c r="X1048" s="93"/>
      <c r="Y1048" s="93"/>
      <c r="Z1048" s="85"/>
      <c r="AA1048" s="85"/>
      <c r="AB1048" s="85"/>
      <c r="AC1048" s="85"/>
      <c r="AD1048" s="85"/>
    </row>
    <row r="1049" spans="16:30" x14ac:dyDescent="0.2">
      <c r="P1049" s="85"/>
      <c r="Q1049" s="91"/>
      <c r="R1049" s="91"/>
      <c r="S1049" s="91"/>
      <c r="T1049" s="92"/>
      <c r="U1049" s="93"/>
      <c r="V1049" s="94"/>
      <c r="W1049" s="94"/>
      <c r="X1049" s="93"/>
      <c r="Y1049" s="93"/>
      <c r="Z1049" s="85"/>
      <c r="AA1049" s="85"/>
      <c r="AB1049" s="85"/>
      <c r="AC1049" s="85"/>
      <c r="AD1049" s="85"/>
    </row>
    <row r="1050" spans="16:30" x14ac:dyDescent="0.2">
      <c r="P1050" s="85"/>
      <c r="Q1050" s="91"/>
      <c r="R1050" s="91"/>
      <c r="S1050" s="91"/>
      <c r="T1050" s="92"/>
      <c r="U1050" s="93"/>
      <c r="V1050" s="94"/>
      <c r="W1050" s="94"/>
      <c r="X1050" s="93"/>
      <c r="Y1050" s="93"/>
      <c r="Z1050" s="85"/>
      <c r="AA1050" s="85"/>
      <c r="AB1050" s="85"/>
      <c r="AC1050" s="85"/>
      <c r="AD1050" s="85"/>
    </row>
    <row r="1051" spans="16:30" x14ac:dyDescent="0.2">
      <c r="P1051" s="85"/>
      <c r="Q1051" s="91"/>
      <c r="R1051" s="91"/>
      <c r="S1051" s="91"/>
      <c r="T1051" s="92"/>
      <c r="U1051" s="93"/>
      <c r="V1051" s="94"/>
      <c r="W1051" s="94"/>
      <c r="X1051" s="93"/>
      <c r="Y1051" s="93"/>
      <c r="Z1051" s="85"/>
      <c r="AA1051" s="85"/>
      <c r="AB1051" s="85"/>
      <c r="AC1051" s="85"/>
      <c r="AD1051" s="85"/>
    </row>
    <row r="1052" spans="16:30" x14ac:dyDescent="0.2">
      <c r="P1052" s="85"/>
      <c r="Q1052" s="91"/>
      <c r="R1052" s="91"/>
      <c r="S1052" s="91"/>
      <c r="T1052" s="92"/>
      <c r="U1052" s="93"/>
      <c r="V1052" s="94"/>
      <c r="W1052" s="94"/>
      <c r="X1052" s="93"/>
      <c r="Y1052" s="93"/>
      <c r="Z1052" s="85"/>
      <c r="AA1052" s="85"/>
      <c r="AB1052" s="85"/>
      <c r="AC1052" s="85"/>
      <c r="AD1052" s="85"/>
    </row>
    <row r="1053" spans="16:30" x14ac:dyDescent="0.2">
      <c r="P1053" s="85"/>
      <c r="Q1053" s="91"/>
      <c r="R1053" s="91"/>
      <c r="S1053" s="91"/>
      <c r="T1053" s="92"/>
      <c r="U1053" s="93"/>
      <c r="V1053" s="94"/>
      <c r="W1053" s="94"/>
      <c r="X1053" s="93"/>
      <c r="Y1053" s="93"/>
      <c r="Z1053" s="85"/>
      <c r="AA1053" s="85"/>
      <c r="AB1053" s="85"/>
      <c r="AC1053" s="85"/>
      <c r="AD1053" s="85"/>
    </row>
    <row r="1054" spans="16:30" x14ac:dyDescent="0.2">
      <c r="P1054" s="85"/>
      <c r="Q1054" s="91"/>
      <c r="R1054" s="91"/>
      <c r="S1054" s="91"/>
      <c r="T1054" s="92"/>
      <c r="U1054" s="93"/>
      <c r="V1054" s="94"/>
      <c r="W1054" s="94"/>
      <c r="X1054" s="93"/>
      <c r="Y1054" s="93"/>
      <c r="Z1054" s="85"/>
      <c r="AA1054" s="85"/>
      <c r="AB1054" s="85"/>
      <c r="AC1054" s="85"/>
      <c r="AD1054" s="85"/>
    </row>
    <row r="1055" spans="16:30" x14ac:dyDescent="0.2">
      <c r="P1055" s="85"/>
      <c r="Q1055" s="91"/>
      <c r="R1055" s="91"/>
      <c r="S1055" s="91"/>
      <c r="T1055" s="92"/>
      <c r="U1055" s="93"/>
      <c r="V1055" s="94"/>
      <c r="W1055" s="94"/>
      <c r="X1055" s="93"/>
      <c r="Y1055" s="93"/>
      <c r="Z1055" s="85"/>
      <c r="AA1055" s="85"/>
      <c r="AB1055" s="85"/>
      <c r="AC1055" s="85"/>
      <c r="AD1055" s="85"/>
    </row>
    <row r="1056" spans="16:30" x14ac:dyDescent="0.2">
      <c r="P1056" s="85"/>
      <c r="Q1056" s="91"/>
      <c r="R1056" s="91"/>
      <c r="S1056" s="91"/>
      <c r="T1056" s="92"/>
      <c r="U1056" s="93"/>
      <c r="V1056" s="94"/>
      <c r="W1056" s="94"/>
      <c r="X1056" s="93"/>
      <c r="Y1056" s="93"/>
      <c r="Z1056" s="85"/>
      <c r="AA1056" s="85"/>
      <c r="AB1056" s="85"/>
      <c r="AC1056" s="85"/>
      <c r="AD1056" s="85"/>
    </row>
    <row r="1057" spans="16:30" x14ac:dyDescent="0.2">
      <c r="P1057" s="85"/>
      <c r="Q1057" s="91"/>
      <c r="R1057" s="91"/>
      <c r="S1057" s="91"/>
      <c r="T1057" s="92"/>
      <c r="U1057" s="93"/>
      <c r="V1057" s="94"/>
      <c r="W1057" s="94"/>
      <c r="X1057" s="93"/>
      <c r="Y1057" s="93"/>
      <c r="Z1057" s="85"/>
      <c r="AA1057" s="85"/>
      <c r="AB1057" s="85"/>
      <c r="AC1057" s="85"/>
      <c r="AD1057" s="85"/>
    </row>
    <row r="1058" spans="16:30" x14ac:dyDescent="0.2">
      <c r="P1058" s="85"/>
      <c r="Q1058" s="91"/>
      <c r="R1058" s="91"/>
      <c r="S1058" s="91"/>
      <c r="T1058" s="92"/>
      <c r="U1058" s="93"/>
      <c r="V1058" s="94"/>
      <c r="W1058" s="94"/>
      <c r="X1058" s="93"/>
      <c r="Y1058" s="93"/>
      <c r="Z1058" s="85"/>
      <c r="AA1058" s="85"/>
      <c r="AB1058" s="85"/>
      <c r="AC1058" s="85"/>
      <c r="AD1058" s="85"/>
    </row>
    <row r="1059" spans="16:30" x14ac:dyDescent="0.2">
      <c r="P1059" s="85"/>
      <c r="Q1059" s="91"/>
      <c r="R1059" s="91"/>
      <c r="S1059" s="91"/>
      <c r="T1059" s="92"/>
      <c r="U1059" s="93"/>
      <c r="V1059" s="94"/>
      <c r="W1059" s="94"/>
      <c r="X1059" s="93"/>
      <c r="Y1059" s="93"/>
      <c r="Z1059" s="85"/>
      <c r="AA1059" s="85"/>
      <c r="AB1059" s="85"/>
      <c r="AC1059" s="85"/>
      <c r="AD1059" s="85"/>
    </row>
    <row r="1060" spans="16:30" x14ac:dyDescent="0.2">
      <c r="P1060" s="85"/>
      <c r="Q1060" s="91"/>
      <c r="R1060" s="91"/>
      <c r="S1060" s="91"/>
      <c r="T1060" s="92"/>
      <c r="U1060" s="93"/>
      <c r="V1060" s="94"/>
      <c r="W1060" s="94"/>
      <c r="X1060" s="93"/>
      <c r="Y1060" s="93"/>
      <c r="Z1060" s="85"/>
      <c r="AA1060" s="85"/>
      <c r="AB1060" s="85"/>
      <c r="AC1060" s="85"/>
      <c r="AD1060" s="85"/>
    </row>
    <row r="1061" spans="16:30" x14ac:dyDescent="0.2">
      <c r="P1061" s="85"/>
      <c r="Q1061" s="91"/>
      <c r="R1061" s="91"/>
      <c r="S1061" s="91"/>
      <c r="T1061" s="92"/>
      <c r="U1061" s="93"/>
      <c r="V1061" s="94"/>
      <c r="W1061" s="94"/>
      <c r="X1061" s="93"/>
      <c r="Y1061" s="93"/>
      <c r="Z1061" s="85"/>
      <c r="AA1061" s="85"/>
      <c r="AB1061" s="85"/>
      <c r="AC1061" s="85"/>
      <c r="AD1061" s="85"/>
    </row>
    <row r="1062" spans="16:30" x14ac:dyDescent="0.2">
      <c r="P1062" s="85"/>
      <c r="Q1062" s="91"/>
      <c r="R1062" s="91"/>
      <c r="S1062" s="91"/>
      <c r="T1062" s="92"/>
      <c r="U1062" s="93"/>
      <c r="V1062" s="94"/>
      <c r="W1062" s="94"/>
      <c r="X1062" s="93"/>
      <c r="Y1062" s="93"/>
      <c r="Z1062" s="85"/>
      <c r="AA1062" s="85"/>
      <c r="AB1062" s="85"/>
      <c r="AC1062" s="85"/>
      <c r="AD1062" s="85"/>
    </row>
    <row r="1063" spans="16:30" x14ac:dyDescent="0.2">
      <c r="P1063" s="85"/>
      <c r="Q1063" s="91"/>
      <c r="R1063" s="91"/>
      <c r="S1063" s="91"/>
      <c r="T1063" s="92"/>
      <c r="U1063" s="93"/>
      <c r="V1063" s="94"/>
      <c r="W1063" s="94"/>
      <c r="X1063" s="93"/>
      <c r="Y1063" s="93"/>
      <c r="Z1063" s="85"/>
      <c r="AA1063" s="85"/>
      <c r="AB1063" s="85"/>
      <c r="AC1063" s="85"/>
      <c r="AD1063" s="85"/>
    </row>
    <row r="1064" spans="16:30" x14ac:dyDescent="0.2">
      <c r="P1064" s="85"/>
      <c r="Q1064" s="91"/>
      <c r="R1064" s="91"/>
      <c r="S1064" s="91"/>
      <c r="T1064" s="92"/>
      <c r="U1064" s="93"/>
      <c r="V1064" s="94"/>
      <c r="W1064" s="94"/>
      <c r="X1064" s="93"/>
      <c r="Y1064" s="93"/>
      <c r="Z1064" s="85"/>
      <c r="AA1064" s="85"/>
      <c r="AB1064" s="85"/>
      <c r="AC1064" s="85"/>
      <c r="AD1064" s="85"/>
    </row>
    <row r="1065" spans="16:30" x14ac:dyDescent="0.2">
      <c r="P1065" s="85"/>
      <c r="Q1065" s="91"/>
      <c r="R1065" s="91"/>
      <c r="S1065" s="91"/>
      <c r="T1065" s="92"/>
      <c r="U1065" s="93"/>
      <c r="V1065" s="94"/>
      <c r="W1065" s="94"/>
      <c r="X1065" s="93"/>
      <c r="Y1065" s="93"/>
      <c r="Z1065" s="85"/>
      <c r="AA1065" s="85"/>
      <c r="AB1065" s="85"/>
      <c r="AC1065" s="85"/>
      <c r="AD1065" s="85"/>
    </row>
    <row r="1066" spans="16:30" x14ac:dyDescent="0.2">
      <c r="P1066" s="85"/>
      <c r="Q1066" s="91"/>
      <c r="R1066" s="91"/>
      <c r="S1066" s="91"/>
      <c r="T1066" s="92"/>
      <c r="U1066" s="93"/>
      <c r="V1066" s="94"/>
      <c r="W1066" s="94"/>
      <c r="X1066" s="93"/>
      <c r="Y1066" s="93"/>
      <c r="Z1066" s="85"/>
      <c r="AA1066" s="85"/>
      <c r="AB1066" s="85"/>
      <c r="AC1066" s="85"/>
      <c r="AD1066" s="85"/>
    </row>
    <row r="1067" spans="16:30" x14ac:dyDescent="0.2">
      <c r="P1067" s="85"/>
      <c r="Q1067" s="91"/>
      <c r="R1067" s="91"/>
      <c r="S1067" s="91"/>
      <c r="T1067" s="92"/>
      <c r="U1067" s="93"/>
      <c r="V1067" s="94"/>
      <c r="W1067" s="94"/>
      <c r="X1067" s="93"/>
      <c r="Y1067" s="93"/>
      <c r="Z1067" s="85"/>
      <c r="AA1067" s="85"/>
      <c r="AB1067" s="85"/>
      <c r="AC1067" s="85"/>
      <c r="AD1067" s="85"/>
    </row>
    <row r="1068" spans="16:30" x14ac:dyDescent="0.2">
      <c r="P1068" s="85"/>
      <c r="Q1068" s="91"/>
      <c r="R1068" s="91"/>
      <c r="S1068" s="91"/>
      <c r="T1068" s="92"/>
      <c r="U1068" s="93"/>
      <c r="V1068" s="94"/>
      <c r="W1068" s="94"/>
      <c r="X1068" s="93"/>
      <c r="Y1068" s="93"/>
      <c r="Z1068" s="85"/>
      <c r="AA1068" s="85"/>
      <c r="AB1068" s="85"/>
      <c r="AC1068" s="85"/>
      <c r="AD1068" s="85"/>
    </row>
    <row r="1069" spans="16:30" x14ac:dyDescent="0.2">
      <c r="P1069" s="85"/>
      <c r="Q1069" s="91"/>
      <c r="R1069" s="91"/>
      <c r="S1069" s="91"/>
      <c r="T1069" s="92"/>
      <c r="U1069" s="93"/>
      <c r="V1069" s="94"/>
      <c r="W1069" s="94"/>
      <c r="X1069" s="93"/>
      <c r="Y1069" s="93"/>
      <c r="Z1069" s="85"/>
      <c r="AA1069" s="85"/>
      <c r="AB1069" s="85"/>
      <c r="AC1069" s="85"/>
      <c r="AD1069" s="85"/>
    </row>
    <row r="1070" spans="16:30" x14ac:dyDescent="0.2">
      <c r="P1070" s="85"/>
      <c r="Q1070" s="91"/>
      <c r="R1070" s="91"/>
      <c r="S1070" s="91"/>
      <c r="T1070" s="92"/>
      <c r="U1070" s="93"/>
      <c r="V1070" s="94"/>
      <c r="W1070" s="94"/>
      <c r="X1070" s="93"/>
      <c r="Y1070" s="93"/>
      <c r="Z1070" s="85"/>
      <c r="AA1070" s="85"/>
      <c r="AB1070" s="85"/>
      <c r="AC1070" s="85"/>
      <c r="AD1070" s="85"/>
    </row>
    <row r="1071" spans="16:30" x14ac:dyDescent="0.2">
      <c r="P1071" s="85"/>
      <c r="Q1071" s="91"/>
      <c r="R1071" s="91"/>
      <c r="S1071" s="91"/>
      <c r="T1071" s="92"/>
      <c r="U1071" s="93"/>
      <c r="V1071" s="94"/>
      <c r="W1071" s="94"/>
      <c r="X1071" s="93"/>
      <c r="Y1071" s="93"/>
      <c r="Z1071" s="85"/>
      <c r="AA1071" s="85"/>
      <c r="AB1071" s="85"/>
      <c r="AC1071" s="85"/>
      <c r="AD1071" s="85"/>
    </row>
    <row r="1072" spans="16:30" x14ac:dyDescent="0.2">
      <c r="P1072" s="85"/>
      <c r="Q1072" s="91"/>
      <c r="R1072" s="91"/>
      <c r="S1072" s="91"/>
      <c r="T1072" s="92"/>
      <c r="U1072" s="93"/>
      <c r="V1072" s="94"/>
      <c r="W1072" s="94"/>
      <c r="X1072" s="93"/>
      <c r="Y1072" s="93"/>
      <c r="Z1072" s="85"/>
      <c r="AA1072" s="85"/>
      <c r="AB1072" s="85"/>
      <c r="AC1072" s="85"/>
      <c r="AD1072" s="85"/>
    </row>
    <row r="1073" spans="16:30" x14ac:dyDescent="0.2">
      <c r="P1073" s="85"/>
      <c r="Q1073" s="91"/>
      <c r="R1073" s="91"/>
      <c r="S1073" s="91"/>
      <c r="T1073" s="92"/>
      <c r="U1073" s="93"/>
      <c r="V1073" s="94"/>
      <c r="W1073" s="94"/>
      <c r="X1073" s="93"/>
      <c r="Y1073" s="93"/>
      <c r="Z1073" s="85"/>
      <c r="AA1073" s="85"/>
      <c r="AB1073" s="85"/>
      <c r="AC1073" s="85"/>
      <c r="AD1073" s="85"/>
    </row>
    <row r="1074" spans="16:30" x14ac:dyDescent="0.2">
      <c r="P1074" s="85"/>
      <c r="Q1074" s="91"/>
      <c r="R1074" s="91"/>
      <c r="S1074" s="91"/>
      <c r="T1074" s="92"/>
      <c r="U1074" s="93"/>
      <c r="V1074" s="94"/>
      <c r="W1074" s="94"/>
      <c r="X1074" s="93"/>
      <c r="Y1074" s="93"/>
      <c r="Z1074" s="85"/>
      <c r="AA1074" s="85"/>
      <c r="AB1074" s="85"/>
      <c r="AC1074" s="85"/>
      <c r="AD1074" s="85"/>
    </row>
    <row r="1075" spans="16:30" x14ac:dyDescent="0.2">
      <c r="P1075" s="85"/>
      <c r="Q1075" s="91"/>
      <c r="R1075" s="91"/>
      <c r="S1075" s="91"/>
      <c r="T1075" s="92"/>
      <c r="U1075" s="93"/>
      <c r="V1075" s="94"/>
      <c r="W1075" s="94"/>
      <c r="X1075" s="93"/>
      <c r="Y1075" s="93"/>
      <c r="Z1075" s="85"/>
      <c r="AA1075" s="85"/>
      <c r="AB1075" s="85"/>
      <c r="AC1075" s="85"/>
      <c r="AD1075" s="85"/>
    </row>
    <row r="1076" spans="16:30" x14ac:dyDescent="0.2">
      <c r="P1076" s="85"/>
      <c r="Q1076" s="91"/>
      <c r="R1076" s="91"/>
      <c r="S1076" s="91"/>
      <c r="T1076" s="92"/>
      <c r="U1076" s="93"/>
      <c r="V1076" s="94"/>
      <c r="W1076" s="94"/>
      <c r="X1076" s="93"/>
      <c r="Y1076" s="93"/>
      <c r="Z1076" s="85"/>
      <c r="AA1076" s="85"/>
      <c r="AB1076" s="85"/>
      <c r="AC1076" s="85"/>
      <c r="AD1076" s="85"/>
    </row>
    <row r="1077" spans="16:30" x14ac:dyDescent="0.2">
      <c r="P1077" s="85"/>
      <c r="Q1077" s="91"/>
      <c r="R1077" s="91"/>
      <c r="S1077" s="91"/>
      <c r="T1077" s="92"/>
      <c r="U1077" s="93"/>
      <c r="V1077" s="94"/>
      <c r="W1077" s="94"/>
      <c r="X1077" s="93"/>
      <c r="Y1077" s="93"/>
      <c r="Z1077" s="85"/>
      <c r="AA1077" s="85"/>
      <c r="AB1077" s="85"/>
      <c r="AC1077" s="85"/>
      <c r="AD1077" s="85"/>
    </row>
    <row r="1078" spans="16:30" x14ac:dyDescent="0.2">
      <c r="P1078" s="85"/>
      <c r="Q1078" s="91"/>
      <c r="R1078" s="91"/>
      <c r="S1078" s="91"/>
      <c r="T1078" s="92"/>
      <c r="U1078" s="93"/>
      <c r="V1078" s="94"/>
      <c r="W1078" s="94"/>
      <c r="X1078" s="93"/>
      <c r="Y1078" s="93"/>
      <c r="Z1078" s="85"/>
      <c r="AA1078" s="85"/>
      <c r="AB1078" s="85"/>
      <c r="AC1078" s="85"/>
      <c r="AD1078" s="85"/>
    </row>
    <row r="1079" spans="16:30" x14ac:dyDescent="0.2">
      <c r="P1079" s="85"/>
      <c r="Q1079" s="91"/>
      <c r="R1079" s="91"/>
      <c r="S1079" s="91"/>
      <c r="T1079" s="92"/>
      <c r="U1079" s="93"/>
      <c r="V1079" s="94"/>
      <c r="W1079" s="94"/>
      <c r="X1079" s="93"/>
      <c r="Y1079" s="93"/>
      <c r="Z1079" s="85"/>
      <c r="AA1079" s="85"/>
      <c r="AB1079" s="85"/>
      <c r="AC1079" s="85"/>
      <c r="AD1079" s="85"/>
    </row>
    <row r="1080" spans="16:30" x14ac:dyDescent="0.2">
      <c r="P1080" s="85"/>
      <c r="Q1080" s="91"/>
      <c r="R1080" s="91"/>
      <c r="S1080" s="91"/>
      <c r="T1080" s="92"/>
      <c r="U1080" s="93"/>
      <c r="V1080" s="94"/>
      <c r="W1080" s="94"/>
      <c r="X1080" s="93"/>
      <c r="Y1080" s="93"/>
      <c r="Z1080" s="85"/>
      <c r="AA1080" s="85"/>
      <c r="AB1080" s="85"/>
      <c r="AC1080" s="85"/>
      <c r="AD1080" s="85"/>
    </row>
    <row r="1081" spans="16:30" x14ac:dyDescent="0.2">
      <c r="P1081" s="85"/>
      <c r="Q1081" s="91"/>
      <c r="R1081" s="91"/>
      <c r="S1081" s="91"/>
      <c r="T1081" s="92"/>
      <c r="U1081" s="93"/>
      <c r="V1081" s="94"/>
      <c r="W1081" s="94"/>
      <c r="X1081" s="93"/>
      <c r="Y1081" s="93"/>
      <c r="Z1081" s="85"/>
      <c r="AA1081" s="85"/>
      <c r="AB1081" s="85"/>
      <c r="AC1081" s="85"/>
      <c r="AD1081" s="85"/>
    </row>
    <row r="1082" spans="16:30" x14ac:dyDescent="0.2">
      <c r="P1082" s="85"/>
      <c r="Q1082" s="91"/>
      <c r="R1082" s="91"/>
      <c r="S1082" s="91"/>
      <c r="T1082" s="92"/>
      <c r="U1082" s="93"/>
      <c r="V1082" s="94"/>
      <c r="W1082" s="94"/>
      <c r="X1082" s="93"/>
      <c r="Y1082" s="93"/>
      <c r="Z1082" s="85"/>
      <c r="AA1082" s="85"/>
      <c r="AB1082" s="85"/>
      <c r="AC1082" s="85"/>
      <c r="AD1082" s="85"/>
    </row>
    <row r="1083" spans="16:30" x14ac:dyDescent="0.2">
      <c r="P1083" s="85"/>
      <c r="Q1083" s="91"/>
      <c r="R1083" s="91"/>
      <c r="S1083" s="91"/>
      <c r="T1083" s="92"/>
      <c r="U1083" s="93"/>
      <c r="V1083" s="94"/>
      <c r="W1083" s="94"/>
      <c r="X1083" s="93"/>
      <c r="Y1083" s="93"/>
      <c r="Z1083" s="85"/>
      <c r="AA1083" s="85"/>
      <c r="AB1083" s="85"/>
      <c r="AC1083" s="85"/>
      <c r="AD1083" s="85"/>
    </row>
    <row r="1084" spans="16:30" x14ac:dyDescent="0.2">
      <c r="P1084" s="85"/>
      <c r="Q1084" s="91"/>
      <c r="R1084" s="91"/>
      <c r="S1084" s="91"/>
      <c r="T1084" s="92"/>
      <c r="U1084" s="93"/>
      <c r="V1084" s="94"/>
      <c r="W1084" s="94"/>
      <c r="X1084" s="93"/>
      <c r="Y1084" s="93"/>
      <c r="Z1084" s="85"/>
      <c r="AA1084" s="85"/>
      <c r="AB1084" s="85"/>
      <c r="AC1084" s="85"/>
      <c r="AD1084" s="85"/>
    </row>
    <row r="1085" spans="16:30" x14ac:dyDescent="0.2">
      <c r="P1085" s="85"/>
      <c r="Q1085" s="91"/>
      <c r="R1085" s="91"/>
      <c r="S1085" s="91"/>
      <c r="T1085" s="92"/>
      <c r="U1085" s="93"/>
      <c r="V1085" s="94"/>
      <c r="W1085" s="94"/>
      <c r="X1085" s="93"/>
      <c r="Y1085" s="93"/>
      <c r="Z1085" s="85"/>
      <c r="AA1085" s="85"/>
      <c r="AB1085" s="85"/>
      <c r="AC1085" s="85"/>
      <c r="AD1085" s="85"/>
    </row>
    <row r="1086" spans="16:30" x14ac:dyDescent="0.2">
      <c r="P1086" s="85"/>
      <c r="Q1086" s="91"/>
      <c r="R1086" s="91"/>
      <c r="S1086" s="91"/>
      <c r="T1086" s="92"/>
      <c r="U1086" s="93"/>
      <c r="V1086" s="94"/>
      <c r="W1086" s="94"/>
      <c r="X1086" s="93"/>
      <c r="Y1086" s="93"/>
      <c r="Z1086" s="85"/>
      <c r="AA1086" s="85"/>
      <c r="AB1086" s="85"/>
      <c r="AC1086" s="85"/>
      <c r="AD1086" s="85"/>
    </row>
    <row r="1087" spans="16:30" x14ac:dyDescent="0.2">
      <c r="P1087" s="85"/>
      <c r="Q1087" s="91"/>
      <c r="R1087" s="91"/>
      <c r="S1087" s="91"/>
      <c r="T1087" s="92"/>
      <c r="U1087" s="93"/>
      <c r="V1087" s="94"/>
      <c r="W1087" s="94"/>
      <c r="X1087" s="93"/>
      <c r="Y1087" s="93"/>
      <c r="Z1087" s="85"/>
      <c r="AA1087" s="85"/>
      <c r="AB1087" s="85"/>
      <c r="AC1087" s="85"/>
      <c r="AD1087" s="85"/>
    </row>
    <row r="1088" spans="16:30" x14ac:dyDescent="0.2">
      <c r="P1088" s="85"/>
      <c r="Q1088" s="91"/>
      <c r="R1088" s="91"/>
      <c r="S1088" s="91"/>
      <c r="T1088" s="92"/>
      <c r="U1088" s="93"/>
      <c r="V1088" s="94"/>
      <c r="W1088" s="94"/>
      <c r="X1088" s="93"/>
      <c r="Y1088" s="93"/>
      <c r="Z1088" s="85"/>
      <c r="AA1088" s="85"/>
      <c r="AB1088" s="85"/>
      <c r="AC1088" s="85"/>
      <c r="AD1088" s="85"/>
    </row>
    <row r="1089" spans="16:30" x14ac:dyDescent="0.2">
      <c r="P1089" s="85"/>
      <c r="Q1089" s="91"/>
      <c r="R1089" s="91"/>
      <c r="S1089" s="91"/>
      <c r="T1089" s="92"/>
      <c r="U1089" s="93"/>
      <c r="V1089" s="94"/>
      <c r="W1089" s="94"/>
      <c r="X1089" s="93"/>
      <c r="Y1089" s="93"/>
      <c r="Z1089" s="85"/>
      <c r="AA1089" s="85"/>
      <c r="AB1089" s="85"/>
      <c r="AC1089" s="85"/>
      <c r="AD1089" s="85"/>
    </row>
    <row r="1090" spans="16:30" x14ac:dyDescent="0.2">
      <c r="P1090" s="85"/>
      <c r="Q1090" s="91"/>
      <c r="R1090" s="91"/>
      <c r="S1090" s="91"/>
      <c r="T1090" s="92"/>
      <c r="U1090" s="93"/>
      <c r="V1090" s="94"/>
      <c r="W1090" s="94"/>
      <c r="X1090" s="93"/>
      <c r="Y1090" s="93"/>
      <c r="Z1090" s="85"/>
      <c r="AA1090" s="85"/>
      <c r="AB1090" s="85"/>
      <c r="AC1090" s="85"/>
      <c r="AD1090" s="85"/>
    </row>
    <row r="1091" spans="16:30" x14ac:dyDescent="0.2">
      <c r="P1091" s="85"/>
      <c r="Q1091" s="91"/>
      <c r="R1091" s="91"/>
      <c r="S1091" s="91"/>
      <c r="T1091" s="92"/>
      <c r="U1091" s="93"/>
      <c r="V1091" s="94"/>
      <c r="W1091" s="94"/>
      <c r="X1091" s="93"/>
      <c r="Y1091" s="93"/>
      <c r="Z1091" s="85"/>
      <c r="AA1091" s="85"/>
      <c r="AB1091" s="85"/>
      <c r="AC1091" s="85"/>
      <c r="AD1091" s="85"/>
    </row>
    <row r="1092" spans="16:30" x14ac:dyDescent="0.2">
      <c r="P1092" s="85"/>
      <c r="Q1092" s="91"/>
      <c r="R1092" s="91"/>
      <c r="S1092" s="91"/>
      <c r="T1092" s="92"/>
      <c r="U1092" s="93"/>
      <c r="V1092" s="94"/>
      <c r="W1092" s="94"/>
      <c r="X1092" s="93"/>
      <c r="Y1092" s="93"/>
      <c r="Z1092" s="85"/>
      <c r="AA1092" s="85"/>
      <c r="AB1092" s="85"/>
      <c r="AC1092" s="85"/>
      <c r="AD1092" s="85"/>
    </row>
    <row r="1093" spans="16:30" x14ac:dyDescent="0.2">
      <c r="P1093" s="85"/>
      <c r="Q1093" s="91"/>
      <c r="R1093" s="91"/>
      <c r="S1093" s="91"/>
      <c r="T1093" s="92"/>
      <c r="U1093" s="93"/>
      <c r="V1093" s="94"/>
      <c r="W1093" s="94"/>
      <c r="X1093" s="93"/>
      <c r="Y1093" s="93"/>
      <c r="Z1093" s="85"/>
      <c r="AA1093" s="85"/>
      <c r="AB1093" s="85"/>
      <c r="AC1093" s="85"/>
      <c r="AD1093" s="85"/>
    </row>
    <row r="1094" spans="16:30" x14ac:dyDescent="0.2">
      <c r="P1094" s="85"/>
      <c r="Q1094" s="91"/>
      <c r="R1094" s="91"/>
      <c r="S1094" s="91"/>
      <c r="T1094" s="92"/>
      <c r="U1094" s="93"/>
      <c r="V1094" s="94"/>
      <c r="W1094" s="94"/>
      <c r="X1094" s="93"/>
      <c r="Y1094" s="93"/>
      <c r="Z1094" s="85"/>
      <c r="AA1094" s="85"/>
      <c r="AB1094" s="85"/>
      <c r="AC1094" s="85"/>
      <c r="AD1094" s="85"/>
    </row>
    <row r="1095" spans="16:30" x14ac:dyDescent="0.2">
      <c r="P1095" s="85"/>
      <c r="Q1095" s="91"/>
      <c r="R1095" s="91"/>
      <c r="S1095" s="91"/>
      <c r="T1095" s="92"/>
      <c r="U1095" s="93"/>
      <c r="V1095" s="94"/>
      <c r="W1095" s="94"/>
      <c r="X1095" s="93"/>
      <c r="Y1095" s="93"/>
      <c r="Z1095" s="85"/>
      <c r="AA1095" s="85"/>
      <c r="AB1095" s="85"/>
      <c r="AC1095" s="85"/>
      <c r="AD1095" s="85"/>
    </row>
    <row r="1096" spans="16:30" x14ac:dyDescent="0.2">
      <c r="P1096" s="85"/>
      <c r="Q1096" s="91"/>
      <c r="R1096" s="91"/>
      <c r="S1096" s="91"/>
      <c r="T1096" s="92"/>
      <c r="U1096" s="93"/>
      <c r="V1096" s="94"/>
      <c r="W1096" s="94"/>
      <c r="X1096" s="93"/>
      <c r="Y1096" s="93"/>
      <c r="Z1096" s="85"/>
      <c r="AA1096" s="85"/>
      <c r="AB1096" s="85"/>
      <c r="AC1096" s="85"/>
      <c r="AD1096" s="85"/>
    </row>
    <row r="1097" spans="16:30" x14ac:dyDescent="0.2">
      <c r="P1097" s="85"/>
      <c r="Q1097" s="91"/>
      <c r="R1097" s="91"/>
      <c r="S1097" s="91"/>
      <c r="T1097" s="92"/>
      <c r="U1097" s="93"/>
      <c r="V1097" s="94"/>
      <c r="W1097" s="94"/>
      <c r="X1097" s="93"/>
      <c r="Y1097" s="93"/>
      <c r="Z1097" s="85"/>
      <c r="AA1097" s="85"/>
      <c r="AB1097" s="85"/>
      <c r="AC1097" s="85"/>
      <c r="AD1097" s="85"/>
    </row>
    <row r="1098" spans="16:30" x14ac:dyDescent="0.2">
      <c r="P1098" s="85"/>
      <c r="Q1098" s="91"/>
      <c r="R1098" s="91"/>
      <c r="S1098" s="91"/>
      <c r="T1098" s="92"/>
      <c r="U1098" s="93"/>
      <c r="V1098" s="94"/>
      <c r="W1098" s="94"/>
      <c r="X1098" s="93"/>
      <c r="Y1098" s="93"/>
      <c r="Z1098" s="85"/>
      <c r="AA1098" s="85"/>
      <c r="AB1098" s="85"/>
      <c r="AC1098" s="85"/>
      <c r="AD1098" s="85"/>
    </row>
    <row r="1099" spans="16:30" x14ac:dyDescent="0.2">
      <c r="P1099" s="85"/>
      <c r="Q1099" s="91"/>
      <c r="R1099" s="91"/>
      <c r="S1099" s="91"/>
      <c r="T1099" s="92"/>
      <c r="U1099" s="93"/>
      <c r="V1099" s="94"/>
      <c r="W1099" s="94"/>
      <c r="X1099" s="93"/>
      <c r="Y1099" s="93"/>
      <c r="Z1099" s="85"/>
      <c r="AA1099" s="85"/>
      <c r="AB1099" s="85"/>
      <c r="AC1099" s="85"/>
      <c r="AD1099" s="85"/>
    </row>
    <row r="1100" spans="16:30" x14ac:dyDescent="0.2">
      <c r="P1100" s="85"/>
      <c r="Q1100" s="91"/>
      <c r="R1100" s="91"/>
      <c r="S1100" s="91"/>
      <c r="T1100" s="92"/>
      <c r="U1100" s="93"/>
      <c r="V1100" s="94"/>
      <c r="W1100" s="94"/>
      <c r="X1100" s="93"/>
      <c r="Y1100" s="93"/>
      <c r="Z1100" s="85"/>
      <c r="AA1100" s="85"/>
      <c r="AB1100" s="85"/>
      <c r="AC1100" s="85"/>
      <c r="AD1100" s="85"/>
    </row>
    <row r="1101" spans="16:30" x14ac:dyDescent="0.2">
      <c r="P1101" s="85"/>
      <c r="Q1101" s="91"/>
      <c r="R1101" s="91"/>
      <c r="S1101" s="91"/>
      <c r="T1101" s="92"/>
      <c r="U1101" s="93"/>
      <c r="V1101" s="94"/>
      <c r="W1101" s="94"/>
      <c r="X1101" s="93"/>
      <c r="Y1101" s="93"/>
      <c r="Z1101" s="85"/>
      <c r="AA1101" s="85"/>
      <c r="AB1101" s="85"/>
      <c r="AC1101" s="85"/>
      <c r="AD1101" s="85"/>
    </row>
    <row r="1102" spans="16:30" x14ac:dyDescent="0.2">
      <c r="P1102" s="85"/>
      <c r="Q1102" s="91"/>
      <c r="R1102" s="91"/>
      <c r="S1102" s="91"/>
      <c r="T1102" s="92"/>
      <c r="U1102" s="93"/>
      <c r="V1102" s="94"/>
      <c r="W1102" s="94"/>
      <c r="X1102" s="93"/>
      <c r="Y1102" s="93"/>
      <c r="Z1102" s="85"/>
      <c r="AA1102" s="85"/>
      <c r="AB1102" s="85"/>
      <c r="AC1102" s="85"/>
      <c r="AD1102" s="85"/>
    </row>
    <row r="1103" spans="16:30" x14ac:dyDescent="0.2">
      <c r="P1103" s="85"/>
      <c r="Q1103" s="91"/>
      <c r="R1103" s="91"/>
      <c r="S1103" s="91"/>
      <c r="T1103" s="92"/>
      <c r="U1103" s="93"/>
      <c r="V1103" s="94"/>
      <c r="W1103" s="94"/>
      <c r="X1103" s="93"/>
      <c r="Y1103" s="93"/>
      <c r="Z1103" s="85"/>
      <c r="AA1103" s="85"/>
      <c r="AB1103" s="85"/>
      <c r="AC1103" s="85"/>
      <c r="AD1103" s="85"/>
    </row>
    <row r="1104" spans="16:30" x14ac:dyDescent="0.2">
      <c r="P1104" s="85"/>
      <c r="Q1104" s="91"/>
      <c r="R1104" s="91"/>
      <c r="S1104" s="91"/>
      <c r="T1104" s="92"/>
      <c r="U1104" s="93"/>
      <c r="V1104" s="94"/>
      <c r="W1104" s="94"/>
      <c r="X1104" s="93"/>
      <c r="Y1104" s="93"/>
      <c r="Z1104" s="85"/>
      <c r="AA1104" s="85"/>
      <c r="AB1104" s="85"/>
      <c r="AC1104" s="85"/>
      <c r="AD1104" s="85"/>
    </row>
    <row r="1105" spans="16:30" x14ac:dyDescent="0.2">
      <c r="P1105" s="85"/>
      <c r="Q1105" s="91"/>
      <c r="R1105" s="91"/>
      <c r="S1105" s="91"/>
      <c r="T1105" s="92"/>
      <c r="U1105" s="93"/>
      <c r="V1105" s="94"/>
      <c r="W1105" s="94"/>
      <c r="X1105" s="93"/>
      <c r="Y1105" s="93"/>
      <c r="Z1105" s="85"/>
      <c r="AA1105" s="85"/>
      <c r="AB1105" s="85"/>
      <c r="AC1105" s="85"/>
      <c r="AD1105" s="85"/>
    </row>
    <row r="1106" spans="16:30" x14ac:dyDescent="0.2">
      <c r="P1106" s="85"/>
      <c r="Q1106" s="91"/>
      <c r="R1106" s="91"/>
      <c r="S1106" s="91"/>
      <c r="T1106" s="92"/>
      <c r="U1106" s="93"/>
      <c r="V1106" s="94"/>
      <c r="W1106" s="94"/>
      <c r="X1106" s="93"/>
      <c r="Y1106" s="93"/>
      <c r="Z1106" s="85"/>
      <c r="AA1106" s="85"/>
      <c r="AB1106" s="85"/>
      <c r="AC1106" s="85"/>
      <c r="AD1106" s="85"/>
    </row>
    <row r="1107" spans="16:30" x14ac:dyDescent="0.2">
      <c r="P1107" s="85"/>
      <c r="Q1107" s="91"/>
      <c r="R1107" s="91"/>
      <c r="S1107" s="91"/>
      <c r="T1107" s="92"/>
      <c r="U1107" s="93"/>
      <c r="V1107" s="94"/>
      <c r="W1107" s="94"/>
      <c r="X1107" s="93"/>
      <c r="Y1107" s="93"/>
      <c r="Z1107" s="85"/>
      <c r="AA1107" s="85"/>
      <c r="AB1107" s="85"/>
      <c r="AC1107" s="85"/>
      <c r="AD1107" s="85"/>
    </row>
    <row r="1108" spans="16:30" x14ac:dyDescent="0.2">
      <c r="P1108" s="85"/>
      <c r="Q1108" s="91"/>
      <c r="R1108" s="91"/>
      <c r="S1108" s="91"/>
      <c r="T1108" s="92"/>
      <c r="U1108" s="93"/>
      <c r="V1108" s="94"/>
      <c r="W1108" s="94"/>
      <c r="X1108" s="93"/>
      <c r="Y1108" s="93"/>
      <c r="Z1108" s="85"/>
      <c r="AA1108" s="85"/>
      <c r="AB1108" s="85"/>
      <c r="AC1108" s="85"/>
      <c r="AD1108" s="85"/>
    </row>
    <row r="1109" spans="16:30" x14ac:dyDescent="0.2">
      <c r="P1109" s="85"/>
      <c r="Q1109" s="91"/>
      <c r="R1109" s="91"/>
      <c r="S1109" s="91"/>
      <c r="T1109" s="92"/>
      <c r="U1109" s="93"/>
      <c r="V1109" s="94"/>
      <c r="W1109" s="94"/>
      <c r="X1109" s="93"/>
      <c r="Y1109" s="93"/>
      <c r="Z1109" s="85"/>
      <c r="AA1109" s="85"/>
      <c r="AB1109" s="85"/>
      <c r="AC1109" s="85"/>
      <c r="AD1109" s="85"/>
    </row>
    <row r="1110" spans="16:30" x14ac:dyDescent="0.2">
      <c r="P1110" s="85"/>
      <c r="Q1110" s="91"/>
      <c r="R1110" s="91"/>
      <c r="S1110" s="91"/>
      <c r="T1110" s="92"/>
      <c r="U1110" s="93"/>
      <c r="V1110" s="94"/>
      <c r="W1110" s="94"/>
      <c r="X1110" s="93"/>
      <c r="Y1110" s="93"/>
      <c r="Z1110" s="85"/>
      <c r="AA1110" s="85"/>
      <c r="AB1110" s="85"/>
      <c r="AC1110" s="85"/>
      <c r="AD1110" s="85"/>
    </row>
    <row r="1111" spans="16:30" x14ac:dyDescent="0.2">
      <c r="P1111" s="85"/>
      <c r="Q1111" s="91"/>
      <c r="R1111" s="91"/>
      <c r="S1111" s="91"/>
      <c r="T1111" s="92"/>
      <c r="U1111" s="93"/>
      <c r="V1111" s="94"/>
      <c r="W1111" s="94"/>
      <c r="X1111" s="93"/>
      <c r="Y1111" s="93"/>
      <c r="Z1111" s="85"/>
      <c r="AA1111" s="85"/>
      <c r="AB1111" s="85"/>
      <c r="AC1111" s="85"/>
      <c r="AD1111" s="85"/>
    </row>
    <row r="1112" spans="16:30" x14ac:dyDescent="0.2">
      <c r="P1112" s="85"/>
      <c r="Q1112" s="91"/>
      <c r="R1112" s="91"/>
      <c r="S1112" s="91"/>
      <c r="T1112" s="92"/>
      <c r="U1112" s="93"/>
      <c r="V1112" s="94"/>
      <c r="W1112" s="94"/>
      <c r="X1112" s="93"/>
      <c r="Y1112" s="93"/>
      <c r="Z1112" s="85"/>
      <c r="AA1112" s="85"/>
      <c r="AB1112" s="85"/>
      <c r="AC1112" s="85"/>
      <c r="AD1112" s="85"/>
    </row>
    <row r="1113" spans="16:30" x14ac:dyDescent="0.2">
      <c r="P1113" s="85"/>
      <c r="Q1113" s="91"/>
      <c r="R1113" s="91"/>
      <c r="S1113" s="91"/>
      <c r="T1113" s="92"/>
      <c r="U1113" s="93"/>
      <c r="V1113" s="94"/>
      <c r="W1113" s="94"/>
      <c r="X1113" s="93"/>
      <c r="Y1113" s="93"/>
      <c r="Z1113" s="85"/>
      <c r="AA1113" s="85"/>
      <c r="AB1113" s="85"/>
      <c r="AC1113" s="85"/>
      <c r="AD1113" s="85"/>
    </row>
    <row r="1114" spans="16:30" x14ac:dyDescent="0.2">
      <c r="P1114" s="85"/>
      <c r="Q1114" s="91"/>
      <c r="R1114" s="91"/>
      <c r="S1114" s="91"/>
      <c r="T1114" s="92"/>
      <c r="U1114" s="93"/>
      <c r="V1114" s="94"/>
      <c r="W1114" s="94"/>
      <c r="X1114" s="93"/>
      <c r="Y1114" s="93"/>
      <c r="Z1114" s="85"/>
      <c r="AA1114" s="85"/>
      <c r="AB1114" s="85"/>
      <c r="AC1114" s="85"/>
      <c r="AD1114" s="85"/>
    </row>
    <row r="1115" spans="16:30" x14ac:dyDescent="0.2">
      <c r="P1115" s="85"/>
      <c r="Q1115" s="91"/>
      <c r="R1115" s="91"/>
      <c r="S1115" s="91"/>
      <c r="T1115" s="92"/>
      <c r="U1115" s="93"/>
      <c r="V1115" s="94"/>
      <c r="W1115" s="94"/>
      <c r="X1115" s="93"/>
      <c r="Y1115" s="93"/>
      <c r="Z1115" s="85"/>
      <c r="AA1115" s="85"/>
      <c r="AB1115" s="85"/>
      <c r="AC1115" s="85"/>
      <c r="AD1115" s="85"/>
    </row>
    <row r="1116" spans="16:30" x14ac:dyDescent="0.2">
      <c r="P1116" s="85"/>
      <c r="Q1116" s="91"/>
      <c r="R1116" s="91"/>
      <c r="S1116" s="91"/>
      <c r="T1116" s="92"/>
      <c r="U1116" s="93"/>
      <c r="V1116" s="94"/>
      <c r="W1116" s="94"/>
      <c r="X1116" s="93"/>
      <c r="Y1116" s="93"/>
      <c r="Z1116" s="85"/>
      <c r="AA1116" s="85"/>
      <c r="AB1116" s="85"/>
      <c r="AC1116" s="85"/>
      <c r="AD1116" s="85"/>
    </row>
    <row r="1117" spans="16:30" x14ac:dyDescent="0.2">
      <c r="P1117" s="85"/>
      <c r="Q1117" s="91"/>
      <c r="R1117" s="91"/>
      <c r="S1117" s="91"/>
      <c r="T1117" s="92"/>
      <c r="U1117" s="93"/>
      <c r="V1117" s="94"/>
      <c r="W1117" s="94"/>
      <c r="X1117" s="93"/>
      <c r="Y1117" s="93"/>
      <c r="Z1117" s="85"/>
      <c r="AA1117" s="85"/>
      <c r="AB1117" s="85"/>
      <c r="AC1117" s="85"/>
      <c r="AD1117" s="85"/>
    </row>
    <row r="1118" spans="16:30" x14ac:dyDescent="0.2">
      <c r="P1118" s="85"/>
      <c r="Q1118" s="91"/>
      <c r="R1118" s="91"/>
      <c r="S1118" s="91"/>
      <c r="T1118" s="92"/>
      <c r="U1118" s="93"/>
      <c r="V1118" s="94"/>
      <c r="W1118" s="94"/>
      <c r="X1118" s="93"/>
      <c r="Y1118" s="93"/>
      <c r="Z1118" s="85"/>
      <c r="AA1118" s="85"/>
      <c r="AB1118" s="85"/>
      <c r="AC1118" s="85"/>
      <c r="AD1118" s="85"/>
    </row>
    <row r="1119" spans="16:30" x14ac:dyDescent="0.2">
      <c r="P1119" s="85"/>
      <c r="Q1119" s="91"/>
      <c r="R1119" s="91"/>
      <c r="S1119" s="91"/>
      <c r="T1119" s="92"/>
      <c r="U1119" s="93"/>
      <c r="V1119" s="94"/>
      <c r="W1119" s="94"/>
      <c r="X1119" s="93"/>
      <c r="Y1119" s="93"/>
      <c r="Z1119" s="85"/>
      <c r="AA1119" s="85"/>
      <c r="AB1119" s="85"/>
      <c r="AC1119" s="85"/>
      <c r="AD1119" s="85"/>
    </row>
    <row r="1120" spans="16:30" x14ac:dyDescent="0.2">
      <c r="P1120" s="85"/>
      <c r="Q1120" s="91"/>
      <c r="R1120" s="91"/>
      <c r="S1120" s="91"/>
      <c r="T1120" s="92"/>
      <c r="U1120" s="93"/>
      <c r="V1120" s="94"/>
      <c r="W1120" s="94"/>
      <c r="X1120" s="93"/>
      <c r="Y1120" s="93"/>
      <c r="Z1120" s="85"/>
      <c r="AA1120" s="85"/>
      <c r="AB1120" s="85"/>
      <c r="AC1120" s="85"/>
      <c r="AD1120" s="85"/>
    </row>
    <row r="1121" spans="16:30" x14ac:dyDescent="0.2">
      <c r="P1121" s="85"/>
      <c r="Q1121" s="91"/>
      <c r="R1121" s="91"/>
      <c r="S1121" s="91"/>
      <c r="T1121" s="92"/>
      <c r="U1121" s="93"/>
      <c r="V1121" s="94"/>
      <c r="W1121" s="94"/>
      <c r="X1121" s="93"/>
      <c r="Y1121" s="93"/>
      <c r="Z1121" s="85"/>
      <c r="AA1121" s="85"/>
      <c r="AB1121" s="85"/>
      <c r="AC1121" s="85"/>
      <c r="AD1121" s="85"/>
    </row>
    <row r="1122" spans="16:30" x14ac:dyDescent="0.2">
      <c r="P1122" s="85"/>
      <c r="Q1122" s="91"/>
      <c r="R1122" s="91"/>
      <c r="S1122" s="91"/>
      <c r="T1122" s="92"/>
      <c r="U1122" s="93"/>
      <c r="V1122" s="94"/>
      <c r="W1122" s="94"/>
      <c r="X1122" s="93"/>
      <c r="Y1122" s="93"/>
      <c r="Z1122" s="85"/>
      <c r="AA1122" s="85"/>
      <c r="AB1122" s="85"/>
      <c r="AC1122" s="85"/>
      <c r="AD1122" s="85"/>
    </row>
    <row r="1123" spans="16:30" x14ac:dyDescent="0.2">
      <c r="P1123" s="85"/>
      <c r="Q1123" s="91"/>
      <c r="R1123" s="91"/>
      <c r="S1123" s="91"/>
      <c r="T1123" s="92"/>
      <c r="U1123" s="93"/>
      <c r="V1123" s="94"/>
      <c r="W1123" s="94"/>
      <c r="X1123" s="93"/>
      <c r="Y1123" s="93"/>
      <c r="Z1123" s="85"/>
      <c r="AA1123" s="85"/>
      <c r="AB1123" s="85"/>
      <c r="AC1123" s="85"/>
      <c r="AD1123" s="85"/>
    </row>
    <row r="1124" spans="16:30" x14ac:dyDescent="0.2">
      <c r="P1124" s="85"/>
      <c r="Q1124" s="91"/>
      <c r="R1124" s="91"/>
      <c r="S1124" s="91"/>
      <c r="T1124" s="92"/>
      <c r="U1124" s="93"/>
      <c r="V1124" s="94"/>
      <c r="W1124" s="94"/>
      <c r="X1124" s="93"/>
      <c r="Y1124" s="93"/>
      <c r="Z1124" s="85"/>
      <c r="AA1124" s="85"/>
      <c r="AB1124" s="85"/>
      <c r="AC1124" s="85"/>
      <c r="AD1124" s="85"/>
    </row>
    <row r="1125" spans="16:30" x14ac:dyDescent="0.2">
      <c r="P1125" s="85"/>
      <c r="Q1125" s="91"/>
      <c r="R1125" s="91"/>
      <c r="S1125" s="91"/>
      <c r="T1125" s="92"/>
      <c r="U1125" s="93"/>
      <c r="V1125" s="94"/>
      <c r="W1125" s="94"/>
      <c r="X1125" s="93"/>
      <c r="Y1125" s="93"/>
      <c r="Z1125" s="85"/>
      <c r="AA1125" s="85"/>
      <c r="AB1125" s="85"/>
      <c r="AC1125" s="85"/>
      <c r="AD1125" s="85"/>
    </row>
    <row r="1126" spans="16:30" x14ac:dyDescent="0.2">
      <c r="P1126" s="85"/>
      <c r="Q1126" s="91"/>
      <c r="R1126" s="91"/>
      <c r="S1126" s="91"/>
      <c r="T1126" s="92"/>
      <c r="U1126" s="93"/>
      <c r="V1126" s="94"/>
      <c r="W1126" s="94"/>
      <c r="X1126" s="93"/>
      <c r="Y1126" s="93"/>
      <c r="Z1126" s="85"/>
      <c r="AA1126" s="85"/>
      <c r="AB1126" s="85"/>
      <c r="AC1126" s="85"/>
      <c r="AD1126" s="85"/>
    </row>
    <row r="1127" spans="16:30" x14ac:dyDescent="0.2">
      <c r="P1127" s="85"/>
      <c r="Q1127" s="91"/>
      <c r="R1127" s="91"/>
      <c r="S1127" s="91"/>
      <c r="T1127" s="92"/>
      <c r="U1127" s="93"/>
      <c r="V1127" s="94"/>
      <c r="W1127" s="94"/>
      <c r="X1127" s="93"/>
      <c r="Y1127" s="93"/>
      <c r="Z1127" s="85"/>
      <c r="AA1127" s="85"/>
      <c r="AB1127" s="85"/>
      <c r="AC1127" s="85"/>
      <c r="AD1127" s="85"/>
    </row>
    <row r="1128" spans="16:30" x14ac:dyDescent="0.2">
      <c r="P1128" s="85"/>
      <c r="Q1128" s="91"/>
      <c r="R1128" s="91"/>
      <c r="S1128" s="91"/>
      <c r="T1128" s="92"/>
      <c r="U1128" s="93"/>
      <c r="V1128" s="94"/>
      <c r="W1128" s="94"/>
      <c r="X1128" s="93"/>
      <c r="Y1128" s="93"/>
      <c r="Z1128" s="85"/>
      <c r="AA1128" s="85"/>
      <c r="AB1128" s="85"/>
      <c r="AC1128" s="85"/>
      <c r="AD1128" s="85"/>
    </row>
    <row r="1129" spans="16:30" x14ac:dyDescent="0.2">
      <c r="P1129" s="85"/>
      <c r="Q1129" s="91"/>
      <c r="R1129" s="91"/>
      <c r="S1129" s="91"/>
      <c r="T1129" s="92"/>
      <c r="U1129" s="93"/>
      <c r="V1129" s="94"/>
      <c r="W1129" s="94"/>
      <c r="X1129" s="93"/>
      <c r="Y1129" s="93"/>
      <c r="Z1129" s="85"/>
      <c r="AA1129" s="85"/>
      <c r="AB1129" s="85"/>
      <c r="AC1129" s="85"/>
      <c r="AD1129" s="85"/>
    </row>
    <row r="1130" spans="16:30" x14ac:dyDescent="0.2">
      <c r="P1130" s="85"/>
      <c r="Q1130" s="91"/>
      <c r="R1130" s="91"/>
      <c r="S1130" s="91"/>
      <c r="T1130" s="92"/>
      <c r="U1130" s="93"/>
      <c r="V1130" s="94"/>
      <c r="W1130" s="94"/>
      <c r="X1130" s="93"/>
      <c r="Y1130" s="93"/>
      <c r="Z1130" s="85"/>
      <c r="AA1130" s="85"/>
      <c r="AB1130" s="85"/>
      <c r="AC1130" s="85"/>
      <c r="AD1130" s="85"/>
    </row>
    <row r="1131" spans="16:30" x14ac:dyDescent="0.2">
      <c r="P1131" s="85"/>
      <c r="Q1131" s="91"/>
      <c r="R1131" s="91"/>
      <c r="S1131" s="91"/>
      <c r="T1131" s="92"/>
      <c r="U1131" s="93"/>
      <c r="V1131" s="94"/>
      <c r="W1131" s="94"/>
      <c r="X1131" s="93"/>
      <c r="Y1131" s="93"/>
      <c r="Z1131" s="85"/>
      <c r="AA1131" s="85"/>
      <c r="AB1131" s="85"/>
      <c r="AC1131" s="85"/>
      <c r="AD1131" s="85"/>
    </row>
    <row r="1132" spans="16:30" x14ac:dyDescent="0.2">
      <c r="P1132" s="85"/>
      <c r="Q1132" s="91"/>
      <c r="R1132" s="91"/>
      <c r="S1132" s="91"/>
      <c r="T1132" s="92"/>
      <c r="U1132" s="93"/>
      <c r="V1132" s="94"/>
      <c r="W1132" s="94"/>
      <c r="X1132" s="93"/>
      <c r="Y1132" s="93"/>
      <c r="Z1132" s="85"/>
      <c r="AA1132" s="85"/>
      <c r="AB1132" s="85"/>
      <c r="AC1132" s="85"/>
      <c r="AD1132" s="85"/>
    </row>
    <row r="1133" spans="16:30" x14ac:dyDescent="0.2">
      <c r="P1133" s="85"/>
      <c r="Q1133" s="91"/>
      <c r="R1133" s="91"/>
      <c r="S1133" s="91"/>
      <c r="T1133" s="92"/>
      <c r="U1133" s="93"/>
      <c r="V1133" s="94"/>
      <c r="W1133" s="94"/>
      <c r="X1133" s="93"/>
      <c r="Y1133" s="93"/>
      <c r="Z1133" s="85"/>
      <c r="AA1133" s="85"/>
      <c r="AB1133" s="85"/>
      <c r="AC1133" s="85"/>
      <c r="AD1133" s="85"/>
    </row>
    <row r="1134" spans="16:30" x14ac:dyDescent="0.2">
      <c r="P1134" s="85"/>
      <c r="Q1134" s="91"/>
      <c r="R1134" s="91"/>
      <c r="S1134" s="91"/>
      <c r="T1134" s="92"/>
      <c r="U1134" s="93"/>
      <c r="V1134" s="94"/>
      <c r="W1134" s="94"/>
      <c r="X1134" s="93"/>
      <c r="Y1134" s="93"/>
      <c r="Z1134" s="85"/>
      <c r="AA1134" s="85"/>
      <c r="AB1134" s="85"/>
      <c r="AC1134" s="85"/>
      <c r="AD1134" s="85"/>
    </row>
    <row r="1135" spans="16:30" x14ac:dyDescent="0.2">
      <c r="P1135" s="85"/>
      <c r="Q1135" s="91"/>
      <c r="R1135" s="91"/>
      <c r="S1135" s="91"/>
      <c r="T1135" s="92"/>
      <c r="U1135" s="93"/>
      <c r="V1135" s="94"/>
      <c r="W1135" s="94"/>
      <c r="X1135" s="93"/>
      <c r="Y1135" s="93"/>
      <c r="Z1135" s="85"/>
      <c r="AA1135" s="85"/>
      <c r="AB1135" s="85"/>
      <c r="AC1135" s="85"/>
      <c r="AD1135" s="85"/>
    </row>
    <row r="1136" spans="16:30" x14ac:dyDescent="0.2">
      <c r="P1136" s="85"/>
      <c r="Q1136" s="91"/>
      <c r="R1136" s="91"/>
      <c r="S1136" s="91"/>
      <c r="T1136" s="92"/>
      <c r="U1136" s="93"/>
      <c r="V1136" s="94"/>
      <c r="W1136" s="94"/>
      <c r="X1136" s="93"/>
      <c r="Y1136" s="93"/>
      <c r="Z1136" s="85"/>
      <c r="AA1136" s="85"/>
      <c r="AB1136" s="85"/>
      <c r="AC1136" s="85"/>
      <c r="AD1136" s="85"/>
    </row>
    <row r="1137" spans="16:30" x14ac:dyDescent="0.2">
      <c r="P1137" s="85"/>
      <c r="Q1137" s="91"/>
      <c r="R1137" s="91"/>
      <c r="S1137" s="91"/>
      <c r="T1137" s="92"/>
      <c r="U1137" s="93"/>
      <c r="V1137" s="94"/>
      <c r="W1137" s="94"/>
      <c r="X1137" s="93"/>
      <c r="Y1137" s="93"/>
      <c r="Z1137" s="85"/>
      <c r="AA1137" s="85"/>
      <c r="AB1137" s="85"/>
      <c r="AC1137" s="85"/>
      <c r="AD1137" s="85"/>
    </row>
    <row r="1138" spans="16:30" x14ac:dyDescent="0.2">
      <c r="P1138" s="85"/>
      <c r="Q1138" s="91"/>
      <c r="R1138" s="91"/>
      <c r="S1138" s="91"/>
      <c r="T1138" s="92"/>
      <c r="U1138" s="93"/>
      <c r="V1138" s="94"/>
      <c r="W1138" s="94"/>
      <c r="X1138" s="93"/>
      <c r="Y1138" s="93"/>
      <c r="Z1138" s="85"/>
      <c r="AA1138" s="85"/>
      <c r="AB1138" s="85"/>
      <c r="AC1138" s="85"/>
      <c r="AD1138" s="85"/>
    </row>
    <row r="1139" spans="16:30" x14ac:dyDescent="0.2">
      <c r="P1139" s="85"/>
      <c r="Q1139" s="91"/>
      <c r="R1139" s="91"/>
      <c r="S1139" s="91"/>
      <c r="T1139" s="92"/>
      <c r="U1139" s="93"/>
      <c r="V1139" s="94"/>
      <c r="W1139" s="94"/>
      <c r="X1139" s="93"/>
      <c r="Y1139" s="93"/>
      <c r="Z1139" s="85"/>
      <c r="AA1139" s="85"/>
      <c r="AB1139" s="85"/>
      <c r="AC1139" s="85"/>
      <c r="AD1139" s="85"/>
    </row>
    <row r="1140" spans="16:30" x14ac:dyDescent="0.2">
      <c r="P1140" s="85"/>
      <c r="Q1140" s="91"/>
      <c r="R1140" s="91"/>
      <c r="S1140" s="91"/>
      <c r="T1140" s="92"/>
      <c r="U1140" s="93"/>
      <c r="V1140" s="94"/>
      <c r="W1140" s="94"/>
      <c r="X1140" s="93"/>
      <c r="Y1140" s="93"/>
      <c r="Z1140" s="85"/>
      <c r="AA1140" s="85"/>
      <c r="AB1140" s="85"/>
      <c r="AC1140" s="85"/>
      <c r="AD1140" s="85"/>
    </row>
    <row r="1141" spans="16:30" x14ac:dyDescent="0.2">
      <c r="P1141" s="85"/>
      <c r="Q1141" s="91"/>
      <c r="R1141" s="91"/>
      <c r="S1141" s="91"/>
      <c r="T1141" s="92"/>
      <c r="U1141" s="93"/>
      <c r="V1141" s="94"/>
      <c r="W1141" s="94"/>
      <c r="X1141" s="93"/>
      <c r="Y1141" s="93"/>
      <c r="Z1141" s="85"/>
      <c r="AA1141" s="85"/>
      <c r="AB1141" s="85"/>
      <c r="AC1141" s="85"/>
      <c r="AD1141" s="85"/>
    </row>
    <row r="1142" spans="16:30" x14ac:dyDescent="0.2">
      <c r="P1142" s="85"/>
      <c r="Q1142" s="91"/>
      <c r="R1142" s="91"/>
      <c r="S1142" s="91"/>
      <c r="T1142" s="92"/>
      <c r="U1142" s="93"/>
      <c r="V1142" s="94"/>
      <c r="W1142" s="94"/>
      <c r="X1142" s="93"/>
      <c r="Y1142" s="93"/>
      <c r="Z1142" s="85"/>
      <c r="AA1142" s="85"/>
      <c r="AB1142" s="85"/>
      <c r="AC1142" s="85"/>
      <c r="AD1142" s="85"/>
    </row>
    <row r="1143" spans="16:30" x14ac:dyDescent="0.2">
      <c r="P1143" s="85"/>
      <c r="Q1143" s="91"/>
      <c r="R1143" s="91"/>
      <c r="S1143" s="91"/>
      <c r="T1143" s="92"/>
      <c r="U1143" s="93"/>
      <c r="V1143" s="94"/>
      <c r="W1143" s="94"/>
      <c r="X1143" s="93"/>
      <c r="Y1143" s="93"/>
      <c r="Z1143" s="85"/>
      <c r="AA1143" s="85"/>
      <c r="AB1143" s="85"/>
      <c r="AC1143" s="85"/>
      <c r="AD1143" s="85"/>
    </row>
    <row r="1144" spans="16:30" x14ac:dyDescent="0.2">
      <c r="P1144" s="85"/>
      <c r="Q1144" s="91"/>
      <c r="R1144" s="91"/>
      <c r="S1144" s="91"/>
      <c r="T1144" s="92"/>
      <c r="U1144" s="93"/>
      <c r="V1144" s="94"/>
      <c r="W1144" s="94"/>
      <c r="X1144" s="93"/>
      <c r="Y1144" s="93"/>
      <c r="Z1144" s="85"/>
      <c r="AA1144" s="85"/>
      <c r="AB1144" s="85"/>
      <c r="AC1144" s="85"/>
      <c r="AD1144" s="85"/>
    </row>
    <row r="1145" spans="16:30" x14ac:dyDescent="0.2">
      <c r="P1145" s="85"/>
      <c r="Q1145" s="91"/>
      <c r="R1145" s="91"/>
      <c r="S1145" s="91"/>
      <c r="T1145" s="92"/>
      <c r="U1145" s="93"/>
      <c r="V1145" s="94"/>
      <c r="W1145" s="94"/>
      <c r="X1145" s="93"/>
      <c r="Y1145" s="93"/>
      <c r="Z1145" s="85"/>
      <c r="AA1145" s="85"/>
      <c r="AB1145" s="85"/>
      <c r="AC1145" s="85"/>
      <c r="AD1145" s="85"/>
    </row>
    <row r="1146" spans="16:30" x14ac:dyDescent="0.2">
      <c r="P1146" s="85"/>
      <c r="Q1146" s="91"/>
      <c r="R1146" s="91"/>
      <c r="S1146" s="91"/>
      <c r="T1146" s="92"/>
      <c r="U1146" s="93"/>
      <c r="V1146" s="94"/>
      <c r="W1146" s="94"/>
      <c r="X1146" s="93"/>
      <c r="Y1146" s="93"/>
      <c r="Z1146" s="85"/>
      <c r="AA1146" s="85"/>
      <c r="AB1146" s="85"/>
      <c r="AC1146" s="85"/>
      <c r="AD1146" s="85"/>
    </row>
    <row r="1147" spans="16:30" x14ac:dyDescent="0.2">
      <c r="P1147" s="85"/>
      <c r="Q1147" s="91"/>
      <c r="R1147" s="91"/>
      <c r="S1147" s="91"/>
      <c r="T1147" s="92"/>
      <c r="U1147" s="93"/>
      <c r="V1147" s="94"/>
      <c r="W1147" s="94"/>
      <c r="X1147" s="93"/>
      <c r="Y1147" s="93"/>
      <c r="Z1147" s="85"/>
      <c r="AA1147" s="85"/>
      <c r="AB1147" s="85"/>
      <c r="AC1147" s="85"/>
      <c r="AD1147" s="85"/>
    </row>
    <row r="1148" spans="16:30" x14ac:dyDescent="0.2">
      <c r="P1148" s="85"/>
      <c r="Q1148" s="91"/>
      <c r="R1148" s="91"/>
      <c r="S1148" s="91"/>
      <c r="T1148" s="92"/>
      <c r="U1148" s="93"/>
      <c r="V1148" s="94"/>
      <c r="W1148" s="94"/>
      <c r="X1148" s="93"/>
      <c r="Y1148" s="93"/>
      <c r="Z1148" s="85"/>
      <c r="AA1148" s="85"/>
      <c r="AB1148" s="85"/>
      <c r="AC1148" s="85"/>
      <c r="AD1148" s="85"/>
    </row>
    <row r="1149" spans="16:30" x14ac:dyDescent="0.2">
      <c r="P1149" s="85"/>
      <c r="Q1149" s="91"/>
      <c r="R1149" s="91"/>
      <c r="S1149" s="91"/>
      <c r="T1149" s="92"/>
      <c r="U1149" s="93"/>
      <c r="V1149" s="94"/>
      <c r="W1149" s="94"/>
      <c r="X1149" s="93"/>
      <c r="Y1149" s="93"/>
      <c r="Z1149" s="85"/>
      <c r="AA1149" s="85"/>
      <c r="AB1149" s="85"/>
      <c r="AC1149" s="85"/>
      <c r="AD1149" s="85"/>
    </row>
    <row r="1150" spans="16:30" x14ac:dyDescent="0.2">
      <c r="P1150" s="85"/>
      <c r="Q1150" s="91"/>
      <c r="R1150" s="91"/>
      <c r="S1150" s="91"/>
      <c r="T1150" s="92"/>
      <c r="U1150" s="93"/>
      <c r="V1150" s="94"/>
      <c r="W1150" s="94"/>
      <c r="X1150" s="93"/>
      <c r="Y1150" s="93"/>
      <c r="Z1150" s="85"/>
      <c r="AA1150" s="85"/>
      <c r="AB1150" s="85"/>
      <c r="AC1150" s="85"/>
      <c r="AD1150" s="85"/>
    </row>
    <row r="1151" spans="16:30" x14ac:dyDescent="0.2">
      <c r="P1151" s="85"/>
      <c r="Q1151" s="91"/>
      <c r="R1151" s="91"/>
      <c r="S1151" s="91"/>
      <c r="T1151" s="92"/>
      <c r="U1151" s="93"/>
      <c r="V1151" s="94"/>
      <c r="W1151" s="94"/>
      <c r="X1151" s="93"/>
      <c r="Y1151" s="93"/>
      <c r="Z1151" s="85"/>
      <c r="AA1151" s="85"/>
      <c r="AB1151" s="85"/>
      <c r="AC1151" s="85"/>
      <c r="AD1151" s="85"/>
    </row>
    <row r="1152" spans="16:30" x14ac:dyDescent="0.2">
      <c r="P1152" s="85"/>
      <c r="Q1152" s="91"/>
      <c r="R1152" s="91"/>
      <c r="S1152" s="91"/>
      <c r="T1152" s="92"/>
      <c r="U1152" s="93"/>
      <c r="V1152" s="94"/>
      <c r="W1152" s="94"/>
      <c r="X1152" s="93"/>
      <c r="Y1152" s="93"/>
      <c r="Z1152" s="85"/>
      <c r="AA1152" s="85"/>
      <c r="AB1152" s="85"/>
      <c r="AC1152" s="85"/>
      <c r="AD1152" s="85"/>
    </row>
    <row r="1153" spans="16:30" x14ac:dyDescent="0.2">
      <c r="P1153" s="85"/>
      <c r="Q1153" s="91"/>
      <c r="R1153" s="91"/>
      <c r="S1153" s="91"/>
      <c r="T1153" s="92"/>
      <c r="U1153" s="93"/>
      <c r="V1153" s="94"/>
      <c r="W1153" s="94"/>
      <c r="X1153" s="93"/>
      <c r="Y1153" s="93"/>
      <c r="Z1153" s="85"/>
      <c r="AA1153" s="85"/>
      <c r="AB1153" s="85"/>
      <c r="AC1153" s="85"/>
      <c r="AD1153" s="85"/>
    </row>
    <row r="1154" spans="16:30" x14ac:dyDescent="0.2">
      <c r="P1154" s="85"/>
      <c r="Q1154" s="91"/>
      <c r="R1154" s="91"/>
      <c r="S1154" s="91"/>
      <c r="T1154" s="92"/>
      <c r="U1154" s="93"/>
      <c r="V1154" s="94"/>
      <c r="W1154" s="94"/>
      <c r="X1154" s="93"/>
      <c r="Y1154" s="93"/>
      <c r="Z1154" s="85"/>
      <c r="AA1154" s="85"/>
      <c r="AB1154" s="85"/>
      <c r="AC1154" s="85"/>
      <c r="AD1154" s="85"/>
    </row>
    <row r="1155" spans="16:30" x14ac:dyDescent="0.2">
      <c r="P1155" s="85"/>
      <c r="Q1155" s="91"/>
      <c r="R1155" s="91"/>
      <c r="S1155" s="91"/>
      <c r="T1155" s="92"/>
      <c r="U1155" s="93"/>
      <c r="V1155" s="94"/>
      <c r="W1155" s="94"/>
      <c r="X1155" s="93"/>
      <c r="Y1155" s="93"/>
      <c r="Z1155" s="85"/>
      <c r="AA1155" s="85"/>
      <c r="AB1155" s="85"/>
      <c r="AC1155" s="85"/>
      <c r="AD1155" s="85"/>
    </row>
    <row r="1156" spans="16:30" x14ac:dyDescent="0.2">
      <c r="P1156" s="85"/>
      <c r="Q1156" s="91"/>
      <c r="R1156" s="91"/>
      <c r="S1156" s="91"/>
      <c r="T1156" s="92"/>
      <c r="U1156" s="93"/>
      <c r="V1156" s="94"/>
      <c r="W1156" s="94"/>
      <c r="X1156" s="93"/>
      <c r="Y1156" s="93"/>
      <c r="Z1156" s="85"/>
      <c r="AA1156" s="85"/>
      <c r="AB1156" s="85"/>
      <c r="AC1156" s="85"/>
      <c r="AD1156" s="85"/>
    </row>
    <row r="1157" spans="16:30" x14ac:dyDescent="0.2">
      <c r="P1157" s="85"/>
      <c r="Q1157" s="91"/>
      <c r="R1157" s="91"/>
      <c r="S1157" s="91"/>
      <c r="T1157" s="92"/>
      <c r="U1157" s="93"/>
      <c r="V1157" s="94"/>
      <c r="W1157" s="94"/>
      <c r="X1157" s="93"/>
      <c r="Y1157" s="93"/>
      <c r="Z1157" s="85"/>
      <c r="AA1157" s="85"/>
      <c r="AB1157" s="85"/>
      <c r="AC1157" s="85"/>
      <c r="AD1157" s="85"/>
    </row>
    <row r="1158" spans="16:30" x14ac:dyDescent="0.2">
      <c r="P1158" s="85"/>
      <c r="Q1158" s="91"/>
      <c r="R1158" s="91"/>
      <c r="S1158" s="91"/>
      <c r="T1158" s="92"/>
      <c r="U1158" s="93"/>
      <c r="V1158" s="94"/>
      <c r="W1158" s="94"/>
      <c r="X1158" s="93"/>
      <c r="Y1158" s="93"/>
      <c r="Z1158" s="85"/>
      <c r="AA1158" s="85"/>
      <c r="AB1158" s="85"/>
      <c r="AC1158" s="85"/>
      <c r="AD1158" s="85"/>
    </row>
    <row r="1159" spans="16:30" x14ac:dyDescent="0.2">
      <c r="P1159" s="85"/>
      <c r="Q1159" s="91"/>
      <c r="R1159" s="91"/>
      <c r="S1159" s="91"/>
      <c r="T1159" s="92"/>
      <c r="U1159" s="93"/>
      <c r="V1159" s="94"/>
      <c r="W1159" s="94"/>
      <c r="X1159" s="93"/>
      <c r="Y1159" s="93"/>
      <c r="Z1159" s="85"/>
      <c r="AA1159" s="85"/>
      <c r="AB1159" s="85"/>
      <c r="AC1159" s="85"/>
      <c r="AD1159" s="85"/>
    </row>
    <row r="1160" spans="16:30" x14ac:dyDescent="0.2">
      <c r="P1160" s="85"/>
      <c r="Q1160" s="91"/>
      <c r="R1160" s="91"/>
      <c r="S1160" s="91"/>
      <c r="T1160" s="92"/>
      <c r="U1160" s="93"/>
      <c r="V1160" s="94"/>
      <c r="W1160" s="94"/>
      <c r="X1160" s="93"/>
      <c r="Y1160" s="93"/>
      <c r="Z1160" s="85"/>
      <c r="AA1160" s="85"/>
      <c r="AB1160" s="85"/>
      <c r="AC1160" s="85"/>
      <c r="AD1160" s="85"/>
    </row>
    <row r="1161" spans="16:30" x14ac:dyDescent="0.2">
      <c r="P1161" s="85"/>
      <c r="Q1161" s="91"/>
      <c r="R1161" s="91"/>
      <c r="S1161" s="91"/>
      <c r="T1161" s="92"/>
      <c r="U1161" s="93"/>
      <c r="V1161" s="94"/>
      <c r="W1161" s="94"/>
      <c r="X1161" s="93"/>
      <c r="Y1161" s="93"/>
      <c r="Z1161" s="85"/>
      <c r="AA1161" s="85"/>
      <c r="AB1161" s="85"/>
      <c r="AC1161" s="85"/>
      <c r="AD1161" s="85"/>
    </row>
    <row r="1162" spans="16:30" x14ac:dyDescent="0.2">
      <c r="P1162" s="85"/>
      <c r="Q1162" s="91"/>
      <c r="R1162" s="91"/>
      <c r="S1162" s="91"/>
      <c r="T1162" s="92"/>
      <c r="U1162" s="93"/>
      <c r="V1162" s="94"/>
      <c r="W1162" s="94"/>
      <c r="X1162" s="93"/>
      <c r="Y1162" s="93"/>
      <c r="Z1162" s="85"/>
      <c r="AA1162" s="85"/>
      <c r="AB1162" s="85"/>
      <c r="AC1162" s="85"/>
      <c r="AD1162" s="85"/>
    </row>
    <row r="1163" spans="16:30" x14ac:dyDescent="0.2">
      <c r="P1163" s="85"/>
      <c r="Q1163" s="91"/>
      <c r="R1163" s="91"/>
      <c r="S1163" s="91"/>
      <c r="T1163" s="92"/>
      <c r="U1163" s="93"/>
      <c r="V1163" s="94"/>
      <c r="W1163" s="94"/>
      <c r="X1163" s="93"/>
      <c r="Y1163" s="93"/>
      <c r="Z1163" s="85"/>
      <c r="AA1163" s="85"/>
      <c r="AB1163" s="85"/>
      <c r="AC1163" s="85"/>
      <c r="AD1163" s="85"/>
    </row>
    <row r="1164" spans="16:30" x14ac:dyDescent="0.2">
      <c r="P1164" s="85"/>
      <c r="Q1164" s="91"/>
      <c r="R1164" s="91"/>
      <c r="S1164" s="91"/>
      <c r="T1164" s="92"/>
      <c r="U1164" s="93"/>
      <c r="V1164" s="94"/>
      <c r="W1164" s="94"/>
      <c r="X1164" s="93"/>
      <c r="Y1164" s="93"/>
      <c r="Z1164" s="85"/>
      <c r="AA1164" s="85"/>
      <c r="AB1164" s="85"/>
      <c r="AC1164" s="85"/>
      <c r="AD1164" s="85"/>
    </row>
    <row r="1165" spans="16:30" x14ac:dyDescent="0.2">
      <c r="P1165" s="85"/>
      <c r="Q1165" s="91"/>
      <c r="R1165" s="91"/>
      <c r="S1165" s="91"/>
      <c r="T1165" s="92"/>
      <c r="U1165" s="93"/>
      <c r="V1165" s="94"/>
      <c r="W1165" s="94"/>
      <c r="X1165" s="93"/>
      <c r="Y1165" s="93"/>
      <c r="Z1165" s="85"/>
      <c r="AA1165" s="85"/>
      <c r="AB1165" s="85"/>
      <c r="AC1165" s="85"/>
      <c r="AD1165" s="85"/>
    </row>
    <row r="1166" spans="16:30" x14ac:dyDescent="0.2">
      <c r="P1166" s="85"/>
      <c r="Q1166" s="91"/>
      <c r="R1166" s="91"/>
      <c r="S1166" s="91"/>
      <c r="T1166" s="92"/>
      <c r="U1166" s="93"/>
      <c r="V1166" s="94"/>
      <c r="W1166" s="94"/>
      <c r="X1166" s="93"/>
      <c r="Y1166" s="93"/>
      <c r="Z1166" s="85"/>
      <c r="AA1166" s="85"/>
      <c r="AB1166" s="85"/>
      <c r="AC1166" s="85"/>
      <c r="AD1166" s="85"/>
    </row>
    <row r="1167" spans="16:30" x14ac:dyDescent="0.2">
      <c r="P1167" s="85"/>
      <c r="Q1167" s="91"/>
      <c r="R1167" s="91"/>
      <c r="S1167" s="91"/>
      <c r="T1167" s="92"/>
      <c r="U1167" s="93"/>
      <c r="V1167" s="94"/>
      <c r="W1167" s="94"/>
      <c r="X1167" s="93"/>
      <c r="Y1167" s="93"/>
      <c r="Z1167" s="85"/>
      <c r="AA1167" s="85"/>
      <c r="AB1167" s="85"/>
      <c r="AC1167" s="85"/>
      <c r="AD1167" s="85"/>
    </row>
    <row r="1168" spans="16:30" x14ac:dyDescent="0.2">
      <c r="P1168" s="85"/>
      <c r="Q1168" s="91"/>
      <c r="R1168" s="91"/>
      <c r="S1168" s="91"/>
      <c r="T1168" s="92"/>
      <c r="U1168" s="93"/>
      <c r="V1168" s="94"/>
      <c r="W1168" s="94"/>
      <c r="X1168" s="93"/>
      <c r="Y1168" s="93"/>
      <c r="Z1168" s="85"/>
      <c r="AA1168" s="85"/>
      <c r="AB1168" s="85"/>
      <c r="AC1168" s="85"/>
      <c r="AD1168" s="85"/>
    </row>
    <row r="1169" spans="16:30" x14ac:dyDescent="0.2">
      <c r="P1169" s="85"/>
      <c r="Q1169" s="91"/>
      <c r="R1169" s="91"/>
      <c r="S1169" s="91"/>
      <c r="T1169" s="92"/>
      <c r="U1169" s="93"/>
      <c r="V1169" s="94"/>
      <c r="W1169" s="94"/>
      <c r="X1169" s="93"/>
      <c r="Y1169" s="93"/>
      <c r="Z1169" s="85"/>
      <c r="AA1169" s="85"/>
      <c r="AB1169" s="85"/>
      <c r="AC1169" s="85"/>
      <c r="AD1169" s="85"/>
    </row>
    <row r="1170" spans="16:30" x14ac:dyDescent="0.2">
      <c r="P1170" s="85"/>
      <c r="Q1170" s="91"/>
      <c r="R1170" s="91"/>
      <c r="S1170" s="91"/>
      <c r="T1170" s="92"/>
      <c r="U1170" s="93"/>
      <c r="V1170" s="94"/>
      <c r="W1170" s="94"/>
      <c r="X1170" s="93"/>
      <c r="Y1170" s="93"/>
      <c r="Z1170" s="85"/>
      <c r="AA1170" s="85"/>
      <c r="AB1170" s="85"/>
      <c r="AC1170" s="85"/>
      <c r="AD1170" s="85"/>
    </row>
    <row r="1171" spans="16:30" x14ac:dyDescent="0.2">
      <c r="P1171" s="85"/>
      <c r="Q1171" s="91"/>
      <c r="R1171" s="91"/>
      <c r="S1171" s="91"/>
      <c r="T1171" s="92"/>
      <c r="U1171" s="93"/>
      <c r="V1171" s="94"/>
      <c r="W1171" s="94"/>
      <c r="X1171" s="93"/>
      <c r="Y1171" s="93"/>
      <c r="Z1171" s="85"/>
      <c r="AA1171" s="85"/>
      <c r="AB1171" s="85"/>
      <c r="AC1171" s="85"/>
      <c r="AD1171" s="85"/>
    </row>
    <row r="1172" spans="16:30" x14ac:dyDescent="0.2">
      <c r="P1172" s="85"/>
      <c r="Q1172" s="91"/>
      <c r="R1172" s="91"/>
      <c r="S1172" s="91"/>
      <c r="T1172" s="92"/>
      <c r="U1172" s="93"/>
      <c r="V1172" s="94"/>
      <c r="W1172" s="94"/>
      <c r="X1172" s="93"/>
      <c r="Y1172" s="93"/>
      <c r="Z1172" s="85"/>
      <c r="AA1172" s="85"/>
      <c r="AB1172" s="85"/>
      <c r="AC1172" s="85"/>
      <c r="AD1172" s="85"/>
    </row>
    <row r="1173" spans="16:30" x14ac:dyDescent="0.2">
      <c r="P1173" s="85"/>
      <c r="Q1173" s="91"/>
      <c r="R1173" s="91"/>
      <c r="S1173" s="91"/>
      <c r="T1173" s="92"/>
      <c r="U1173" s="93"/>
      <c r="V1173" s="94"/>
      <c r="W1173" s="94"/>
      <c r="X1173" s="93"/>
      <c r="Y1173" s="93"/>
      <c r="Z1173" s="85"/>
      <c r="AA1173" s="85"/>
      <c r="AB1173" s="85"/>
      <c r="AC1173" s="85"/>
      <c r="AD1173" s="85"/>
    </row>
    <row r="1174" spans="16:30" x14ac:dyDescent="0.2">
      <c r="P1174" s="85"/>
      <c r="Q1174" s="91"/>
      <c r="R1174" s="91"/>
      <c r="S1174" s="91"/>
      <c r="T1174" s="92"/>
      <c r="U1174" s="93"/>
      <c r="V1174" s="94"/>
      <c r="W1174" s="94"/>
      <c r="X1174" s="93"/>
      <c r="Y1174" s="93"/>
      <c r="Z1174" s="85"/>
      <c r="AA1174" s="85"/>
      <c r="AB1174" s="85"/>
      <c r="AC1174" s="85"/>
      <c r="AD1174" s="85"/>
    </row>
    <row r="1175" spans="16:30" x14ac:dyDescent="0.2">
      <c r="P1175" s="85"/>
      <c r="Q1175" s="91"/>
      <c r="R1175" s="91"/>
      <c r="S1175" s="91"/>
      <c r="T1175" s="92"/>
      <c r="U1175" s="93"/>
      <c r="V1175" s="94"/>
      <c r="W1175" s="94"/>
      <c r="X1175" s="93"/>
      <c r="Y1175" s="93"/>
      <c r="Z1175" s="85"/>
      <c r="AA1175" s="85"/>
      <c r="AB1175" s="85"/>
      <c r="AC1175" s="85"/>
      <c r="AD1175" s="85"/>
    </row>
    <row r="1176" spans="16:30" x14ac:dyDescent="0.2">
      <c r="P1176" s="85"/>
      <c r="Q1176" s="91"/>
      <c r="R1176" s="91"/>
      <c r="S1176" s="91"/>
      <c r="T1176" s="92"/>
      <c r="U1176" s="93"/>
      <c r="V1176" s="94"/>
      <c r="W1176" s="94"/>
      <c r="X1176" s="93"/>
      <c r="Y1176" s="93"/>
      <c r="Z1176" s="85"/>
      <c r="AA1176" s="85"/>
      <c r="AB1176" s="85"/>
      <c r="AC1176" s="85"/>
      <c r="AD1176" s="85"/>
    </row>
    <row r="1177" spans="16:30" x14ac:dyDescent="0.2">
      <c r="P1177" s="85"/>
      <c r="Q1177" s="91"/>
      <c r="R1177" s="91"/>
      <c r="S1177" s="91"/>
      <c r="T1177" s="92"/>
      <c r="U1177" s="93"/>
      <c r="V1177" s="94"/>
      <c r="W1177" s="94"/>
      <c r="X1177" s="93"/>
      <c r="Y1177" s="93"/>
      <c r="Z1177" s="85"/>
      <c r="AA1177" s="85"/>
      <c r="AB1177" s="85"/>
      <c r="AC1177" s="85"/>
      <c r="AD1177" s="85"/>
    </row>
    <row r="1178" spans="16:30" x14ac:dyDescent="0.2">
      <c r="P1178" s="85"/>
      <c r="Q1178" s="91"/>
      <c r="R1178" s="91"/>
      <c r="S1178" s="91"/>
      <c r="T1178" s="92"/>
      <c r="U1178" s="93"/>
      <c r="V1178" s="94"/>
      <c r="W1178" s="94"/>
      <c r="X1178" s="93"/>
      <c r="Y1178" s="93"/>
      <c r="Z1178" s="85"/>
      <c r="AA1178" s="85"/>
      <c r="AB1178" s="85"/>
      <c r="AC1178" s="85"/>
      <c r="AD1178" s="85"/>
    </row>
    <row r="1179" spans="16:30" x14ac:dyDescent="0.2">
      <c r="P1179" s="85"/>
      <c r="Q1179" s="91"/>
      <c r="R1179" s="91"/>
      <c r="S1179" s="91"/>
      <c r="T1179" s="92"/>
      <c r="U1179" s="93"/>
      <c r="V1179" s="94"/>
      <c r="W1179" s="94"/>
      <c r="X1179" s="93"/>
      <c r="Y1179" s="93"/>
      <c r="Z1179" s="85"/>
      <c r="AA1179" s="85"/>
      <c r="AB1179" s="85"/>
      <c r="AC1179" s="85"/>
      <c r="AD1179" s="85"/>
    </row>
    <row r="1180" spans="16:30" x14ac:dyDescent="0.2">
      <c r="P1180" s="85"/>
      <c r="Q1180" s="91"/>
      <c r="R1180" s="91"/>
      <c r="S1180" s="91"/>
      <c r="T1180" s="92"/>
      <c r="U1180" s="93"/>
      <c r="V1180" s="94"/>
      <c r="W1180" s="94"/>
      <c r="X1180" s="93"/>
      <c r="Y1180" s="93"/>
      <c r="Z1180" s="85"/>
      <c r="AA1180" s="85"/>
      <c r="AB1180" s="85"/>
      <c r="AC1180" s="85"/>
      <c r="AD1180" s="85"/>
    </row>
    <row r="1181" spans="16:30" x14ac:dyDescent="0.2">
      <c r="P1181" s="85"/>
      <c r="Q1181" s="91"/>
      <c r="R1181" s="91"/>
      <c r="S1181" s="91"/>
      <c r="T1181" s="92"/>
      <c r="U1181" s="93"/>
      <c r="V1181" s="94"/>
      <c r="W1181" s="94"/>
      <c r="X1181" s="93"/>
      <c r="Y1181" s="93"/>
      <c r="Z1181" s="85"/>
      <c r="AA1181" s="85"/>
      <c r="AB1181" s="85"/>
      <c r="AC1181" s="85"/>
      <c r="AD1181" s="85"/>
    </row>
    <row r="1182" spans="16:30" x14ac:dyDescent="0.2">
      <c r="P1182" s="85"/>
      <c r="Q1182" s="91"/>
      <c r="R1182" s="91"/>
      <c r="S1182" s="91"/>
      <c r="T1182" s="92"/>
      <c r="U1182" s="93"/>
      <c r="V1182" s="94"/>
      <c r="W1182" s="94"/>
      <c r="X1182" s="93"/>
      <c r="Y1182" s="93"/>
      <c r="Z1182" s="85"/>
      <c r="AA1182" s="85"/>
      <c r="AB1182" s="85"/>
      <c r="AC1182" s="85"/>
      <c r="AD1182" s="85"/>
    </row>
    <row r="1183" spans="16:30" x14ac:dyDescent="0.2">
      <c r="P1183" s="85"/>
      <c r="Q1183" s="91"/>
      <c r="R1183" s="91"/>
      <c r="S1183" s="91"/>
      <c r="T1183" s="92"/>
      <c r="U1183" s="93"/>
      <c r="V1183" s="94"/>
      <c r="W1183" s="94"/>
      <c r="X1183" s="93"/>
      <c r="Y1183" s="93"/>
      <c r="Z1183" s="85"/>
      <c r="AA1183" s="85"/>
      <c r="AB1183" s="85"/>
      <c r="AC1183" s="85"/>
      <c r="AD1183" s="85"/>
    </row>
    <row r="1184" spans="16:30" x14ac:dyDescent="0.2">
      <c r="P1184" s="85"/>
      <c r="Q1184" s="91"/>
      <c r="R1184" s="91"/>
      <c r="S1184" s="91"/>
      <c r="T1184" s="92"/>
      <c r="U1184" s="93"/>
      <c r="V1184" s="94"/>
      <c r="W1184" s="94"/>
      <c r="X1184" s="93"/>
      <c r="Y1184" s="93"/>
      <c r="Z1184" s="85"/>
      <c r="AA1184" s="85"/>
      <c r="AB1184" s="85"/>
      <c r="AC1184" s="85"/>
      <c r="AD1184" s="85"/>
    </row>
    <row r="1185" spans="16:30" x14ac:dyDescent="0.2">
      <c r="P1185" s="85"/>
      <c r="Q1185" s="91"/>
      <c r="R1185" s="91"/>
      <c r="S1185" s="91"/>
      <c r="T1185" s="92"/>
      <c r="U1185" s="93"/>
      <c r="V1185" s="94"/>
      <c r="W1185" s="94"/>
      <c r="X1185" s="93"/>
      <c r="Y1185" s="93"/>
      <c r="Z1185" s="85"/>
      <c r="AA1185" s="85"/>
      <c r="AB1185" s="85"/>
      <c r="AC1185" s="85"/>
      <c r="AD1185" s="85"/>
    </row>
    <row r="1186" spans="16:30" x14ac:dyDescent="0.2">
      <c r="P1186" s="85"/>
      <c r="Q1186" s="91"/>
      <c r="R1186" s="91"/>
      <c r="S1186" s="91"/>
      <c r="T1186" s="92"/>
      <c r="U1186" s="93"/>
      <c r="V1186" s="94"/>
      <c r="W1186" s="94"/>
      <c r="X1186" s="93"/>
      <c r="Y1186" s="93"/>
      <c r="Z1186" s="85"/>
      <c r="AA1186" s="85"/>
      <c r="AB1186" s="85"/>
      <c r="AC1186" s="85"/>
      <c r="AD1186" s="85"/>
    </row>
    <row r="1187" spans="16:30" x14ac:dyDescent="0.2">
      <c r="P1187" s="85"/>
      <c r="Q1187" s="91"/>
      <c r="R1187" s="91"/>
      <c r="S1187" s="91"/>
      <c r="T1187" s="92"/>
      <c r="U1187" s="93"/>
      <c r="V1187" s="94"/>
      <c r="W1187" s="94"/>
      <c r="X1187" s="93"/>
      <c r="Y1187" s="93"/>
      <c r="Z1187" s="85"/>
      <c r="AA1187" s="85"/>
      <c r="AB1187" s="85"/>
      <c r="AC1187" s="85"/>
      <c r="AD1187" s="85"/>
    </row>
    <row r="1188" spans="16:30" x14ac:dyDescent="0.2">
      <c r="P1188" s="85"/>
      <c r="Q1188" s="91"/>
      <c r="R1188" s="91"/>
      <c r="S1188" s="91"/>
      <c r="T1188" s="92"/>
      <c r="U1188" s="93"/>
      <c r="V1188" s="94"/>
      <c r="W1188" s="94"/>
      <c r="X1188" s="93"/>
      <c r="Y1188" s="93"/>
      <c r="Z1188" s="85"/>
      <c r="AA1188" s="85"/>
      <c r="AB1188" s="85"/>
      <c r="AC1188" s="85"/>
      <c r="AD1188" s="85"/>
    </row>
    <row r="1189" spans="16:30" x14ac:dyDescent="0.2">
      <c r="P1189" s="85"/>
      <c r="Q1189" s="91"/>
      <c r="R1189" s="91"/>
      <c r="S1189" s="91"/>
      <c r="T1189" s="92"/>
      <c r="U1189" s="93"/>
      <c r="V1189" s="94"/>
      <c r="W1189" s="94"/>
      <c r="X1189" s="93"/>
      <c r="Y1189" s="93"/>
      <c r="Z1189" s="85"/>
      <c r="AA1189" s="85"/>
      <c r="AB1189" s="85"/>
      <c r="AC1189" s="85"/>
      <c r="AD1189" s="85"/>
    </row>
    <row r="1190" spans="16:30" x14ac:dyDescent="0.2">
      <c r="P1190" s="85"/>
      <c r="Q1190" s="91"/>
      <c r="R1190" s="91"/>
      <c r="S1190" s="91"/>
      <c r="T1190" s="92"/>
      <c r="U1190" s="93"/>
      <c r="V1190" s="94"/>
      <c r="W1190" s="94"/>
      <c r="X1190" s="93"/>
      <c r="Y1190" s="93"/>
      <c r="Z1190" s="85"/>
      <c r="AA1190" s="85"/>
      <c r="AB1190" s="85"/>
      <c r="AC1190" s="85"/>
      <c r="AD1190" s="85"/>
    </row>
    <row r="1191" spans="16:30" x14ac:dyDescent="0.2">
      <c r="P1191" s="85"/>
      <c r="Q1191" s="91"/>
      <c r="R1191" s="91"/>
      <c r="S1191" s="91"/>
      <c r="T1191" s="92"/>
      <c r="U1191" s="93"/>
      <c r="V1191" s="94"/>
      <c r="W1191" s="94"/>
      <c r="X1191" s="93"/>
      <c r="Y1191" s="93"/>
      <c r="Z1191" s="85"/>
      <c r="AA1191" s="85"/>
      <c r="AB1191" s="85"/>
      <c r="AC1191" s="85"/>
      <c r="AD1191" s="85"/>
    </row>
    <row r="1192" spans="16:30" x14ac:dyDescent="0.2">
      <c r="P1192" s="85"/>
      <c r="Q1192" s="91"/>
      <c r="R1192" s="91"/>
      <c r="S1192" s="91"/>
      <c r="T1192" s="92"/>
      <c r="U1192" s="93"/>
      <c r="V1192" s="94"/>
      <c r="W1192" s="94"/>
      <c r="X1192" s="93"/>
      <c r="Y1192" s="93"/>
      <c r="Z1192" s="85"/>
      <c r="AA1192" s="85"/>
      <c r="AB1192" s="85"/>
      <c r="AC1192" s="85"/>
      <c r="AD1192" s="85"/>
    </row>
    <row r="1193" spans="16:30" x14ac:dyDescent="0.2">
      <c r="P1193" s="85"/>
      <c r="Q1193" s="91"/>
      <c r="R1193" s="91"/>
      <c r="S1193" s="91"/>
      <c r="T1193" s="92"/>
      <c r="U1193" s="93"/>
      <c r="V1193" s="94"/>
      <c r="W1193" s="94"/>
      <c r="X1193" s="93"/>
      <c r="Y1193" s="93"/>
      <c r="Z1193" s="85"/>
      <c r="AA1193" s="85"/>
      <c r="AB1193" s="85"/>
      <c r="AC1193" s="85"/>
      <c r="AD1193" s="85"/>
    </row>
    <row r="1194" spans="16:30" x14ac:dyDescent="0.2">
      <c r="P1194" s="85"/>
      <c r="Q1194" s="91"/>
      <c r="R1194" s="91"/>
      <c r="S1194" s="91"/>
      <c r="T1194" s="92"/>
      <c r="U1194" s="93"/>
      <c r="V1194" s="94"/>
      <c r="W1194" s="94"/>
      <c r="X1194" s="93"/>
      <c r="Y1194" s="93"/>
      <c r="Z1194" s="85"/>
      <c r="AA1194" s="85"/>
      <c r="AB1194" s="85"/>
      <c r="AC1194" s="85"/>
      <c r="AD1194" s="85"/>
    </row>
    <row r="1195" spans="16:30" x14ac:dyDescent="0.2">
      <c r="P1195" s="85"/>
      <c r="Q1195" s="91"/>
      <c r="R1195" s="91"/>
      <c r="S1195" s="91"/>
      <c r="T1195" s="92"/>
      <c r="U1195" s="93"/>
      <c r="V1195" s="94"/>
      <c r="W1195" s="94"/>
      <c r="X1195" s="93"/>
      <c r="Y1195" s="93"/>
      <c r="Z1195" s="85"/>
      <c r="AA1195" s="85"/>
      <c r="AB1195" s="85"/>
      <c r="AC1195" s="85"/>
      <c r="AD1195" s="85"/>
    </row>
    <row r="1196" spans="16:30" x14ac:dyDescent="0.2">
      <c r="P1196" s="85"/>
      <c r="Q1196" s="91"/>
      <c r="R1196" s="91"/>
      <c r="S1196" s="91"/>
      <c r="T1196" s="92"/>
      <c r="U1196" s="93"/>
      <c r="V1196" s="94"/>
      <c r="W1196" s="94"/>
      <c r="X1196" s="93"/>
      <c r="Y1196" s="93"/>
      <c r="Z1196" s="85"/>
      <c r="AA1196" s="85"/>
      <c r="AB1196" s="85"/>
      <c r="AC1196" s="85"/>
      <c r="AD1196" s="85"/>
    </row>
    <row r="1197" spans="16:30" x14ac:dyDescent="0.2">
      <c r="P1197" s="85"/>
      <c r="Q1197" s="91"/>
      <c r="R1197" s="91"/>
      <c r="S1197" s="91"/>
      <c r="T1197" s="92"/>
      <c r="U1197" s="93"/>
      <c r="V1197" s="94"/>
      <c r="W1197" s="94"/>
      <c r="X1197" s="93"/>
      <c r="Y1197" s="93"/>
      <c r="Z1197" s="85"/>
      <c r="AA1197" s="85"/>
      <c r="AB1197" s="85"/>
      <c r="AC1197" s="85"/>
      <c r="AD1197" s="85"/>
    </row>
    <row r="1198" spans="16:30" x14ac:dyDescent="0.2">
      <c r="P1198" s="85"/>
      <c r="Q1198" s="91"/>
      <c r="R1198" s="91"/>
      <c r="S1198" s="91"/>
      <c r="T1198" s="92"/>
      <c r="U1198" s="93"/>
      <c r="V1198" s="94"/>
      <c r="W1198" s="94"/>
      <c r="X1198" s="93"/>
      <c r="Y1198" s="93"/>
      <c r="Z1198" s="85"/>
      <c r="AA1198" s="85"/>
      <c r="AB1198" s="85"/>
      <c r="AC1198" s="85"/>
      <c r="AD1198" s="85"/>
    </row>
    <row r="1199" spans="16:30" x14ac:dyDescent="0.2">
      <c r="P1199" s="85"/>
      <c r="Q1199" s="91"/>
      <c r="R1199" s="91"/>
      <c r="S1199" s="91"/>
      <c r="T1199" s="92"/>
      <c r="U1199" s="93"/>
      <c r="V1199" s="94"/>
      <c r="W1199" s="94"/>
      <c r="X1199" s="93"/>
      <c r="Y1199" s="93"/>
      <c r="Z1199" s="85"/>
      <c r="AA1199" s="85"/>
      <c r="AB1199" s="85"/>
      <c r="AC1199" s="85"/>
      <c r="AD1199" s="85"/>
    </row>
    <row r="1200" spans="16:30" x14ac:dyDescent="0.2">
      <c r="P1200" s="85"/>
      <c r="Q1200" s="91"/>
      <c r="R1200" s="91"/>
      <c r="S1200" s="91"/>
      <c r="T1200" s="92"/>
      <c r="U1200" s="93"/>
      <c r="V1200" s="94"/>
      <c r="W1200" s="94"/>
      <c r="X1200" s="93"/>
      <c r="Y1200" s="93"/>
      <c r="Z1200" s="85"/>
      <c r="AA1200" s="85"/>
      <c r="AB1200" s="85"/>
      <c r="AC1200" s="85"/>
      <c r="AD1200" s="85"/>
    </row>
    <row r="1201" spans="16:30" x14ac:dyDescent="0.2">
      <c r="P1201" s="85"/>
      <c r="Q1201" s="91"/>
      <c r="R1201" s="91"/>
      <c r="S1201" s="91"/>
      <c r="T1201" s="92"/>
      <c r="U1201" s="93"/>
      <c r="V1201" s="94"/>
      <c r="W1201" s="94"/>
      <c r="X1201" s="93"/>
      <c r="Y1201" s="93"/>
      <c r="Z1201" s="85"/>
      <c r="AA1201" s="85"/>
      <c r="AB1201" s="85"/>
      <c r="AC1201" s="85"/>
      <c r="AD1201" s="85"/>
    </row>
    <row r="1202" spans="16:30" x14ac:dyDescent="0.2">
      <c r="P1202" s="85"/>
      <c r="Q1202" s="91"/>
      <c r="R1202" s="91"/>
      <c r="S1202" s="91"/>
      <c r="T1202" s="92"/>
      <c r="U1202" s="93"/>
      <c r="V1202" s="94"/>
      <c r="W1202" s="94"/>
      <c r="X1202" s="93"/>
      <c r="Y1202" s="93"/>
      <c r="Z1202" s="85"/>
      <c r="AA1202" s="85"/>
      <c r="AB1202" s="85"/>
      <c r="AC1202" s="85"/>
      <c r="AD1202" s="85"/>
    </row>
    <row r="1203" spans="16:30" x14ac:dyDescent="0.2">
      <c r="P1203" s="85"/>
      <c r="Q1203" s="91"/>
      <c r="R1203" s="91"/>
      <c r="S1203" s="91"/>
      <c r="T1203" s="92"/>
      <c r="U1203" s="93"/>
      <c r="V1203" s="94"/>
      <c r="W1203" s="94"/>
      <c r="X1203" s="93"/>
      <c r="Y1203" s="93"/>
      <c r="Z1203" s="85"/>
      <c r="AA1203" s="85"/>
      <c r="AB1203" s="85"/>
      <c r="AC1203" s="85"/>
      <c r="AD1203" s="85"/>
    </row>
    <row r="1204" spans="16:30" x14ac:dyDescent="0.2">
      <c r="P1204" s="85"/>
      <c r="Q1204" s="91"/>
      <c r="R1204" s="91"/>
      <c r="S1204" s="91"/>
      <c r="T1204" s="92"/>
      <c r="U1204" s="93"/>
      <c r="V1204" s="94"/>
      <c r="W1204" s="94"/>
      <c r="X1204" s="93"/>
      <c r="Y1204" s="93"/>
      <c r="Z1204" s="85"/>
      <c r="AA1204" s="85"/>
      <c r="AB1204" s="85"/>
      <c r="AC1204" s="85"/>
      <c r="AD1204" s="85"/>
    </row>
    <row r="1205" spans="16:30" x14ac:dyDescent="0.2">
      <c r="P1205" s="85"/>
      <c r="Q1205" s="91"/>
      <c r="R1205" s="91"/>
      <c r="S1205" s="91"/>
      <c r="T1205" s="92"/>
      <c r="U1205" s="93"/>
      <c r="V1205" s="94"/>
      <c r="W1205" s="94"/>
      <c r="X1205" s="93"/>
      <c r="Y1205" s="93"/>
      <c r="Z1205" s="85"/>
      <c r="AA1205" s="85"/>
      <c r="AB1205" s="85"/>
      <c r="AC1205" s="85"/>
      <c r="AD1205" s="85"/>
    </row>
    <row r="1206" spans="16:30" x14ac:dyDescent="0.2">
      <c r="P1206" s="85"/>
      <c r="Q1206" s="91"/>
      <c r="R1206" s="91"/>
      <c r="S1206" s="91"/>
      <c r="T1206" s="92"/>
      <c r="U1206" s="93"/>
      <c r="V1206" s="94"/>
      <c r="W1206" s="94"/>
      <c r="X1206" s="93"/>
      <c r="Y1206" s="93"/>
      <c r="Z1206" s="85"/>
      <c r="AA1206" s="85"/>
      <c r="AB1206" s="85"/>
      <c r="AC1206" s="85"/>
      <c r="AD1206" s="85"/>
    </row>
    <row r="1207" spans="16:30" x14ac:dyDescent="0.2">
      <c r="P1207" s="85"/>
      <c r="Q1207" s="91"/>
      <c r="R1207" s="91"/>
      <c r="S1207" s="91"/>
      <c r="T1207" s="92"/>
      <c r="U1207" s="93"/>
      <c r="V1207" s="94"/>
      <c r="W1207" s="94"/>
      <c r="X1207" s="93"/>
      <c r="Y1207" s="93"/>
      <c r="Z1207" s="85"/>
      <c r="AA1207" s="85"/>
      <c r="AB1207" s="85"/>
      <c r="AC1207" s="85"/>
      <c r="AD1207" s="85"/>
    </row>
    <row r="1208" spans="16:30" x14ac:dyDescent="0.2">
      <c r="P1208" s="85"/>
      <c r="Q1208" s="91"/>
      <c r="R1208" s="91"/>
      <c r="S1208" s="91"/>
      <c r="T1208" s="92"/>
      <c r="U1208" s="93"/>
      <c r="V1208" s="94"/>
      <c r="W1208" s="94"/>
      <c r="X1208" s="93"/>
      <c r="Y1208" s="93"/>
      <c r="Z1208" s="85"/>
      <c r="AA1208" s="85"/>
      <c r="AB1208" s="85"/>
      <c r="AC1208" s="85"/>
      <c r="AD1208" s="85"/>
    </row>
    <row r="1209" spans="16:30" x14ac:dyDescent="0.2">
      <c r="P1209" s="85"/>
      <c r="Q1209" s="91"/>
      <c r="R1209" s="91"/>
      <c r="S1209" s="91"/>
      <c r="T1209" s="92"/>
      <c r="U1209" s="93"/>
      <c r="V1209" s="94"/>
      <c r="W1209" s="94"/>
      <c r="X1209" s="93"/>
      <c r="Y1209" s="93"/>
      <c r="Z1209" s="85"/>
      <c r="AA1209" s="85"/>
      <c r="AB1209" s="85"/>
      <c r="AC1209" s="85"/>
      <c r="AD1209" s="85"/>
    </row>
    <row r="1210" spans="16:30" x14ac:dyDescent="0.2">
      <c r="P1210" s="85"/>
      <c r="Q1210" s="91"/>
      <c r="R1210" s="91"/>
      <c r="S1210" s="91"/>
      <c r="T1210" s="92"/>
      <c r="U1210" s="93"/>
      <c r="V1210" s="94"/>
      <c r="W1210" s="94"/>
      <c r="X1210" s="93"/>
      <c r="Y1210" s="93"/>
      <c r="Z1210" s="85"/>
      <c r="AA1210" s="85"/>
      <c r="AB1210" s="85"/>
      <c r="AC1210" s="85"/>
      <c r="AD1210" s="85"/>
    </row>
    <row r="1211" spans="16:30" x14ac:dyDescent="0.2">
      <c r="P1211" s="85"/>
      <c r="Q1211" s="91"/>
      <c r="R1211" s="91"/>
      <c r="S1211" s="91"/>
      <c r="T1211" s="92"/>
      <c r="U1211" s="93"/>
      <c r="V1211" s="94"/>
      <c r="W1211" s="94"/>
      <c r="X1211" s="93"/>
      <c r="Y1211" s="93"/>
      <c r="Z1211" s="85"/>
      <c r="AA1211" s="85"/>
      <c r="AB1211" s="85"/>
      <c r="AC1211" s="85"/>
      <c r="AD1211" s="85"/>
    </row>
    <row r="1212" spans="16:30" x14ac:dyDescent="0.2">
      <c r="P1212" s="85"/>
      <c r="Q1212" s="91"/>
      <c r="R1212" s="91"/>
      <c r="S1212" s="91"/>
      <c r="T1212" s="92"/>
      <c r="U1212" s="93"/>
      <c r="V1212" s="94"/>
      <c r="W1212" s="94"/>
      <c r="X1212" s="93"/>
      <c r="Y1212" s="93"/>
      <c r="Z1212" s="85"/>
      <c r="AA1212" s="85"/>
      <c r="AB1212" s="85"/>
      <c r="AC1212" s="85"/>
      <c r="AD1212" s="85"/>
    </row>
    <row r="1213" spans="16:30" x14ac:dyDescent="0.2">
      <c r="P1213" s="85"/>
      <c r="Q1213" s="91"/>
      <c r="R1213" s="91"/>
      <c r="S1213" s="91"/>
      <c r="T1213" s="92"/>
      <c r="U1213" s="93"/>
      <c r="V1213" s="94"/>
      <c r="W1213" s="94"/>
      <c r="X1213" s="93"/>
      <c r="Y1213" s="93"/>
      <c r="Z1213" s="85"/>
      <c r="AA1213" s="85"/>
      <c r="AB1213" s="85"/>
      <c r="AC1213" s="85"/>
      <c r="AD1213" s="85"/>
    </row>
    <row r="1214" spans="16:30" x14ac:dyDescent="0.2">
      <c r="P1214" s="85"/>
      <c r="Q1214" s="91"/>
      <c r="R1214" s="91"/>
      <c r="S1214" s="91"/>
      <c r="T1214" s="92"/>
      <c r="U1214" s="93"/>
      <c r="V1214" s="94"/>
      <c r="W1214" s="94"/>
      <c r="X1214" s="93"/>
      <c r="Y1214" s="93"/>
      <c r="Z1214" s="85"/>
      <c r="AA1214" s="85"/>
      <c r="AB1214" s="85"/>
      <c r="AC1214" s="85"/>
      <c r="AD1214" s="85"/>
    </row>
    <row r="1215" spans="16:30" x14ac:dyDescent="0.2">
      <c r="P1215" s="85"/>
      <c r="Q1215" s="91"/>
      <c r="R1215" s="91"/>
      <c r="S1215" s="91"/>
      <c r="T1215" s="92"/>
      <c r="U1215" s="93"/>
      <c r="V1215" s="94"/>
      <c r="W1215" s="94"/>
      <c r="X1215" s="93"/>
      <c r="Y1215" s="93"/>
      <c r="Z1215" s="85"/>
      <c r="AA1215" s="85"/>
      <c r="AB1215" s="85"/>
      <c r="AC1215" s="85"/>
      <c r="AD1215" s="85"/>
    </row>
    <row r="1216" spans="16:30" x14ac:dyDescent="0.2">
      <c r="P1216" s="85"/>
      <c r="Q1216" s="91"/>
      <c r="R1216" s="91"/>
      <c r="S1216" s="91"/>
      <c r="T1216" s="92"/>
      <c r="U1216" s="93"/>
      <c r="V1216" s="94"/>
      <c r="W1216" s="94"/>
      <c r="X1216" s="93"/>
      <c r="Y1216" s="93"/>
      <c r="Z1216" s="85"/>
      <c r="AA1216" s="85"/>
      <c r="AB1216" s="85"/>
      <c r="AC1216" s="85"/>
      <c r="AD1216" s="85"/>
    </row>
    <row r="1217" spans="16:30" x14ac:dyDescent="0.2">
      <c r="P1217" s="85"/>
      <c r="Q1217" s="91"/>
      <c r="R1217" s="91"/>
      <c r="S1217" s="91"/>
      <c r="T1217" s="92"/>
      <c r="U1217" s="93"/>
      <c r="V1217" s="94"/>
      <c r="W1217" s="94"/>
      <c r="X1217" s="93"/>
      <c r="Y1217" s="93"/>
      <c r="Z1217" s="85"/>
      <c r="AA1217" s="85"/>
      <c r="AB1217" s="85"/>
      <c r="AC1217" s="85"/>
      <c r="AD1217" s="85"/>
    </row>
    <row r="1218" spans="16:30" x14ac:dyDescent="0.2">
      <c r="P1218" s="85"/>
      <c r="Q1218" s="91"/>
      <c r="R1218" s="91"/>
      <c r="S1218" s="91"/>
      <c r="T1218" s="92"/>
      <c r="U1218" s="93"/>
      <c r="V1218" s="94"/>
      <c r="W1218" s="94"/>
      <c r="X1218" s="93"/>
      <c r="Y1218" s="93"/>
      <c r="Z1218" s="85"/>
      <c r="AA1218" s="85"/>
      <c r="AB1218" s="85"/>
      <c r="AC1218" s="85"/>
      <c r="AD1218" s="85"/>
    </row>
    <row r="1219" spans="16:30" x14ac:dyDescent="0.2">
      <c r="P1219" s="85"/>
      <c r="Q1219" s="91"/>
      <c r="R1219" s="91"/>
      <c r="S1219" s="91"/>
      <c r="T1219" s="92"/>
      <c r="U1219" s="93"/>
      <c r="V1219" s="94"/>
      <c r="W1219" s="94"/>
      <c r="X1219" s="93"/>
      <c r="Y1219" s="93"/>
      <c r="Z1219" s="85"/>
      <c r="AA1219" s="85"/>
      <c r="AB1219" s="85"/>
      <c r="AC1219" s="85"/>
      <c r="AD1219" s="85"/>
    </row>
    <row r="1220" spans="16:30" x14ac:dyDescent="0.2">
      <c r="P1220" s="85"/>
      <c r="Q1220" s="91"/>
      <c r="R1220" s="91"/>
      <c r="S1220" s="91"/>
      <c r="T1220" s="92"/>
      <c r="U1220" s="93"/>
      <c r="V1220" s="94"/>
      <c r="W1220" s="94"/>
      <c r="X1220" s="93"/>
      <c r="Y1220" s="93"/>
      <c r="Z1220" s="85"/>
      <c r="AA1220" s="85"/>
      <c r="AB1220" s="85"/>
      <c r="AC1220" s="85"/>
      <c r="AD1220" s="85"/>
    </row>
    <row r="1221" spans="16:30" x14ac:dyDescent="0.2">
      <c r="P1221" s="85"/>
      <c r="Q1221" s="91"/>
      <c r="R1221" s="91"/>
      <c r="S1221" s="91"/>
      <c r="T1221" s="92"/>
      <c r="U1221" s="93"/>
      <c r="V1221" s="94"/>
      <c r="W1221" s="94"/>
      <c r="X1221" s="93"/>
      <c r="Y1221" s="93"/>
      <c r="Z1221" s="85"/>
      <c r="AA1221" s="85"/>
      <c r="AB1221" s="85"/>
      <c r="AC1221" s="85"/>
      <c r="AD1221" s="85"/>
    </row>
    <row r="1222" spans="16:30" x14ac:dyDescent="0.2">
      <c r="P1222" s="85"/>
      <c r="Q1222" s="91"/>
      <c r="R1222" s="91"/>
      <c r="S1222" s="91"/>
      <c r="T1222" s="92"/>
      <c r="U1222" s="93"/>
      <c r="V1222" s="94"/>
      <c r="W1222" s="94"/>
      <c r="X1222" s="93"/>
      <c r="Y1222" s="93"/>
      <c r="Z1222" s="85"/>
      <c r="AA1222" s="85"/>
      <c r="AB1222" s="85"/>
      <c r="AC1222" s="85"/>
      <c r="AD1222" s="85"/>
    </row>
    <row r="1223" spans="16:30" x14ac:dyDescent="0.2">
      <c r="P1223" s="85"/>
      <c r="Q1223" s="91"/>
      <c r="R1223" s="91"/>
      <c r="S1223" s="91"/>
      <c r="T1223" s="92"/>
      <c r="U1223" s="93"/>
      <c r="V1223" s="94"/>
      <c r="W1223" s="94"/>
      <c r="X1223" s="93"/>
      <c r="Y1223" s="93"/>
      <c r="Z1223" s="85"/>
      <c r="AA1223" s="85"/>
      <c r="AB1223" s="85"/>
      <c r="AC1223" s="85"/>
      <c r="AD1223" s="85"/>
    </row>
    <row r="1224" spans="16:30" x14ac:dyDescent="0.2">
      <c r="P1224" s="85"/>
      <c r="Q1224" s="91"/>
      <c r="R1224" s="91"/>
      <c r="S1224" s="91"/>
      <c r="T1224" s="92"/>
      <c r="U1224" s="93"/>
      <c r="V1224" s="94"/>
      <c r="W1224" s="94"/>
      <c r="X1224" s="93"/>
      <c r="Y1224" s="93"/>
      <c r="Z1224" s="85"/>
      <c r="AA1224" s="85"/>
      <c r="AB1224" s="85"/>
      <c r="AC1224" s="85"/>
      <c r="AD1224" s="85"/>
    </row>
    <row r="1225" spans="16:30" x14ac:dyDescent="0.2">
      <c r="P1225" s="85"/>
      <c r="Q1225" s="91"/>
      <c r="R1225" s="91"/>
      <c r="S1225" s="91"/>
      <c r="T1225" s="92"/>
      <c r="U1225" s="93"/>
      <c r="V1225" s="94"/>
      <c r="W1225" s="94"/>
      <c r="X1225" s="93"/>
      <c r="Y1225" s="93"/>
      <c r="Z1225" s="85"/>
      <c r="AA1225" s="85"/>
      <c r="AB1225" s="85"/>
      <c r="AC1225" s="85"/>
      <c r="AD1225" s="85"/>
    </row>
    <row r="1226" spans="16:30" x14ac:dyDescent="0.2">
      <c r="P1226" s="85"/>
      <c r="Q1226" s="91"/>
      <c r="R1226" s="91"/>
      <c r="S1226" s="91"/>
      <c r="T1226" s="92"/>
      <c r="U1226" s="93"/>
      <c r="V1226" s="94"/>
      <c r="W1226" s="94"/>
      <c r="X1226" s="93"/>
      <c r="Y1226" s="93"/>
      <c r="Z1226" s="85"/>
      <c r="AA1226" s="85"/>
      <c r="AB1226" s="85"/>
      <c r="AC1226" s="85"/>
      <c r="AD1226" s="85"/>
    </row>
    <row r="1227" spans="16:30" x14ac:dyDescent="0.2">
      <c r="P1227" s="85"/>
      <c r="Q1227" s="91"/>
      <c r="R1227" s="91"/>
      <c r="S1227" s="91"/>
      <c r="T1227" s="92"/>
      <c r="U1227" s="93"/>
      <c r="V1227" s="94"/>
      <c r="W1227" s="94"/>
      <c r="X1227" s="93"/>
      <c r="Y1227" s="93"/>
      <c r="Z1227" s="85"/>
      <c r="AA1227" s="85"/>
      <c r="AB1227" s="85"/>
      <c r="AC1227" s="85"/>
      <c r="AD1227" s="85"/>
    </row>
    <row r="1228" spans="16:30" x14ac:dyDescent="0.2">
      <c r="P1228" s="85"/>
      <c r="Q1228" s="91"/>
      <c r="R1228" s="91"/>
      <c r="S1228" s="91"/>
      <c r="T1228" s="92"/>
      <c r="U1228" s="93"/>
      <c r="V1228" s="94"/>
      <c r="W1228" s="94"/>
      <c r="X1228" s="93"/>
      <c r="Y1228" s="93"/>
      <c r="Z1228" s="85"/>
      <c r="AA1228" s="85"/>
      <c r="AB1228" s="85"/>
      <c r="AC1228" s="85"/>
      <c r="AD1228" s="85"/>
    </row>
    <row r="1229" spans="16:30" x14ac:dyDescent="0.2">
      <c r="P1229" s="85"/>
      <c r="Q1229" s="91"/>
      <c r="R1229" s="91"/>
      <c r="S1229" s="91"/>
      <c r="T1229" s="92"/>
      <c r="U1229" s="93"/>
      <c r="V1229" s="94"/>
      <c r="W1229" s="94"/>
      <c r="X1229" s="93"/>
      <c r="Y1229" s="93"/>
      <c r="Z1229" s="85"/>
      <c r="AA1229" s="85"/>
      <c r="AB1229" s="85"/>
      <c r="AC1229" s="85"/>
      <c r="AD1229" s="85"/>
    </row>
    <row r="1230" spans="16:30" x14ac:dyDescent="0.2">
      <c r="P1230" s="85"/>
      <c r="Q1230" s="91"/>
      <c r="R1230" s="91"/>
      <c r="S1230" s="91"/>
      <c r="T1230" s="92"/>
      <c r="U1230" s="93"/>
      <c r="V1230" s="94"/>
      <c r="W1230" s="94"/>
      <c r="X1230" s="93"/>
      <c r="Y1230" s="93"/>
      <c r="Z1230" s="85"/>
      <c r="AA1230" s="85"/>
      <c r="AB1230" s="85"/>
      <c r="AC1230" s="85"/>
      <c r="AD1230" s="85"/>
    </row>
    <row r="1231" spans="16:30" x14ac:dyDescent="0.2">
      <c r="P1231" s="85"/>
      <c r="Q1231" s="91"/>
      <c r="R1231" s="91"/>
      <c r="S1231" s="91"/>
      <c r="T1231" s="92"/>
      <c r="U1231" s="93"/>
      <c r="V1231" s="94"/>
      <c r="W1231" s="94"/>
      <c r="X1231" s="93"/>
      <c r="Y1231" s="93"/>
      <c r="Z1231" s="85"/>
      <c r="AA1231" s="85"/>
      <c r="AB1231" s="85"/>
      <c r="AC1231" s="85"/>
      <c r="AD1231" s="85"/>
    </row>
    <row r="1232" spans="16:30" x14ac:dyDescent="0.2">
      <c r="P1232" s="85"/>
      <c r="Q1232" s="91"/>
      <c r="R1232" s="91"/>
      <c r="S1232" s="91"/>
      <c r="T1232" s="92"/>
      <c r="U1232" s="93"/>
      <c r="V1232" s="94"/>
      <c r="W1232" s="94"/>
      <c r="X1232" s="93"/>
      <c r="Y1232" s="93"/>
      <c r="Z1232" s="85"/>
      <c r="AA1232" s="85"/>
      <c r="AB1232" s="85"/>
      <c r="AC1232" s="85"/>
      <c r="AD1232" s="85"/>
    </row>
    <row r="1233" spans="16:30" x14ac:dyDescent="0.2">
      <c r="P1233" s="85"/>
      <c r="Q1233" s="91"/>
      <c r="R1233" s="91"/>
      <c r="S1233" s="91"/>
      <c r="T1233" s="92"/>
      <c r="U1233" s="93"/>
      <c r="V1233" s="94"/>
      <c r="W1233" s="94"/>
      <c r="X1233" s="93"/>
      <c r="Y1233" s="93"/>
      <c r="Z1233" s="85"/>
      <c r="AA1233" s="85"/>
      <c r="AB1233" s="85"/>
      <c r="AC1233" s="85"/>
      <c r="AD1233" s="85"/>
    </row>
    <row r="1234" spans="16:30" x14ac:dyDescent="0.2">
      <c r="P1234" s="85"/>
      <c r="Q1234" s="91"/>
      <c r="R1234" s="91"/>
      <c r="S1234" s="91"/>
      <c r="T1234" s="92"/>
      <c r="U1234" s="93"/>
      <c r="V1234" s="94"/>
      <c r="W1234" s="94"/>
      <c r="X1234" s="93"/>
      <c r="Y1234" s="93"/>
      <c r="Z1234" s="85"/>
      <c r="AA1234" s="85"/>
      <c r="AB1234" s="85"/>
      <c r="AC1234" s="85"/>
      <c r="AD1234" s="85"/>
    </row>
    <row r="1235" spans="16:30" x14ac:dyDescent="0.2">
      <c r="P1235" s="85"/>
      <c r="Q1235" s="91"/>
      <c r="R1235" s="91"/>
      <c r="S1235" s="91"/>
      <c r="T1235" s="92"/>
      <c r="U1235" s="93"/>
      <c r="V1235" s="94"/>
      <c r="W1235" s="94"/>
      <c r="X1235" s="93"/>
      <c r="Y1235" s="93"/>
      <c r="Z1235" s="85"/>
      <c r="AA1235" s="85"/>
      <c r="AB1235" s="85"/>
      <c r="AC1235" s="85"/>
      <c r="AD1235" s="85"/>
    </row>
    <row r="1236" spans="16:30" x14ac:dyDescent="0.2">
      <c r="P1236" s="85"/>
      <c r="Q1236" s="91"/>
      <c r="R1236" s="91"/>
      <c r="S1236" s="91"/>
      <c r="T1236" s="92"/>
      <c r="U1236" s="93"/>
      <c r="V1236" s="94"/>
      <c r="W1236" s="94"/>
      <c r="X1236" s="93"/>
      <c r="Y1236" s="93"/>
      <c r="Z1236" s="85"/>
      <c r="AA1236" s="85"/>
      <c r="AB1236" s="85"/>
      <c r="AC1236" s="85"/>
      <c r="AD1236" s="85"/>
    </row>
    <row r="1237" spans="16:30" x14ac:dyDescent="0.2">
      <c r="P1237" s="85"/>
      <c r="Q1237" s="91"/>
      <c r="R1237" s="91"/>
      <c r="S1237" s="91"/>
      <c r="T1237" s="92"/>
      <c r="U1237" s="93"/>
      <c r="V1237" s="94"/>
      <c r="W1237" s="94"/>
      <c r="X1237" s="93"/>
      <c r="Y1237" s="93"/>
      <c r="Z1237" s="85"/>
      <c r="AA1237" s="85"/>
      <c r="AB1237" s="85"/>
      <c r="AC1237" s="85"/>
      <c r="AD1237" s="85"/>
    </row>
    <row r="1238" spans="16:30" x14ac:dyDescent="0.2">
      <c r="P1238" s="85"/>
      <c r="Q1238" s="91"/>
      <c r="R1238" s="91"/>
      <c r="S1238" s="91"/>
      <c r="T1238" s="92"/>
      <c r="U1238" s="93"/>
      <c r="V1238" s="94"/>
      <c r="W1238" s="94"/>
      <c r="X1238" s="93"/>
      <c r="Y1238" s="93"/>
      <c r="Z1238" s="85"/>
      <c r="AA1238" s="85"/>
      <c r="AB1238" s="85"/>
      <c r="AC1238" s="85"/>
      <c r="AD1238" s="85"/>
    </row>
    <row r="1239" spans="16:30" x14ac:dyDescent="0.2">
      <c r="P1239" s="85"/>
      <c r="Q1239" s="91"/>
      <c r="R1239" s="91"/>
      <c r="S1239" s="91"/>
      <c r="T1239" s="92"/>
      <c r="U1239" s="93"/>
      <c r="V1239" s="94"/>
      <c r="W1239" s="94"/>
      <c r="X1239" s="93"/>
      <c r="Y1239" s="93"/>
      <c r="Z1239" s="85"/>
      <c r="AA1239" s="85"/>
      <c r="AB1239" s="85"/>
      <c r="AC1239" s="85"/>
      <c r="AD1239" s="85"/>
    </row>
    <row r="1240" spans="16:30" x14ac:dyDescent="0.2">
      <c r="P1240" s="85"/>
      <c r="Q1240" s="91"/>
      <c r="R1240" s="91"/>
      <c r="S1240" s="91"/>
      <c r="T1240" s="92"/>
      <c r="U1240" s="93"/>
      <c r="V1240" s="94"/>
      <c r="W1240" s="94"/>
      <c r="X1240" s="93"/>
      <c r="Y1240" s="93"/>
      <c r="Z1240" s="85"/>
      <c r="AA1240" s="85"/>
      <c r="AB1240" s="85"/>
      <c r="AC1240" s="85"/>
      <c r="AD1240" s="85"/>
    </row>
    <row r="1241" spans="16:30" x14ac:dyDescent="0.2">
      <c r="P1241" s="85"/>
      <c r="Q1241" s="91"/>
      <c r="R1241" s="91"/>
      <c r="S1241" s="91"/>
      <c r="T1241" s="92"/>
      <c r="U1241" s="93"/>
      <c r="V1241" s="94"/>
      <c r="W1241" s="94"/>
      <c r="X1241" s="93"/>
      <c r="Y1241" s="93"/>
      <c r="Z1241" s="85"/>
      <c r="AA1241" s="85"/>
      <c r="AB1241" s="85"/>
      <c r="AC1241" s="85"/>
      <c r="AD1241" s="85"/>
    </row>
    <row r="1242" spans="16:30" x14ac:dyDescent="0.2">
      <c r="P1242" s="85"/>
      <c r="Q1242" s="91"/>
      <c r="R1242" s="91"/>
      <c r="S1242" s="91"/>
      <c r="T1242" s="92"/>
      <c r="U1242" s="93"/>
      <c r="V1242" s="94"/>
      <c r="W1242" s="94"/>
      <c r="X1242" s="93"/>
      <c r="Y1242" s="93"/>
      <c r="Z1242" s="85"/>
      <c r="AA1242" s="85"/>
      <c r="AB1242" s="85"/>
      <c r="AC1242" s="85"/>
      <c r="AD1242" s="85"/>
    </row>
    <row r="1243" spans="16:30" x14ac:dyDescent="0.2">
      <c r="P1243" s="85"/>
      <c r="Q1243" s="91"/>
      <c r="R1243" s="91"/>
      <c r="S1243" s="91"/>
      <c r="T1243" s="92"/>
      <c r="U1243" s="93"/>
      <c r="V1243" s="94"/>
      <c r="W1243" s="94"/>
      <c r="X1243" s="93"/>
      <c r="Y1243" s="93"/>
      <c r="Z1243" s="85"/>
      <c r="AA1243" s="85"/>
      <c r="AB1243" s="85"/>
      <c r="AC1243" s="85"/>
      <c r="AD1243" s="85"/>
    </row>
    <row r="1244" spans="16:30" x14ac:dyDescent="0.2">
      <c r="P1244" s="85"/>
      <c r="Q1244" s="91"/>
      <c r="R1244" s="91"/>
      <c r="S1244" s="91"/>
      <c r="T1244" s="92"/>
      <c r="U1244" s="93"/>
      <c r="V1244" s="94"/>
      <c r="W1244" s="94"/>
      <c r="X1244" s="93"/>
      <c r="Y1244" s="93"/>
      <c r="Z1244" s="85"/>
      <c r="AA1244" s="85"/>
      <c r="AB1244" s="85"/>
      <c r="AC1244" s="85"/>
      <c r="AD1244" s="85"/>
    </row>
    <row r="1245" spans="16:30" x14ac:dyDescent="0.2">
      <c r="P1245" s="85"/>
      <c r="Q1245" s="91"/>
      <c r="R1245" s="91"/>
      <c r="S1245" s="91"/>
      <c r="T1245" s="92"/>
      <c r="U1245" s="93"/>
      <c r="V1245" s="94"/>
      <c r="W1245" s="94"/>
      <c r="X1245" s="93"/>
      <c r="Y1245" s="93"/>
      <c r="Z1245" s="85"/>
      <c r="AA1245" s="85"/>
      <c r="AB1245" s="85"/>
      <c r="AC1245" s="85"/>
      <c r="AD1245" s="85"/>
    </row>
    <row r="1246" spans="16:30" x14ac:dyDescent="0.2">
      <c r="P1246" s="85"/>
      <c r="Q1246" s="91"/>
      <c r="R1246" s="91"/>
      <c r="S1246" s="91"/>
      <c r="T1246" s="92"/>
      <c r="U1246" s="93"/>
      <c r="V1246" s="94"/>
      <c r="W1246" s="94"/>
      <c r="X1246" s="93"/>
      <c r="Y1246" s="93"/>
      <c r="Z1246" s="85"/>
      <c r="AA1246" s="85"/>
      <c r="AB1246" s="85"/>
      <c r="AC1246" s="85"/>
      <c r="AD1246" s="85"/>
    </row>
    <row r="1247" spans="16:30" x14ac:dyDescent="0.2">
      <c r="P1247" s="85"/>
      <c r="Q1247" s="91"/>
      <c r="R1247" s="91"/>
      <c r="S1247" s="91"/>
      <c r="T1247" s="92"/>
      <c r="U1247" s="93"/>
      <c r="V1247" s="94"/>
      <c r="W1247" s="94"/>
      <c r="X1247" s="93"/>
      <c r="Y1247" s="93"/>
      <c r="Z1247" s="85"/>
      <c r="AA1247" s="85"/>
      <c r="AB1247" s="85"/>
      <c r="AC1247" s="85"/>
      <c r="AD1247" s="85"/>
    </row>
    <row r="1248" spans="16:30" x14ac:dyDescent="0.2">
      <c r="P1248" s="85"/>
      <c r="Q1248" s="91"/>
      <c r="R1248" s="91"/>
      <c r="S1248" s="91"/>
      <c r="T1248" s="92"/>
      <c r="U1248" s="93"/>
      <c r="V1248" s="94"/>
      <c r="W1248" s="94"/>
      <c r="X1248" s="93"/>
      <c r="Y1248" s="93"/>
      <c r="Z1248" s="85"/>
      <c r="AA1248" s="85"/>
      <c r="AB1248" s="85"/>
      <c r="AC1248" s="85"/>
      <c r="AD1248" s="85"/>
    </row>
    <row r="1249" spans="16:30" x14ac:dyDescent="0.2">
      <c r="P1249" s="85"/>
      <c r="Q1249" s="91"/>
      <c r="R1249" s="91"/>
      <c r="S1249" s="91"/>
      <c r="T1249" s="92"/>
      <c r="U1249" s="93"/>
      <c r="V1249" s="94"/>
      <c r="W1249" s="94"/>
      <c r="X1249" s="93"/>
      <c r="Y1249" s="93"/>
      <c r="Z1249" s="85"/>
      <c r="AA1249" s="85"/>
      <c r="AB1249" s="85"/>
      <c r="AC1249" s="85"/>
      <c r="AD1249" s="85"/>
    </row>
    <row r="1250" spans="16:30" x14ac:dyDescent="0.2">
      <c r="P1250" s="85"/>
      <c r="Q1250" s="91"/>
      <c r="R1250" s="91"/>
      <c r="S1250" s="91"/>
      <c r="T1250" s="92"/>
      <c r="U1250" s="93"/>
      <c r="V1250" s="94"/>
      <c r="W1250" s="94"/>
      <c r="X1250" s="93"/>
      <c r="Y1250" s="93"/>
      <c r="Z1250" s="85"/>
      <c r="AA1250" s="85"/>
      <c r="AB1250" s="85"/>
      <c r="AC1250" s="85"/>
      <c r="AD1250" s="85"/>
    </row>
    <row r="1251" spans="16:30" x14ac:dyDescent="0.2">
      <c r="P1251" s="85"/>
      <c r="Q1251" s="91"/>
      <c r="R1251" s="91"/>
      <c r="S1251" s="91"/>
      <c r="T1251" s="92"/>
      <c r="U1251" s="93"/>
      <c r="V1251" s="94"/>
      <c r="W1251" s="94"/>
      <c r="X1251" s="93"/>
      <c r="Y1251" s="93"/>
      <c r="Z1251" s="85"/>
      <c r="AA1251" s="85"/>
      <c r="AB1251" s="85"/>
      <c r="AC1251" s="85"/>
      <c r="AD1251" s="85"/>
    </row>
    <row r="1252" spans="16:30" x14ac:dyDescent="0.2">
      <c r="P1252" s="85"/>
      <c r="Q1252" s="91"/>
      <c r="R1252" s="91"/>
      <c r="S1252" s="91"/>
      <c r="T1252" s="92"/>
      <c r="U1252" s="93"/>
      <c r="V1252" s="94"/>
      <c r="W1252" s="94"/>
      <c r="X1252" s="93"/>
      <c r="Y1252" s="93"/>
      <c r="Z1252" s="85"/>
      <c r="AA1252" s="85"/>
      <c r="AB1252" s="85"/>
      <c r="AC1252" s="85"/>
      <c r="AD1252" s="85"/>
    </row>
    <row r="1253" spans="16:30" x14ac:dyDescent="0.2">
      <c r="P1253" s="85"/>
      <c r="Q1253" s="91"/>
      <c r="R1253" s="91"/>
      <c r="S1253" s="91"/>
      <c r="T1253" s="92"/>
      <c r="U1253" s="93"/>
      <c r="V1253" s="94"/>
      <c r="W1253" s="94"/>
      <c r="X1253" s="93"/>
      <c r="Y1253" s="93"/>
      <c r="Z1253" s="85"/>
      <c r="AA1253" s="85"/>
      <c r="AB1253" s="85"/>
      <c r="AC1253" s="85"/>
      <c r="AD1253" s="85"/>
    </row>
    <row r="1254" spans="16:30" x14ac:dyDescent="0.2">
      <c r="P1254" s="85"/>
      <c r="Q1254" s="91"/>
      <c r="R1254" s="91"/>
      <c r="S1254" s="91"/>
      <c r="T1254" s="92"/>
      <c r="U1254" s="93"/>
      <c r="V1254" s="94"/>
      <c r="W1254" s="94"/>
      <c r="X1254" s="93"/>
      <c r="Y1254" s="93"/>
      <c r="Z1254" s="85"/>
      <c r="AA1254" s="85"/>
      <c r="AB1254" s="85"/>
      <c r="AC1254" s="85"/>
      <c r="AD1254" s="85"/>
    </row>
    <row r="1255" spans="16:30" x14ac:dyDescent="0.2">
      <c r="P1255" s="85"/>
      <c r="Q1255" s="91"/>
      <c r="R1255" s="91"/>
      <c r="S1255" s="91"/>
      <c r="T1255" s="92"/>
      <c r="U1255" s="93"/>
      <c r="V1255" s="94"/>
      <c r="W1255" s="94"/>
      <c r="X1255" s="93"/>
      <c r="Y1255" s="93"/>
      <c r="Z1255" s="85"/>
      <c r="AA1255" s="85"/>
      <c r="AB1255" s="85"/>
      <c r="AC1255" s="85"/>
      <c r="AD1255" s="85"/>
    </row>
    <row r="1256" spans="16:30" x14ac:dyDescent="0.2">
      <c r="P1256" s="85"/>
      <c r="Q1256" s="91"/>
      <c r="R1256" s="91"/>
      <c r="S1256" s="91"/>
      <c r="T1256" s="92"/>
      <c r="U1256" s="93"/>
      <c r="V1256" s="94"/>
      <c r="W1256" s="94"/>
      <c r="X1256" s="93"/>
      <c r="Y1256" s="93"/>
      <c r="Z1256" s="85"/>
      <c r="AA1256" s="85"/>
      <c r="AB1256" s="85"/>
      <c r="AC1256" s="85"/>
      <c r="AD1256" s="85"/>
    </row>
    <row r="1257" spans="16:30" x14ac:dyDescent="0.2">
      <c r="P1257" s="85"/>
      <c r="Q1257" s="91"/>
      <c r="R1257" s="91"/>
      <c r="S1257" s="91"/>
      <c r="T1257" s="92"/>
      <c r="U1257" s="93"/>
      <c r="V1257" s="94"/>
      <c r="W1257" s="94"/>
      <c r="X1257" s="93"/>
      <c r="Y1257" s="93"/>
      <c r="Z1257" s="85"/>
      <c r="AA1257" s="85"/>
      <c r="AB1257" s="85"/>
      <c r="AC1257" s="85"/>
      <c r="AD1257" s="85"/>
    </row>
    <row r="1258" spans="16:30" x14ac:dyDescent="0.2">
      <c r="P1258" s="85"/>
      <c r="Q1258" s="91"/>
      <c r="R1258" s="91"/>
      <c r="S1258" s="91"/>
      <c r="T1258" s="92"/>
      <c r="U1258" s="93"/>
      <c r="V1258" s="94"/>
      <c r="W1258" s="94"/>
      <c r="X1258" s="93"/>
      <c r="Y1258" s="93"/>
      <c r="Z1258" s="85"/>
      <c r="AA1258" s="85"/>
      <c r="AB1258" s="85"/>
      <c r="AC1258" s="85"/>
      <c r="AD1258" s="85"/>
    </row>
    <row r="1259" spans="16:30" x14ac:dyDescent="0.2">
      <c r="P1259" s="85"/>
      <c r="Q1259" s="91"/>
      <c r="R1259" s="91"/>
      <c r="S1259" s="91"/>
      <c r="T1259" s="92"/>
      <c r="U1259" s="93"/>
      <c r="V1259" s="94"/>
      <c r="W1259" s="94"/>
      <c r="X1259" s="93"/>
      <c r="Y1259" s="93"/>
      <c r="Z1259" s="85"/>
      <c r="AA1259" s="85"/>
      <c r="AB1259" s="85"/>
      <c r="AC1259" s="85"/>
      <c r="AD1259" s="85"/>
    </row>
    <row r="1260" spans="16:30" x14ac:dyDescent="0.2">
      <c r="P1260" s="85"/>
      <c r="Q1260" s="91"/>
      <c r="R1260" s="91"/>
      <c r="S1260" s="91"/>
      <c r="T1260" s="92"/>
      <c r="U1260" s="93"/>
      <c r="V1260" s="94"/>
      <c r="W1260" s="94"/>
      <c r="X1260" s="93"/>
      <c r="Y1260" s="93"/>
      <c r="Z1260" s="85"/>
      <c r="AA1260" s="85"/>
      <c r="AB1260" s="85"/>
      <c r="AC1260" s="85"/>
      <c r="AD1260" s="85"/>
    </row>
    <row r="1261" spans="16:30" x14ac:dyDescent="0.2">
      <c r="P1261" s="85"/>
      <c r="Q1261" s="91"/>
      <c r="R1261" s="91"/>
      <c r="S1261" s="91"/>
      <c r="T1261" s="92"/>
      <c r="U1261" s="93"/>
      <c r="V1261" s="94"/>
      <c r="W1261" s="94"/>
      <c r="X1261" s="93"/>
      <c r="Y1261" s="93"/>
      <c r="Z1261" s="85"/>
      <c r="AA1261" s="85"/>
      <c r="AB1261" s="85"/>
      <c r="AC1261" s="85"/>
      <c r="AD1261" s="85"/>
    </row>
    <row r="1262" spans="16:30" x14ac:dyDescent="0.2">
      <c r="P1262" s="85"/>
      <c r="Q1262" s="91"/>
      <c r="R1262" s="91"/>
      <c r="S1262" s="91"/>
      <c r="T1262" s="92"/>
      <c r="U1262" s="93"/>
      <c r="V1262" s="94"/>
      <c r="W1262" s="94"/>
      <c r="X1262" s="93"/>
      <c r="Y1262" s="93"/>
      <c r="Z1262" s="85"/>
      <c r="AA1262" s="85"/>
      <c r="AB1262" s="85"/>
      <c r="AC1262" s="85"/>
      <c r="AD1262" s="85"/>
    </row>
    <row r="1263" spans="16:30" x14ac:dyDescent="0.2">
      <c r="P1263" s="85"/>
      <c r="Q1263" s="91"/>
      <c r="R1263" s="91"/>
      <c r="S1263" s="91"/>
      <c r="T1263" s="92"/>
      <c r="U1263" s="93"/>
      <c r="V1263" s="94"/>
      <c r="W1263" s="94"/>
      <c r="X1263" s="93"/>
      <c r="Y1263" s="93"/>
      <c r="Z1263" s="85"/>
      <c r="AA1263" s="85"/>
      <c r="AB1263" s="85"/>
      <c r="AC1263" s="85"/>
      <c r="AD1263" s="85"/>
    </row>
    <row r="1264" spans="16:30" x14ac:dyDescent="0.2">
      <c r="P1264" s="85"/>
      <c r="Q1264" s="91"/>
      <c r="R1264" s="91"/>
      <c r="S1264" s="91"/>
      <c r="T1264" s="92"/>
      <c r="U1264" s="93"/>
      <c r="V1264" s="94"/>
      <c r="W1264" s="94"/>
      <c r="X1264" s="93"/>
      <c r="Y1264" s="93"/>
      <c r="Z1264" s="85"/>
      <c r="AA1264" s="85"/>
      <c r="AB1264" s="85"/>
      <c r="AC1264" s="85"/>
      <c r="AD1264" s="85"/>
    </row>
    <row r="1265" spans="16:30" x14ac:dyDescent="0.2">
      <c r="P1265" s="85"/>
      <c r="Q1265" s="91"/>
      <c r="R1265" s="91"/>
      <c r="S1265" s="91"/>
      <c r="T1265" s="92"/>
      <c r="U1265" s="93"/>
      <c r="V1265" s="94"/>
      <c r="W1265" s="94"/>
      <c r="X1265" s="93"/>
      <c r="Y1265" s="93"/>
      <c r="Z1265" s="85"/>
      <c r="AA1265" s="85"/>
      <c r="AB1265" s="85"/>
      <c r="AC1265" s="85"/>
      <c r="AD1265" s="85"/>
    </row>
    <row r="1266" spans="16:30" x14ac:dyDescent="0.2">
      <c r="P1266" s="85"/>
      <c r="Q1266" s="91"/>
      <c r="R1266" s="91"/>
      <c r="S1266" s="91"/>
      <c r="T1266" s="92"/>
      <c r="U1266" s="93"/>
      <c r="V1266" s="94"/>
      <c r="W1266" s="94"/>
      <c r="X1266" s="93"/>
      <c r="Y1266" s="93"/>
      <c r="Z1266" s="85"/>
      <c r="AA1266" s="85"/>
      <c r="AB1266" s="85"/>
      <c r="AC1266" s="85"/>
      <c r="AD1266" s="85"/>
    </row>
    <row r="1267" spans="16:30" x14ac:dyDescent="0.2">
      <c r="P1267" s="85"/>
      <c r="Q1267" s="91"/>
      <c r="R1267" s="91"/>
      <c r="S1267" s="91"/>
      <c r="T1267" s="92"/>
      <c r="U1267" s="93"/>
      <c r="V1267" s="94"/>
      <c r="W1267" s="94"/>
      <c r="X1267" s="93"/>
      <c r="Y1267" s="93"/>
      <c r="Z1267" s="85"/>
      <c r="AA1267" s="85"/>
      <c r="AB1267" s="85"/>
      <c r="AC1267" s="85"/>
      <c r="AD1267" s="85"/>
    </row>
    <row r="1268" spans="16:30" x14ac:dyDescent="0.2">
      <c r="P1268" s="85"/>
      <c r="Q1268" s="91"/>
      <c r="R1268" s="91"/>
      <c r="S1268" s="91"/>
      <c r="T1268" s="92"/>
      <c r="U1268" s="93"/>
      <c r="V1268" s="94"/>
      <c r="W1268" s="94"/>
      <c r="X1268" s="93"/>
      <c r="Y1268" s="93"/>
      <c r="Z1268" s="85"/>
      <c r="AA1268" s="85"/>
      <c r="AB1268" s="85"/>
      <c r="AC1268" s="85"/>
      <c r="AD1268" s="85"/>
    </row>
    <row r="1269" spans="16:30" x14ac:dyDescent="0.2">
      <c r="P1269" s="85"/>
      <c r="Q1269" s="91"/>
      <c r="R1269" s="91"/>
      <c r="S1269" s="91"/>
      <c r="T1269" s="92"/>
      <c r="U1269" s="93"/>
      <c r="V1269" s="94"/>
      <c r="W1269" s="94"/>
      <c r="X1269" s="93"/>
      <c r="Y1269" s="93"/>
      <c r="Z1269" s="85"/>
      <c r="AA1269" s="85"/>
      <c r="AB1269" s="85"/>
      <c r="AC1269" s="85"/>
      <c r="AD1269" s="85"/>
    </row>
    <row r="1270" spans="16:30" x14ac:dyDescent="0.2">
      <c r="P1270" s="85"/>
      <c r="Q1270" s="91"/>
      <c r="R1270" s="91"/>
      <c r="S1270" s="91"/>
      <c r="T1270" s="92"/>
      <c r="U1270" s="93"/>
      <c r="V1270" s="94"/>
      <c r="W1270" s="94"/>
      <c r="X1270" s="93"/>
      <c r="Y1270" s="93"/>
      <c r="Z1270" s="85"/>
      <c r="AA1270" s="85"/>
      <c r="AB1270" s="85"/>
      <c r="AC1270" s="85"/>
      <c r="AD1270" s="85"/>
    </row>
    <row r="1271" spans="16:30" x14ac:dyDescent="0.2">
      <c r="P1271" s="85"/>
      <c r="Q1271" s="91"/>
      <c r="R1271" s="91"/>
      <c r="S1271" s="91"/>
      <c r="T1271" s="92"/>
      <c r="U1271" s="93"/>
      <c r="V1271" s="94"/>
      <c r="W1271" s="94"/>
      <c r="X1271" s="93"/>
      <c r="Y1271" s="93"/>
      <c r="Z1271" s="85"/>
      <c r="AA1271" s="85"/>
      <c r="AB1271" s="85"/>
      <c r="AC1271" s="85"/>
      <c r="AD1271" s="85"/>
    </row>
    <row r="1272" spans="16:30" x14ac:dyDescent="0.2">
      <c r="P1272" s="85"/>
      <c r="Q1272" s="91"/>
      <c r="R1272" s="91"/>
      <c r="S1272" s="91"/>
      <c r="T1272" s="92"/>
      <c r="U1272" s="93"/>
      <c r="V1272" s="94"/>
      <c r="W1272" s="94"/>
      <c r="X1272" s="93"/>
      <c r="Y1272" s="93"/>
      <c r="Z1272" s="85"/>
      <c r="AA1272" s="85"/>
      <c r="AB1272" s="85"/>
      <c r="AC1272" s="85"/>
      <c r="AD1272" s="85"/>
    </row>
    <row r="1273" spans="16:30" x14ac:dyDescent="0.2">
      <c r="P1273" s="85"/>
      <c r="Q1273" s="91"/>
      <c r="R1273" s="91"/>
      <c r="S1273" s="91"/>
      <c r="T1273" s="92"/>
      <c r="U1273" s="93"/>
      <c r="V1273" s="94"/>
      <c r="W1273" s="94"/>
      <c r="X1273" s="93"/>
      <c r="Y1273" s="93"/>
      <c r="Z1273" s="85"/>
      <c r="AA1273" s="85"/>
      <c r="AB1273" s="85"/>
      <c r="AC1273" s="85"/>
      <c r="AD1273" s="85"/>
    </row>
    <row r="1274" spans="16:30" x14ac:dyDescent="0.2">
      <c r="P1274" s="85"/>
      <c r="Q1274" s="91"/>
      <c r="R1274" s="91"/>
      <c r="S1274" s="91"/>
      <c r="T1274" s="92"/>
      <c r="U1274" s="93"/>
      <c r="V1274" s="94"/>
      <c r="W1274" s="94"/>
      <c r="X1274" s="93"/>
      <c r="Y1274" s="93"/>
      <c r="Z1274" s="85"/>
      <c r="AA1274" s="85"/>
      <c r="AB1274" s="85"/>
      <c r="AC1274" s="85"/>
      <c r="AD1274" s="85"/>
    </row>
    <row r="1275" spans="16:30" x14ac:dyDescent="0.2">
      <c r="P1275" s="85"/>
      <c r="Q1275" s="91"/>
      <c r="R1275" s="91"/>
      <c r="S1275" s="91"/>
      <c r="T1275" s="92"/>
      <c r="U1275" s="93"/>
      <c r="V1275" s="94"/>
      <c r="W1275" s="94"/>
      <c r="X1275" s="93"/>
      <c r="Y1275" s="93"/>
      <c r="Z1275" s="85"/>
      <c r="AA1275" s="85"/>
      <c r="AB1275" s="85"/>
      <c r="AC1275" s="85"/>
      <c r="AD1275" s="85"/>
    </row>
    <row r="1276" spans="16:30" x14ac:dyDescent="0.2">
      <c r="P1276" s="85"/>
      <c r="Q1276" s="91"/>
      <c r="R1276" s="91"/>
      <c r="S1276" s="91"/>
      <c r="T1276" s="92"/>
      <c r="U1276" s="93"/>
      <c r="V1276" s="94"/>
      <c r="W1276" s="94"/>
      <c r="X1276" s="93"/>
      <c r="Y1276" s="93"/>
      <c r="Z1276" s="85"/>
      <c r="AA1276" s="85"/>
      <c r="AB1276" s="85"/>
      <c r="AC1276" s="85"/>
      <c r="AD1276" s="85"/>
    </row>
    <row r="1277" spans="16:30" x14ac:dyDescent="0.2">
      <c r="P1277" s="85"/>
      <c r="Q1277" s="91"/>
      <c r="R1277" s="91"/>
      <c r="S1277" s="91"/>
      <c r="T1277" s="92"/>
      <c r="U1277" s="93"/>
      <c r="V1277" s="94"/>
      <c r="W1277" s="94"/>
      <c r="X1277" s="93"/>
      <c r="Y1277" s="93"/>
      <c r="Z1277" s="85"/>
      <c r="AA1277" s="85"/>
      <c r="AB1277" s="85"/>
      <c r="AC1277" s="85"/>
      <c r="AD1277" s="85"/>
    </row>
    <row r="1278" spans="16:30" x14ac:dyDescent="0.2">
      <c r="P1278" s="85"/>
      <c r="Q1278" s="91"/>
      <c r="R1278" s="91"/>
      <c r="S1278" s="91"/>
      <c r="T1278" s="92"/>
      <c r="U1278" s="93"/>
      <c r="V1278" s="94"/>
      <c r="W1278" s="94"/>
      <c r="X1278" s="93"/>
      <c r="Y1278" s="93"/>
      <c r="Z1278" s="85"/>
      <c r="AA1278" s="85"/>
      <c r="AB1278" s="85"/>
      <c r="AC1278" s="85"/>
      <c r="AD1278" s="85"/>
    </row>
    <row r="1279" spans="16:30" x14ac:dyDescent="0.2">
      <c r="P1279" s="85"/>
      <c r="Q1279" s="91"/>
      <c r="R1279" s="91"/>
      <c r="S1279" s="91"/>
      <c r="T1279" s="92"/>
      <c r="U1279" s="93"/>
      <c r="V1279" s="94"/>
      <c r="W1279" s="94"/>
      <c r="X1279" s="93"/>
      <c r="Y1279" s="93"/>
      <c r="Z1279" s="85"/>
      <c r="AA1279" s="85"/>
      <c r="AB1279" s="85"/>
      <c r="AC1279" s="85"/>
      <c r="AD1279" s="85"/>
    </row>
    <row r="1280" spans="16:30" x14ac:dyDescent="0.2">
      <c r="P1280" s="85"/>
      <c r="Q1280" s="91"/>
      <c r="R1280" s="91"/>
      <c r="S1280" s="91"/>
      <c r="T1280" s="92"/>
      <c r="U1280" s="93"/>
      <c r="V1280" s="94"/>
      <c r="W1280" s="94"/>
      <c r="X1280" s="93"/>
      <c r="Y1280" s="93"/>
      <c r="Z1280" s="85"/>
      <c r="AA1280" s="85"/>
      <c r="AB1280" s="85"/>
      <c r="AC1280" s="85"/>
      <c r="AD1280" s="85"/>
    </row>
    <row r="1281" spans="16:30" x14ac:dyDescent="0.2">
      <c r="P1281" s="85"/>
      <c r="Q1281" s="91"/>
      <c r="R1281" s="91"/>
      <c r="S1281" s="91"/>
      <c r="T1281" s="92"/>
      <c r="U1281" s="93"/>
      <c r="V1281" s="94"/>
      <c r="W1281" s="94"/>
      <c r="X1281" s="93"/>
      <c r="Y1281" s="93"/>
      <c r="Z1281" s="85"/>
      <c r="AA1281" s="85"/>
      <c r="AB1281" s="85"/>
      <c r="AC1281" s="85"/>
      <c r="AD1281" s="85"/>
    </row>
    <row r="1282" spans="16:30" x14ac:dyDescent="0.2">
      <c r="P1282" s="85"/>
      <c r="Q1282" s="91"/>
      <c r="R1282" s="91"/>
      <c r="S1282" s="91"/>
      <c r="T1282" s="92"/>
      <c r="U1282" s="93"/>
      <c r="V1282" s="94"/>
      <c r="W1282" s="94"/>
      <c r="X1282" s="93"/>
      <c r="Y1282" s="93"/>
      <c r="Z1282" s="85"/>
      <c r="AA1282" s="85"/>
      <c r="AB1282" s="85"/>
      <c r="AC1282" s="85"/>
      <c r="AD1282" s="85"/>
    </row>
    <row r="1283" spans="16:30" x14ac:dyDescent="0.2">
      <c r="P1283" s="85"/>
      <c r="Q1283" s="91"/>
      <c r="R1283" s="91"/>
      <c r="S1283" s="91"/>
      <c r="T1283" s="92"/>
      <c r="U1283" s="93"/>
      <c r="V1283" s="94"/>
      <c r="W1283" s="94"/>
      <c r="X1283" s="93"/>
      <c r="Y1283" s="93"/>
      <c r="Z1283" s="85"/>
      <c r="AA1283" s="85"/>
      <c r="AB1283" s="85"/>
      <c r="AC1283" s="85"/>
      <c r="AD1283" s="85"/>
    </row>
    <row r="1284" spans="16:30" x14ac:dyDescent="0.2">
      <c r="P1284" s="85"/>
      <c r="Q1284" s="91"/>
      <c r="R1284" s="91"/>
      <c r="S1284" s="91"/>
      <c r="T1284" s="92"/>
      <c r="U1284" s="93"/>
      <c r="V1284" s="94"/>
      <c r="W1284" s="94"/>
      <c r="X1284" s="93"/>
      <c r="Y1284" s="93"/>
      <c r="Z1284" s="85"/>
      <c r="AA1284" s="85"/>
      <c r="AB1284" s="85"/>
      <c r="AC1284" s="85"/>
      <c r="AD1284" s="85"/>
    </row>
    <row r="1285" spans="16:30" x14ac:dyDescent="0.2">
      <c r="P1285" s="85"/>
      <c r="Q1285" s="91"/>
      <c r="R1285" s="91"/>
      <c r="S1285" s="91"/>
      <c r="T1285" s="92"/>
      <c r="U1285" s="93"/>
      <c r="V1285" s="94"/>
      <c r="W1285" s="94"/>
      <c r="X1285" s="93"/>
      <c r="Y1285" s="93"/>
      <c r="Z1285" s="85"/>
      <c r="AA1285" s="85"/>
      <c r="AB1285" s="85"/>
      <c r="AC1285" s="85"/>
      <c r="AD1285" s="85"/>
    </row>
    <row r="1286" spans="16:30" x14ac:dyDescent="0.2">
      <c r="P1286" s="85"/>
      <c r="Q1286" s="91"/>
      <c r="R1286" s="91"/>
      <c r="S1286" s="91"/>
      <c r="T1286" s="92"/>
      <c r="U1286" s="93"/>
      <c r="V1286" s="94"/>
      <c r="W1286" s="94"/>
      <c r="X1286" s="93"/>
      <c r="Y1286" s="93"/>
      <c r="Z1286" s="85"/>
      <c r="AA1286" s="85"/>
      <c r="AB1286" s="85"/>
      <c r="AC1286" s="85"/>
      <c r="AD1286" s="85"/>
    </row>
    <row r="1287" spans="16:30" x14ac:dyDescent="0.2">
      <c r="P1287" s="85"/>
      <c r="Q1287" s="91"/>
      <c r="R1287" s="91"/>
      <c r="S1287" s="91"/>
      <c r="T1287" s="92"/>
      <c r="U1287" s="93"/>
      <c r="V1287" s="94"/>
      <c r="W1287" s="94"/>
      <c r="X1287" s="93"/>
      <c r="Y1287" s="93"/>
      <c r="Z1287" s="85"/>
      <c r="AA1287" s="85"/>
      <c r="AB1287" s="85"/>
      <c r="AC1287" s="85"/>
      <c r="AD1287" s="85"/>
    </row>
    <row r="1288" spans="16:30" x14ac:dyDescent="0.2">
      <c r="P1288" s="85"/>
      <c r="Q1288" s="91"/>
      <c r="R1288" s="91"/>
      <c r="S1288" s="91"/>
      <c r="T1288" s="92"/>
      <c r="U1288" s="93"/>
      <c r="V1288" s="94"/>
      <c r="W1288" s="94"/>
      <c r="X1288" s="93"/>
      <c r="Y1288" s="93"/>
      <c r="Z1288" s="85"/>
      <c r="AA1288" s="85"/>
      <c r="AB1288" s="85"/>
      <c r="AC1288" s="85"/>
      <c r="AD1288" s="85"/>
    </row>
    <row r="1289" spans="16:30" x14ac:dyDescent="0.2">
      <c r="P1289" s="85"/>
      <c r="Q1289" s="91"/>
      <c r="R1289" s="91"/>
      <c r="S1289" s="91"/>
      <c r="T1289" s="92"/>
      <c r="U1289" s="93"/>
      <c r="V1289" s="94"/>
      <c r="W1289" s="94"/>
      <c r="X1289" s="93"/>
      <c r="Y1289" s="93"/>
      <c r="Z1289" s="85"/>
      <c r="AA1289" s="85"/>
      <c r="AB1289" s="85"/>
      <c r="AC1289" s="85"/>
      <c r="AD1289" s="85"/>
    </row>
    <row r="1290" spans="16:30" x14ac:dyDescent="0.2">
      <c r="P1290" s="85"/>
      <c r="Q1290" s="91"/>
      <c r="R1290" s="91"/>
      <c r="S1290" s="91"/>
      <c r="T1290" s="92"/>
      <c r="U1290" s="93"/>
      <c r="V1290" s="94"/>
      <c r="W1290" s="94"/>
      <c r="X1290" s="93"/>
      <c r="Y1290" s="93"/>
      <c r="Z1290" s="85"/>
      <c r="AA1290" s="85"/>
      <c r="AB1290" s="85"/>
      <c r="AC1290" s="85"/>
      <c r="AD1290" s="85"/>
    </row>
    <row r="1291" spans="16:30" x14ac:dyDescent="0.2">
      <c r="P1291" s="85"/>
      <c r="Q1291" s="91"/>
      <c r="R1291" s="91"/>
      <c r="S1291" s="91"/>
      <c r="T1291" s="92"/>
      <c r="U1291" s="93"/>
      <c r="V1291" s="94"/>
      <c r="W1291" s="94"/>
      <c r="X1291" s="93"/>
      <c r="Y1291" s="93"/>
      <c r="Z1291" s="85"/>
      <c r="AA1291" s="85"/>
      <c r="AB1291" s="85"/>
      <c r="AC1291" s="85"/>
      <c r="AD1291" s="85"/>
    </row>
    <row r="1292" spans="16:30" x14ac:dyDescent="0.2">
      <c r="P1292" s="85"/>
      <c r="Q1292" s="91"/>
      <c r="R1292" s="91"/>
      <c r="S1292" s="91"/>
      <c r="T1292" s="92"/>
      <c r="U1292" s="93"/>
      <c r="V1292" s="94"/>
      <c r="W1292" s="94"/>
      <c r="X1292" s="93"/>
      <c r="Y1292" s="93"/>
      <c r="Z1292" s="85"/>
      <c r="AA1292" s="85"/>
      <c r="AB1292" s="85"/>
      <c r="AC1292" s="85"/>
      <c r="AD1292" s="85"/>
    </row>
    <row r="1293" spans="16:30" x14ac:dyDescent="0.2">
      <c r="P1293" s="85"/>
      <c r="Q1293" s="91"/>
      <c r="R1293" s="91"/>
      <c r="S1293" s="91"/>
      <c r="T1293" s="92"/>
      <c r="U1293" s="93"/>
      <c r="V1293" s="94"/>
      <c r="W1293" s="94"/>
      <c r="X1293" s="93"/>
      <c r="Y1293" s="93"/>
      <c r="Z1293" s="85"/>
      <c r="AA1293" s="85"/>
      <c r="AB1293" s="85"/>
      <c r="AC1293" s="85"/>
      <c r="AD1293" s="85"/>
    </row>
    <row r="1294" spans="16:30" x14ac:dyDescent="0.2">
      <c r="P1294" s="85"/>
      <c r="Q1294" s="91"/>
      <c r="R1294" s="91"/>
      <c r="S1294" s="91"/>
      <c r="T1294" s="92"/>
      <c r="U1294" s="93"/>
      <c r="V1294" s="94"/>
      <c r="W1294" s="94"/>
      <c r="X1294" s="93"/>
      <c r="Y1294" s="93"/>
      <c r="Z1294" s="85"/>
      <c r="AA1294" s="85"/>
      <c r="AB1294" s="85"/>
      <c r="AC1294" s="85"/>
      <c r="AD1294" s="85"/>
    </row>
    <row r="1295" spans="16:30" x14ac:dyDescent="0.2">
      <c r="P1295" s="85"/>
      <c r="Q1295" s="91"/>
      <c r="R1295" s="91"/>
      <c r="S1295" s="91"/>
      <c r="T1295" s="92"/>
      <c r="U1295" s="93"/>
      <c r="V1295" s="94"/>
      <c r="W1295" s="94"/>
      <c r="X1295" s="93"/>
      <c r="Y1295" s="93"/>
      <c r="Z1295" s="85"/>
      <c r="AA1295" s="85"/>
      <c r="AB1295" s="85"/>
      <c r="AC1295" s="85"/>
      <c r="AD1295" s="85"/>
    </row>
    <row r="1296" spans="16:30" x14ac:dyDescent="0.2">
      <c r="P1296" s="85"/>
      <c r="Q1296" s="91"/>
      <c r="R1296" s="91"/>
      <c r="S1296" s="91"/>
      <c r="T1296" s="92"/>
      <c r="U1296" s="93"/>
      <c r="V1296" s="94"/>
      <c r="W1296" s="94"/>
      <c r="X1296" s="93"/>
      <c r="Y1296" s="93"/>
      <c r="Z1296" s="85"/>
      <c r="AA1296" s="85"/>
      <c r="AB1296" s="85"/>
      <c r="AC1296" s="85"/>
      <c r="AD1296" s="85"/>
    </row>
    <row r="1297" spans="16:30" x14ac:dyDescent="0.2">
      <c r="P1297" s="85"/>
      <c r="Q1297" s="91"/>
      <c r="R1297" s="91"/>
      <c r="S1297" s="91"/>
      <c r="T1297" s="92"/>
      <c r="U1297" s="93"/>
      <c r="V1297" s="94"/>
      <c r="W1297" s="94"/>
      <c r="X1297" s="93"/>
      <c r="Y1297" s="93"/>
      <c r="Z1297" s="85"/>
      <c r="AA1297" s="85"/>
      <c r="AB1297" s="85"/>
      <c r="AC1297" s="85"/>
      <c r="AD1297" s="85"/>
    </row>
    <row r="1298" spans="16:30" x14ac:dyDescent="0.2">
      <c r="P1298" s="85"/>
      <c r="Q1298" s="91"/>
      <c r="R1298" s="91"/>
      <c r="S1298" s="91"/>
      <c r="T1298" s="92"/>
      <c r="U1298" s="93"/>
      <c r="V1298" s="94"/>
      <c r="W1298" s="94"/>
      <c r="X1298" s="93"/>
      <c r="Y1298" s="93"/>
      <c r="Z1298" s="85"/>
      <c r="AA1298" s="85"/>
      <c r="AB1298" s="85"/>
      <c r="AC1298" s="85"/>
      <c r="AD1298" s="85"/>
    </row>
    <row r="1299" spans="16:30" x14ac:dyDescent="0.2">
      <c r="P1299" s="85"/>
      <c r="Q1299" s="91"/>
      <c r="R1299" s="91"/>
      <c r="S1299" s="91"/>
      <c r="T1299" s="92"/>
      <c r="U1299" s="93"/>
      <c r="V1299" s="94"/>
      <c r="W1299" s="94"/>
      <c r="X1299" s="93"/>
      <c r="Y1299" s="93"/>
      <c r="Z1299" s="85"/>
      <c r="AA1299" s="85"/>
      <c r="AB1299" s="85"/>
      <c r="AC1299" s="85"/>
      <c r="AD1299" s="85"/>
    </row>
    <row r="1300" spans="16:30" x14ac:dyDescent="0.2">
      <c r="P1300" s="85"/>
      <c r="Q1300" s="91"/>
      <c r="R1300" s="91"/>
      <c r="S1300" s="91"/>
      <c r="T1300" s="92"/>
      <c r="U1300" s="93"/>
      <c r="V1300" s="94"/>
      <c r="W1300" s="94"/>
      <c r="X1300" s="93"/>
      <c r="Y1300" s="93"/>
      <c r="Z1300" s="85"/>
      <c r="AA1300" s="85"/>
      <c r="AB1300" s="85"/>
      <c r="AC1300" s="85"/>
      <c r="AD1300" s="85"/>
    </row>
    <row r="1301" spans="16:30" x14ac:dyDescent="0.2">
      <c r="P1301" s="85"/>
      <c r="Q1301" s="91"/>
      <c r="R1301" s="91"/>
      <c r="S1301" s="91"/>
      <c r="T1301" s="92"/>
      <c r="U1301" s="93"/>
      <c r="V1301" s="94"/>
      <c r="W1301" s="94"/>
      <c r="X1301" s="93"/>
      <c r="Y1301" s="93"/>
      <c r="Z1301" s="85"/>
      <c r="AA1301" s="85"/>
      <c r="AB1301" s="85"/>
      <c r="AC1301" s="85"/>
      <c r="AD1301" s="85"/>
    </row>
    <row r="1302" spans="16:30" x14ac:dyDescent="0.2">
      <c r="P1302" s="85"/>
      <c r="Q1302" s="91"/>
      <c r="R1302" s="91"/>
      <c r="S1302" s="91"/>
      <c r="T1302" s="92"/>
      <c r="U1302" s="93"/>
      <c r="V1302" s="94"/>
      <c r="W1302" s="94"/>
      <c r="X1302" s="93"/>
      <c r="Y1302" s="93"/>
      <c r="Z1302" s="85"/>
      <c r="AA1302" s="85"/>
      <c r="AB1302" s="85"/>
      <c r="AC1302" s="85"/>
      <c r="AD1302" s="85"/>
    </row>
    <row r="1303" spans="16:30" x14ac:dyDescent="0.2">
      <c r="P1303" s="85"/>
      <c r="Q1303" s="91"/>
      <c r="R1303" s="91"/>
      <c r="S1303" s="91"/>
      <c r="T1303" s="92"/>
      <c r="U1303" s="93"/>
      <c r="V1303" s="94"/>
      <c r="W1303" s="94"/>
      <c r="X1303" s="93"/>
      <c r="Y1303" s="93"/>
      <c r="Z1303" s="85"/>
      <c r="AA1303" s="85"/>
      <c r="AB1303" s="85"/>
      <c r="AC1303" s="85"/>
      <c r="AD1303" s="85"/>
    </row>
    <row r="1304" spans="16:30" x14ac:dyDescent="0.2">
      <c r="P1304" s="85"/>
      <c r="Q1304" s="91"/>
      <c r="R1304" s="91"/>
      <c r="S1304" s="91"/>
      <c r="T1304" s="92"/>
      <c r="U1304" s="93"/>
      <c r="V1304" s="94"/>
      <c r="W1304" s="94"/>
      <c r="X1304" s="93"/>
      <c r="Y1304" s="93"/>
      <c r="Z1304" s="85"/>
      <c r="AA1304" s="85"/>
      <c r="AB1304" s="85"/>
      <c r="AC1304" s="85"/>
      <c r="AD1304" s="85"/>
    </row>
    <row r="1305" spans="16:30" x14ac:dyDescent="0.2">
      <c r="P1305" s="85"/>
      <c r="Q1305" s="91"/>
      <c r="R1305" s="91"/>
      <c r="S1305" s="91"/>
      <c r="T1305" s="92"/>
      <c r="U1305" s="93"/>
      <c r="V1305" s="94"/>
      <c r="W1305" s="94"/>
      <c r="X1305" s="93"/>
      <c r="Y1305" s="93"/>
      <c r="Z1305" s="85"/>
      <c r="AA1305" s="85"/>
      <c r="AB1305" s="85"/>
      <c r="AC1305" s="85"/>
      <c r="AD1305" s="85"/>
    </row>
    <row r="1306" spans="16:30" x14ac:dyDescent="0.2">
      <c r="P1306" s="85"/>
      <c r="Q1306" s="91"/>
      <c r="R1306" s="91"/>
      <c r="S1306" s="91"/>
      <c r="T1306" s="92"/>
      <c r="U1306" s="93"/>
      <c r="V1306" s="94"/>
      <c r="W1306" s="94"/>
      <c r="X1306" s="93"/>
      <c r="Y1306" s="93"/>
      <c r="Z1306" s="85"/>
      <c r="AA1306" s="85"/>
      <c r="AB1306" s="85"/>
      <c r="AC1306" s="85"/>
      <c r="AD1306" s="85"/>
    </row>
    <row r="1307" spans="16:30" x14ac:dyDescent="0.2">
      <c r="P1307" s="85"/>
      <c r="Q1307" s="91"/>
      <c r="R1307" s="91"/>
      <c r="S1307" s="91"/>
      <c r="T1307" s="92"/>
      <c r="U1307" s="93"/>
      <c r="V1307" s="94"/>
      <c r="W1307" s="94"/>
      <c r="X1307" s="93"/>
      <c r="Y1307" s="93"/>
      <c r="Z1307" s="85"/>
      <c r="AA1307" s="85"/>
      <c r="AB1307" s="85"/>
      <c r="AC1307" s="85"/>
      <c r="AD1307" s="85"/>
    </row>
    <row r="1308" spans="16:30" x14ac:dyDescent="0.2">
      <c r="P1308" s="85"/>
      <c r="Q1308" s="91"/>
      <c r="R1308" s="91"/>
      <c r="S1308" s="91"/>
      <c r="T1308" s="92"/>
      <c r="U1308" s="93"/>
      <c r="V1308" s="94"/>
      <c r="W1308" s="94"/>
      <c r="X1308" s="93"/>
      <c r="Y1308" s="93"/>
      <c r="Z1308" s="85"/>
      <c r="AA1308" s="85"/>
      <c r="AB1308" s="85"/>
      <c r="AC1308" s="85"/>
      <c r="AD1308" s="85"/>
    </row>
    <row r="1309" spans="16:30" x14ac:dyDescent="0.2">
      <c r="P1309" s="85"/>
      <c r="Q1309" s="91"/>
      <c r="R1309" s="91"/>
      <c r="S1309" s="91"/>
      <c r="T1309" s="92"/>
      <c r="U1309" s="93"/>
      <c r="V1309" s="94"/>
      <c r="W1309" s="94"/>
      <c r="X1309" s="93"/>
      <c r="Y1309" s="93"/>
      <c r="Z1309" s="85"/>
      <c r="AA1309" s="85"/>
      <c r="AB1309" s="85"/>
      <c r="AC1309" s="85"/>
      <c r="AD1309" s="85"/>
    </row>
    <row r="1310" spans="16:30" x14ac:dyDescent="0.2">
      <c r="P1310" s="85"/>
      <c r="Q1310" s="91"/>
      <c r="R1310" s="91"/>
      <c r="S1310" s="91"/>
      <c r="T1310" s="92"/>
      <c r="U1310" s="93"/>
      <c r="V1310" s="94"/>
      <c r="W1310" s="94"/>
      <c r="X1310" s="93"/>
      <c r="Y1310" s="93"/>
      <c r="Z1310" s="85"/>
      <c r="AA1310" s="85"/>
      <c r="AB1310" s="85"/>
      <c r="AC1310" s="85"/>
      <c r="AD1310" s="85"/>
    </row>
    <row r="1311" spans="16:30" x14ac:dyDescent="0.2">
      <c r="P1311" s="85"/>
      <c r="Q1311" s="91"/>
      <c r="R1311" s="91"/>
      <c r="S1311" s="91"/>
      <c r="T1311" s="92"/>
      <c r="U1311" s="93"/>
      <c r="V1311" s="94"/>
      <c r="W1311" s="94"/>
      <c r="X1311" s="93"/>
      <c r="Y1311" s="85"/>
      <c r="Z1311" s="85"/>
      <c r="AA1311" s="85"/>
      <c r="AB1311" s="85"/>
      <c r="AC1311" s="85"/>
      <c r="AD1311" s="85"/>
    </row>
    <row r="1312" spans="16:30" x14ac:dyDescent="0.2">
      <c r="P1312" s="85"/>
      <c r="Q1312" s="91"/>
      <c r="R1312" s="91"/>
      <c r="S1312" s="91"/>
      <c r="T1312" s="92"/>
      <c r="U1312" s="93"/>
      <c r="V1312" s="94"/>
      <c r="W1312" s="94"/>
      <c r="X1312" s="93"/>
      <c r="Y1312" s="85"/>
      <c r="Z1312" s="85"/>
      <c r="AA1312" s="85"/>
      <c r="AB1312" s="85"/>
      <c r="AC1312" s="85"/>
      <c r="AD1312" s="85"/>
    </row>
    <row r="1313" spans="16:30" x14ac:dyDescent="0.2">
      <c r="P1313" s="85"/>
      <c r="Q1313" s="91"/>
      <c r="R1313" s="91"/>
      <c r="S1313" s="91"/>
      <c r="T1313" s="92"/>
      <c r="U1313" s="93"/>
      <c r="V1313" s="94"/>
      <c r="W1313" s="94"/>
      <c r="X1313" s="93"/>
      <c r="Y1313" s="85"/>
      <c r="Z1313" s="85"/>
      <c r="AA1313" s="85"/>
      <c r="AB1313" s="85"/>
      <c r="AC1313" s="85"/>
      <c r="AD1313" s="85"/>
    </row>
    <row r="1314" spans="16:30" x14ac:dyDescent="0.2">
      <c r="P1314" s="85"/>
      <c r="Q1314" s="91"/>
      <c r="R1314" s="91"/>
      <c r="S1314" s="91"/>
      <c r="T1314" s="92"/>
      <c r="U1314" s="93"/>
      <c r="V1314" s="94"/>
      <c r="W1314" s="94"/>
      <c r="X1314" s="93"/>
      <c r="Y1314" s="85"/>
      <c r="Z1314" s="85"/>
      <c r="AA1314" s="85"/>
      <c r="AB1314" s="85"/>
      <c r="AC1314" s="85"/>
      <c r="AD1314" s="85"/>
    </row>
    <row r="1315" spans="16:30" x14ac:dyDescent="0.2">
      <c r="P1315" s="85"/>
      <c r="Q1315" s="91"/>
      <c r="R1315" s="91"/>
      <c r="S1315" s="91"/>
      <c r="T1315" s="92"/>
      <c r="U1315" s="93"/>
      <c r="V1315" s="94"/>
      <c r="W1315" s="94"/>
      <c r="X1315" s="93"/>
      <c r="Y1315" s="85"/>
      <c r="Z1315" s="85"/>
      <c r="AA1315" s="85"/>
      <c r="AB1315" s="85"/>
      <c r="AC1315" s="85"/>
      <c r="AD1315" s="85"/>
    </row>
    <row r="1316" spans="16:30" x14ac:dyDescent="0.2">
      <c r="P1316" s="85"/>
      <c r="Q1316" s="91"/>
      <c r="R1316" s="91"/>
      <c r="S1316" s="91"/>
      <c r="T1316" s="92"/>
      <c r="U1316" s="93"/>
      <c r="V1316" s="94"/>
      <c r="W1316" s="94"/>
      <c r="X1316" s="93"/>
      <c r="Y1316" s="85"/>
      <c r="Z1316" s="85"/>
      <c r="AA1316" s="85"/>
      <c r="AB1316" s="85"/>
      <c r="AC1316" s="85"/>
      <c r="AD1316" s="85"/>
    </row>
    <row r="1317" spans="16:30" x14ac:dyDescent="0.2">
      <c r="P1317" s="85"/>
      <c r="Q1317" s="91"/>
      <c r="R1317" s="91"/>
      <c r="S1317" s="91"/>
      <c r="T1317" s="92"/>
      <c r="U1317" s="93"/>
      <c r="V1317" s="94"/>
      <c r="W1317" s="94"/>
      <c r="X1317" s="93"/>
      <c r="Y1317" s="85"/>
      <c r="Z1317" s="85"/>
      <c r="AA1317" s="85"/>
      <c r="AB1317" s="85"/>
      <c r="AC1317" s="85"/>
      <c r="AD1317" s="85"/>
    </row>
    <row r="1318" spans="16:30" x14ac:dyDescent="0.2">
      <c r="P1318" s="85"/>
      <c r="Q1318" s="91"/>
      <c r="R1318" s="91"/>
      <c r="S1318" s="91"/>
      <c r="T1318" s="92"/>
      <c r="U1318" s="93"/>
      <c r="V1318" s="94"/>
      <c r="W1318" s="94"/>
      <c r="X1318" s="93"/>
      <c r="Y1318" s="85"/>
      <c r="Z1318" s="85"/>
      <c r="AA1318" s="85"/>
      <c r="AB1318" s="85"/>
      <c r="AC1318" s="85"/>
      <c r="AD1318" s="85"/>
    </row>
    <row r="1319" spans="16:30" x14ac:dyDescent="0.2">
      <c r="P1319" s="85"/>
      <c r="Q1319" s="91"/>
      <c r="R1319" s="91"/>
      <c r="S1319" s="91"/>
      <c r="T1319" s="92"/>
      <c r="U1319" s="93"/>
      <c r="V1319" s="94"/>
      <c r="W1319" s="94"/>
      <c r="X1319" s="93"/>
      <c r="Y1319" s="85"/>
      <c r="Z1319" s="85"/>
      <c r="AA1319" s="85"/>
      <c r="AB1319" s="85"/>
      <c r="AC1319" s="85"/>
      <c r="AD1319" s="85"/>
    </row>
    <row r="1320" spans="16:30" x14ac:dyDescent="0.2">
      <c r="P1320" s="85"/>
      <c r="Q1320" s="91"/>
      <c r="R1320" s="91"/>
      <c r="S1320" s="91"/>
      <c r="T1320" s="92"/>
      <c r="U1320" s="93"/>
      <c r="V1320" s="94"/>
      <c r="W1320" s="94"/>
      <c r="X1320" s="93"/>
      <c r="Y1320" s="85"/>
      <c r="Z1320" s="85"/>
      <c r="AA1320" s="85"/>
      <c r="AB1320" s="85"/>
      <c r="AC1320" s="85"/>
      <c r="AD1320" s="85"/>
    </row>
    <row r="1321" spans="16:30" x14ac:dyDescent="0.2">
      <c r="P1321" s="85"/>
      <c r="Q1321" s="91"/>
      <c r="R1321" s="91"/>
      <c r="S1321" s="91"/>
      <c r="T1321" s="92"/>
      <c r="U1321" s="93"/>
      <c r="V1321" s="94"/>
      <c r="W1321" s="94"/>
      <c r="X1321" s="93"/>
      <c r="Y1321" s="85"/>
      <c r="Z1321" s="85"/>
      <c r="AA1321" s="85"/>
      <c r="AB1321" s="85"/>
      <c r="AC1321" s="85"/>
      <c r="AD1321" s="85"/>
    </row>
    <row r="1322" spans="16:30" x14ac:dyDescent="0.2">
      <c r="P1322" s="85"/>
      <c r="Q1322" s="91"/>
      <c r="R1322" s="91"/>
      <c r="S1322" s="91"/>
      <c r="T1322" s="92"/>
      <c r="U1322" s="93"/>
      <c r="V1322" s="94"/>
      <c r="W1322" s="94"/>
      <c r="X1322" s="93"/>
      <c r="Y1322" s="85"/>
      <c r="Z1322" s="85"/>
      <c r="AA1322" s="85"/>
      <c r="AB1322" s="85"/>
      <c r="AC1322" s="85"/>
      <c r="AD1322" s="85"/>
    </row>
    <row r="1323" spans="16:30" x14ac:dyDescent="0.2">
      <c r="P1323" s="85"/>
      <c r="Q1323" s="91"/>
      <c r="R1323" s="91"/>
      <c r="S1323" s="91"/>
      <c r="T1323" s="92"/>
      <c r="U1323" s="93"/>
      <c r="V1323" s="94"/>
      <c r="W1323" s="94"/>
      <c r="X1323" s="93"/>
      <c r="Y1323" s="85"/>
      <c r="Z1323" s="85"/>
      <c r="AA1323" s="85"/>
      <c r="AB1323" s="85"/>
      <c r="AC1323" s="85"/>
      <c r="AD1323" s="85"/>
    </row>
    <row r="1324" spans="16:30" x14ac:dyDescent="0.2">
      <c r="P1324" s="85"/>
      <c r="Q1324" s="91"/>
      <c r="R1324" s="91"/>
      <c r="S1324" s="91"/>
      <c r="T1324" s="92"/>
      <c r="U1324" s="93"/>
      <c r="V1324" s="94"/>
      <c r="W1324" s="94"/>
      <c r="X1324" s="93"/>
      <c r="Y1324" s="85"/>
      <c r="Z1324" s="85"/>
      <c r="AA1324" s="85"/>
      <c r="AB1324" s="85"/>
      <c r="AC1324" s="85"/>
      <c r="AD1324" s="85"/>
    </row>
    <row r="1325" spans="16:30" x14ac:dyDescent="0.2">
      <c r="P1325" s="85"/>
      <c r="Q1325" s="91"/>
      <c r="R1325" s="91"/>
      <c r="S1325" s="91"/>
      <c r="T1325" s="92"/>
      <c r="U1325" s="93"/>
      <c r="V1325" s="94"/>
      <c r="W1325" s="94"/>
      <c r="X1325" s="93"/>
      <c r="Y1325" s="85"/>
      <c r="Z1325" s="85"/>
      <c r="AA1325" s="85"/>
      <c r="AB1325" s="85"/>
      <c r="AC1325" s="85"/>
      <c r="AD1325" s="85"/>
    </row>
    <row r="1326" spans="16:30" x14ac:dyDescent="0.2">
      <c r="P1326" s="85"/>
      <c r="Q1326" s="91"/>
      <c r="R1326" s="91"/>
      <c r="S1326" s="91"/>
      <c r="T1326" s="92"/>
      <c r="U1326" s="93"/>
      <c r="V1326" s="94"/>
      <c r="W1326" s="94"/>
      <c r="X1326" s="93"/>
      <c r="Y1326" s="85"/>
      <c r="Z1326" s="85"/>
      <c r="AA1326" s="85"/>
      <c r="AB1326" s="85"/>
      <c r="AC1326" s="85"/>
      <c r="AD1326" s="85"/>
    </row>
    <row r="1327" spans="16:30" x14ac:dyDescent="0.2">
      <c r="P1327" s="85"/>
      <c r="Q1327" s="91"/>
      <c r="R1327" s="91"/>
      <c r="S1327" s="91"/>
      <c r="T1327" s="92"/>
      <c r="U1327" s="93"/>
      <c r="V1327" s="94"/>
      <c r="W1327" s="94"/>
      <c r="X1327" s="93"/>
      <c r="Y1327" s="85"/>
      <c r="Z1327" s="85"/>
      <c r="AA1327" s="85"/>
      <c r="AB1327" s="85"/>
      <c r="AC1327" s="85"/>
      <c r="AD1327" s="85"/>
    </row>
    <row r="1328" spans="16:30" x14ac:dyDescent="0.2">
      <c r="P1328" s="85"/>
      <c r="Q1328" s="91"/>
      <c r="R1328" s="91"/>
      <c r="S1328" s="91"/>
      <c r="T1328" s="92"/>
      <c r="U1328" s="93"/>
      <c r="V1328" s="94"/>
      <c r="W1328" s="94"/>
      <c r="X1328" s="93"/>
      <c r="Y1328" s="85"/>
      <c r="Z1328" s="85"/>
      <c r="AA1328" s="85"/>
      <c r="AB1328" s="85"/>
      <c r="AC1328" s="85"/>
      <c r="AD1328" s="85"/>
    </row>
    <row r="1329" spans="16:30" x14ac:dyDescent="0.2">
      <c r="P1329" s="85"/>
      <c r="Q1329" s="91"/>
      <c r="R1329" s="91"/>
      <c r="S1329" s="91"/>
      <c r="T1329" s="92"/>
      <c r="U1329" s="93"/>
      <c r="V1329" s="94"/>
      <c r="W1329" s="94"/>
      <c r="X1329" s="93"/>
      <c r="Y1329" s="85"/>
      <c r="Z1329" s="85"/>
      <c r="AA1329" s="85"/>
      <c r="AB1329" s="85"/>
      <c r="AC1329" s="85"/>
      <c r="AD1329" s="85"/>
    </row>
    <row r="1330" spans="16:30" x14ac:dyDescent="0.2">
      <c r="P1330" s="85"/>
      <c r="Q1330" s="91"/>
      <c r="R1330" s="91"/>
      <c r="S1330" s="91"/>
      <c r="T1330" s="92"/>
      <c r="U1330" s="93"/>
      <c r="V1330" s="94"/>
      <c r="W1330" s="94"/>
      <c r="X1330" s="93"/>
      <c r="Y1330" s="85"/>
      <c r="Z1330" s="85"/>
      <c r="AA1330" s="85"/>
      <c r="AB1330" s="85"/>
      <c r="AC1330" s="85"/>
      <c r="AD1330" s="85"/>
    </row>
    <row r="1331" spans="16:30" x14ac:dyDescent="0.2">
      <c r="P1331" s="85"/>
      <c r="Q1331" s="91"/>
      <c r="R1331" s="91"/>
      <c r="S1331" s="91"/>
      <c r="T1331" s="92"/>
      <c r="U1331" s="93"/>
      <c r="V1331" s="94"/>
      <c r="W1331" s="94"/>
      <c r="X1331" s="93"/>
      <c r="Y1331" s="85"/>
      <c r="Z1331" s="85"/>
      <c r="AA1331" s="85"/>
      <c r="AB1331" s="85"/>
      <c r="AC1331" s="85"/>
      <c r="AD1331" s="85"/>
    </row>
    <row r="1332" spans="16:30" x14ac:dyDescent="0.2">
      <c r="P1332" s="85"/>
      <c r="Q1332" s="91"/>
      <c r="R1332" s="91"/>
      <c r="S1332" s="91"/>
      <c r="T1332" s="92"/>
      <c r="U1332" s="93"/>
      <c r="V1332" s="94"/>
      <c r="W1332" s="94"/>
      <c r="X1332" s="93"/>
      <c r="Y1332" s="85"/>
      <c r="Z1332" s="85"/>
      <c r="AA1332" s="85"/>
      <c r="AB1332" s="85"/>
      <c r="AC1332" s="85"/>
      <c r="AD1332" s="85"/>
    </row>
    <row r="1333" spans="16:30" x14ac:dyDescent="0.2">
      <c r="P1333" s="85"/>
      <c r="Q1333" s="91"/>
      <c r="R1333" s="91"/>
      <c r="S1333" s="91"/>
      <c r="T1333" s="92"/>
      <c r="U1333" s="93"/>
      <c r="V1333" s="94"/>
      <c r="W1333" s="94"/>
      <c r="X1333" s="93"/>
      <c r="Y1333" s="85"/>
      <c r="Z1333" s="85"/>
      <c r="AA1333" s="85"/>
      <c r="AB1333" s="85"/>
      <c r="AC1333" s="85"/>
      <c r="AD1333" s="85"/>
    </row>
    <row r="1334" spans="16:30" x14ac:dyDescent="0.2">
      <c r="P1334" s="85"/>
      <c r="Q1334" s="91"/>
      <c r="R1334" s="91"/>
      <c r="S1334" s="91"/>
      <c r="T1334" s="92"/>
      <c r="U1334" s="93"/>
      <c r="V1334" s="94"/>
      <c r="W1334" s="94"/>
      <c r="X1334" s="93"/>
      <c r="Y1334" s="85"/>
      <c r="Z1334" s="85"/>
      <c r="AA1334" s="85"/>
      <c r="AB1334" s="85"/>
      <c r="AC1334" s="85"/>
      <c r="AD1334" s="85"/>
    </row>
    <row r="1335" spans="16:30" x14ac:dyDescent="0.2">
      <c r="P1335" s="85"/>
      <c r="Q1335" s="91"/>
      <c r="R1335" s="91"/>
      <c r="S1335" s="91"/>
      <c r="T1335" s="92"/>
      <c r="U1335" s="93"/>
      <c r="V1335" s="94"/>
      <c r="W1335" s="94"/>
      <c r="X1335" s="93"/>
      <c r="Y1335" s="85"/>
      <c r="Z1335" s="85"/>
      <c r="AA1335" s="85"/>
      <c r="AB1335" s="85"/>
      <c r="AC1335" s="85"/>
      <c r="AD1335" s="85"/>
    </row>
    <row r="1336" spans="16:30" x14ac:dyDescent="0.2">
      <c r="P1336" s="85"/>
      <c r="Q1336" s="91"/>
      <c r="R1336" s="91"/>
      <c r="S1336" s="91"/>
      <c r="T1336" s="92"/>
      <c r="U1336" s="93"/>
      <c r="V1336" s="94"/>
      <c r="W1336" s="94"/>
      <c r="X1336" s="93"/>
      <c r="Y1336" s="85"/>
      <c r="Z1336" s="85"/>
      <c r="AA1336" s="85"/>
      <c r="AB1336" s="85"/>
      <c r="AC1336" s="85"/>
      <c r="AD1336" s="85"/>
    </row>
    <row r="1337" spans="16:30" x14ac:dyDescent="0.2">
      <c r="P1337" s="85"/>
      <c r="Q1337" s="91"/>
      <c r="R1337" s="91"/>
      <c r="S1337" s="91"/>
      <c r="T1337" s="92"/>
      <c r="U1337" s="93"/>
      <c r="V1337" s="94"/>
      <c r="W1337" s="94"/>
      <c r="X1337" s="93"/>
      <c r="Y1337" s="85"/>
      <c r="Z1337" s="85"/>
      <c r="AA1337" s="85"/>
      <c r="AB1337" s="85"/>
      <c r="AC1337" s="85"/>
      <c r="AD1337" s="85"/>
    </row>
    <row r="1338" spans="16:30" x14ac:dyDescent="0.2">
      <c r="P1338" s="85"/>
      <c r="Q1338" s="91"/>
      <c r="R1338" s="91"/>
      <c r="S1338" s="91"/>
      <c r="T1338" s="92"/>
      <c r="U1338" s="93"/>
      <c r="V1338" s="94"/>
      <c r="W1338" s="94"/>
      <c r="X1338" s="93"/>
      <c r="Y1338" s="85"/>
      <c r="Z1338" s="85"/>
      <c r="AA1338" s="85"/>
      <c r="AB1338" s="85"/>
      <c r="AC1338" s="85"/>
      <c r="AD1338" s="85"/>
    </row>
    <row r="1339" spans="16:30" x14ac:dyDescent="0.2">
      <c r="P1339" s="85"/>
      <c r="Q1339" s="91"/>
      <c r="R1339" s="91"/>
      <c r="S1339" s="91"/>
      <c r="T1339" s="92"/>
      <c r="U1339" s="93"/>
      <c r="V1339" s="94"/>
      <c r="W1339" s="94"/>
      <c r="X1339" s="93"/>
      <c r="Y1339" s="85"/>
      <c r="Z1339" s="85"/>
      <c r="AA1339" s="85"/>
      <c r="AB1339" s="85"/>
      <c r="AC1339" s="85"/>
      <c r="AD1339" s="85"/>
    </row>
    <row r="1340" spans="16:30" x14ac:dyDescent="0.2">
      <c r="P1340" s="85"/>
      <c r="Q1340" s="91"/>
      <c r="R1340" s="91"/>
      <c r="S1340" s="91"/>
      <c r="T1340" s="92"/>
      <c r="U1340" s="93"/>
      <c r="V1340" s="94"/>
      <c r="W1340" s="94"/>
      <c r="X1340" s="93"/>
      <c r="Y1340" s="85"/>
      <c r="Z1340" s="85"/>
      <c r="AA1340" s="85"/>
      <c r="AB1340" s="85"/>
      <c r="AC1340" s="85"/>
      <c r="AD1340" s="85"/>
    </row>
    <row r="1341" spans="16:30" x14ac:dyDescent="0.2">
      <c r="P1341" s="85"/>
      <c r="Q1341" s="91"/>
      <c r="R1341" s="91"/>
      <c r="S1341" s="91"/>
      <c r="T1341" s="92"/>
      <c r="U1341" s="93"/>
      <c r="V1341" s="94"/>
      <c r="W1341" s="94"/>
      <c r="X1341" s="93"/>
      <c r="Y1341" s="85"/>
      <c r="Z1341" s="85"/>
      <c r="AA1341" s="85"/>
      <c r="AB1341" s="85"/>
      <c r="AC1341" s="85"/>
      <c r="AD1341" s="85"/>
    </row>
    <row r="1342" spans="16:30" x14ac:dyDescent="0.2">
      <c r="P1342" s="85"/>
      <c r="Q1342" s="91"/>
      <c r="R1342" s="91"/>
      <c r="S1342" s="91"/>
      <c r="T1342" s="92"/>
      <c r="U1342" s="93"/>
      <c r="V1342" s="94"/>
      <c r="W1342" s="94"/>
      <c r="X1342" s="93"/>
      <c r="Y1342" s="85"/>
      <c r="Z1342" s="85"/>
      <c r="AA1342" s="85"/>
      <c r="AB1342" s="85"/>
      <c r="AC1342" s="85"/>
      <c r="AD1342" s="85"/>
    </row>
    <row r="1343" spans="16:30" x14ac:dyDescent="0.2">
      <c r="P1343" s="85"/>
      <c r="Q1343" s="91"/>
      <c r="R1343" s="91"/>
      <c r="S1343" s="91"/>
      <c r="T1343" s="92"/>
      <c r="U1343" s="93"/>
      <c r="V1343" s="94"/>
      <c r="W1343" s="94"/>
      <c r="X1343" s="93"/>
      <c r="Y1343" s="85"/>
      <c r="Z1343" s="85"/>
      <c r="AA1343" s="85"/>
      <c r="AB1343" s="85"/>
      <c r="AC1343" s="85"/>
      <c r="AD1343" s="85"/>
    </row>
    <row r="1344" spans="16:30" x14ac:dyDescent="0.2">
      <c r="P1344" s="85"/>
      <c r="Q1344" s="91"/>
      <c r="R1344" s="91"/>
      <c r="S1344" s="91"/>
      <c r="T1344" s="92"/>
      <c r="U1344" s="93"/>
      <c r="V1344" s="94"/>
      <c r="W1344" s="94"/>
      <c r="X1344" s="93"/>
      <c r="Y1344" s="85"/>
      <c r="Z1344" s="85"/>
      <c r="AA1344" s="85"/>
      <c r="AB1344" s="85"/>
      <c r="AC1344" s="85"/>
      <c r="AD1344" s="85"/>
    </row>
    <row r="1345" spans="16:30" x14ac:dyDescent="0.2">
      <c r="P1345" s="85"/>
      <c r="Q1345" s="91"/>
      <c r="R1345" s="91"/>
      <c r="S1345" s="91"/>
      <c r="T1345" s="92"/>
      <c r="U1345" s="93"/>
      <c r="V1345" s="94"/>
      <c r="W1345" s="94"/>
      <c r="X1345" s="93"/>
      <c r="Y1345" s="85"/>
      <c r="Z1345" s="85"/>
      <c r="AA1345" s="85"/>
      <c r="AB1345" s="85"/>
      <c r="AC1345" s="85"/>
      <c r="AD1345" s="85"/>
    </row>
    <row r="1346" spans="16:30" x14ac:dyDescent="0.2">
      <c r="P1346" s="85"/>
      <c r="Q1346" s="91"/>
      <c r="R1346" s="91"/>
      <c r="S1346" s="91"/>
      <c r="T1346" s="92"/>
      <c r="U1346" s="93"/>
      <c r="V1346" s="94"/>
      <c r="W1346" s="94"/>
      <c r="X1346" s="93"/>
      <c r="Y1346" s="85"/>
      <c r="Z1346" s="85"/>
      <c r="AA1346" s="85"/>
      <c r="AB1346" s="85"/>
      <c r="AC1346" s="85"/>
      <c r="AD1346" s="85"/>
    </row>
    <row r="1347" spans="16:30" x14ac:dyDescent="0.2">
      <c r="P1347" s="85"/>
      <c r="Q1347" s="91"/>
      <c r="R1347" s="91"/>
      <c r="S1347" s="91"/>
      <c r="T1347" s="92"/>
      <c r="U1347" s="93"/>
      <c r="V1347" s="94"/>
      <c r="W1347" s="94"/>
      <c r="X1347" s="93"/>
      <c r="Y1347" s="85"/>
      <c r="Z1347" s="85"/>
      <c r="AA1347" s="85"/>
      <c r="AB1347" s="85"/>
      <c r="AC1347" s="85"/>
      <c r="AD1347" s="85"/>
    </row>
    <row r="1348" spans="16:30" x14ac:dyDescent="0.2">
      <c r="P1348" s="85"/>
      <c r="Q1348" s="91"/>
      <c r="R1348" s="91"/>
      <c r="S1348" s="91"/>
      <c r="T1348" s="92"/>
      <c r="U1348" s="93"/>
      <c r="V1348" s="94"/>
      <c r="W1348" s="94"/>
      <c r="X1348" s="93"/>
      <c r="Y1348" s="85"/>
      <c r="Z1348" s="85"/>
      <c r="AA1348" s="85"/>
      <c r="AB1348" s="85"/>
      <c r="AC1348" s="85"/>
      <c r="AD1348" s="85"/>
    </row>
    <row r="1349" spans="16:30" x14ac:dyDescent="0.2">
      <c r="P1349" s="85"/>
      <c r="Q1349" s="91"/>
      <c r="R1349" s="91"/>
      <c r="S1349" s="91"/>
      <c r="T1349" s="92"/>
      <c r="U1349" s="93"/>
      <c r="V1349" s="94"/>
      <c r="W1349" s="94"/>
      <c r="X1349" s="93"/>
      <c r="Y1349" s="85"/>
      <c r="Z1349" s="85"/>
      <c r="AA1349" s="85"/>
      <c r="AB1349" s="85"/>
      <c r="AC1349" s="85"/>
      <c r="AD1349" s="85"/>
    </row>
    <row r="1350" spans="16:30" x14ac:dyDescent="0.2">
      <c r="P1350" s="85"/>
      <c r="Q1350" s="91"/>
      <c r="R1350" s="91"/>
      <c r="S1350" s="91"/>
      <c r="T1350" s="92"/>
      <c r="U1350" s="93"/>
      <c r="V1350" s="94"/>
      <c r="W1350" s="94"/>
      <c r="X1350" s="93"/>
      <c r="Y1350" s="85"/>
      <c r="Z1350" s="85"/>
      <c r="AA1350" s="85"/>
      <c r="AB1350" s="85"/>
      <c r="AC1350" s="85"/>
      <c r="AD1350" s="85"/>
    </row>
    <row r="1351" spans="16:30" x14ac:dyDescent="0.2">
      <c r="P1351" s="85"/>
      <c r="Q1351" s="91"/>
      <c r="R1351" s="91"/>
      <c r="S1351" s="91"/>
      <c r="T1351" s="92"/>
      <c r="U1351" s="93"/>
      <c r="V1351" s="94"/>
      <c r="W1351" s="94"/>
      <c r="X1351" s="93"/>
      <c r="Y1351" s="85"/>
      <c r="Z1351" s="85"/>
      <c r="AA1351" s="85"/>
      <c r="AB1351" s="85"/>
      <c r="AC1351" s="85"/>
      <c r="AD1351" s="85"/>
    </row>
    <row r="1352" spans="16:30" x14ac:dyDescent="0.2">
      <c r="P1352" s="85"/>
      <c r="Q1352" s="91"/>
      <c r="R1352" s="91"/>
      <c r="S1352" s="91"/>
      <c r="T1352" s="92"/>
      <c r="U1352" s="93"/>
      <c r="V1352" s="94"/>
      <c r="W1352" s="94"/>
      <c r="X1352" s="93"/>
      <c r="Y1352" s="85"/>
      <c r="Z1352" s="85"/>
      <c r="AA1352" s="85"/>
      <c r="AB1352" s="85"/>
      <c r="AC1352" s="85"/>
      <c r="AD1352" s="85"/>
    </row>
    <row r="1353" spans="16:30" x14ac:dyDescent="0.2">
      <c r="P1353" s="85"/>
      <c r="Q1353" s="91"/>
      <c r="R1353" s="91"/>
      <c r="S1353" s="91"/>
      <c r="T1353" s="92"/>
      <c r="U1353" s="93"/>
      <c r="V1353" s="94"/>
      <c r="W1353" s="94"/>
      <c r="X1353" s="93"/>
      <c r="Y1353" s="85"/>
      <c r="Z1353" s="85"/>
      <c r="AA1353" s="85"/>
      <c r="AB1353" s="85"/>
      <c r="AC1353" s="85"/>
      <c r="AD1353" s="85"/>
    </row>
    <row r="1354" spans="16:30" x14ac:dyDescent="0.2">
      <c r="P1354" s="85"/>
      <c r="Q1354" s="91"/>
      <c r="R1354" s="91"/>
      <c r="S1354" s="91"/>
      <c r="T1354" s="92"/>
      <c r="U1354" s="93"/>
      <c r="V1354" s="94"/>
      <c r="W1354" s="94"/>
      <c r="X1354" s="93"/>
      <c r="Y1354" s="85"/>
      <c r="Z1354" s="85"/>
      <c r="AA1354" s="85"/>
      <c r="AB1354" s="85"/>
      <c r="AC1354" s="85"/>
      <c r="AD1354" s="85"/>
    </row>
    <row r="1355" spans="16:30" x14ac:dyDescent="0.2">
      <c r="P1355" s="85"/>
      <c r="Q1355" s="91"/>
      <c r="R1355" s="91"/>
      <c r="S1355" s="91"/>
      <c r="T1355" s="92"/>
      <c r="U1355" s="93"/>
      <c r="V1355" s="94"/>
      <c r="W1355" s="94"/>
      <c r="X1355" s="93"/>
      <c r="Y1355" s="85"/>
      <c r="Z1355" s="85"/>
      <c r="AA1355" s="85"/>
      <c r="AB1355" s="85"/>
      <c r="AC1355" s="85"/>
      <c r="AD1355" s="85"/>
    </row>
    <row r="1356" spans="16:30" x14ac:dyDescent="0.2">
      <c r="P1356" s="85"/>
      <c r="Q1356" s="91"/>
      <c r="R1356" s="91"/>
      <c r="S1356" s="91"/>
      <c r="T1356" s="92"/>
      <c r="U1356" s="93"/>
      <c r="V1356" s="94"/>
      <c r="W1356" s="94"/>
      <c r="X1356" s="93"/>
      <c r="Y1356" s="85"/>
      <c r="Z1356" s="85"/>
      <c r="AA1356" s="85"/>
      <c r="AB1356" s="85"/>
      <c r="AC1356" s="85"/>
      <c r="AD1356" s="85"/>
    </row>
    <row r="1357" spans="16:30" x14ac:dyDescent="0.2">
      <c r="P1357" s="85"/>
      <c r="Q1357" s="91"/>
      <c r="R1357" s="91"/>
      <c r="S1357" s="91"/>
      <c r="T1357" s="92"/>
      <c r="U1357" s="93"/>
      <c r="V1357" s="94"/>
      <c r="W1357" s="94"/>
      <c r="X1357" s="93"/>
      <c r="Y1357" s="85"/>
      <c r="Z1357" s="85"/>
      <c r="AA1357" s="85"/>
      <c r="AB1357" s="85"/>
      <c r="AC1357" s="85"/>
      <c r="AD1357" s="85"/>
    </row>
    <row r="1358" spans="16:30" x14ac:dyDescent="0.2">
      <c r="P1358" s="85"/>
      <c r="Q1358" s="91"/>
      <c r="R1358" s="91"/>
      <c r="S1358" s="91"/>
      <c r="T1358" s="92"/>
      <c r="U1358" s="93"/>
      <c r="V1358" s="94"/>
      <c r="W1358" s="94"/>
      <c r="X1358" s="93"/>
      <c r="Y1358" s="85"/>
      <c r="Z1358" s="85"/>
      <c r="AA1358" s="85"/>
      <c r="AB1358" s="85"/>
      <c r="AC1358" s="85"/>
      <c r="AD1358" s="85"/>
    </row>
    <row r="1359" spans="16:30" x14ac:dyDescent="0.2">
      <c r="P1359" s="85"/>
      <c r="Q1359" s="91"/>
      <c r="R1359" s="91"/>
      <c r="S1359" s="91"/>
      <c r="T1359" s="92"/>
      <c r="U1359" s="93"/>
      <c r="V1359" s="94"/>
      <c r="W1359" s="94"/>
      <c r="X1359" s="93"/>
      <c r="Y1359" s="85"/>
      <c r="Z1359" s="85"/>
      <c r="AA1359" s="85"/>
      <c r="AB1359" s="85"/>
      <c r="AC1359" s="85"/>
      <c r="AD1359" s="85"/>
    </row>
    <row r="1360" spans="16:30" x14ac:dyDescent="0.2">
      <c r="P1360" s="85"/>
      <c r="Q1360" s="91"/>
      <c r="R1360" s="91"/>
      <c r="S1360" s="91"/>
      <c r="T1360" s="92"/>
      <c r="U1360" s="93"/>
      <c r="V1360" s="94"/>
      <c r="W1360" s="94"/>
      <c r="X1360" s="93"/>
      <c r="Y1360" s="85"/>
      <c r="Z1360" s="85"/>
      <c r="AA1360" s="85"/>
      <c r="AB1360" s="85"/>
      <c r="AC1360" s="85"/>
      <c r="AD1360" s="85"/>
    </row>
    <row r="1361" spans="16:30" x14ac:dyDescent="0.2">
      <c r="P1361" s="85"/>
      <c r="Q1361" s="91"/>
      <c r="R1361" s="91"/>
      <c r="S1361" s="91"/>
      <c r="T1361" s="92"/>
      <c r="U1361" s="93"/>
      <c r="V1361" s="94"/>
      <c r="W1361" s="94"/>
      <c r="X1361" s="93"/>
      <c r="Y1361" s="85"/>
      <c r="Z1361" s="85"/>
      <c r="AA1361" s="85"/>
      <c r="AB1361" s="85"/>
      <c r="AC1361" s="85"/>
      <c r="AD1361" s="85"/>
    </row>
    <row r="1362" spans="16:30" x14ac:dyDescent="0.2">
      <c r="P1362" s="85"/>
      <c r="Q1362" s="91"/>
      <c r="R1362" s="91"/>
      <c r="S1362" s="91"/>
      <c r="T1362" s="92"/>
      <c r="U1362" s="93"/>
      <c r="V1362" s="94"/>
      <c r="W1362" s="94"/>
      <c r="X1362" s="93"/>
      <c r="Y1362" s="85"/>
      <c r="Z1362" s="85"/>
      <c r="AA1362" s="85"/>
      <c r="AB1362" s="85"/>
      <c r="AC1362" s="85"/>
      <c r="AD1362" s="85"/>
    </row>
    <row r="1363" spans="16:30" x14ac:dyDescent="0.2">
      <c r="P1363" s="85"/>
      <c r="Q1363" s="91"/>
      <c r="R1363" s="91"/>
      <c r="S1363" s="91"/>
      <c r="T1363" s="92"/>
      <c r="U1363" s="93"/>
      <c r="V1363" s="94"/>
      <c r="W1363" s="94"/>
      <c r="X1363" s="93"/>
      <c r="Y1363" s="85"/>
      <c r="Z1363" s="85"/>
      <c r="AA1363" s="85"/>
      <c r="AB1363" s="85"/>
      <c r="AC1363" s="85"/>
      <c r="AD1363" s="85"/>
    </row>
    <row r="1364" spans="16:30" x14ac:dyDescent="0.2">
      <c r="P1364" s="85"/>
      <c r="Q1364" s="91"/>
      <c r="R1364" s="91"/>
      <c r="S1364" s="91"/>
      <c r="T1364" s="92"/>
      <c r="U1364" s="93"/>
      <c r="V1364" s="94"/>
      <c r="W1364" s="94"/>
      <c r="X1364" s="93"/>
      <c r="Y1364" s="85"/>
      <c r="Z1364" s="85"/>
      <c r="AA1364" s="85"/>
      <c r="AB1364" s="85"/>
      <c r="AC1364" s="85"/>
      <c r="AD1364" s="85"/>
    </row>
    <row r="1365" spans="16:30" x14ac:dyDescent="0.2">
      <c r="P1365" s="85"/>
      <c r="Q1365" s="91"/>
      <c r="R1365" s="91"/>
      <c r="S1365" s="91"/>
      <c r="T1365" s="92"/>
      <c r="U1365" s="93"/>
      <c r="V1365" s="94"/>
      <c r="W1365" s="94"/>
      <c r="X1365" s="93"/>
      <c r="Y1365" s="85"/>
      <c r="Z1365" s="85"/>
      <c r="AA1365" s="85"/>
      <c r="AB1365" s="85"/>
      <c r="AC1365" s="85"/>
      <c r="AD1365" s="85"/>
    </row>
    <row r="1366" spans="16:30" x14ac:dyDescent="0.2">
      <c r="P1366" s="85"/>
      <c r="Q1366" s="91"/>
      <c r="R1366" s="91"/>
      <c r="S1366" s="91"/>
      <c r="T1366" s="92"/>
      <c r="U1366" s="93"/>
      <c r="V1366" s="94"/>
      <c r="W1366" s="94"/>
      <c r="X1366" s="93"/>
      <c r="Y1366" s="85"/>
      <c r="Z1366" s="85"/>
      <c r="AA1366" s="85"/>
      <c r="AB1366" s="85"/>
      <c r="AC1366" s="85"/>
      <c r="AD1366" s="85"/>
    </row>
    <row r="1367" spans="16:30" x14ac:dyDescent="0.2">
      <c r="P1367" s="85"/>
      <c r="Q1367" s="91"/>
      <c r="R1367" s="91"/>
      <c r="S1367" s="91"/>
      <c r="T1367" s="92"/>
      <c r="U1367" s="93"/>
      <c r="V1367" s="94"/>
      <c r="W1367" s="94"/>
      <c r="X1367" s="93"/>
      <c r="Y1367" s="85"/>
      <c r="Z1367" s="85"/>
      <c r="AA1367" s="85"/>
      <c r="AB1367" s="85"/>
      <c r="AC1367" s="85"/>
      <c r="AD1367" s="85"/>
    </row>
    <row r="1368" spans="16:30" x14ac:dyDescent="0.2">
      <c r="P1368" s="85"/>
      <c r="Q1368" s="91"/>
      <c r="R1368" s="91"/>
      <c r="S1368" s="91"/>
      <c r="T1368" s="92"/>
      <c r="U1368" s="93"/>
      <c r="V1368" s="94"/>
      <c r="W1368" s="94"/>
      <c r="X1368" s="93"/>
      <c r="Y1368" s="85"/>
      <c r="Z1368" s="85"/>
      <c r="AA1368" s="85"/>
      <c r="AB1368" s="85"/>
      <c r="AC1368" s="85"/>
      <c r="AD1368" s="85"/>
    </row>
    <row r="1369" spans="16:30" x14ac:dyDescent="0.2">
      <c r="P1369" s="85"/>
      <c r="Q1369" s="91"/>
      <c r="R1369" s="91"/>
      <c r="S1369" s="91"/>
      <c r="T1369" s="92"/>
      <c r="U1369" s="93"/>
      <c r="V1369" s="94"/>
      <c r="W1369" s="94"/>
      <c r="X1369" s="93"/>
      <c r="Y1369" s="85"/>
      <c r="Z1369" s="85"/>
      <c r="AA1369" s="85"/>
      <c r="AB1369" s="85"/>
      <c r="AC1369" s="85"/>
      <c r="AD1369" s="85"/>
    </row>
    <row r="1370" spans="16:30" x14ac:dyDescent="0.2">
      <c r="P1370" s="85"/>
      <c r="Q1370" s="91"/>
      <c r="R1370" s="91"/>
      <c r="S1370" s="91"/>
      <c r="T1370" s="92"/>
      <c r="U1370" s="93"/>
      <c r="V1370" s="94"/>
      <c r="W1370" s="94"/>
      <c r="X1370" s="93"/>
      <c r="Y1370" s="85"/>
      <c r="Z1370" s="85"/>
      <c r="AA1370" s="85"/>
      <c r="AB1370" s="85"/>
      <c r="AC1370" s="85"/>
      <c r="AD1370" s="85"/>
    </row>
    <row r="1371" spans="16:30" x14ac:dyDescent="0.2">
      <c r="P1371" s="85"/>
      <c r="Q1371" s="91"/>
      <c r="R1371" s="91"/>
      <c r="S1371" s="91"/>
      <c r="T1371" s="92"/>
      <c r="U1371" s="93"/>
      <c r="V1371" s="94"/>
      <c r="W1371" s="94"/>
      <c r="X1371" s="93"/>
      <c r="Y1371" s="85"/>
      <c r="Z1371" s="85"/>
      <c r="AA1371" s="85"/>
      <c r="AB1371" s="85"/>
      <c r="AC1371" s="85"/>
      <c r="AD1371" s="85"/>
    </row>
    <row r="1372" spans="16:30" x14ac:dyDescent="0.2">
      <c r="P1372" s="85"/>
      <c r="Q1372" s="91"/>
      <c r="R1372" s="91"/>
      <c r="S1372" s="91"/>
      <c r="T1372" s="92"/>
      <c r="U1372" s="93"/>
      <c r="V1372" s="94"/>
      <c r="W1372" s="94"/>
      <c r="X1372" s="93"/>
      <c r="Y1372" s="85"/>
      <c r="Z1372" s="85"/>
      <c r="AA1372" s="85"/>
      <c r="AB1372" s="85"/>
      <c r="AC1372" s="85"/>
      <c r="AD1372" s="85"/>
    </row>
    <row r="1373" spans="16:30" x14ac:dyDescent="0.2">
      <c r="P1373" s="85"/>
      <c r="Q1373" s="91"/>
      <c r="R1373" s="91"/>
      <c r="S1373" s="91"/>
      <c r="T1373" s="92"/>
      <c r="U1373" s="93"/>
      <c r="V1373" s="94"/>
      <c r="W1373" s="94"/>
      <c r="X1373" s="93"/>
      <c r="Y1373" s="85"/>
      <c r="Z1373" s="85"/>
      <c r="AA1373" s="85"/>
      <c r="AB1373" s="85"/>
      <c r="AC1373" s="85"/>
      <c r="AD1373" s="85"/>
    </row>
    <row r="1374" spans="16:30" x14ac:dyDescent="0.2">
      <c r="P1374" s="85"/>
      <c r="Q1374" s="91"/>
      <c r="R1374" s="91"/>
      <c r="S1374" s="91"/>
      <c r="T1374" s="92"/>
      <c r="U1374" s="93"/>
      <c r="V1374" s="94"/>
      <c r="W1374" s="94"/>
      <c r="X1374" s="93"/>
      <c r="Y1374" s="85"/>
      <c r="Z1374" s="85"/>
      <c r="AA1374" s="85"/>
      <c r="AB1374" s="85"/>
      <c r="AC1374" s="85"/>
      <c r="AD1374" s="85"/>
    </row>
    <row r="1375" spans="16:30" x14ac:dyDescent="0.2"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</row>
    <row r="1376" spans="16:30" x14ac:dyDescent="0.2"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</row>
    <row r="1377" spans="16:30" x14ac:dyDescent="0.2"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</row>
    <row r="1378" spans="16:30" x14ac:dyDescent="0.2"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</row>
    <row r="1379" spans="16:30" x14ac:dyDescent="0.2"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</row>
    <row r="1380" spans="16:30" x14ac:dyDescent="0.2"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</row>
    <row r="1381" spans="16:30" x14ac:dyDescent="0.2"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</row>
    <row r="1382" spans="16:30" x14ac:dyDescent="0.2"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</row>
    <row r="1383" spans="16:30" x14ac:dyDescent="0.2"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</row>
    <row r="1384" spans="16:30" x14ac:dyDescent="0.2"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</row>
    <row r="1385" spans="16:30" x14ac:dyDescent="0.2"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</row>
    <row r="1386" spans="16:30" x14ac:dyDescent="0.2"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</row>
    <row r="1387" spans="16:30" x14ac:dyDescent="0.2"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</row>
    <row r="1388" spans="16:30" x14ac:dyDescent="0.2"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</row>
    <row r="1389" spans="16:30" x14ac:dyDescent="0.2"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</row>
    <row r="1390" spans="16:30" x14ac:dyDescent="0.2"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</row>
    <row r="1391" spans="16:30" x14ac:dyDescent="0.2"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</row>
    <row r="1392" spans="16:30" x14ac:dyDescent="0.2"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</row>
    <row r="1393" spans="16:30" x14ac:dyDescent="0.2"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</row>
    <row r="1394" spans="16:30" x14ac:dyDescent="0.2"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</row>
    <row r="1395" spans="16:30" x14ac:dyDescent="0.2"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</row>
    <row r="1396" spans="16:30" x14ac:dyDescent="0.2"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</row>
    <row r="1397" spans="16:30" x14ac:dyDescent="0.2"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</row>
    <row r="1398" spans="16:30" x14ac:dyDescent="0.2"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</row>
    <row r="1399" spans="16:30" x14ac:dyDescent="0.2"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</row>
    <row r="1400" spans="16:30" x14ac:dyDescent="0.2"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</row>
    <row r="1401" spans="16:30" x14ac:dyDescent="0.2"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</row>
    <row r="1402" spans="16:30" x14ac:dyDescent="0.2"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</row>
    <row r="1403" spans="16:30" x14ac:dyDescent="0.2"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</row>
    <row r="1404" spans="16:30" x14ac:dyDescent="0.2"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</row>
    <row r="1405" spans="16:30" x14ac:dyDescent="0.2"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</row>
    <row r="1406" spans="16:30" x14ac:dyDescent="0.2"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</row>
    <row r="1407" spans="16:30" x14ac:dyDescent="0.2"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</row>
    <row r="1408" spans="16:30" x14ac:dyDescent="0.2"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</row>
    <row r="1409" spans="16:30" x14ac:dyDescent="0.2"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</row>
    <row r="1410" spans="16:30" x14ac:dyDescent="0.2"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</row>
    <row r="1411" spans="16:30" x14ac:dyDescent="0.2"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</row>
    <row r="1412" spans="16:30" x14ac:dyDescent="0.2"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</row>
    <row r="1413" spans="16:30" x14ac:dyDescent="0.2"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</row>
    <row r="1414" spans="16:30" x14ac:dyDescent="0.2"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</row>
    <row r="1415" spans="16:30" x14ac:dyDescent="0.2"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</row>
    <row r="1416" spans="16:30" x14ac:dyDescent="0.2"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</row>
    <row r="1417" spans="16:30" x14ac:dyDescent="0.2"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</row>
    <row r="1418" spans="16:30" x14ac:dyDescent="0.2"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</row>
    <row r="1419" spans="16:30" x14ac:dyDescent="0.2"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</row>
    <row r="1420" spans="16:30" x14ac:dyDescent="0.2"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</row>
    <row r="1421" spans="16:30" x14ac:dyDescent="0.2"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</row>
    <row r="1422" spans="16:30" x14ac:dyDescent="0.2"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</row>
    <row r="1423" spans="16:30" x14ac:dyDescent="0.2"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</row>
    <row r="1424" spans="16:30" x14ac:dyDescent="0.2"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</row>
    <row r="1425" spans="16:30" x14ac:dyDescent="0.2"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</row>
    <row r="1426" spans="16:30" x14ac:dyDescent="0.2"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</row>
    <row r="1427" spans="16:30" x14ac:dyDescent="0.2"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</row>
    <row r="1428" spans="16:30" x14ac:dyDescent="0.2"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</row>
    <row r="1429" spans="16:30" x14ac:dyDescent="0.2"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</row>
    <row r="1430" spans="16:30" x14ac:dyDescent="0.2"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</row>
    <row r="1431" spans="16:30" x14ac:dyDescent="0.2"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</row>
    <row r="1432" spans="16:30" x14ac:dyDescent="0.2"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</row>
    <row r="1433" spans="16:30" x14ac:dyDescent="0.2"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</row>
    <row r="1434" spans="16:30" x14ac:dyDescent="0.2"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</row>
    <row r="1435" spans="16:30" x14ac:dyDescent="0.2"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</row>
    <row r="1436" spans="16:30" x14ac:dyDescent="0.2"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</row>
    <row r="1437" spans="16:30" x14ac:dyDescent="0.2"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</row>
    <row r="1438" spans="16:30" x14ac:dyDescent="0.2"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</row>
    <row r="1439" spans="16:30" x14ac:dyDescent="0.2"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</row>
    <row r="1440" spans="16:30" x14ac:dyDescent="0.2"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</row>
    <row r="1441" spans="16:30" x14ac:dyDescent="0.2"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</row>
    <row r="1442" spans="16:30" x14ac:dyDescent="0.2"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</row>
    <row r="1443" spans="16:30" x14ac:dyDescent="0.2"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</row>
    <row r="1444" spans="16:30" x14ac:dyDescent="0.2"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</row>
    <row r="1445" spans="16:30" x14ac:dyDescent="0.2"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</row>
    <row r="1446" spans="16:30" x14ac:dyDescent="0.2"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</row>
    <row r="1447" spans="16:30" x14ac:dyDescent="0.2"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</row>
    <row r="1448" spans="16:30" x14ac:dyDescent="0.2"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</row>
    <row r="1449" spans="16:30" x14ac:dyDescent="0.2"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</row>
    <row r="1450" spans="16:30" x14ac:dyDescent="0.2"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</row>
    <row r="1451" spans="16:30" x14ac:dyDescent="0.2"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</row>
    <row r="1452" spans="16:30" x14ac:dyDescent="0.2"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</row>
    <row r="1453" spans="16:30" x14ac:dyDescent="0.2"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</row>
    <row r="1454" spans="16:30" x14ac:dyDescent="0.2"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</row>
    <row r="1455" spans="16:30" x14ac:dyDescent="0.2"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</row>
    <row r="1456" spans="16:30" x14ac:dyDescent="0.2"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</row>
    <row r="1457" spans="16:30" x14ac:dyDescent="0.2"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</row>
    <row r="1458" spans="16:30" x14ac:dyDescent="0.2"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</row>
    <row r="1459" spans="16:30" x14ac:dyDescent="0.2"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</row>
    <row r="1460" spans="16:30" x14ac:dyDescent="0.2"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</row>
    <row r="1461" spans="16:30" x14ac:dyDescent="0.2"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</row>
    <row r="1462" spans="16:30" x14ac:dyDescent="0.2"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</row>
    <row r="1463" spans="16:30" x14ac:dyDescent="0.2"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</row>
    <row r="1464" spans="16:30" x14ac:dyDescent="0.2"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</row>
    <row r="1465" spans="16:30" x14ac:dyDescent="0.2"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</row>
    <row r="1466" spans="16:30" x14ac:dyDescent="0.2"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</row>
    <row r="1467" spans="16:30" x14ac:dyDescent="0.2"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</row>
    <row r="1468" spans="16:30" x14ac:dyDescent="0.2"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</row>
    <row r="1469" spans="16:30" x14ac:dyDescent="0.2"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</row>
    <row r="1470" spans="16:30" x14ac:dyDescent="0.2"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</row>
    <row r="1471" spans="16:30" x14ac:dyDescent="0.2"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</row>
    <row r="1472" spans="16:30" x14ac:dyDescent="0.2"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</row>
    <row r="1473" spans="16:30" x14ac:dyDescent="0.2"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</row>
    <row r="1474" spans="16:30" x14ac:dyDescent="0.2"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</row>
    <row r="1475" spans="16:30" x14ac:dyDescent="0.2"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</row>
    <row r="1476" spans="16:30" x14ac:dyDescent="0.2"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</row>
    <row r="1477" spans="16:30" x14ac:dyDescent="0.2"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</row>
    <row r="1478" spans="16:30" x14ac:dyDescent="0.2"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</row>
    <row r="1479" spans="16:30" x14ac:dyDescent="0.2"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</row>
    <row r="1480" spans="16:30" x14ac:dyDescent="0.2"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</row>
    <row r="1481" spans="16:30" x14ac:dyDescent="0.2"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</row>
    <row r="1482" spans="16:30" x14ac:dyDescent="0.2"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</row>
    <row r="1483" spans="16:30" x14ac:dyDescent="0.2"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</row>
    <row r="1484" spans="16:30" x14ac:dyDescent="0.2"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</row>
    <row r="1485" spans="16:30" x14ac:dyDescent="0.2"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</row>
    <row r="1486" spans="16:30" x14ac:dyDescent="0.2"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</row>
    <row r="1487" spans="16:30" x14ac:dyDescent="0.2"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</row>
    <row r="1488" spans="16:30" x14ac:dyDescent="0.2"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</row>
    <row r="1489" spans="16:30" x14ac:dyDescent="0.2"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</row>
    <row r="1490" spans="16:30" x14ac:dyDescent="0.2"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</row>
    <row r="1491" spans="16:30" x14ac:dyDescent="0.2"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</row>
    <row r="1492" spans="16:30" x14ac:dyDescent="0.2"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</row>
    <row r="1493" spans="16:30" x14ac:dyDescent="0.2"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</row>
    <row r="1494" spans="16:30" x14ac:dyDescent="0.2"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</row>
    <row r="1495" spans="16:30" x14ac:dyDescent="0.2"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</row>
    <row r="1496" spans="16:30" x14ac:dyDescent="0.2"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</row>
    <row r="1497" spans="16:30" x14ac:dyDescent="0.2"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</row>
    <row r="1498" spans="16:30" x14ac:dyDescent="0.2"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</row>
    <row r="1499" spans="16:30" x14ac:dyDescent="0.2"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</row>
    <row r="1500" spans="16:30" x14ac:dyDescent="0.2"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</row>
    <row r="1501" spans="16:30" x14ac:dyDescent="0.2"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</row>
    <row r="1502" spans="16:30" x14ac:dyDescent="0.2"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</row>
    <row r="1503" spans="16:30" x14ac:dyDescent="0.2"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</row>
    <row r="1504" spans="16:30" x14ac:dyDescent="0.2"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</row>
    <row r="1505" spans="16:30" x14ac:dyDescent="0.2"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</row>
    <row r="1506" spans="16:30" x14ac:dyDescent="0.2"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</row>
    <row r="1507" spans="16:30" x14ac:dyDescent="0.2"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</row>
    <row r="1508" spans="16:30" x14ac:dyDescent="0.2"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</row>
    <row r="1509" spans="16:30" x14ac:dyDescent="0.2"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</row>
    <row r="1510" spans="16:30" x14ac:dyDescent="0.2"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</row>
    <row r="1511" spans="16:30" x14ac:dyDescent="0.2"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</row>
    <row r="1512" spans="16:30" x14ac:dyDescent="0.2"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</row>
    <row r="1513" spans="16:30" x14ac:dyDescent="0.2"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</row>
    <row r="1514" spans="16:30" x14ac:dyDescent="0.2"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</row>
    <row r="1515" spans="16:30" x14ac:dyDescent="0.2"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</row>
    <row r="1516" spans="16:30" x14ac:dyDescent="0.2"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</row>
    <row r="1517" spans="16:30" x14ac:dyDescent="0.2"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</row>
    <row r="1518" spans="16:30" x14ac:dyDescent="0.2"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</row>
    <row r="1519" spans="16:30" x14ac:dyDescent="0.2"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</row>
    <row r="1520" spans="16:30" x14ac:dyDescent="0.2"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</row>
    <row r="1521" spans="16:30" x14ac:dyDescent="0.2"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</row>
    <row r="1522" spans="16:30" x14ac:dyDescent="0.2"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</row>
    <row r="1523" spans="16:30" x14ac:dyDescent="0.2"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</row>
    <row r="1524" spans="16:30" x14ac:dyDescent="0.2"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</row>
    <row r="1525" spans="16:30" x14ac:dyDescent="0.2"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</row>
    <row r="1526" spans="16:30" x14ac:dyDescent="0.2"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</row>
    <row r="1527" spans="16:30" x14ac:dyDescent="0.2"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</row>
    <row r="1528" spans="16:30" x14ac:dyDescent="0.2"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</row>
    <row r="1529" spans="16:30" x14ac:dyDescent="0.2"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</row>
    <row r="1530" spans="16:30" x14ac:dyDescent="0.2"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</row>
    <row r="1531" spans="16:30" x14ac:dyDescent="0.2"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</row>
    <row r="1532" spans="16:30" x14ac:dyDescent="0.2"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</row>
    <row r="1533" spans="16:30" x14ac:dyDescent="0.2"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</row>
    <row r="1534" spans="16:30" x14ac:dyDescent="0.2"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</row>
    <row r="1535" spans="16:30" x14ac:dyDescent="0.2"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</row>
    <row r="1536" spans="16:30" x14ac:dyDescent="0.2"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</row>
    <row r="1537" spans="16:30" x14ac:dyDescent="0.2"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</row>
    <row r="1538" spans="16:30" x14ac:dyDescent="0.2"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</row>
    <row r="1539" spans="16:30" x14ac:dyDescent="0.2"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</row>
    <row r="1540" spans="16:30" x14ac:dyDescent="0.2"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</row>
    <row r="1541" spans="16:30" x14ac:dyDescent="0.2"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</row>
    <row r="1542" spans="16:30" x14ac:dyDescent="0.2"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</row>
    <row r="1543" spans="16:30" x14ac:dyDescent="0.2"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</row>
    <row r="1544" spans="16:30" x14ac:dyDescent="0.2"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</row>
    <row r="1545" spans="16:30" x14ac:dyDescent="0.2"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</row>
    <row r="1546" spans="16:30" x14ac:dyDescent="0.2"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</row>
    <row r="1547" spans="16:30" x14ac:dyDescent="0.2"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</row>
    <row r="1548" spans="16:30" x14ac:dyDescent="0.2"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</row>
    <row r="1549" spans="16:30" x14ac:dyDescent="0.2"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</row>
    <row r="1550" spans="16:30" x14ac:dyDescent="0.2"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</row>
    <row r="1551" spans="16:30" x14ac:dyDescent="0.2"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</row>
    <row r="1552" spans="16:30" x14ac:dyDescent="0.2"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</row>
    <row r="1553" spans="16:30" x14ac:dyDescent="0.2"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</row>
    <row r="1554" spans="16:30" x14ac:dyDescent="0.2"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</row>
    <row r="1555" spans="16:30" x14ac:dyDescent="0.2"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</row>
    <row r="1556" spans="16:30" x14ac:dyDescent="0.2"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</row>
    <row r="1557" spans="16:30" x14ac:dyDescent="0.2"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</row>
    <row r="1558" spans="16:30" x14ac:dyDescent="0.2"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</row>
    <row r="1559" spans="16:30" x14ac:dyDescent="0.2"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</row>
    <row r="1560" spans="16:30" x14ac:dyDescent="0.2"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</row>
    <row r="1561" spans="16:30" x14ac:dyDescent="0.2"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</row>
    <row r="1562" spans="16:30" x14ac:dyDescent="0.2"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</row>
    <row r="1563" spans="16:30" x14ac:dyDescent="0.2"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</row>
    <row r="1564" spans="16:30" x14ac:dyDescent="0.2"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</row>
    <row r="1565" spans="16:30" x14ac:dyDescent="0.2"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</row>
    <row r="1566" spans="16:30" x14ac:dyDescent="0.2"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</row>
    <row r="1567" spans="16:30" x14ac:dyDescent="0.2"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</row>
    <row r="1568" spans="16:30" x14ac:dyDescent="0.2"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</row>
    <row r="1569" spans="16:30" x14ac:dyDescent="0.2"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</row>
    <row r="1570" spans="16:30" x14ac:dyDescent="0.2"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</row>
    <row r="1571" spans="16:30" x14ac:dyDescent="0.2"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</row>
    <row r="1572" spans="16:30" x14ac:dyDescent="0.2"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</row>
    <row r="1573" spans="16:30" x14ac:dyDescent="0.2"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</row>
    <row r="1574" spans="16:30" x14ac:dyDescent="0.2"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</row>
    <row r="1575" spans="16:30" x14ac:dyDescent="0.2"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</row>
    <row r="1576" spans="16:30" x14ac:dyDescent="0.2"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</row>
    <row r="1577" spans="16:30" x14ac:dyDescent="0.2"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</row>
    <row r="1578" spans="16:30" x14ac:dyDescent="0.2"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</row>
    <row r="1579" spans="16:30" x14ac:dyDescent="0.2"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</row>
    <row r="1580" spans="16:30" x14ac:dyDescent="0.2"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</row>
    <row r="1581" spans="16:30" x14ac:dyDescent="0.2"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</row>
    <row r="1582" spans="16:30" x14ac:dyDescent="0.2"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</row>
    <row r="1583" spans="16:30" x14ac:dyDescent="0.2"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</row>
    <row r="1584" spans="16:30" x14ac:dyDescent="0.2"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</row>
    <row r="1585" spans="16:30" x14ac:dyDescent="0.2"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</row>
    <row r="1586" spans="16:30" x14ac:dyDescent="0.2"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</row>
    <row r="1587" spans="16:30" x14ac:dyDescent="0.2"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</row>
    <row r="1588" spans="16:30" x14ac:dyDescent="0.2"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</row>
    <row r="1589" spans="16:30" x14ac:dyDescent="0.2"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</row>
    <row r="1590" spans="16:30" x14ac:dyDescent="0.2"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</row>
    <row r="1591" spans="16:30" x14ac:dyDescent="0.2"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</row>
    <row r="1592" spans="16:30" x14ac:dyDescent="0.2"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</row>
    <row r="1593" spans="16:30" x14ac:dyDescent="0.2"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</row>
    <row r="1594" spans="16:30" x14ac:dyDescent="0.2"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</row>
    <row r="1595" spans="16:30" x14ac:dyDescent="0.2"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</row>
    <row r="1596" spans="16:30" x14ac:dyDescent="0.2"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</row>
    <row r="1597" spans="16:30" x14ac:dyDescent="0.2"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</row>
    <row r="1598" spans="16:30" x14ac:dyDescent="0.2"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</row>
    <row r="1599" spans="16:30" x14ac:dyDescent="0.2"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</row>
    <row r="1600" spans="16:30" x14ac:dyDescent="0.2"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</row>
    <row r="1601" spans="16:30" x14ac:dyDescent="0.2"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</row>
    <row r="1602" spans="16:30" x14ac:dyDescent="0.2"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</row>
    <row r="1603" spans="16:30" x14ac:dyDescent="0.2"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</row>
    <row r="1604" spans="16:30" x14ac:dyDescent="0.2"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</row>
    <row r="1605" spans="16:30" x14ac:dyDescent="0.2"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</row>
    <row r="1606" spans="16:30" x14ac:dyDescent="0.2"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</row>
    <row r="1607" spans="16:30" x14ac:dyDescent="0.2"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</row>
    <row r="1608" spans="16:30" x14ac:dyDescent="0.2"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</row>
    <row r="1609" spans="16:30" x14ac:dyDescent="0.2"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</row>
    <row r="1610" spans="16:30" x14ac:dyDescent="0.2"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</row>
    <row r="1611" spans="16:30" x14ac:dyDescent="0.2"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</row>
    <row r="1612" spans="16:30" x14ac:dyDescent="0.2"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</row>
    <row r="1613" spans="16:30" x14ac:dyDescent="0.2"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</row>
    <row r="1614" spans="16:30" x14ac:dyDescent="0.2"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</row>
    <row r="1615" spans="16:30" x14ac:dyDescent="0.2"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</row>
    <row r="1616" spans="16:30" x14ac:dyDescent="0.2"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</row>
    <row r="1617" spans="16:30" x14ac:dyDescent="0.2"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</row>
    <row r="1618" spans="16:30" x14ac:dyDescent="0.2"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ength4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9</xdr:row>
                    <xdr:rowOff>123825</xdr:rowOff>
                  </from>
                  <to>
                    <xdr:col>32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Length1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</xdr:row>
                    <xdr:rowOff>276225</xdr:rowOff>
                  </from>
                  <to>
                    <xdr:col>32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Length7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18</xdr:row>
                    <xdr:rowOff>0</xdr:rowOff>
                  </from>
                  <to>
                    <xdr:col>32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Length2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4</xdr:row>
                    <xdr:rowOff>38100</xdr:rowOff>
                  </from>
                  <to>
                    <xdr:col>32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Length3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7</xdr:row>
                    <xdr:rowOff>0</xdr:rowOff>
                  </from>
                  <to>
                    <xdr:col>32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Length5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12</xdr:row>
                    <xdr:rowOff>66675</xdr:rowOff>
                  </from>
                  <to>
                    <xdr:col>32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Length6">
              <controlPr defaultSize="0" print="0" autoFill="0" autoPict="0" macro="[0]!grphUpdate">
                <anchor moveWithCells="1">
                  <from>
                    <xdr:col>30</xdr:col>
                    <xdr:colOff>114300</xdr:colOff>
                    <xdr:row>15</xdr:row>
                    <xdr:rowOff>19050</xdr:rowOff>
                  </from>
                  <to>
                    <xdr:col>32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showGridLines="0" workbookViewId="0">
      <selection activeCell="E51" sqref="E51"/>
    </sheetView>
  </sheetViews>
  <sheetFormatPr defaultRowHeight="11.25" outlineLevelCol="1" x14ac:dyDescent="0.2"/>
  <cols>
    <col min="1" max="2" width="9.140625" style="63"/>
    <col min="3" max="4" width="5" style="63" bestFit="1" customWidth="1"/>
    <col min="5" max="5" width="17.42578125" style="63" bestFit="1" customWidth="1"/>
    <col min="6" max="7" width="17.5703125" style="63" bestFit="1" customWidth="1"/>
    <col min="8" max="8" width="8" style="63" bestFit="1" customWidth="1"/>
    <col min="9" max="9" width="7" style="63" bestFit="1" customWidth="1"/>
    <col min="10" max="10" width="8" style="63" bestFit="1" customWidth="1"/>
    <col min="11" max="12" width="12" style="63" hidden="1" customWidth="1" outlineLevel="1"/>
    <col min="13" max="13" width="9" style="63" customWidth="1" collapsed="1"/>
    <col min="14" max="15" width="9" style="63" bestFit="1" customWidth="1"/>
    <col min="16" max="16" width="19.28515625" style="63" bestFit="1" customWidth="1"/>
    <col min="17" max="17" width="15.140625" style="63" bestFit="1" customWidth="1"/>
    <col min="18" max="16384" width="9.140625" style="63"/>
  </cols>
  <sheetData>
    <row r="1" spans="1:17" ht="19.5" customHeight="1" x14ac:dyDescent="0.2">
      <c r="A1" s="63" t="s">
        <v>51</v>
      </c>
      <c r="B1" s="63" t="s">
        <v>43</v>
      </c>
      <c r="C1" s="66"/>
      <c r="D1" s="64" t="s">
        <v>54</v>
      </c>
      <c r="E1" s="64" t="s">
        <v>24</v>
      </c>
      <c r="F1" s="64" t="s">
        <v>52</v>
      </c>
      <c r="G1" s="64" t="s">
        <v>53</v>
      </c>
      <c r="H1" s="64" t="s">
        <v>46</v>
      </c>
      <c r="I1" s="64" t="s">
        <v>30</v>
      </c>
      <c r="J1" s="64" t="s">
        <v>74</v>
      </c>
      <c r="K1" s="64" t="s">
        <v>28</v>
      </c>
      <c r="L1" s="64" t="s">
        <v>75</v>
      </c>
      <c r="M1" s="64" t="s">
        <v>29</v>
      </c>
      <c r="N1" s="64" t="s">
        <v>45</v>
      </c>
      <c r="O1" s="80" t="s">
        <v>77</v>
      </c>
      <c r="P1" s="79" t="s">
        <v>76</v>
      </c>
      <c r="Q1" s="63" t="str">
        <f>_xll.qlAbcdInterpolation(,_xll.ohFilter(H2:H44,O2:O44),_xll.ohFilter(N2:N44,O2:O44),,,,,,,,,FALSE)</f>
        <v>obj_00c39#0001</v>
      </c>
    </row>
    <row r="2" spans="1:17" x14ac:dyDescent="0.2">
      <c r="C2" s="67"/>
      <c r="D2" s="67"/>
      <c r="E2" s="68">
        <f>_xll.qlInterestRateIndexFixingDate(PROPER(Currency)&amp;IborType&amp;$B$1,F2,Trigger)</f>
        <v>42116</v>
      </c>
      <c r="F2" s="68">
        <f>SettlementDate</f>
        <v>42118</v>
      </c>
      <c r="G2" s="68">
        <f>_xll.qlCalendarAdvance(Calendar,F2,$B$1,"mf",TRUE,Trigger)</f>
        <v>42303</v>
      </c>
      <c r="H2" s="69">
        <f>_xll.qlDayCounterYearFraction(DayCounter,$F$2,G2)</f>
        <v>0.51388888888888884</v>
      </c>
      <c r="I2" s="69">
        <f>_xll.qlDayCounterYearFraction(DayCounter,F2,G2,,,Trigger)</f>
        <v>0.51388888888888884</v>
      </c>
      <c r="J2" s="70">
        <f>_xll.qlIndexFixing(PROPER(Currency)&amp;IborType&amp;$B$1,E2,,Trigger)</f>
        <v>6.7999999999999994E-4</v>
      </c>
      <c r="K2" s="71">
        <f>_xll.qlYieldTSDiscount(OisCurve,F2,,Trigger)</f>
        <v>1</v>
      </c>
      <c r="L2" s="71">
        <f>_xll.qlYieldTSDiscount(OisCurve,G2,,Trigger)</f>
        <v>1.0006589758717661</v>
      </c>
      <c r="M2" s="70">
        <f>1/I2*(K2/L2-1)</f>
        <v>-1.2814869571547713E-3</v>
      </c>
      <c r="N2" s="70">
        <f>J2-M2</f>
        <v>1.9614869571547714E-3</v>
      </c>
      <c r="O2" s="70" t="b">
        <v>1</v>
      </c>
      <c r="P2" s="65">
        <f>_xll.qlInterpolationInterpolate($Q$1,H2,,Trigger)</f>
        <v>2.373026947998666E-3</v>
      </c>
      <c r="Q2" s="65">
        <f>N2-P2</f>
        <v>-4.1153999084389461E-4</v>
      </c>
    </row>
    <row r="3" spans="1:17" x14ac:dyDescent="0.2">
      <c r="C3" s="72">
        <v>1</v>
      </c>
      <c r="D3" s="67" t="s">
        <v>21</v>
      </c>
      <c r="E3" s="68">
        <f>_xll.qlInterestRateIndexFixingDate(PROPER(Currency)&amp;IborType&amp;$B$1,F3,Trigger)</f>
        <v>42145</v>
      </c>
      <c r="F3" s="68">
        <f>_xll.qlCalendarAdvance(Calendar,F2,D3,"f",,Trigger)</f>
        <v>42149</v>
      </c>
      <c r="G3" s="68">
        <f>_xll.qlCalendarAdvance(Calendar,F3,$B$1,"mf",TRUE,Trigger)</f>
        <v>42333</v>
      </c>
      <c r="H3" s="69">
        <f>_xll.qlDayCounterYearFraction(DayCounter,$F$2,G3)</f>
        <v>0.59722222222222221</v>
      </c>
      <c r="I3" s="69">
        <f>_xll.qlDayCounterYearFraction(DayCounter,F3,G3,,,Trigger)</f>
        <v>0.51111111111111107</v>
      </c>
      <c r="J3" s="70">
        <f>_xll.qlIndexFixing(PROPER(Currency)&amp;IborType&amp;$B$1,E3,,Trigger)</f>
        <v>6.3999999999489595E-4</v>
      </c>
      <c r="K3" s="71">
        <f>_xll.qlYieldTSDiscount(OisCurve,F3,,Trigger)</f>
        <v>1.0000731998022474</v>
      </c>
      <c r="L3" s="71">
        <f>_xll.qlYieldTSDiscount(OisCurve,G3,,Trigger)</f>
        <v>1.0007801404278067</v>
      </c>
      <c r="M3" s="70">
        <f t="shared" ref="M3:M44" si="0">1/I3*(K3/L3-1)</f>
        <v>-1.3820664962337023E-3</v>
      </c>
      <c r="N3" s="70">
        <f t="shared" ref="N3:N44" si="1">J3-M3</f>
        <v>2.0220664962285985E-3</v>
      </c>
      <c r="O3" s="70" t="b">
        <v>1</v>
      </c>
      <c r="P3" s="65">
        <f>_xll.qlInterpolationInterpolate($Q$1,H3,,Trigger)</f>
        <v>2.2020625328181159E-3</v>
      </c>
      <c r="Q3" s="65">
        <f t="shared" ref="Q3:Q44" si="2">N3-P3</f>
        <v>-1.7999603658951742E-4</v>
      </c>
    </row>
    <row r="4" spans="1:17" x14ac:dyDescent="0.2">
      <c r="C4" s="72">
        <v>2</v>
      </c>
      <c r="D4" s="67" t="s">
        <v>21</v>
      </c>
      <c r="E4" s="68">
        <f>_xll.qlInterestRateIndexFixingDate(PROPER(Currency)&amp;IborType&amp;$B$1,F4,Trigger)</f>
        <v>42178</v>
      </c>
      <c r="F4" s="68">
        <f>_xll.qlCalendarAdvance(Calendar,F3,D4,"f",,Trigger)</f>
        <v>42180</v>
      </c>
      <c r="G4" s="68">
        <f>_xll.qlCalendarAdvance(Calendar,F4,$B$1,"mf",TRUE,Trigger)</f>
        <v>42366</v>
      </c>
      <c r="H4" s="69">
        <f>_xll.qlDayCounterYearFraction(DayCounter,$F$2,G4)</f>
        <v>0.68888888888888888</v>
      </c>
      <c r="I4" s="69">
        <f>_xll.qlDayCounterYearFraction(DayCounter,F4,G4,,,Trigger)</f>
        <v>0.51666666666666672</v>
      </c>
      <c r="J4" s="70">
        <f>_xll.qlIndexFixing(PROPER(Currency)&amp;IborType&amp;$B$1,E4,,Trigger)</f>
        <v>6.4791128096975195E-4</v>
      </c>
      <c r="K4" s="71">
        <f>_xll.qlYieldTSDiscount(OisCurve,F4,,Trigger)</f>
        <v>1.0001720512398413</v>
      </c>
      <c r="L4" s="71">
        <f>_xll.qlYieldTSDiscount(OisCurve,G4,,Trigger)</f>
        <v>1.0009236201242628</v>
      </c>
      <c r="M4" s="70">
        <f t="shared" si="0"/>
        <v>-1.453307149988531E-3</v>
      </c>
      <c r="N4" s="70">
        <f t="shared" si="1"/>
        <v>2.1012184309582831E-3</v>
      </c>
      <c r="O4" s="70" t="b">
        <v>1</v>
      </c>
      <c r="P4" s="65">
        <f>_xll.qlInterpolationInterpolate($Q$1,H4,,Trigger)</f>
        <v>2.0606909928667307E-3</v>
      </c>
      <c r="Q4" s="65">
        <f t="shared" si="2"/>
        <v>4.0527438091552456E-5</v>
      </c>
    </row>
    <row r="5" spans="1:17" x14ac:dyDescent="0.2">
      <c r="C5" s="72">
        <v>3</v>
      </c>
      <c r="D5" s="67" t="s">
        <v>21</v>
      </c>
      <c r="E5" s="68">
        <f>_xll.qlInterestRateIndexFixingDate(PROPER(Currency)&amp;IborType&amp;$B$1,F5,Trigger)</f>
        <v>42208</v>
      </c>
      <c r="F5" s="68">
        <f>_xll.qlCalendarAdvance(Calendar,F4,D5,"f",,Trigger)</f>
        <v>42212</v>
      </c>
      <c r="G5" s="68">
        <f>_xll.qlCalendarAdvance(Calendar,F5,$B$1,"mf",TRUE,Trigger)</f>
        <v>42396</v>
      </c>
      <c r="H5" s="69">
        <f>_xll.qlDayCounterYearFraction(DayCounter,$F$2,G5)</f>
        <v>0.77222222222222225</v>
      </c>
      <c r="I5" s="69">
        <f>_xll.qlDayCounterYearFraction(DayCounter,F5,G5,,,Trigger)</f>
        <v>0.51111111111111107</v>
      </c>
      <c r="J5" s="70">
        <f>_xll.qlIndexFixing(PROPER(Currency)&amp;IborType&amp;$B$1,E5,,Trigger)</f>
        <v>6.3751549397441374E-4</v>
      </c>
      <c r="K5" s="71">
        <f>_xll.qlYieldTSDiscount(OisCurve,F5,,Trigger)</f>
        <v>1.0002961450905699</v>
      </c>
      <c r="L5" s="71">
        <f>_xll.qlYieldTSDiscount(OisCurve,G5,,Trigger)</f>
        <v>1.0010438650034574</v>
      </c>
      <c r="M5" s="70">
        <f t="shared" si="0"/>
        <v>-1.4614047550654953E-3</v>
      </c>
      <c r="N5" s="70">
        <f t="shared" si="1"/>
        <v>2.0989202490399091E-3</v>
      </c>
      <c r="O5" s="70" t="b">
        <v>1</v>
      </c>
      <c r="P5" s="65">
        <f>_xll.qlInterpolationInterpolate($Q$1,H5,,Trigger)</f>
        <v>1.9722605005690471E-3</v>
      </c>
      <c r="Q5" s="65">
        <f t="shared" si="2"/>
        <v>1.26659748470862E-4</v>
      </c>
    </row>
    <row r="6" spans="1:17" x14ac:dyDescent="0.2">
      <c r="C6" s="72">
        <v>4</v>
      </c>
      <c r="D6" s="67" t="s">
        <v>21</v>
      </c>
      <c r="E6" s="68">
        <f>_xll.qlInterestRateIndexFixingDate(PROPER(Currency)&amp;IborType&amp;$B$1,F6,Trigger)</f>
        <v>42241</v>
      </c>
      <c r="F6" s="68">
        <f>_xll.qlCalendarAdvance(Calendar,F5,D6,"f",,Trigger)</f>
        <v>42243</v>
      </c>
      <c r="G6" s="68">
        <f>_xll.qlCalendarAdvance(Calendar,F6,$B$1,"mf",TRUE,Trigger)</f>
        <v>42429</v>
      </c>
      <c r="H6" s="69">
        <f>_xll.qlDayCounterYearFraction(DayCounter,$F$2,G6)</f>
        <v>0.86388888888888893</v>
      </c>
      <c r="I6" s="69">
        <f>_xll.qlDayCounterYearFraction(DayCounter,F6,G6,,,Trigger)</f>
        <v>0.51666666666666672</v>
      </c>
      <c r="J6" s="70">
        <f>_xll.qlIndexFixing(PROPER(Currency)&amp;IborType&amp;$B$1,E6,,Trigger)</f>
        <v>6.2857197758523203E-4</v>
      </c>
      <c r="K6" s="71">
        <f>_xll.qlYieldTSDiscount(OisCurve,F6,,Trigger)</f>
        <v>1.0004180751159872</v>
      </c>
      <c r="L6" s="71">
        <f>_xll.qlYieldTSDiscount(OisCurve,G6,,Trigger)</f>
        <v>1.001190426302337</v>
      </c>
      <c r="M6" s="70">
        <f t="shared" si="0"/>
        <v>-1.4930958433389378E-3</v>
      </c>
      <c r="N6" s="70">
        <f t="shared" si="1"/>
        <v>2.1216678209241696E-3</v>
      </c>
      <c r="O6" s="70" t="b">
        <v>1</v>
      </c>
      <c r="P6" s="65">
        <f>_xll.qlInterpolationInterpolate($Q$1,H6,,Trigger)</f>
        <v>1.9147871928324226E-3</v>
      </c>
      <c r="Q6" s="65">
        <f t="shared" si="2"/>
        <v>2.0688062809174701E-4</v>
      </c>
    </row>
    <row r="7" spans="1:17" x14ac:dyDescent="0.2">
      <c r="C7" s="72">
        <v>5</v>
      </c>
      <c r="D7" s="67" t="s">
        <v>21</v>
      </c>
      <c r="E7" s="68">
        <f>_xll.qlInterestRateIndexFixingDate(PROPER(Currency)&amp;IborType&amp;$B$1,F7,Trigger)</f>
        <v>42271</v>
      </c>
      <c r="F7" s="68">
        <f>_xll.qlCalendarAdvance(Calendar,F6,D7,"f",,Trigger)</f>
        <v>42275</v>
      </c>
      <c r="G7" s="68">
        <f>_xll.qlCalendarAdvance(Calendar,F7,$B$1,"mf",TRUE,Trigger)</f>
        <v>42458</v>
      </c>
      <c r="H7" s="69">
        <f>_xll.qlDayCounterYearFraction(DayCounter,$F$2,G7)</f>
        <v>0.94444444444444442</v>
      </c>
      <c r="I7" s="69">
        <f>_xll.qlDayCounterYearFraction(DayCounter,F7,G7,,,Trigger)</f>
        <v>0.5083333333333333</v>
      </c>
      <c r="J7" s="70">
        <f>_xll.qlIndexFixing(PROPER(Currency)&amp;IborType&amp;$B$1,E7,,Trigger)</f>
        <v>6.2816298886557735E-4</v>
      </c>
      <c r="K7" s="71">
        <f>_xll.qlYieldTSDiscount(OisCurve,F7,,Trigger)</f>
        <v>1.0005469434821945</v>
      </c>
      <c r="L7" s="71">
        <f>_xll.qlYieldTSDiscount(OisCurve,G7,,Trigger)</f>
        <v>1.0013204266198894</v>
      </c>
      <c r="M7" s="70">
        <f t="shared" si="0"/>
        <v>-1.5195996526815982E-3</v>
      </c>
      <c r="N7" s="70">
        <f t="shared" si="1"/>
        <v>2.1477626415471757E-3</v>
      </c>
      <c r="O7" s="70" t="b">
        <v>1</v>
      </c>
      <c r="P7" s="65">
        <f>_xll.qlInterpolationInterpolate($Q$1,H7,,Trigger)</f>
        <v>1.8939785391196718E-3</v>
      </c>
      <c r="Q7" s="65">
        <f t="shared" si="2"/>
        <v>2.5378410242750393E-4</v>
      </c>
    </row>
    <row r="8" spans="1:17" x14ac:dyDescent="0.2">
      <c r="C8" s="72">
        <v>6</v>
      </c>
      <c r="D8" s="67" t="s">
        <v>21</v>
      </c>
      <c r="E8" s="68">
        <f>_xll.qlInterestRateIndexFixingDate(PROPER(Currency)&amp;IborType&amp;$B$1,F8,Trigger)</f>
        <v>42303</v>
      </c>
      <c r="F8" s="68">
        <f>_xll.qlCalendarAdvance(Calendar,F7,D8,"f",,Trigger)</f>
        <v>42305</v>
      </c>
      <c r="G8" s="68">
        <f>_xll.qlCalendarAdvance(Calendar,F8,$B$1,"mf",TRUE,Trigger)</f>
        <v>42488</v>
      </c>
      <c r="H8" s="69">
        <f>_xll.qlDayCounterYearFraction(DayCounter,$F$2,G8)</f>
        <v>1.0277777777777777</v>
      </c>
      <c r="I8" s="69">
        <f>_xll.qlDayCounterYearFraction(DayCounter,F8,G8,,,Trigger)</f>
        <v>0.5083333333333333</v>
      </c>
      <c r="J8" s="70">
        <f>_xll.qlIndexFixing(PROPER(Currency)&amp;IborType&amp;$B$1,E8,,Trigger)</f>
        <v>6.2031457103475026E-4</v>
      </c>
      <c r="K8" s="71">
        <f>_xll.qlYieldTSDiscount(OisCurve,F8,,Trigger)</f>
        <v>1.0006673904103707</v>
      </c>
      <c r="L8" s="71">
        <f>_xll.qlYieldTSDiscount(OisCurve,G8,,Trigger)</f>
        <v>1.0014483510259495</v>
      </c>
      <c r="M8" s="70">
        <f t="shared" si="0"/>
        <v>-1.5340940583697385E-3</v>
      </c>
      <c r="N8" s="70">
        <f t="shared" si="1"/>
        <v>2.1544086294044886E-3</v>
      </c>
      <c r="O8" s="70" t="b">
        <v>1</v>
      </c>
      <c r="P8" s="65">
        <f>_xll.qlInterpolationInterpolate($Q$1,H8,,Trigger)</f>
        <v>1.896385639453259E-3</v>
      </c>
      <c r="Q8" s="65">
        <f t="shared" si="2"/>
        <v>2.5802298995122961E-4</v>
      </c>
    </row>
    <row r="9" spans="1:17" x14ac:dyDescent="0.2">
      <c r="C9" s="72">
        <v>7</v>
      </c>
      <c r="D9" s="67" t="s">
        <v>21</v>
      </c>
      <c r="E9" s="68">
        <f>_xll.qlInterestRateIndexFixingDate(PROPER(Currency)&amp;IborType&amp;$B$1,F9,Trigger)</f>
        <v>42334</v>
      </c>
      <c r="F9" s="68">
        <f>_xll.qlCalendarAdvance(Calendar,F8,D9,"f",,Trigger)</f>
        <v>42338</v>
      </c>
      <c r="G9" s="68">
        <f>_xll.qlCalendarAdvance(Calendar,F9,$B$1,"mf",TRUE,Trigger)</f>
        <v>42521</v>
      </c>
      <c r="H9" s="69">
        <f>_xll.qlDayCounterYearFraction(DayCounter,$F$2,G9)</f>
        <v>1.1194444444444445</v>
      </c>
      <c r="I9" s="69">
        <f>_xll.qlDayCounterYearFraction(DayCounter,F9,G9,,,Trigger)</f>
        <v>0.5083333333333333</v>
      </c>
      <c r="J9" s="70">
        <f>_xll.qlIndexFixing(PROPER(Currency)&amp;IborType&amp;$B$1,E9,,Trigger)</f>
        <v>6.2391860827694628E-4</v>
      </c>
      <c r="K9" s="71">
        <f>_xll.qlYieldTSDiscount(OisCurve,F9,,Trigger)</f>
        <v>1.000801843360573</v>
      </c>
      <c r="L9" s="71">
        <f>_xll.qlYieldTSDiscount(OisCurve,G9,,Trigger)</f>
        <v>1.0015912406075029</v>
      </c>
      <c r="M9" s="70">
        <f t="shared" si="0"/>
        <v>-1.5504454850958057E-3</v>
      </c>
      <c r="N9" s="70">
        <f t="shared" si="1"/>
        <v>2.174364093372752E-3</v>
      </c>
      <c r="O9" s="70" t="b">
        <v>0</v>
      </c>
      <c r="P9" s="65">
        <f>_xll.qlInterpolationInterpolate($Q$1,H9,,Trigger)</f>
        <v>1.9208232171091923E-3</v>
      </c>
      <c r="Q9" s="65">
        <f t="shared" si="2"/>
        <v>2.5354087626355977E-4</v>
      </c>
    </row>
    <row r="10" spans="1:17" x14ac:dyDescent="0.2">
      <c r="C10" s="72">
        <v>8</v>
      </c>
      <c r="D10" s="67" t="s">
        <v>21</v>
      </c>
      <c r="E10" s="68">
        <f>_xll.qlInterestRateIndexFixingDate(PROPER(Currency)&amp;IborType&amp;$B$1,F10,Trigger)</f>
        <v>42366</v>
      </c>
      <c r="F10" s="68">
        <f>_xll.qlCalendarAdvance(Calendar,F9,D10,"f",,Trigger)</f>
        <v>42368</v>
      </c>
      <c r="G10" s="68">
        <f>_xll.qlCalendarAdvance(Calendar,F10,$B$1,"mf",TRUE,Trigger)</f>
        <v>42551</v>
      </c>
      <c r="H10" s="69">
        <f>_xll.qlDayCounterYearFraction(DayCounter,$F$2,G10)</f>
        <v>1.2027777777777777</v>
      </c>
      <c r="I10" s="69">
        <f>_xll.qlDayCounterYearFraction(DayCounter,F10,G10,,,Trigger)</f>
        <v>0.5083333333333333</v>
      </c>
      <c r="J10" s="70">
        <f>_xll.qlIndexFixing(PROPER(Currency)&amp;IborType&amp;$B$1,E10,,Trigger)</f>
        <v>6.3605518731007431E-4</v>
      </c>
      <c r="K10" s="71">
        <f>_xll.qlYieldTSDiscount(OisCurve,F10,,Trigger)</f>
        <v>1.0009326293727312</v>
      </c>
      <c r="L10" s="71">
        <f>_xll.qlYieldTSDiscount(OisCurve,G10,,Trigger)</f>
        <v>1.0017242235420694</v>
      </c>
      <c r="M10" s="70">
        <f t="shared" si="0"/>
        <v>-1.5545540328240673E-3</v>
      </c>
      <c r="N10" s="70">
        <f t="shared" si="1"/>
        <v>2.1906092201341414E-3</v>
      </c>
      <c r="O10" s="70" t="b">
        <v>0</v>
      </c>
      <c r="P10" s="65">
        <f>_xll.qlInterpolationInterpolate($Q$1,H10,,Trigger)</f>
        <v>1.9574785183349552E-3</v>
      </c>
      <c r="Q10" s="65">
        <f t="shared" si="2"/>
        <v>2.3313070179918627E-4</v>
      </c>
    </row>
    <row r="11" spans="1:17" x14ac:dyDescent="0.2">
      <c r="C11" s="72">
        <v>9</v>
      </c>
      <c r="D11" s="67" t="s">
        <v>21</v>
      </c>
      <c r="E11" s="68">
        <f>_xll.qlInterestRateIndexFixingDate(PROPER(Currency)&amp;IborType&amp;$B$1,F11,Trigger)</f>
        <v>42397</v>
      </c>
      <c r="F11" s="68">
        <f>_xll.qlCalendarAdvance(Calendar,F10,D11,"f",,Trigger)</f>
        <v>42401</v>
      </c>
      <c r="G11" s="68">
        <f>_xll.qlCalendarAdvance(Calendar,F11,$B$1,"mf",TRUE,Trigger)</f>
        <v>42583</v>
      </c>
      <c r="H11" s="69">
        <f>_xll.qlDayCounterYearFraction(DayCounter,$F$2,G11)</f>
        <v>1.2916666666666667</v>
      </c>
      <c r="I11" s="69">
        <f>_xll.qlDayCounterYearFraction(DayCounter,F11,G11,,,Trigger)</f>
        <v>0.50555555555555554</v>
      </c>
      <c r="J11" s="70">
        <f>_xll.qlIndexFixing(PROPER(Currency)&amp;IborType&amp;$B$1,E11,,Trigger)</f>
        <v>6.3463566612327138E-4</v>
      </c>
      <c r="K11" s="71">
        <f>_xll.qlYieldTSDiscount(OisCurve,F11,,Trigger)</f>
        <v>1.0010603188745613</v>
      </c>
      <c r="L11" s="71">
        <f>_xll.qlYieldTSDiscount(OisCurve,G11,,Trigger)</f>
        <v>1.0018649557009947</v>
      </c>
      <c r="M11" s="70">
        <f t="shared" si="0"/>
        <v>-1.5886266087603721E-3</v>
      </c>
      <c r="N11" s="70">
        <f t="shared" si="1"/>
        <v>2.2232622748836433E-3</v>
      </c>
      <c r="O11" s="70" t="b">
        <v>1</v>
      </c>
      <c r="P11" s="65">
        <f>_xll.qlInterpolationInterpolate($Q$1,H11,,Trigger)</f>
        <v>2.0067994654681966E-3</v>
      </c>
      <c r="Q11" s="65">
        <f t="shared" si="2"/>
        <v>2.1646280941544672E-4</v>
      </c>
    </row>
    <row r="12" spans="1:17" x14ac:dyDescent="0.2">
      <c r="C12" s="72">
        <v>10</v>
      </c>
      <c r="D12" s="67" t="s">
        <v>21</v>
      </c>
      <c r="E12" s="68">
        <f>_xll.qlInterestRateIndexFixingDate(PROPER(Currency)&amp;IborType&amp;$B$1,F12,Trigger)</f>
        <v>42426</v>
      </c>
      <c r="F12" s="68">
        <f>_xll.qlCalendarAdvance(Calendar,F11,D12,"f",,Trigger)</f>
        <v>42430</v>
      </c>
      <c r="G12" s="68">
        <f>_xll.qlCalendarAdvance(Calendar,F12,$B$1,"mf",TRUE,Trigger)</f>
        <v>42614</v>
      </c>
      <c r="H12" s="69">
        <f>_xll.qlDayCounterYearFraction(DayCounter,$F$2,G12)</f>
        <v>1.3777777777777778</v>
      </c>
      <c r="I12" s="69">
        <f>_xll.qlDayCounterYearFraction(DayCounter,F12,G12,,,Trigger)</f>
        <v>0.51111111111111107</v>
      </c>
      <c r="J12" s="70">
        <f>_xll.qlIndexFixing(PROPER(Currency)&amp;IborType&amp;$B$1,E12,,Trigger)</f>
        <v>6.4751379102209142E-4</v>
      </c>
      <c r="K12" s="71">
        <f>_xll.qlYieldTSDiscount(OisCurve,F12,,Trigger)</f>
        <v>1.0011928506701262</v>
      </c>
      <c r="L12" s="71">
        <f>_xll.qlYieldTSDiscount(OisCurve,G12,,Trigger)</f>
        <v>1.00199476948885</v>
      </c>
      <c r="M12" s="70">
        <f t="shared" si="0"/>
        <v>-1.5658480958451607E-3</v>
      </c>
      <c r="N12" s="70">
        <f t="shared" si="1"/>
        <v>2.213361886867252E-3</v>
      </c>
      <c r="O12" s="70" t="b">
        <v>0</v>
      </c>
      <c r="P12" s="65">
        <f>_xll.qlInterpolationInterpolate($Q$1,H12,,Trigger)</f>
        <v>2.0607957295515596E-3</v>
      </c>
      <c r="Q12" s="65">
        <f t="shared" si="2"/>
        <v>1.525661573156924E-4</v>
      </c>
    </row>
    <row r="13" spans="1:17" x14ac:dyDescent="0.2">
      <c r="C13" s="72">
        <v>11</v>
      </c>
      <c r="D13" s="67" t="s">
        <v>21</v>
      </c>
      <c r="E13" s="68">
        <f>_xll.qlInterestRateIndexFixingDate(PROPER(Currency)&amp;IborType&amp;$B$1,F13,Trigger)</f>
        <v>42459</v>
      </c>
      <c r="F13" s="68">
        <f>_xll.qlCalendarAdvance(Calendar,F12,D13,"f",,Trigger)</f>
        <v>42461</v>
      </c>
      <c r="G13" s="68">
        <f>_xll.qlCalendarAdvance(Calendar,F13,$B$1,"mf",TRUE,Trigger)</f>
        <v>42646</v>
      </c>
      <c r="H13" s="69">
        <f>_xll.qlDayCounterYearFraction(DayCounter,$F$2,G13)</f>
        <v>1.4666666666666666</v>
      </c>
      <c r="I13" s="69">
        <f>_xll.qlDayCounterYearFraction(DayCounter,F13,G13,,,Trigger)</f>
        <v>0.51388888888888884</v>
      </c>
      <c r="J13" s="70">
        <f>_xll.qlIndexFixing(PROPER(Currency)&amp;IborType&amp;$B$1,E13,,Trigger)</f>
        <v>6.6021718177073263E-4</v>
      </c>
      <c r="K13" s="71">
        <f>_xll.qlYieldTSDiscount(OisCurve,F13,,Trigger)</f>
        <v>1.0013296267287037</v>
      </c>
      <c r="L13" s="71">
        <f>_xll.qlYieldTSDiscount(OisCurve,G13,,Trigger)</f>
        <v>1.0021266667108879</v>
      </c>
      <c r="M13" s="70">
        <f t="shared" si="0"/>
        <v>-1.5477052688147137E-3</v>
      </c>
      <c r="N13" s="70">
        <f t="shared" si="1"/>
        <v>2.2079224505854463E-3</v>
      </c>
      <c r="O13" s="70" t="b">
        <v>0</v>
      </c>
      <c r="P13" s="65">
        <f>_xll.qlInterpolationInterpolate($Q$1,H13,,Trigger)</f>
        <v>2.1198038815070032E-3</v>
      </c>
      <c r="Q13" s="65">
        <f t="shared" si="2"/>
        <v>8.81185690784431E-5</v>
      </c>
    </row>
    <row r="14" spans="1:17" x14ac:dyDescent="0.2">
      <c r="C14" s="72">
        <v>12</v>
      </c>
      <c r="D14" s="67" t="s">
        <v>21</v>
      </c>
      <c r="E14" s="68">
        <f>_xll.qlInterestRateIndexFixingDate(PROPER(Currency)&amp;IborType&amp;$B$1,F14,Trigger)</f>
        <v>42488</v>
      </c>
      <c r="F14" s="68">
        <f>_xll.qlCalendarAdvance(Calendar,F13,D14,"f",,Trigger)</f>
        <v>42492</v>
      </c>
      <c r="G14" s="68">
        <f>_xll.qlCalendarAdvance(Calendar,F14,$B$1,"mf",TRUE,Trigger)</f>
        <v>42676</v>
      </c>
      <c r="H14" s="69">
        <f>_xll.qlDayCounterYearFraction(DayCounter,$F$2,G14)</f>
        <v>1.55</v>
      </c>
      <c r="I14" s="69">
        <f>_xll.qlDayCounterYearFraction(DayCounter,F14,G14,,,Trigger)</f>
        <v>0.51111111111111107</v>
      </c>
      <c r="J14" s="70">
        <f>_xll.qlIndexFixing(PROPER(Currency)&amp;IborType&amp;$B$1,E14,,Trigger)</f>
        <v>6.9662514398689639E-4</v>
      </c>
      <c r="K14" s="71">
        <f>_xll.qlYieldTSDiscount(OisCurve,F14,,Trigger)</f>
        <v>1.0014656936359652</v>
      </c>
      <c r="L14" s="71">
        <f>_xll.qlYieldTSDiscount(OisCurve,G14,,Trigger)</f>
        <v>1.0022537433860443</v>
      </c>
      <c r="M14" s="70">
        <f t="shared" si="0"/>
        <v>-1.5383693777357519E-3</v>
      </c>
      <c r="N14" s="70">
        <f t="shared" si="1"/>
        <v>2.2349945217226483E-3</v>
      </c>
      <c r="O14" s="70" t="b">
        <v>1</v>
      </c>
      <c r="P14" s="65">
        <f>_xll.qlInterpolationInterpolate($Q$1,H14,,Trigger)</f>
        <v>2.1760076662916718E-3</v>
      </c>
      <c r="Q14" s="65">
        <f t="shared" si="2"/>
        <v>5.8986855430976509E-5</v>
      </c>
    </row>
    <row r="15" spans="1:17" x14ac:dyDescent="0.2">
      <c r="C15" s="72">
        <v>13</v>
      </c>
      <c r="D15" s="67" t="s">
        <v>21</v>
      </c>
      <c r="E15" s="68">
        <f>_xll.qlInterestRateIndexFixingDate(PROPER(Currency)&amp;IborType&amp;$B$1,F15,Trigger)</f>
        <v>42521</v>
      </c>
      <c r="F15" s="68">
        <f>_xll.qlCalendarAdvance(Calendar,F14,D15,"f",,Trigger)</f>
        <v>42523</v>
      </c>
      <c r="G15" s="68">
        <f>_xll.qlCalendarAdvance(Calendar,F15,$B$1,"mf",TRUE,Trigger)</f>
        <v>42706</v>
      </c>
      <c r="H15" s="69">
        <f>_xll.qlDayCounterYearFraction(DayCounter,$F$2,G15)</f>
        <v>1.6333333333333333</v>
      </c>
      <c r="I15" s="69">
        <f>_xll.qlDayCounterYearFraction(DayCounter,F15,G15,,,Trigger)</f>
        <v>0.5083333333333333</v>
      </c>
      <c r="J15" s="70">
        <f>_xll.qlIndexFixing(PROPER(Currency)&amp;IborType&amp;$B$1,E15,,Trigger)</f>
        <v>7.1386066128320731E-4</v>
      </c>
      <c r="K15" s="71">
        <f>_xll.qlYieldTSDiscount(OisCurve,F15,,Trigger)</f>
        <v>1.0015999740076771</v>
      </c>
      <c r="L15" s="71">
        <f>_xll.qlYieldTSDiscount(OisCurve,G15,,Trigger)</f>
        <v>1.002385453370749</v>
      </c>
      <c r="M15" s="70">
        <f t="shared" si="0"/>
        <v>-1.5415280610943998E-3</v>
      </c>
      <c r="N15" s="70">
        <f t="shared" si="1"/>
        <v>2.255388722377607E-3</v>
      </c>
      <c r="O15" s="70" t="b">
        <v>0</v>
      </c>
      <c r="P15" s="65">
        <f>_xll.qlInterpolationInterpolate($Q$1,H15,,Trigger)</f>
        <v>2.2315685220770667E-3</v>
      </c>
      <c r="Q15" s="65">
        <f t="shared" si="2"/>
        <v>2.3820200300540394E-5</v>
      </c>
    </row>
    <row r="16" spans="1:17" x14ac:dyDescent="0.2">
      <c r="C16" s="72">
        <v>14</v>
      </c>
      <c r="D16" s="67" t="s">
        <v>21</v>
      </c>
      <c r="E16" s="68">
        <f>_xll.qlInterestRateIndexFixingDate(PROPER(Currency)&amp;IborType&amp;$B$1,F16,Trigger)</f>
        <v>42551</v>
      </c>
      <c r="F16" s="68">
        <f>_xll.qlCalendarAdvance(Calendar,F15,D16,"f",,Trigger)</f>
        <v>42555</v>
      </c>
      <c r="G16" s="68">
        <f>_xll.qlCalendarAdvance(Calendar,F16,$B$1,"mf",TRUE,Trigger)</f>
        <v>42739</v>
      </c>
      <c r="H16" s="69">
        <f>_xll.qlDayCounterYearFraction(DayCounter,$F$2,G16)</f>
        <v>1.7250000000000001</v>
      </c>
      <c r="I16" s="69">
        <f>_xll.qlDayCounterYearFraction(DayCounter,F16,G16,,,Trigger)</f>
        <v>0.51111111111111107</v>
      </c>
      <c r="J16" s="70">
        <f>_xll.qlIndexFixing(PROPER(Currency)&amp;IborType&amp;$B$1,E16,,Trigger)</f>
        <v>7.6798513589852919E-4</v>
      </c>
      <c r="K16" s="71">
        <f>_xll.qlYieldTSDiscount(OisCurve,F16,,Trigger)</f>
        <v>1.0017420863592663</v>
      </c>
      <c r="L16" s="71">
        <f>_xll.qlYieldTSDiscount(OisCurve,G16,,Trigger)</f>
        <v>1.0025210686318811</v>
      </c>
      <c r="M16" s="70">
        <f t="shared" si="0"/>
        <v>-1.5202630632469344E-3</v>
      </c>
      <c r="N16" s="70">
        <f t="shared" si="1"/>
        <v>2.2882481991454637E-3</v>
      </c>
      <c r="O16" s="70" t="b">
        <v>0</v>
      </c>
      <c r="P16" s="65">
        <f>_xll.qlInterpolationInterpolate($Q$1,H16,,Trigger)</f>
        <v>2.2907001462724457E-3</v>
      </c>
      <c r="Q16" s="65">
        <f t="shared" si="2"/>
        <v>-2.4519471269819799E-6</v>
      </c>
    </row>
    <row r="17" spans="3:17" x14ac:dyDescent="0.2">
      <c r="C17" s="72">
        <v>15</v>
      </c>
      <c r="D17" s="67" t="s">
        <v>21</v>
      </c>
      <c r="E17" s="68">
        <f>_xll.qlInterestRateIndexFixingDate(PROPER(Currency)&amp;IborType&amp;$B$1,F17,Trigger)</f>
        <v>42584</v>
      </c>
      <c r="F17" s="68">
        <f>_xll.qlCalendarAdvance(Calendar,F16,D17,"f",,Trigger)</f>
        <v>42586</v>
      </c>
      <c r="G17" s="68">
        <f>_xll.qlCalendarAdvance(Calendar,F17,$B$1,"mf",TRUE,Trigger)</f>
        <v>42772</v>
      </c>
      <c r="H17" s="69">
        <f>_xll.qlDayCounterYearFraction(DayCounter,$F$2,G17)</f>
        <v>1.8166666666666667</v>
      </c>
      <c r="I17" s="69">
        <f>_xll.qlDayCounterYearFraction(DayCounter,F17,G17,,,Trigger)</f>
        <v>0.51666666666666672</v>
      </c>
      <c r="J17" s="70">
        <f>_xll.qlIndexFixing(PROPER(Currency)&amp;IborType&amp;$B$1,E17,,Trigger)</f>
        <v>8.1402176868515476E-4</v>
      </c>
      <c r="K17" s="71">
        <f>_xll.qlYieldTSDiscount(OisCurve,F17,,Trigger)</f>
        <v>1.0018777636702441</v>
      </c>
      <c r="L17" s="71">
        <f>_xll.qlYieldTSDiscount(OisCurve,G17,,Trigger)</f>
        <v>1.0026565262927967</v>
      </c>
      <c r="M17" s="70">
        <f t="shared" si="0"/>
        <v>-1.5032889685924701E-3</v>
      </c>
      <c r="N17" s="70">
        <f t="shared" si="1"/>
        <v>2.3173107372776247E-3</v>
      </c>
      <c r="O17" s="70" t="b">
        <v>1</v>
      </c>
      <c r="P17" s="65">
        <f>_xll.qlInterpolationInterpolate($Q$1,H17,,Trigger)</f>
        <v>2.346829139830706E-3</v>
      </c>
      <c r="Q17" s="65">
        <f t="shared" si="2"/>
        <v>-2.9518402553081226E-5</v>
      </c>
    </row>
    <row r="18" spans="3:17" x14ac:dyDescent="0.2">
      <c r="C18" s="72">
        <v>16</v>
      </c>
      <c r="D18" s="67" t="s">
        <v>21</v>
      </c>
      <c r="E18" s="68">
        <f>_xll.qlInterestRateIndexFixingDate(PROPER(Currency)&amp;IborType&amp;$B$1,F18,Trigger)</f>
        <v>42614</v>
      </c>
      <c r="F18" s="68">
        <f>_xll.qlCalendarAdvance(Calendar,F17,D18,"f",,Trigger)</f>
        <v>42618</v>
      </c>
      <c r="G18" s="68">
        <f>_xll.qlCalendarAdvance(Calendar,F18,$B$1,"mf",TRUE,Trigger)</f>
        <v>42800</v>
      </c>
      <c r="H18" s="69">
        <f>_xll.qlDayCounterYearFraction(DayCounter,$F$2,G18)</f>
        <v>1.8944444444444444</v>
      </c>
      <c r="I18" s="69">
        <f>_xll.qlDayCounterYearFraction(DayCounter,F18,G18,,,Trigger)</f>
        <v>0.50555555555555554</v>
      </c>
      <c r="J18" s="70">
        <f>_xll.qlIndexFixing(PROPER(Currency)&amp;IborType&amp;$B$1,E18,,Trigger)</f>
        <v>8.5577477621509796E-4</v>
      </c>
      <c r="K18" s="71">
        <f>_xll.qlYieldTSDiscount(OisCurve,F18,,Trigger)</f>
        <v>1.0020112508851033</v>
      </c>
      <c r="L18" s="71">
        <f>_xll.qlYieldTSDiscount(OisCurve,G18,,Trigger)</f>
        <v>1.0027620553104204</v>
      </c>
      <c r="M18" s="70">
        <f t="shared" si="0"/>
        <v>-1.4810170035937245E-3</v>
      </c>
      <c r="N18" s="70">
        <f t="shared" si="1"/>
        <v>2.3367917798088225E-3</v>
      </c>
      <c r="O18" s="70" t="b">
        <v>0</v>
      </c>
      <c r="P18" s="65">
        <f>_xll.qlInterpolationInterpolate($Q$1,H18,,Trigger)</f>
        <v>2.3916311711922288E-3</v>
      </c>
      <c r="Q18" s="65">
        <f t="shared" si="2"/>
        <v>-5.4839391383406256E-5</v>
      </c>
    </row>
    <row r="19" spans="3:17" x14ac:dyDescent="0.2">
      <c r="C19" s="72">
        <v>17</v>
      </c>
      <c r="D19" s="67" t="s">
        <v>21</v>
      </c>
      <c r="E19" s="68">
        <f>_xll.qlInterestRateIndexFixingDate(PROPER(Currency)&amp;IborType&amp;$B$1,F19,Trigger)</f>
        <v>42646</v>
      </c>
      <c r="F19" s="68">
        <f>_xll.qlCalendarAdvance(Calendar,F18,D19,"f",,Trigger)</f>
        <v>42648</v>
      </c>
      <c r="G19" s="68">
        <f>_xll.qlCalendarAdvance(Calendar,F19,$B$1,"mf",TRUE,Trigger)</f>
        <v>42830</v>
      </c>
      <c r="H19" s="69">
        <f>_xll.qlDayCounterYearFraction(DayCounter,$F$2,G19)</f>
        <v>1.9777777777777779</v>
      </c>
      <c r="I19" s="69">
        <f>_xll.qlDayCounterYearFraction(DayCounter,F19,G19,,,Trigger)</f>
        <v>0.50555555555555554</v>
      </c>
      <c r="J19" s="70">
        <f>_xll.qlIndexFixing(PROPER(Currency)&amp;IborType&amp;$B$1,E19,,Trigger)</f>
        <v>9.0934643800614557E-4</v>
      </c>
      <c r="K19" s="71">
        <f>_xll.qlYieldTSDiscount(OisCurve,F19,,Trigger)</f>
        <v>1.0021349776281832</v>
      </c>
      <c r="L19" s="71">
        <f>_xll.qlYieldTSDiscount(OisCurve,G19,,Trigger)</f>
        <v>1.0028671682400967</v>
      </c>
      <c r="M19" s="70">
        <f t="shared" si="0"/>
        <v>-1.4441485057366393E-3</v>
      </c>
      <c r="N19" s="70">
        <f t="shared" si="1"/>
        <v>2.3534949437427847E-3</v>
      </c>
      <c r="O19" s="70" t="b">
        <v>0</v>
      </c>
      <c r="P19" s="65">
        <f>_xll.qlInterpolationInterpolate($Q$1,H19,,Trigger)</f>
        <v>2.4364740129436597E-3</v>
      </c>
      <c r="Q19" s="65">
        <f t="shared" si="2"/>
        <v>-8.2979069200875017E-5</v>
      </c>
    </row>
    <row r="20" spans="3:17" x14ac:dyDescent="0.2">
      <c r="C20" s="72">
        <v>18</v>
      </c>
      <c r="D20" s="67" t="s">
        <v>21</v>
      </c>
      <c r="E20" s="68">
        <f>_xll.qlInterestRateIndexFixingDate(PROPER(Currency)&amp;IborType&amp;$B$1,F20,Trigger)</f>
        <v>42677</v>
      </c>
      <c r="F20" s="68">
        <f>_xll.qlCalendarAdvance(Calendar,F19,D20,"f",,Trigger)</f>
        <v>42681</v>
      </c>
      <c r="G20" s="68">
        <f>_xll.qlCalendarAdvance(Calendar,F20,$B$1,"mf",TRUE,Trigger)</f>
        <v>42863</v>
      </c>
      <c r="H20" s="69">
        <f>_xll.qlDayCounterYearFraction(DayCounter,$F$2,G20)</f>
        <v>2.0694444444444446</v>
      </c>
      <c r="I20" s="69">
        <f>_xll.qlDayCounterYearFraction(DayCounter,F20,G20,,,Trigger)</f>
        <v>0.50555555555555554</v>
      </c>
      <c r="J20" s="70">
        <f>_xll.qlIndexFixing(PROPER(Currency)&amp;IborType&amp;$B$1,E20,,Trigger)</f>
        <v>1.0036501972380592E-3</v>
      </c>
      <c r="K20" s="71">
        <f>_xll.qlYieldTSDiscount(OisCurve,F20,,Trigger)</f>
        <v>1.002275488608384</v>
      </c>
      <c r="L20" s="71">
        <f>_xll.qlYieldTSDiscount(OisCurve,G20,,Trigger)</f>
        <v>1.0029755943474816</v>
      </c>
      <c r="M20" s="70">
        <f t="shared" si="0"/>
        <v>-1.3807160878877489E-3</v>
      </c>
      <c r="N20" s="70">
        <f t="shared" si="1"/>
        <v>2.3843662851258081E-3</v>
      </c>
      <c r="O20" s="70" t="b">
        <v>1</v>
      </c>
      <c r="P20" s="65">
        <f>_xll.qlInterpolationInterpolate($Q$1,H20,,Trigger)</f>
        <v>2.481843544660905E-3</v>
      </c>
      <c r="Q20" s="65">
        <f t="shared" si="2"/>
        <v>-9.7477259535096866E-5</v>
      </c>
    </row>
    <row r="21" spans="3:17" x14ac:dyDescent="0.2">
      <c r="C21" s="72">
        <v>19</v>
      </c>
      <c r="D21" s="67" t="s">
        <v>21</v>
      </c>
      <c r="E21" s="68">
        <f>_xll.qlInterestRateIndexFixingDate(PROPER(Currency)&amp;IborType&amp;$B$1,F21,Trigger)</f>
        <v>42709</v>
      </c>
      <c r="F21" s="68">
        <f>_xll.qlCalendarAdvance(Calendar,F20,D21,"f",,Trigger)</f>
        <v>42711</v>
      </c>
      <c r="G21" s="68">
        <f>_xll.qlCalendarAdvance(Calendar,F21,$B$1,"mf",TRUE,Trigger)</f>
        <v>42893</v>
      </c>
      <c r="H21" s="69">
        <f>_xll.qlDayCounterYearFraction(DayCounter,$F$2,G21)</f>
        <v>2.1527777777777777</v>
      </c>
      <c r="I21" s="69">
        <f>_xll.qlDayCounterYearFraction(DayCounter,F21,G21,,,Trigger)</f>
        <v>0.50555555555555554</v>
      </c>
      <c r="J21" s="70">
        <f>_xll.qlIndexFixing(PROPER(Currency)&amp;IborType&amp;$B$1,E21,,Trigger)</f>
        <v>1.0760919030500798E-3</v>
      </c>
      <c r="K21" s="71">
        <f>_xll.qlYieldTSDiscount(OisCurve,F21,,Trigger)</f>
        <v>1.0024075034520497</v>
      </c>
      <c r="L21" s="71">
        <f>_xll.qlYieldTSDiscount(OisCurve,G21,,Trigger)</f>
        <v>1.0030685975292206</v>
      </c>
      <c r="M21" s="70">
        <f t="shared" si="0"/>
        <v>-1.3036582118164997E-3</v>
      </c>
      <c r="N21" s="70">
        <f t="shared" si="1"/>
        <v>2.3797501148665797E-3</v>
      </c>
      <c r="O21" s="70" t="b">
        <v>0</v>
      </c>
      <c r="P21" s="65">
        <f>_xll.qlInterpolationInterpolate($Q$1,H21,,Trigger)</f>
        <v>2.5194253731917705E-3</v>
      </c>
      <c r="Q21" s="65">
        <f t="shared" si="2"/>
        <v>-1.3967525832519079E-4</v>
      </c>
    </row>
    <row r="22" spans="3:17" x14ac:dyDescent="0.2">
      <c r="C22" s="72">
        <v>20</v>
      </c>
      <c r="D22" s="67" t="s">
        <v>21</v>
      </c>
      <c r="E22" s="68">
        <f>_xll.qlInterestRateIndexFixingDate(PROPER(Currency)&amp;IborType&amp;$B$1,F22,Trigger)</f>
        <v>42740</v>
      </c>
      <c r="F22" s="68">
        <f>_xll.qlCalendarAdvance(Calendar,F21,D22,"f",,Trigger)</f>
        <v>42744</v>
      </c>
      <c r="G22" s="68">
        <f>_xll.qlCalendarAdvance(Calendar,F22,$B$1,"mf",TRUE,Trigger)</f>
        <v>42926</v>
      </c>
      <c r="H22" s="69">
        <f>_xll.qlDayCounterYearFraction(DayCounter,$F$2,G22)</f>
        <v>2.2444444444444445</v>
      </c>
      <c r="I22" s="69">
        <f>_xll.qlDayCounterYearFraction(DayCounter,F22,G22,,,Trigger)</f>
        <v>0.50555555555555554</v>
      </c>
      <c r="J22" s="70">
        <f>_xll.qlIndexFixing(PROPER(Currency)&amp;IborType&amp;$B$1,E22,,Trigger)</f>
        <v>1.1389345280237724E-3</v>
      </c>
      <c r="K22" s="71">
        <f>_xll.qlYieldTSDiscount(OisCurve,F22,,Trigger)</f>
        <v>1.0025423213931721</v>
      </c>
      <c r="L22" s="71">
        <f>_xll.qlYieldTSDiscount(OisCurve,G22,,Trigger)</f>
        <v>1.0031642590840029</v>
      </c>
      <c r="M22" s="70">
        <f t="shared" si="0"/>
        <v>-1.2263260082120335E-3</v>
      </c>
      <c r="N22" s="70">
        <f t="shared" si="1"/>
        <v>2.3652605362358059E-3</v>
      </c>
      <c r="O22" s="70" t="b">
        <v>0</v>
      </c>
      <c r="P22" s="65">
        <f>_xll.qlInterpolationInterpolate($Q$1,H22,,Trigger)</f>
        <v>2.5567517060748578E-3</v>
      </c>
      <c r="Q22" s="65">
        <f t="shared" si="2"/>
        <v>-1.9149116983905191E-4</v>
      </c>
    </row>
    <row r="23" spans="3:17" x14ac:dyDescent="0.2">
      <c r="C23" s="72">
        <v>21</v>
      </c>
      <c r="D23" s="67" t="s">
        <v>21</v>
      </c>
      <c r="E23" s="68">
        <f>_xll.qlInterestRateIndexFixingDate(PROPER(Currency)&amp;IborType&amp;$B$1,F23,Trigger)</f>
        <v>42773</v>
      </c>
      <c r="F23" s="68">
        <f>_xll.qlCalendarAdvance(Calendar,F22,D23,"f",,Trigger)</f>
        <v>42775</v>
      </c>
      <c r="G23" s="68">
        <f>_xll.qlCalendarAdvance(Calendar,F23,$B$1,"mf",TRUE,Trigger)</f>
        <v>42956</v>
      </c>
      <c r="H23" s="69">
        <f>_xll.qlDayCounterYearFraction(DayCounter,$F$2,G23)</f>
        <v>2.3277777777777779</v>
      </c>
      <c r="I23" s="69">
        <f>_xll.qlDayCounterYearFraction(DayCounter,F23,G23,,,Trigger)</f>
        <v>0.50277777777777777</v>
      </c>
      <c r="J23" s="70">
        <f>_xll.qlIndexFixing(PROPER(Currency)&amp;IborType&amp;$B$1,E23,,Trigger)</f>
        <v>1.2577849975201321E-3</v>
      </c>
      <c r="K23" s="71">
        <f>_xll.qlYieldTSDiscount(OisCurve,F23,,Trigger)</f>
        <v>1.0026682269897249</v>
      </c>
      <c r="L23" s="71">
        <f>_xll.qlYieldTSDiscount(OisCurve,G23,,Trigger)</f>
        <v>1.0032446345893409</v>
      </c>
      <c r="M23" s="70">
        <f t="shared" si="0"/>
        <v>-1.1427382863145189E-3</v>
      </c>
      <c r="N23" s="70">
        <f t="shared" si="1"/>
        <v>2.400523283834651E-3</v>
      </c>
      <c r="O23" s="70" t="b">
        <v>1</v>
      </c>
      <c r="P23" s="65">
        <f>_xll.qlInterpolationInterpolate($Q$1,H23,,Trigger)</f>
        <v>2.5871067869120169E-3</v>
      </c>
      <c r="Q23" s="65">
        <f t="shared" si="2"/>
        <v>-1.8658350307736594E-4</v>
      </c>
    </row>
    <row r="24" spans="3:17" x14ac:dyDescent="0.2">
      <c r="C24" s="72">
        <v>22</v>
      </c>
      <c r="D24" s="67" t="s">
        <v>21</v>
      </c>
      <c r="E24" s="68">
        <f>_xll.qlInterestRateIndexFixingDate(PROPER(Currency)&amp;IborType&amp;$B$1,F24,Trigger)</f>
        <v>42801</v>
      </c>
      <c r="F24" s="68">
        <f>_xll.qlCalendarAdvance(Calendar,F23,D24,"f",,Trigger)</f>
        <v>42803</v>
      </c>
      <c r="G24" s="68">
        <f>_xll.qlCalendarAdvance(Calendar,F24,$B$1,"mf",TRUE,Trigger)</f>
        <v>42989</v>
      </c>
      <c r="H24" s="69">
        <f>_xll.qlDayCounterYearFraction(DayCounter,$F$2,G24)</f>
        <v>2.4194444444444443</v>
      </c>
      <c r="I24" s="69">
        <f>_xll.qlDayCounterYearFraction(DayCounter,F24,G24,,,Trigger)</f>
        <v>0.51666666666666672</v>
      </c>
      <c r="J24" s="70">
        <f>_xll.qlIndexFixing(PROPER(Currency)&amp;IborType&amp;$B$1,E24,,Trigger)</f>
        <v>1.3773064296400538E-3</v>
      </c>
      <c r="K24" s="71">
        <f>_xll.qlYieldTSDiscount(OisCurve,F24,,Trigger)</f>
        <v>1.0027729057131334</v>
      </c>
      <c r="L24" s="71">
        <f>_xll.qlYieldTSDiscount(OisCurve,G24,,Trigger)</f>
        <v>1.0033251729607429</v>
      </c>
      <c r="M24" s="70">
        <f t="shared" si="0"/>
        <v>-1.0653618378353436E-3</v>
      </c>
      <c r="N24" s="70">
        <f t="shared" si="1"/>
        <v>2.4426682674753971E-3</v>
      </c>
      <c r="O24" s="70" t="b">
        <v>0</v>
      </c>
      <c r="P24" s="65">
        <f>_xll.qlInterpolationInterpolate($Q$1,H24,,Trigger)</f>
        <v>2.616687261791898E-3</v>
      </c>
      <c r="Q24" s="65">
        <f t="shared" si="2"/>
        <v>-1.7401899431650084E-4</v>
      </c>
    </row>
    <row r="25" spans="3:17" x14ac:dyDescent="0.2">
      <c r="C25" s="72">
        <v>23</v>
      </c>
      <c r="D25" s="67" t="s">
        <v>21</v>
      </c>
      <c r="E25" s="68">
        <f>_xll.qlInterestRateIndexFixingDate(PROPER(Currency)&amp;IborType&amp;$B$1,F25,Trigger)</f>
        <v>42831</v>
      </c>
      <c r="F25" s="68">
        <f>_xll.qlCalendarAdvance(Calendar,F24,D25,"f",,Trigger)</f>
        <v>42835</v>
      </c>
      <c r="G25" s="68">
        <f>_xll.qlCalendarAdvance(Calendar,F25,$B$1,"mf",TRUE,Trigger)</f>
        <v>43018</v>
      </c>
      <c r="H25" s="69">
        <f>_xll.qlDayCounterYearFraction(DayCounter,$F$2,G25)</f>
        <v>2.5</v>
      </c>
      <c r="I25" s="69">
        <f>_xll.qlDayCounterYearFraction(DayCounter,F25,G25,,,Trigger)</f>
        <v>0.5083333333333333</v>
      </c>
      <c r="J25" s="70">
        <f>_xll.qlIndexFixing(PROPER(Currency)&amp;IborType&amp;$B$1,E25,,Trigger)</f>
        <v>1.4805131781463587E-3</v>
      </c>
      <c r="K25" s="71">
        <f>_xll.qlYieldTSDiscount(OisCurve,F25,,Trigger)</f>
        <v>1.0028840239216399</v>
      </c>
      <c r="L25" s="71">
        <f>_xll.qlYieldTSDiscount(OisCurve,G25,,Trigger)</f>
        <v>1.0033886197695934</v>
      </c>
      <c r="M25" s="70">
        <f t="shared" si="0"/>
        <v>-9.8929522438914426E-4</v>
      </c>
      <c r="N25" s="70">
        <f t="shared" si="1"/>
        <v>2.4698084025355027E-3</v>
      </c>
      <c r="O25" s="70" t="b">
        <v>0</v>
      </c>
      <c r="P25" s="65">
        <f>_xll.qlInterpolationInterpolate($Q$1,H25,,Trigger)</f>
        <v>2.6395167095021313E-3</v>
      </c>
      <c r="Q25" s="65">
        <f t="shared" si="2"/>
        <v>-1.6970830696662852E-4</v>
      </c>
    </row>
    <row r="26" spans="3:17" x14ac:dyDescent="0.2">
      <c r="C26" s="72">
        <v>24</v>
      </c>
      <c r="D26" s="67" t="s">
        <v>21</v>
      </c>
      <c r="E26" s="68">
        <f>_xll.qlInterestRateIndexFixingDate(PROPER(Currency)&amp;IborType&amp;$B$1,F26,Trigger)</f>
        <v>42863</v>
      </c>
      <c r="F26" s="68">
        <f>_xll.qlCalendarAdvance(Calendar,F25,D26,"f",,Trigger)</f>
        <v>42865</v>
      </c>
      <c r="G26" s="68">
        <f>_xll.qlCalendarAdvance(Calendar,F26,$B$1,"mf",TRUE,Trigger)</f>
        <v>43049</v>
      </c>
      <c r="H26" s="69">
        <f>_xll.qlDayCounterYearFraction(DayCounter,$F$2,G26)</f>
        <v>2.5861111111111112</v>
      </c>
      <c r="I26" s="69">
        <f>_xll.qlDayCounterYearFraction(DayCounter,F26,G26,,,Trigger)</f>
        <v>0.51111111111111107</v>
      </c>
      <c r="J26" s="70">
        <f>_xll.qlIndexFixing(PROPER(Currency)&amp;IborType&amp;$B$1,E26,,Trigger)</f>
        <v>1.5616188472092945E-3</v>
      </c>
      <c r="K26" s="71">
        <f>_xll.qlYieldTSDiscount(OisCurve,F26,,Trigger)</f>
        <v>1.0029819627520089</v>
      </c>
      <c r="L26" s="71">
        <f>_xll.qlYieldTSDiscount(OisCurve,G26,,Trigger)</f>
        <v>1.0034483174366686</v>
      </c>
      <c r="M26" s="70">
        <f t="shared" si="0"/>
        <v>-9.0929753214681922E-4</v>
      </c>
      <c r="N26" s="70">
        <f t="shared" si="1"/>
        <v>2.4709163793561139E-3</v>
      </c>
      <c r="O26" s="70" t="b">
        <v>1</v>
      </c>
      <c r="P26" s="65">
        <f>_xll.qlInterpolationInterpolate($Q$1,H26,,Trigger)</f>
        <v>2.6607986556812183E-3</v>
      </c>
      <c r="Q26" s="65">
        <f t="shared" si="2"/>
        <v>-1.8988227632510445E-4</v>
      </c>
    </row>
    <row r="27" spans="3:17" x14ac:dyDescent="0.2">
      <c r="C27" s="72" t="s">
        <v>78</v>
      </c>
      <c r="D27" s="67" t="s">
        <v>43</v>
      </c>
      <c r="E27" s="68">
        <f>_xll.qlInterestRateIndexFixingDate(PROPER(Currency)&amp;IborType&amp;$B$1,F27,Trigger)</f>
        <v>43047</v>
      </c>
      <c r="F27" s="68">
        <f>_xll.qlCalendarAdvance(Calendar,F26,D27,"f",,Trigger)</f>
        <v>43049</v>
      </c>
      <c r="G27" s="68">
        <f>_xll.qlCalendarAdvance(Calendar,F27,$B$1,"mf",TRUE,Trigger)</f>
        <v>43230</v>
      </c>
      <c r="H27" s="69">
        <f>_xll.qlDayCounterYearFraction(DayCounter,$F$2,G27)</f>
        <v>3.088888888888889</v>
      </c>
      <c r="I27" s="69">
        <f>_xll.qlDayCounterYearFraction(DayCounter,F27,G27,,,Trigger)</f>
        <v>0.50277777777777777</v>
      </c>
      <c r="J27" s="70">
        <f>_xll.qlIndexFixing(PROPER(Currency)&amp;IborType&amp;$B$1,E27,,Trigger)</f>
        <v>2.2327463115587756E-3</v>
      </c>
      <c r="K27" s="71">
        <f>_xll.qlYieldTSDiscount(OisCurve,F27,,Trigger)</f>
        <v>1.0034483174366686</v>
      </c>
      <c r="L27" s="71">
        <f>_xll.qlYieldTSDiscount(OisCurve,G27,,Trigger)</f>
        <v>1.0036002818069363</v>
      </c>
      <c r="M27" s="70">
        <f t="shared" ref="M27" si="3">1/I27*(K27/L27-1)</f>
        <v>-3.0116529628596272E-4</v>
      </c>
      <c r="N27" s="70">
        <f t="shared" ref="N27" si="4">J27-M27</f>
        <v>2.5339116078447383E-3</v>
      </c>
      <c r="O27" s="70" t="b">
        <v>1</v>
      </c>
      <c r="P27" s="65">
        <f>_xll.qlInterpolationInterpolate($Q$1,H27,,Trigger)</f>
        <v>2.7295692032980514E-3</v>
      </c>
      <c r="Q27" s="65">
        <f t="shared" ref="Q27" si="5">N27-P27</f>
        <v>-1.9565759545331308E-4</v>
      </c>
    </row>
    <row r="28" spans="3:17" x14ac:dyDescent="0.2">
      <c r="C28" s="72" t="s">
        <v>56</v>
      </c>
      <c r="D28" s="67" t="s">
        <v>55</v>
      </c>
      <c r="E28" s="68">
        <f>_xll.qlInterestRateIndexFixingDate(PROPER(Currency)&amp;IborType&amp;$B$1,F28,Trigger)</f>
        <v>43228</v>
      </c>
      <c r="F28" s="68">
        <f>_xll.qlCalendarAdvance(Calendar,F26,D28,"f",,Trigger)</f>
        <v>43230</v>
      </c>
      <c r="G28" s="68">
        <f>_xll.qlCalendarAdvance(Calendar,F28,$B$1,"mf",TRUE,Trigger)</f>
        <v>43416</v>
      </c>
      <c r="H28" s="69">
        <f>_xll.qlDayCounterYearFraction(DayCounter,$F$2,G28)</f>
        <v>3.6055555555555556</v>
      </c>
      <c r="I28" s="69">
        <f>_xll.qlDayCounterYearFraction(DayCounter,F28,G28,,,Trigger)</f>
        <v>0.51666666666666672</v>
      </c>
      <c r="J28" s="70">
        <f>_xll.qlIndexFixing(PROPER(Currency)&amp;IborType&amp;$B$1,E28,,Trigger)</f>
        <v>3.1268029759704084E-3</v>
      </c>
      <c r="K28" s="71">
        <f>_xll.qlYieldTSDiscount(OisCurve,F28,,Trigger)</f>
        <v>1.0036002818069363</v>
      </c>
      <c r="L28" s="71">
        <f>_xll.qlYieldTSDiscount(OisCurve,G28,,Trigger)</f>
        <v>1.0033670673272166</v>
      </c>
      <c r="M28" s="70">
        <f t="shared" si="0"/>
        <v>4.498681276991185E-4</v>
      </c>
      <c r="N28" s="70">
        <f t="shared" si="1"/>
        <v>2.6769348482712898E-3</v>
      </c>
      <c r="O28" s="70" t="b">
        <v>1</v>
      </c>
      <c r="P28" s="65">
        <f>_xll.qlInterpolationInterpolate($Q$1,H28,,Trigger)</f>
        <v>2.7267000620038221E-3</v>
      </c>
      <c r="Q28" s="65">
        <f t="shared" si="2"/>
        <v>-4.9765213732532333E-5</v>
      </c>
    </row>
    <row r="29" spans="3:17" x14ac:dyDescent="0.2">
      <c r="C29" s="72" t="s">
        <v>57</v>
      </c>
      <c r="D29" s="67" t="s">
        <v>55</v>
      </c>
      <c r="E29" s="68">
        <f>_xll.qlInterestRateIndexFixingDate(PROPER(Currency)&amp;IborType&amp;$B$1,F29,Trigger)</f>
        <v>43593</v>
      </c>
      <c r="F29" s="68">
        <f>_xll.qlCalendarAdvance(Calendar,F28,D29,"f",,Trigger)</f>
        <v>43595</v>
      </c>
      <c r="G29" s="68">
        <f>_xll.qlCalendarAdvance(Calendar,F29,$B$1,"mf",TRUE,Trigger)</f>
        <v>43780</v>
      </c>
      <c r="H29" s="69">
        <f>_xll.qlDayCounterYearFraction(DayCounter,$F$2,G29)</f>
        <v>4.6166666666666663</v>
      </c>
      <c r="I29" s="69">
        <f>_xll.qlDayCounterYearFraction(DayCounter,F29,G29,,,Trigger)</f>
        <v>0.51388888888888884</v>
      </c>
      <c r="J29" s="70">
        <f>_xll.qlIndexFixing(PROPER(Currency)&amp;IborType&amp;$B$1,E29,,Trigger)</f>
        <v>4.4734552925472289E-3</v>
      </c>
      <c r="K29" s="71">
        <f>_xll.qlYieldTSDiscount(OisCurve,F29,,Trigger)</f>
        <v>1.0028310543092265</v>
      </c>
      <c r="L29" s="71">
        <f>_xll.qlYieldTSDiscount(OisCurve,G29,,Trigger)</f>
        <v>1.0020116852109626</v>
      </c>
      <c r="M29" s="70">
        <f t="shared" si="0"/>
        <v>1.5912468871701014E-3</v>
      </c>
      <c r="N29" s="70">
        <f t="shared" si="1"/>
        <v>2.8822084053771275E-3</v>
      </c>
      <c r="O29" s="70" t="b">
        <v>1</v>
      </c>
      <c r="P29" s="65">
        <f>_xll.qlInterpolationInterpolate($Q$1,H29,,Trigger)</f>
        <v>2.6092009780151835E-3</v>
      </c>
      <c r="Q29" s="65">
        <f t="shared" si="2"/>
        <v>2.7300742736194403E-4</v>
      </c>
    </row>
    <row r="30" spans="3:17" x14ac:dyDescent="0.2">
      <c r="C30" s="72" t="s">
        <v>58</v>
      </c>
      <c r="D30" s="67" t="s">
        <v>55</v>
      </c>
      <c r="E30" s="68">
        <f>_xll.qlInterestRateIndexFixingDate(PROPER(Currency)&amp;IborType&amp;$B$1,F30,Trigger)</f>
        <v>43958</v>
      </c>
      <c r="F30" s="68">
        <f>_xll.qlCalendarAdvance(Calendar,F29,D30,"f",,Trigger)</f>
        <v>43962</v>
      </c>
      <c r="G30" s="68">
        <f>_xll.qlCalendarAdvance(Calendar,F30,$B$1,"mf",TRUE,Trigger)</f>
        <v>44146</v>
      </c>
      <c r="H30" s="69">
        <f>_xll.qlDayCounterYearFraction(DayCounter,$F$2,G30)</f>
        <v>5.6333333333333337</v>
      </c>
      <c r="I30" s="69">
        <f>_xll.qlDayCounterYearFraction(DayCounter,F30,G30,,,Trigger)</f>
        <v>0.51111111111111107</v>
      </c>
      <c r="J30" s="70">
        <f>_xll.qlIndexFixing(PROPER(Currency)&amp;IborType&amp;$B$1,E30,,Trigger)</f>
        <v>5.4830386376118938E-3</v>
      </c>
      <c r="K30" s="71">
        <f>_xll.qlYieldTSDiscount(OisCurve,F30,,Trigger)</f>
        <v>1.0008989552087992</v>
      </c>
      <c r="L30" s="71">
        <f>_xll.qlYieldTSDiscount(OisCurve,G30,,Trigger)</f>
        <v>0.9994225871535205</v>
      </c>
      <c r="M30" s="70">
        <f t="shared" si="0"/>
        <v>2.8902150424052662E-3</v>
      </c>
      <c r="N30" s="70">
        <f t="shared" si="1"/>
        <v>2.5928235952066277E-3</v>
      </c>
      <c r="O30" s="70" t="b">
        <v>1</v>
      </c>
      <c r="P30" s="65">
        <f>_xll.qlInterpolationInterpolate($Q$1,H30,,Trigger)</f>
        <v>2.4412154577933436E-3</v>
      </c>
      <c r="Q30" s="65">
        <f t="shared" si="2"/>
        <v>1.51608137413284E-4</v>
      </c>
    </row>
    <row r="31" spans="3:17" x14ac:dyDescent="0.2">
      <c r="C31" s="72" t="s">
        <v>59</v>
      </c>
      <c r="D31" s="67" t="s">
        <v>55</v>
      </c>
      <c r="E31" s="68">
        <f>_xll.qlInterestRateIndexFixingDate(PROPER(Currency)&amp;IborType&amp;$B$1,F31,Trigger)</f>
        <v>44323</v>
      </c>
      <c r="F31" s="68">
        <f>_xll.qlCalendarAdvance(Calendar,F30,D31,"f",,Trigger)</f>
        <v>44327</v>
      </c>
      <c r="G31" s="68">
        <f>_xll.qlCalendarAdvance(Calendar,F31,$B$1,"mf",TRUE,Trigger)</f>
        <v>44511</v>
      </c>
      <c r="H31" s="69">
        <f>_xll.qlDayCounterYearFraction(DayCounter,$F$2,G31)</f>
        <v>6.6472222222222221</v>
      </c>
      <c r="I31" s="69">
        <f>_xll.qlDayCounterYearFraction(DayCounter,F31,G31,,,Trigger)</f>
        <v>0.51111111111111107</v>
      </c>
      <c r="J31" s="70">
        <f>_xll.qlIndexFixing(PROPER(Currency)&amp;IborType&amp;$B$1,E31,,Trigger)</f>
        <v>6.6879245612298018E-3</v>
      </c>
      <c r="K31" s="71">
        <f>_xll.qlYieldTSDiscount(OisCurve,F31,,Trigger)</f>
        <v>0.99764339709146177</v>
      </c>
      <c r="L31" s="71">
        <f>_xll.qlYieldTSDiscount(OisCurve,G31,,Trigger)</f>
        <v>0.99551796902726541</v>
      </c>
      <c r="M31" s="70">
        <f t="shared" si="0"/>
        <v>4.1771684107535468E-3</v>
      </c>
      <c r="N31" s="70">
        <f t="shared" si="1"/>
        <v>2.510756150476255E-3</v>
      </c>
      <c r="O31" s="70" t="b">
        <v>0</v>
      </c>
      <c r="P31" s="65">
        <f>_xll.qlInterpolationInterpolate($Q$1,H31,,Trigger)</f>
        <v>2.2767971722330452E-3</v>
      </c>
      <c r="Q31" s="65">
        <f t="shared" si="2"/>
        <v>2.3395897824320978E-4</v>
      </c>
    </row>
    <row r="32" spans="3:17" x14ac:dyDescent="0.2">
      <c r="C32" s="72" t="s">
        <v>60</v>
      </c>
      <c r="D32" s="67" t="s">
        <v>55</v>
      </c>
      <c r="E32" s="68">
        <f>_xll.qlInterestRateIndexFixingDate(PROPER(Currency)&amp;IborType&amp;$B$1,F32,Trigger)</f>
        <v>44690</v>
      </c>
      <c r="F32" s="68">
        <f>_xll.qlCalendarAdvance(Calendar,F31,D32,"f",,Trigger)</f>
        <v>44692</v>
      </c>
      <c r="G32" s="68">
        <f>_xll.qlCalendarAdvance(Calendar,F32,$B$1,"mf",TRUE,Trigger)</f>
        <v>44876</v>
      </c>
      <c r="H32" s="69">
        <f>_xll.qlDayCounterYearFraction(DayCounter,$F$2,G32)</f>
        <v>7.6611111111111114</v>
      </c>
      <c r="I32" s="69">
        <f>_xll.qlDayCounterYearFraction(DayCounter,F32,G32,,,Trigger)</f>
        <v>0.51111111111111107</v>
      </c>
      <c r="J32" s="70">
        <f>_xll.qlIndexFixing(PROPER(Currency)&amp;IborType&amp;$B$1,E32,,Trigger)</f>
        <v>8.0312304107907715E-3</v>
      </c>
      <c r="K32" s="71">
        <f>_xll.qlYieldTSDiscount(OisCurve,F32,,Trigger)</f>
        <v>0.99308878829190939</v>
      </c>
      <c r="L32" s="71">
        <f>_xll.qlYieldTSDiscount(OisCurve,G32,,Trigger)</f>
        <v>0.99026749461147923</v>
      </c>
      <c r="M32" s="70">
        <f t="shared" si="0"/>
        <v>5.574173087846932E-3</v>
      </c>
      <c r="N32" s="70">
        <f t="shared" si="1"/>
        <v>2.4570573229438395E-3</v>
      </c>
      <c r="O32" s="70" t="b">
        <v>1</v>
      </c>
      <c r="P32" s="65">
        <f>_xll.qlInterpolationInterpolate($Q$1,H32,,Trigger)</f>
        <v>2.1313357627378861E-3</v>
      </c>
      <c r="Q32" s="65">
        <f t="shared" si="2"/>
        <v>3.2572156020595341E-4</v>
      </c>
    </row>
    <row r="33" spans="3:17" x14ac:dyDescent="0.2">
      <c r="C33" s="72" t="s">
        <v>61</v>
      </c>
      <c r="D33" s="67" t="s">
        <v>55</v>
      </c>
      <c r="E33" s="68">
        <f>_xll.qlInterestRateIndexFixingDate(PROPER(Currency)&amp;IborType&amp;$B$1,F33,Trigger)</f>
        <v>45055</v>
      </c>
      <c r="F33" s="68">
        <f>_xll.qlCalendarAdvance(Calendar,F32,D33,"f",,Trigger)</f>
        <v>45057</v>
      </c>
      <c r="G33" s="68">
        <f>_xll.qlCalendarAdvance(Calendar,F33,$B$1,"mf",TRUE,Trigger)</f>
        <v>45243</v>
      </c>
      <c r="H33" s="69">
        <f>_xll.qlDayCounterYearFraction(DayCounter,$F$2,G33)</f>
        <v>8.6805555555555554</v>
      </c>
      <c r="I33" s="69">
        <f>_xll.qlDayCounterYearFraction(DayCounter,F33,G33,,,Trigger)</f>
        <v>0.51666666666666672</v>
      </c>
      <c r="J33" s="70">
        <f>_xll.qlIndexFixing(PROPER(Currency)&amp;IborType&amp;$B$1,E33,,Trigger)</f>
        <v>8.8570812202039308E-3</v>
      </c>
      <c r="K33" s="71">
        <f>_xll.qlYieldTSDiscount(OisCurve,F33,,Trigger)</f>
        <v>0.98721970649669455</v>
      </c>
      <c r="L33" s="71">
        <f>_xll.qlYieldTSDiscount(OisCurve,G33,,Trigger)</f>
        <v>0.98389451405082584</v>
      </c>
      <c r="M33" s="70">
        <f t="shared" si="0"/>
        <v>6.5412056424070247E-3</v>
      </c>
      <c r="N33" s="70">
        <f t="shared" si="1"/>
        <v>2.315875577796906E-3</v>
      </c>
      <c r="O33" s="70" t="b">
        <v>1</v>
      </c>
      <c r="P33" s="65">
        <f>_xll.qlInterpolationInterpolate($Q$1,H33,,Trigger)</f>
        <v>2.0059310011949862E-3</v>
      </c>
      <c r="Q33" s="65">
        <f t="shared" si="2"/>
        <v>3.0994457660191979E-4</v>
      </c>
    </row>
    <row r="34" spans="3:17" x14ac:dyDescent="0.2">
      <c r="C34" s="72" t="s">
        <v>62</v>
      </c>
      <c r="D34" s="67" t="s">
        <v>55</v>
      </c>
      <c r="E34" s="68">
        <f>_xll.qlInterestRateIndexFixingDate(PROPER(Currency)&amp;IborType&amp;$B$1,F34,Trigger)</f>
        <v>45421</v>
      </c>
      <c r="F34" s="68">
        <f>_xll.qlCalendarAdvance(Calendar,F33,D34,"f",,Trigger)</f>
        <v>45425</v>
      </c>
      <c r="G34" s="68">
        <f>_xll.qlCalendarAdvance(Calendar,F34,$B$1,"mf",TRUE,Trigger)</f>
        <v>45609</v>
      </c>
      <c r="H34" s="69">
        <f>_xll.qlDayCounterYearFraction(DayCounter,$F$2,G34)</f>
        <v>9.6972222222222229</v>
      </c>
      <c r="I34" s="69">
        <f>_xll.qlDayCounterYearFraction(DayCounter,F34,G34,,,Trigger)</f>
        <v>0.51111111111111107</v>
      </c>
      <c r="J34" s="70">
        <f>_xll.qlIndexFixing(PROPER(Currency)&amp;IborType&amp;$B$1,E34,,Trigger)</f>
        <v>9.3103451455498771E-3</v>
      </c>
      <c r="K34" s="71">
        <f>_xll.qlYieldTSDiscount(OisCurve,F34,,Trigger)</f>
        <v>0.98052607620903676</v>
      </c>
      <c r="L34" s="71">
        <f>_xll.qlYieldTSDiscount(OisCurve,G34,,Trigger)</f>
        <v>0.97704329775261034</v>
      </c>
      <c r="M34" s="70">
        <f t="shared" si="0"/>
        <v>6.9742372505364903E-3</v>
      </c>
      <c r="N34" s="70">
        <f t="shared" si="1"/>
        <v>2.3361078950133868E-3</v>
      </c>
      <c r="O34" s="70" t="b">
        <v>1</v>
      </c>
      <c r="P34" s="65">
        <f>_xll.qlInterpolationInterpolate($Q$1,H34,,Trigger)</f>
        <v>1.8990884918915051E-3</v>
      </c>
      <c r="Q34" s="65">
        <f t="shared" si="2"/>
        <v>4.3701940312188166E-4</v>
      </c>
    </row>
    <row r="35" spans="3:17" x14ac:dyDescent="0.2">
      <c r="C35" s="72" t="s">
        <v>72</v>
      </c>
      <c r="D35" s="67" t="s">
        <v>55</v>
      </c>
      <c r="E35" s="68">
        <f>_xll.qlInterestRateIndexFixingDate(PROPER(Currency)&amp;IborType&amp;$B$1,F35,Trigger)</f>
        <v>45786</v>
      </c>
      <c r="F35" s="68">
        <f>_xll.qlCalendarAdvance(Calendar,F34,D35,"f",,Trigger)</f>
        <v>45790</v>
      </c>
      <c r="G35" s="68">
        <f>_xll.qlCalendarAdvance(Calendar,F35,$B$1,"mf",TRUE,Trigger)</f>
        <v>45974</v>
      </c>
      <c r="H35" s="69">
        <f>_xll.qlDayCounterYearFraction(DayCounter,$F$2,G35)</f>
        <v>10.71111111111111</v>
      </c>
      <c r="I35" s="69">
        <f>_xll.qlDayCounterYearFraction(DayCounter,F35,G35,,,Trigger)</f>
        <v>0.51111111111111107</v>
      </c>
      <c r="J35" s="70">
        <f>_xll.qlIndexFixing(PROPER(Currency)&amp;IborType&amp;$B$1,E35,,Trigger)</f>
        <v>9.7434128936900403E-3</v>
      </c>
      <c r="K35" s="71">
        <f>_xll.qlYieldTSDiscount(OisCurve,F35,,Trigger)</f>
        <v>0.97347969304134752</v>
      </c>
      <c r="L35" s="71">
        <f>_xll.qlYieldTSDiscount(OisCurve,G35,,Trigger)</f>
        <v>0.96967584159341413</v>
      </c>
      <c r="M35" s="70">
        <f t="shared" si="0"/>
        <v>7.6750577162725177E-3</v>
      </c>
      <c r="N35" s="70">
        <f t="shared" si="1"/>
        <v>2.0683551774175225E-3</v>
      </c>
      <c r="O35" s="70" t="b">
        <v>1</v>
      </c>
      <c r="P35" s="65">
        <f>_xll.qlInterpolationInterpolate($Q$1,H35,,Trigger)</f>
        <v>1.8073724062996938E-3</v>
      </c>
      <c r="Q35" s="65">
        <f t="shared" si="2"/>
        <v>2.6098277111782876E-4</v>
      </c>
    </row>
    <row r="36" spans="3:17" x14ac:dyDescent="0.2">
      <c r="C36" s="72" t="s">
        <v>63</v>
      </c>
      <c r="D36" s="67" t="s">
        <v>73</v>
      </c>
      <c r="E36" s="68">
        <f>_xll.qlInterestRateIndexFixingDate(PROPER(Currency)&amp;IborType&amp;$B$1,F36,Trigger)</f>
        <v>46518</v>
      </c>
      <c r="F36" s="68">
        <f>_xll.qlCalendarAdvance(Calendar,F35,D36,"f",,Trigger)</f>
        <v>46520</v>
      </c>
      <c r="G36" s="68">
        <f>_xll.qlCalendarAdvance(Calendar,F36,$B$1,"mf",TRUE,Trigger)</f>
        <v>46706</v>
      </c>
      <c r="H36" s="69">
        <f>_xll.qlDayCounterYearFraction(DayCounter,$F$2,G36)</f>
        <v>12.744444444444444</v>
      </c>
      <c r="I36" s="69">
        <f>_xll.qlDayCounterYearFraction(DayCounter,F36,G36,,,Trigger)</f>
        <v>0.51666666666666672</v>
      </c>
      <c r="J36" s="70">
        <f>_xll.qlIndexFixing(PROPER(Currency)&amp;IborType&amp;$B$1,E36,,Trigger)</f>
        <v>1.0164792578822605E-2</v>
      </c>
      <c r="K36" s="71">
        <f>_xll.qlYieldTSDiscount(OisCurve,F36,,Trigger)</f>
        <v>0.95794213907460168</v>
      </c>
      <c r="L36" s="71">
        <f>_xll.qlYieldTSDiscount(OisCurve,G36,,Trigger)</f>
        <v>0.95386245568579264</v>
      </c>
      <c r="M36" s="70">
        <f t="shared" si="0"/>
        <v>8.2780922455092804E-3</v>
      </c>
      <c r="N36" s="70">
        <f t="shared" si="1"/>
        <v>1.8867003333133247E-3</v>
      </c>
      <c r="O36" s="70" t="b">
        <v>1</v>
      </c>
      <c r="P36" s="65">
        <f>_xll.qlInterpolationInterpolate($Q$1,H36,,Trigger)</f>
        <v>1.6570961981336888E-3</v>
      </c>
      <c r="Q36" s="65">
        <f t="shared" si="2"/>
        <v>2.2960413517963594E-4</v>
      </c>
    </row>
    <row r="37" spans="3:17" x14ac:dyDescent="0.2">
      <c r="C37" s="72" t="s">
        <v>64</v>
      </c>
      <c r="D37" s="67" t="s">
        <v>56</v>
      </c>
      <c r="E37" s="68">
        <f>_xll.qlInterestRateIndexFixingDate(PROPER(Currency)&amp;IborType&amp;$B$1,F37,Trigger)</f>
        <v>47612</v>
      </c>
      <c r="F37" s="68">
        <f>_xll.qlCalendarAdvance(Calendar,F36,D37,"f",,Trigger)</f>
        <v>47616</v>
      </c>
      <c r="G37" s="68">
        <f>_xll.qlCalendarAdvance(Calendar,F37,$B$1,"mf",TRUE,Trigger)</f>
        <v>47800</v>
      </c>
      <c r="H37" s="69">
        <f>_xll.qlDayCounterYearFraction(DayCounter,$F$2,G37)</f>
        <v>15.783333333333333</v>
      </c>
      <c r="I37" s="69">
        <f>_xll.qlDayCounterYearFraction(DayCounter,F37,G37,,,Trigger)</f>
        <v>0.51111111111111107</v>
      </c>
      <c r="J37" s="70">
        <f>_xll.qlIndexFixing(PROPER(Currency)&amp;IborType&amp;$B$1,E37,,Trigger)</f>
        <v>1.0140385340988906E-2</v>
      </c>
      <c r="K37" s="71">
        <f>_xll.qlYieldTSDiscount(OisCurve,F37,,Trigger)</f>
        <v>0.93351520714578862</v>
      </c>
      <c r="L37" s="71">
        <f>_xll.qlYieldTSDiscount(OisCurve,G37,,Trigger)</f>
        <v>0.92937564551599938</v>
      </c>
      <c r="M37" s="70">
        <f t="shared" si="0"/>
        <v>8.7146057229164197E-3</v>
      </c>
      <c r="N37" s="70">
        <f t="shared" si="1"/>
        <v>1.4257796180724858E-3</v>
      </c>
      <c r="O37" s="70" t="b">
        <v>1</v>
      </c>
      <c r="P37" s="65">
        <f>_xll.qlInterpolationInterpolate($Q$1,H37,,Trigger)</f>
        <v>1.4890654751014501E-3</v>
      </c>
      <c r="Q37" s="65">
        <f t="shared" si="2"/>
        <v>-6.3285857028964236E-5</v>
      </c>
    </row>
    <row r="38" spans="3:17" x14ac:dyDescent="0.2">
      <c r="C38" s="72" t="s">
        <v>65</v>
      </c>
      <c r="D38" s="67" t="s">
        <v>58</v>
      </c>
      <c r="E38" s="68">
        <f>_xll.qlInterestRateIndexFixingDate(PROPER(Currency)&amp;IborType&amp;$B$1,F38,Trigger)</f>
        <v>49439</v>
      </c>
      <c r="F38" s="68">
        <f>_xll.qlCalendarAdvance(Calendar,F37,D38,"f",,Trigger)</f>
        <v>49443</v>
      </c>
      <c r="G38" s="68">
        <f>_xll.qlCalendarAdvance(Calendar,F38,$B$1,"mf",TRUE,Trigger)</f>
        <v>49627</v>
      </c>
      <c r="H38" s="69">
        <f>_xll.qlDayCounterYearFraction(DayCounter,$F$2,G38)</f>
        <v>20.858333333333334</v>
      </c>
      <c r="I38" s="69">
        <f>_xll.qlDayCounterYearFraction(DayCounter,F38,G38,,,Trigger)</f>
        <v>0.51111111111111107</v>
      </c>
      <c r="J38" s="70">
        <f>_xll.qlIndexFixing(PROPER(Currency)&amp;IborType&amp;$B$1,E38,,Trigger)</f>
        <v>9.0829878499244857E-3</v>
      </c>
      <c r="K38" s="71">
        <f>_xll.qlYieldTSDiscount(OisCurve,F38,,Trigger)</f>
        <v>0.8937630093039084</v>
      </c>
      <c r="L38" s="71">
        <f>_xll.qlYieldTSDiscount(OisCurve,G38,,Trigger)</f>
        <v>0.89005979536658408</v>
      </c>
      <c r="M38" s="70">
        <f t="shared" si="0"/>
        <v>8.1403728274703543E-3</v>
      </c>
      <c r="N38" s="70">
        <f t="shared" si="1"/>
        <v>9.4261502245413138E-4</v>
      </c>
      <c r="O38" s="70" t="b">
        <v>1</v>
      </c>
      <c r="P38" s="65">
        <f>_xll.qlInterpolationInterpolate($Q$1,H38,,Trigger)</f>
        <v>1.2953094100345598E-3</v>
      </c>
      <c r="Q38" s="65">
        <f t="shared" si="2"/>
        <v>-3.5269438758042844E-4</v>
      </c>
    </row>
    <row r="39" spans="3:17" x14ac:dyDescent="0.2">
      <c r="C39" s="72" t="s">
        <v>66</v>
      </c>
      <c r="D39" s="67" t="s">
        <v>58</v>
      </c>
      <c r="E39" s="68">
        <f>_xll.qlInterestRateIndexFixingDate(PROPER(Currency)&amp;IborType&amp;$B$1,F39,Trigger)</f>
        <v>51266</v>
      </c>
      <c r="F39" s="68">
        <f>_xll.qlCalendarAdvance(Calendar,F38,D39,"f",,Trigger)</f>
        <v>51270</v>
      </c>
      <c r="G39" s="68">
        <f>_xll.qlCalendarAdvance(Calendar,F39,$B$1,"mf",TRUE,Trigger)</f>
        <v>51454</v>
      </c>
      <c r="H39" s="69">
        <f>_xll.qlDayCounterYearFraction(DayCounter,$F$2,G39)</f>
        <v>25.933333333333334</v>
      </c>
      <c r="I39" s="69">
        <f>_xll.qlDayCounterYearFraction(DayCounter,F39,G39,,,Trigger)</f>
        <v>0.51111111111111107</v>
      </c>
      <c r="J39" s="70">
        <f>_xll.qlIndexFixing(PROPER(Currency)&amp;IborType&amp;$B$1,E39,,Trigger)</f>
        <v>8.5302334167740978E-3</v>
      </c>
      <c r="K39" s="71">
        <f>_xll.qlYieldTSDiscount(OisCurve,F39,,Trigger)</f>
        <v>0.85900735604000278</v>
      </c>
      <c r="L39" s="71">
        <f>_xll.qlYieldTSDiscount(OisCurve,G39,,Trigger)</f>
        <v>0.85561382253075891</v>
      </c>
      <c r="M39" s="70">
        <f t="shared" si="0"/>
        <v>7.759951871353029E-3</v>
      </c>
      <c r="N39" s="70">
        <f t="shared" si="1"/>
        <v>7.7028154542106882E-4</v>
      </c>
      <c r="O39" s="70" t="b">
        <v>1</v>
      </c>
      <c r="P39" s="65">
        <f>_xll.qlInterpolationInterpolate($Q$1,H39,,Trigger)</f>
        <v>1.161673685028916E-3</v>
      </c>
      <c r="Q39" s="65">
        <f t="shared" si="2"/>
        <v>-3.9139213960784716E-4</v>
      </c>
    </row>
    <row r="40" spans="3:17" x14ac:dyDescent="0.2">
      <c r="C40" s="72" t="s">
        <v>67</v>
      </c>
      <c r="D40" s="67" t="s">
        <v>58</v>
      </c>
      <c r="E40" s="68">
        <f>_xll.qlInterestRateIndexFixingDate(PROPER(Currency)&amp;IborType&amp;$B$1,F40,Trigger)</f>
        <v>53093</v>
      </c>
      <c r="F40" s="68">
        <f>_xll.qlCalendarAdvance(Calendar,F39,D40,"f",,Trigger)</f>
        <v>53097</v>
      </c>
      <c r="G40" s="68">
        <f>_xll.qlCalendarAdvance(Calendar,F40,$B$1,"mf",TRUE,Trigger)</f>
        <v>53281</v>
      </c>
      <c r="H40" s="69">
        <f>_xll.qlDayCounterYearFraction(DayCounter,$F$2,G40)</f>
        <v>31.008333333333333</v>
      </c>
      <c r="I40" s="69">
        <f>_xll.qlDayCounterYearFraction(DayCounter,F40,G40,,,Trigger)</f>
        <v>0.51111111111111107</v>
      </c>
      <c r="J40" s="70">
        <f>_xll.qlIndexFixing(PROPER(Currency)&amp;IborType&amp;$B$1,E40,,Trigger)</f>
        <v>8.6790286082469182E-3</v>
      </c>
      <c r="K40" s="71">
        <f>_xll.qlYieldTSDiscount(OisCurve,F40,,Trigger)</f>
        <v>0.82525759813251354</v>
      </c>
      <c r="L40" s="71">
        <f>_xll.qlYieldTSDiscount(OisCurve,G40,,Trigger)</f>
        <v>0.82186066180090389</v>
      </c>
      <c r="M40" s="70">
        <f t="shared" si="0"/>
        <v>8.0867476546120382E-3</v>
      </c>
      <c r="N40" s="70">
        <f t="shared" si="1"/>
        <v>5.9228095363487998E-4</v>
      </c>
      <c r="O40" s="70" t="b">
        <v>1</v>
      </c>
      <c r="P40" s="65">
        <f>_xll.qlInterpolationInterpolate($Q$1,H40,,Trigger)</f>
        <v>1.0623658719186256E-3</v>
      </c>
      <c r="Q40" s="65">
        <f t="shared" si="2"/>
        <v>-4.7008491828374565E-4</v>
      </c>
    </row>
    <row r="41" spans="3:17" x14ac:dyDescent="0.2">
      <c r="C41" s="72" t="s">
        <v>68</v>
      </c>
      <c r="D41" s="67" t="s">
        <v>58</v>
      </c>
      <c r="E41" s="68">
        <f>_xll.qlInterestRateIndexFixingDate(PROPER(Currency)&amp;IborType&amp;$B$1,F41,Trigger)</f>
        <v>54920</v>
      </c>
      <c r="F41" s="68">
        <f>_xll.qlCalendarAdvance(Calendar,F40,D41,"f",,Trigger)</f>
        <v>54924</v>
      </c>
      <c r="G41" s="68">
        <f>_xll.qlCalendarAdvance(Calendar,F41,$B$1,"mf",TRUE,Trigger)</f>
        <v>55108</v>
      </c>
      <c r="H41" s="69">
        <f>_xll.qlDayCounterYearFraction(DayCounter,$F$2,G41)</f>
        <v>36.083333333333336</v>
      </c>
      <c r="I41" s="69">
        <f>_xll.qlDayCounterYearFraction(DayCounter,F41,G41,,,Trigger)</f>
        <v>0.51111111111111107</v>
      </c>
      <c r="J41" s="70">
        <f>_xll.qlIndexFixing(PROPER(Currency)&amp;IborType&amp;$B$1,E41,,Trigger)</f>
        <v>8.2922177761725405E-3</v>
      </c>
      <c r="K41" s="71">
        <f>_xll.qlYieldTSDiscount(OisCurve,F41,,Trigger)</f>
        <v>0.79243746637199364</v>
      </c>
      <c r="L41" s="71">
        <f>_xll.qlYieldTSDiscount(OisCurve,G41,,Trigger)</f>
        <v>0.78933191160792981</v>
      </c>
      <c r="M41" s="70">
        <f t="shared" si="0"/>
        <v>7.6977572027634262E-3</v>
      </c>
      <c r="N41" s="70">
        <f t="shared" si="1"/>
        <v>5.9446057340911424E-4</v>
      </c>
      <c r="O41" s="70" t="b">
        <v>1</v>
      </c>
      <c r="P41" s="65">
        <f>_xll.qlInterpolationInterpolate($Q$1,H41,,Trigger)</f>
        <v>9.8482711533540916E-4</v>
      </c>
      <c r="Q41" s="65">
        <f t="shared" si="2"/>
        <v>-3.9036654192629492E-4</v>
      </c>
    </row>
    <row r="42" spans="3:17" x14ac:dyDescent="0.2">
      <c r="C42" s="72" t="s">
        <v>69</v>
      </c>
      <c r="D42" s="67" t="s">
        <v>58</v>
      </c>
      <c r="E42" s="68">
        <f>_xll.qlInterestRateIndexFixingDate(PROPER(Currency)&amp;IborType&amp;$B$1,F42,Trigger)</f>
        <v>56747</v>
      </c>
      <c r="F42" s="68">
        <f>_xll.qlCalendarAdvance(Calendar,F41,D42,"f",,Trigger)</f>
        <v>56751</v>
      </c>
      <c r="G42" s="68">
        <f>_xll.qlCalendarAdvance(Calendar,F42,$B$1,"mf",TRUE,Trigger)</f>
        <v>56935</v>
      </c>
      <c r="H42" s="69">
        <f>_xll.qlDayCounterYearFraction(DayCounter,$F$2,G42)</f>
        <v>41.158333333333331</v>
      </c>
      <c r="I42" s="69">
        <f>_xll.qlDayCounterYearFraction(DayCounter,F42,G42,,,Trigger)</f>
        <v>0.51111111111111107</v>
      </c>
      <c r="J42" s="70">
        <f>_xll.qlIndexFixing(PROPER(Currency)&amp;IborType&amp;$B$1,E42,,Trigger)</f>
        <v>6.6402717570710774E-3</v>
      </c>
      <c r="K42" s="71">
        <f>_xll.qlYieldTSDiscount(OisCurve,F42,,Trigger)</f>
        <v>0.76454435750300909</v>
      </c>
      <c r="L42" s="71">
        <f>_xll.qlYieldTSDiscount(OisCurve,G42,,Trigger)</f>
        <v>0.7621711030773356</v>
      </c>
      <c r="M42" s="70">
        <f t="shared" si="0"/>
        <v>6.0922329088176014E-3</v>
      </c>
      <c r="N42" s="70">
        <f t="shared" si="1"/>
        <v>5.4803884825347596E-4</v>
      </c>
      <c r="O42" s="70" t="b">
        <v>1</v>
      </c>
      <c r="P42" s="65">
        <f>_xll.qlInterpolationInterpolate($Q$1,H42,,Trigger)</f>
        <v>9.2211361126933291E-4</v>
      </c>
      <c r="Q42" s="65">
        <f t="shared" si="2"/>
        <v>-3.7407476301585694E-4</v>
      </c>
    </row>
    <row r="43" spans="3:17" x14ac:dyDescent="0.2">
      <c r="C43" s="72" t="s">
        <v>70</v>
      </c>
      <c r="D43" s="67" t="s">
        <v>58</v>
      </c>
      <c r="E43" s="68">
        <f>_xll.qlInterestRateIndexFixingDate(PROPER(Currency)&amp;IborType&amp;$B$1,F43,Trigger)</f>
        <v>58574</v>
      </c>
      <c r="F43" s="68">
        <f>_xll.qlCalendarAdvance(Calendar,F42,D43,"f",,Trigger)</f>
        <v>58578</v>
      </c>
      <c r="G43" s="68">
        <f>_xll.qlCalendarAdvance(Calendar,F43,$B$1,"mf",TRUE,Trigger)</f>
        <v>58762</v>
      </c>
      <c r="H43" s="69">
        <f>_xll.qlDayCounterYearFraction(DayCounter,$F$2,G43)</f>
        <v>46.233333333333334</v>
      </c>
      <c r="I43" s="69">
        <f>_xll.qlDayCounterYearFraction(DayCounter,F43,G43,,,Trigger)</f>
        <v>0.51111111111111107</v>
      </c>
      <c r="J43" s="70">
        <f>_xll.qlIndexFixing(PROPER(Currency)&amp;IborType&amp;$B$1,E43,,Trigger)</f>
        <v>5.3103296003915341E-3</v>
      </c>
      <c r="K43" s="71">
        <f>_xll.qlYieldTSDiscount(OisCurve,F43,,Trigger)</f>
        <v>0.74385077512385578</v>
      </c>
      <c r="L43" s="71">
        <f>_xll.qlYieldTSDiscount(OisCurve,G43,,Trigger)</f>
        <v>0.7419945056326106</v>
      </c>
      <c r="M43" s="70">
        <f t="shared" si="0"/>
        <v>4.8946880141778745E-3</v>
      </c>
      <c r="N43" s="70">
        <f t="shared" si="1"/>
        <v>4.1564158621365966E-4</v>
      </c>
      <c r="O43" s="70" t="b">
        <v>1</v>
      </c>
      <c r="P43" s="65">
        <f>_xll.qlInterpolationInterpolate($Q$1,H43,,Trigger)</f>
        <v>8.7003298801135813E-4</v>
      </c>
      <c r="Q43" s="65">
        <f t="shared" si="2"/>
        <v>-4.5439140179769847E-4</v>
      </c>
    </row>
    <row r="44" spans="3:17" x14ac:dyDescent="0.2">
      <c r="C44" s="73" t="s">
        <v>71</v>
      </c>
      <c r="D44" s="74" t="s">
        <v>58</v>
      </c>
      <c r="E44" s="75">
        <f>_xll.qlInterestRateIndexFixingDate(PROPER(Currency)&amp;IborType&amp;$B$1,F44,Trigger)</f>
        <v>60401</v>
      </c>
      <c r="F44" s="75">
        <f>_xll.qlCalendarAdvance(Calendar,F43,D44,"f",,Trigger)</f>
        <v>60405</v>
      </c>
      <c r="G44" s="75">
        <f>_xll.qlCalendarAdvance(Calendar,F44,$B$1,"mf",TRUE,Trigger)</f>
        <v>60589</v>
      </c>
      <c r="H44" s="69">
        <f>_xll.qlDayCounterYearFraction(DayCounter,$F$2,G44)</f>
        <v>51.30833333333333</v>
      </c>
      <c r="I44" s="76">
        <f>_xll.qlDayCounterYearFraction(DayCounter,F44,G44,,,Trigger)</f>
        <v>0.51111111111111107</v>
      </c>
      <c r="J44" s="77">
        <f>_xll.qlIndexFixing(PROPER(Currency)&amp;IborType&amp;$B$1,E44,,Trigger)</f>
        <v>5.769475190198649E-3</v>
      </c>
      <c r="K44" s="78">
        <f>_xll.qlYieldTSDiscount(OisCurve,F44,,Trigger)</f>
        <v>0.72532252475024328</v>
      </c>
      <c r="L44" s="78">
        <f>_xll.qlYieldTSDiscount(OisCurve,G44,,Trigger)</f>
        <v>0.72333310837846532</v>
      </c>
      <c r="M44" s="77">
        <f t="shared" si="0"/>
        <v>5.3811118756768904E-3</v>
      </c>
      <c r="N44" s="77">
        <f t="shared" si="1"/>
        <v>3.8836331452175854E-4</v>
      </c>
      <c r="O44" s="77" t="b">
        <v>1</v>
      </c>
      <c r="P44" s="65">
        <f>_xll.qlInterpolationInterpolate($Q$1,H44,,Trigger)</f>
        <v>8.258846017834869E-4</v>
      </c>
      <c r="Q44" s="65">
        <f t="shared" si="2"/>
        <v>-4.3752128726172836E-4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General Settings</vt:lpstr>
      <vt:lpstr>3M Delta</vt:lpstr>
      <vt:lpstr>6M Delta</vt:lpstr>
      <vt:lpstr>6M Calibration</vt:lpstr>
      <vt:lpstr>AllTriggers</vt:lpstr>
      <vt:lpstr>Calendar</vt:lpstr>
      <vt:lpstr>Currency</vt:lpstr>
      <vt:lpstr>'3M Delta'!DataTable</vt:lpstr>
      <vt:lpstr>'6M Delta'!DataTable</vt:lpstr>
      <vt:lpstr>DayCounter</vt:lpstr>
      <vt:lpstr>EvaluationDate</vt:lpstr>
      <vt:lpstr>IborType</vt:lpstr>
      <vt:lpstr>'3M Delta'!Index</vt:lpstr>
      <vt:lpstr>'6M Delta'!Index</vt:lpstr>
      <vt:lpstr>OisCurve</vt:lpstr>
      <vt:lpstr>SettlementDate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2015-04-22T17:50:04Z</dcterms:modified>
</cp:coreProperties>
</file>